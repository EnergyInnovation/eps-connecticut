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T\add-outputs\HOIpTP\"/>
    </mc:Choice>
  </mc:AlternateContent>
  <xr:revisionPtr revIDLastSave="0" documentId="8_{7822A5CC-71FF-43F1-AEBE-63314027673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Q8" i="19"/>
  <c r="B8" i="19"/>
  <c r="L8" i="19" s="1"/>
  <c r="B7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Q3" i="19"/>
  <c r="B3" i="19"/>
  <c r="O3" i="19" s="1"/>
  <c r="P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Y14" i="18"/>
  <c r="U14" i="18"/>
  <c r="R14" i="18"/>
  <c r="H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A7" i="18"/>
  <c r="H7" i="18"/>
  <c r="B7" i="18"/>
  <c r="AB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P3" i="18"/>
  <c r="N3" i="18"/>
  <c r="H3" i="18"/>
  <c r="E3" i="18"/>
  <c r="B3" i="18"/>
  <c r="Z3" i="18" s="1"/>
  <c r="Z2" i="18"/>
  <c r="Y2" i="18"/>
  <c r="V2" i="18"/>
  <c r="P2" i="18"/>
  <c r="K2" i="18"/>
  <c r="J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X13" i="17"/>
  <c r="W13" i="17"/>
  <c r="Q13" i="17"/>
  <c r="D13" i="17"/>
  <c r="B13" i="17"/>
  <c r="AA13" i="17" s="1"/>
  <c r="T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X7" i="17"/>
  <c r="W7" i="17"/>
  <c r="K7" i="17"/>
  <c r="B7" i="17"/>
  <c r="Q6" i="17"/>
  <c r="B6" i="17"/>
  <c r="G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Y17" i="16" s="1"/>
  <c r="B16" i="16"/>
  <c r="AA15" i="16"/>
  <c r="B15" i="16"/>
  <c r="Y15" i="16" s="1"/>
  <c r="G14" i="16"/>
  <c r="F14" i="16"/>
  <c r="B14" i="16"/>
  <c r="AB14" i="16" s="1"/>
  <c r="X13" i="16"/>
  <c r="J13" i="16"/>
  <c r="D13" i="16"/>
  <c r="B13" i="16"/>
  <c r="W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T7" i="16"/>
  <c r="D7" i="16"/>
  <c r="B7" i="16"/>
  <c r="B6" i="16"/>
  <c r="L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C3" i="16"/>
  <c r="B3" i="16"/>
  <c r="S3" i="16" s="1"/>
  <c r="X2" i="16"/>
  <c r="T2" i="16"/>
  <c r="Q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T15" i="15"/>
  <c r="K15" i="15"/>
  <c r="I15" i="15"/>
  <c r="G15" i="15"/>
  <c r="C15" i="15"/>
  <c r="B15" i="15"/>
  <c r="AB14" i="15"/>
  <c r="O14" i="15"/>
  <c r="M14" i="15"/>
  <c r="D14" i="15"/>
  <c r="B14" i="15"/>
  <c r="N14" i="15" s="1"/>
  <c r="W13" i="15"/>
  <c r="V13" i="15"/>
  <c r="R13" i="15"/>
  <c r="M13" i="15"/>
  <c r="B13" i="15"/>
  <c r="AB13" i="15" s="1"/>
  <c r="M12" i="15"/>
  <c r="L12" i="15"/>
  <c r="H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X8" i="15"/>
  <c r="R8" i="15"/>
  <c r="O8" i="15"/>
  <c r="L8" i="15"/>
  <c r="J8" i="15"/>
  <c r="H8" i="15"/>
  <c r="G8" i="15"/>
  <c r="E8" i="15"/>
  <c r="B8" i="15"/>
  <c r="AA7" i="15"/>
  <c r="V7" i="15"/>
  <c r="S7" i="15"/>
  <c r="R7" i="15"/>
  <c r="O7" i="15"/>
  <c r="M7" i="15"/>
  <c r="L7" i="15"/>
  <c r="K7" i="15"/>
  <c r="I7" i="15"/>
  <c r="H7" i="15"/>
  <c r="G7" i="15"/>
  <c r="F7" i="15"/>
  <c r="D7" i="15"/>
  <c r="B7" i="15"/>
  <c r="X7" i="15" s="1"/>
  <c r="AA6" i="15"/>
  <c r="V6" i="15"/>
  <c r="U6" i="15"/>
  <c r="R6" i="15"/>
  <c r="Q6" i="15"/>
  <c r="P6" i="15"/>
  <c r="O6" i="15"/>
  <c r="N6" i="15"/>
  <c r="M6" i="15"/>
  <c r="L6" i="15"/>
  <c r="K6" i="15"/>
  <c r="J6" i="15"/>
  <c r="I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Z3" i="15"/>
  <c r="W3" i="15"/>
  <c r="U3" i="15"/>
  <c r="N3" i="15"/>
  <c r="L3" i="15"/>
  <c r="K3" i="15"/>
  <c r="J3" i="15"/>
  <c r="G3" i="15"/>
  <c r="F3" i="15"/>
  <c r="E3" i="15"/>
  <c r="D3" i="15"/>
  <c r="B3" i="15"/>
  <c r="M2" i="15"/>
  <c r="G2" i="15"/>
  <c r="F2" i="15"/>
  <c r="D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O15" i="14"/>
  <c r="B15" i="14"/>
  <c r="B14" i="14"/>
  <c r="Y14" i="14" s="1"/>
  <c r="S13" i="14"/>
  <c r="R13" i="14"/>
  <c r="Q13" i="14"/>
  <c r="G13" i="14"/>
  <c r="B13" i="14"/>
  <c r="E12" i="14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X7" i="14"/>
  <c r="W7" i="14"/>
  <c r="V7" i="14"/>
  <c r="S7" i="14"/>
  <c r="P7" i="14"/>
  <c r="N7" i="14"/>
  <c r="L7" i="14"/>
  <c r="K7" i="14"/>
  <c r="I7" i="14"/>
  <c r="H7" i="14"/>
  <c r="C7" i="14"/>
  <c r="B7" i="14"/>
  <c r="B6" i="14"/>
  <c r="R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V3" i="14"/>
  <c r="S3" i="14"/>
  <c r="P3" i="14"/>
  <c r="N3" i="14"/>
  <c r="L3" i="14"/>
  <c r="J3" i="14"/>
  <c r="I3" i="14"/>
  <c r="G3" i="14"/>
  <c r="D3" i="14"/>
  <c r="B3" i="14"/>
  <c r="Z3" i="14" s="1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AA15" i="13"/>
  <c r="Y15" i="13"/>
  <c r="W15" i="13"/>
  <c r="V15" i="13"/>
  <c r="S15" i="13"/>
  <c r="R15" i="13"/>
  <c r="P15" i="13"/>
  <c r="O15" i="13"/>
  <c r="L15" i="13"/>
  <c r="K15" i="13"/>
  <c r="J15" i="13"/>
  <c r="I15" i="13"/>
  <c r="H15" i="13"/>
  <c r="G15" i="13"/>
  <c r="F15" i="13"/>
  <c r="E15" i="13"/>
  <c r="D15" i="13"/>
  <c r="C15" i="13"/>
  <c r="B15" i="13"/>
  <c r="X15" i="13" s="1"/>
  <c r="T14" i="13"/>
  <c r="S14" i="13"/>
  <c r="Q14" i="13"/>
  <c r="L14" i="13"/>
  <c r="K14" i="13"/>
  <c r="J14" i="13"/>
  <c r="H14" i="13"/>
  <c r="E14" i="13"/>
  <c r="B14" i="13"/>
  <c r="AA14" i="13" s="1"/>
  <c r="B13" i="13"/>
  <c r="H13" i="13" s="1"/>
  <c r="X12" i="13"/>
  <c r="W12" i="13"/>
  <c r="V12" i="13"/>
  <c r="U12" i="13"/>
  <c r="T12" i="13"/>
  <c r="S12" i="13"/>
  <c r="O12" i="13"/>
  <c r="L12" i="13"/>
  <c r="I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W7" i="13"/>
  <c r="U7" i="13"/>
  <c r="S7" i="13"/>
  <c r="R7" i="13"/>
  <c r="N7" i="13"/>
  <c r="M7" i="13"/>
  <c r="L7" i="13"/>
  <c r="I7" i="13"/>
  <c r="H7" i="13"/>
  <c r="G7" i="13"/>
  <c r="E7" i="13"/>
  <c r="D7" i="13"/>
  <c r="C7" i="13"/>
  <c r="B7" i="13"/>
  <c r="Y7" i="13" s="1"/>
  <c r="AA6" i="13"/>
  <c r="Z6" i="13"/>
  <c r="O6" i="13"/>
  <c r="M6" i="13"/>
  <c r="H6" i="13"/>
  <c r="G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J3" i="13"/>
  <c r="I3" i="13"/>
  <c r="F3" i="13"/>
  <c r="E3" i="13"/>
  <c r="D3" i="13"/>
  <c r="B3" i="13"/>
  <c r="V2" i="13"/>
  <c r="O2" i="13"/>
  <c r="M2" i="13"/>
  <c r="L2" i="13"/>
  <c r="F2" i="13"/>
  <c r="E2" i="13"/>
  <c r="D2" i="13"/>
  <c r="C2" i="13"/>
  <c r="B2" i="13"/>
  <c r="AB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G17" i="12"/>
  <c r="B17" i="12"/>
  <c r="AB16" i="12"/>
  <c r="AA16" i="12"/>
  <c r="Z16" i="12"/>
  <c r="J16" i="12"/>
  <c r="C16" i="12"/>
  <c r="B16" i="12"/>
  <c r="T15" i="12"/>
  <c r="S15" i="12"/>
  <c r="R15" i="12"/>
  <c r="Q15" i="12"/>
  <c r="O15" i="12"/>
  <c r="N15" i="12"/>
  <c r="M15" i="12"/>
  <c r="L15" i="12"/>
  <c r="K15" i="12"/>
  <c r="I15" i="12"/>
  <c r="H15" i="12"/>
  <c r="B15" i="12"/>
  <c r="AB15" i="12" s="1"/>
  <c r="B14" i="12"/>
  <c r="W14" i="12" s="1"/>
  <c r="B13" i="12"/>
  <c r="AA12" i="12"/>
  <c r="H12" i="12"/>
  <c r="C12" i="12"/>
  <c r="B12" i="12"/>
  <c r="Z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H8" i="12"/>
  <c r="B8" i="12"/>
  <c r="D8" i="12" s="1"/>
  <c r="AB7" i="12"/>
  <c r="Z7" i="12"/>
  <c r="Y7" i="12"/>
  <c r="X7" i="12"/>
  <c r="W7" i="12"/>
  <c r="V7" i="12"/>
  <c r="S7" i="12"/>
  <c r="K7" i="12"/>
  <c r="J7" i="12"/>
  <c r="F7" i="12"/>
  <c r="E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I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B17" i="11"/>
  <c r="P17" i="11" s="1"/>
  <c r="AB16" i="11"/>
  <c r="Y16" i="11"/>
  <c r="W16" i="11"/>
  <c r="V16" i="11"/>
  <c r="D16" i="11"/>
  <c r="B16" i="11"/>
  <c r="AA16" i="11" s="1"/>
  <c r="W15" i="11"/>
  <c r="R15" i="11"/>
  <c r="B15" i="11"/>
  <c r="F14" i="11"/>
  <c r="C14" i="11"/>
  <c r="B14" i="1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Z12" i="11"/>
  <c r="U12" i="11"/>
  <c r="T12" i="11"/>
  <c r="P12" i="11"/>
  <c r="O12" i="11"/>
  <c r="M12" i="11"/>
  <c r="L12" i="11"/>
  <c r="K12" i="11"/>
  <c r="J12" i="11"/>
  <c r="I12" i="11"/>
  <c r="G12" i="11"/>
  <c r="F12" i="11"/>
  <c r="E12" i="11"/>
  <c r="C12" i="11"/>
  <c r="B12" i="11"/>
  <c r="AB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X8" i="11" s="1"/>
  <c r="AA7" i="11"/>
  <c r="B7" i="11"/>
  <c r="T7" i="11" s="1"/>
  <c r="X6" i="11"/>
  <c r="U6" i="11"/>
  <c r="T6" i="11"/>
  <c r="R6" i="11"/>
  <c r="Q6" i="11"/>
  <c r="P6" i="11"/>
  <c r="E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K3" i="11"/>
  <c r="H3" i="11"/>
  <c r="B3" i="11"/>
  <c r="Q2" i="11"/>
  <c r="N2" i="11"/>
  <c r="I2" i="11"/>
  <c r="G2" i="11"/>
  <c r="B2" i="1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O15" i="10"/>
  <c r="B15" i="10"/>
  <c r="Q15" i="10" s="1"/>
  <c r="Z14" i="10"/>
  <c r="Y14" i="10"/>
  <c r="W14" i="10"/>
  <c r="V14" i="10"/>
  <c r="U14" i="10"/>
  <c r="T14" i="10"/>
  <c r="O14" i="10"/>
  <c r="N14" i="10"/>
  <c r="I14" i="10"/>
  <c r="G14" i="10"/>
  <c r="F14" i="10"/>
  <c r="C14" i="10"/>
  <c r="B14" i="10"/>
  <c r="AA13" i="10"/>
  <c r="Z13" i="10"/>
  <c r="Y13" i="10"/>
  <c r="P13" i="10"/>
  <c r="M13" i="10"/>
  <c r="H13" i="10"/>
  <c r="F13" i="10"/>
  <c r="B13" i="10"/>
  <c r="D13" i="10" s="1"/>
  <c r="B12" i="10"/>
  <c r="AB12" i="10" s="1"/>
  <c r="C11" i="10"/>
  <c r="B11" i="10"/>
  <c r="B10" i="10"/>
  <c r="B9" i="10"/>
  <c r="B8" i="10"/>
  <c r="AB8" i="10" s="1"/>
  <c r="B7" i="10"/>
  <c r="X7" i="10" s="1"/>
  <c r="AA6" i="10"/>
  <c r="B6" i="10"/>
  <c r="Y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T17" i="9"/>
  <c r="S17" i="9"/>
  <c r="R17" i="9"/>
  <c r="Q17" i="9"/>
  <c r="P17" i="9"/>
  <c r="O17" i="9"/>
  <c r="M17" i="9"/>
  <c r="K17" i="9"/>
  <c r="J17" i="9"/>
  <c r="G17" i="9"/>
  <c r="F17" i="9"/>
  <c r="E17" i="9"/>
  <c r="B17" i="9"/>
  <c r="W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Y15" i="9"/>
  <c r="B15" i="9"/>
  <c r="Z14" i="9"/>
  <c r="Y14" i="9"/>
  <c r="W14" i="9"/>
  <c r="V14" i="9"/>
  <c r="S14" i="9"/>
  <c r="R14" i="9"/>
  <c r="Q14" i="9"/>
  <c r="P14" i="9"/>
  <c r="O14" i="9"/>
  <c r="N14" i="9"/>
  <c r="M14" i="9"/>
  <c r="L14" i="9"/>
  <c r="K14" i="9"/>
  <c r="J14" i="9"/>
  <c r="I14" i="9"/>
  <c r="G14" i="9"/>
  <c r="F14" i="9"/>
  <c r="C14" i="9"/>
  <c r="B14" i="9"/>
  <c r="U14" i="9" s="1"/>
  <c r="B13" i="9"/>
  <c r="Y13" i="9" s="1"/>
  <c r="AB12" i="9"/>
  <c r="AA12" i="9"/>
  <c r="Z12" i="9"/>
  <c r="Y12" i="9"/>
  <c r="W12" i="9"/>
  <c r="U12" i="9"/>
  <c r="J12" i="9"/>
  <c r="H12" i="9"/>
  <c r="D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Q8" i="9"/>
  <c r="P8" i="9"/>
  <c r="O8" i="9"/>
  <c r="N8" i="9"/>
  <c r="M8" i="9"/>
  <c r="F8" i="9"/>
  <c r="E8" i="9"/>
  <c r="B8" i="9"/>
  <c r="X7" i="9"/>
  <c r="W7" i="9"/>
  <c r="U7" i="9"/>
  <c r="T7" i="9"/>
  <c r="Q7" i="9"/>
  <c r="P7" i="9"/>
  <c r="N7" i="9"/>
  <c r="M7" i="9"/>
  <c r="L7" i="9"/>
  <c r="J7" i="9"/>
  <c r="I7" i="9"/>
  <c r="G7" i="9"/>
  <c r="B7" i="9"/>
  <c r="AB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G15" i="8" s="1"/>
  <c r="B14" i="8"/>
  <c r="Y14" i="8" s="1"/>
  <c r="B13" i="8"/>
  <c r="AB13" i="8" s="1"/>
  <c r="AB12" i="8"/>
  <c r="AA12" i="8"/>
  <c r="Z12" i="8"/>
  <c r="Y12" i="8"/>
  <c r="X12" i="8"/>
  <c r="N12" i="8"/>
  <c r="B12" i="8"/>
  <c r="C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T7" i="8"/>
  <c r="S7" i="8"/>
  <c r="Q7" i="8"/>
  <c r="P7" i="8"/>
  <c r="O7" i="8"/>
  <c r="M7" i="8"/>
  <c r="K7" i="8"/>
  <c r="J7" i="8"/>
  <c r="G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D3" i="8"/>
  <c r="C3" i="8"/>
  <c r="B3" i="8"/>
  <c r="J3" i="8" s="1"/>
  <c r="B2" i="8"/>
  <c r="P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T17" i="7" s="1"/>
  <c r="N16" i="7"/>
  <c r="M16" i="7"/>
  <c r="L16" i="7"/>
  <c r="J16" i="7"/>
  <c r="H16" i="7"/>
  <c r="G16" i="7"/>
  <c r="B16" i="7"/>
  <c r="AA16" i="7" s="1"/>
  <c r="AA15" i="7"/>
  <c r="Z15" i="7"/>
  <c r="Y15" i="7"/>
  <c r="W15" i="7"/>
  <c r="V15" i="7"/>
  <c r="S15" i="7"/>
  <c r="Q15" i="7"/>
  <c r="P15" i="7"/>
  <c r="M15" i="7"/>
  <c r="L15" i="7"/>
  <c r="K15" i="7"/>
  <c r="J15" i="7"/>
  <c r="I15" i="7"/>
  <c r="H15" i="7"/>
  <c r="G15" i="7"/>
  <c r="F15" i="7"/>
  <c r="E15" i="7"/>
  <c r="D15" i="7"/>
  <c r="C15" i="7"/>
  <c r="B15" i="7"/>
  <c r="U15" i="7" s="1"/>
  <c r="M14" i="7"/>
  <c r="L14" i="7"/>
  <c r="J14" i="7"/>
  <c r="I14" i="7"/>
  <c r="H14" i="7"/>
  <c r="F14" i="7"/>
  <c r="D14" i="7"/>
  <c r="B14" i="7"/>
  <c r="AA14" i="7" s="1"/>
  <c r="B13" i="7"/>
  <c r="I13" i="7" s="1"/>
  <c r="AB12" i="7"/>
  <c r="Y12" i="7"/>
  <c r="X12" i="7"/>
  <c r="W12" i="7"/>
  <c r="V12" i="7"/>
  <c r="T12" i="7"/>
  <c r="S12" i="7"/>
  <c r="R12" i="7"/>
  <c r="P12" i="7"/>
  <c r="O12" i="7"/>
  <c r="M12" i="7"/>
  <c r="L12" i="7"/>
  <c r="H12" i="7"/>
  <c r="G12" i="7"/>
  <c r="F12" i="7"/>
  <c r="E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V8" i="7"/>
  <c r="U8" i="7"/>
  <c r="T8" i="7"/>
  <c r="R8" i="7"/>
  <c r="Q8" i="7"/>
  <c r="P8" i="7"/>
  <c r="N8" i="7"/>
  <c r="M8" i="7"/>
  <c r="L8" i="7"/>
  <c r="K8" i="7"/>
  <c r="J8" i="7"/>
  <c r="H8" i="7"/>
  <c r="B8" i="7"/>
  <c r="AA8" i="7" s="1"/>
  <c r="AB7" i="7"/>
  <c r="AA7" i="7"/>
  <c r="Y7" i="7"/>
  <c r="U7" i="7"/>
  <c r="S7" i="7"/>
  <c r="R7" i="7"/>
  <c r="Q7" i="7"/>
  <c r="P7" i="7"/>
  <c r="O7" i="7"/>
  <c r="N7" i="7"/>
  <c r="M7" i="7"/>
  <c r="K7" i="7"/>
  <c r="J7" i="7"/>
  <c r="F7" i="7"/>
  <c r="E7" i="7"/>
  <c r="D7" i="7"/>
  <c r="C7" i="7"/>
  <c r="B7" i="7"/>
  <c r="Z7" i="7" s="1"/>
  <c r="AB6" i="7"/>
  <c r="Z6" i="7"/>
  <c r="X6" i="7"/>
  <c r="W6" i="7"/>
  <c r="V6" i="7"/>
  <c r="U6" i="7"/>
  <c r="S6" i="7"/>
  <c r="R6" i="7"/>
  <c r="Q6" i="7"/>
  <c r="P6" i="7"/>
  <c r="O6" i="7"/>
  <c r="N6" i="7"/>
  <c r="I6" i="7"/>
  <c r="H6" i="7"/>
  <c r="F6" i="7"/>
  <c r="B6" i="7"/>
  <c r="AA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T3" i="7"/>
  <c r="S3" i="7"/>
  <c r="P3" i="7"/>
  <c r="N3" i="7"/>
  <c r="M3" i="7"/>
  <c r="L3" i="7"/>
  <c r="K3" i="7"/>
  <c r="J3" i="7"/>
  <c r="B3" i="7"/>
  <c r="B2" i="7"/>
  <c r="P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B17" i="6"/>
  <c r="Q17" i="6" s="1"/>
  <c r="E16" i="6"/>
  <c r="D16" i="6"/>
  <c r="C16" i="6"/>
  <c r="B16" i="6"/>
  <c r="W15" i="6"/>
  <c r="V15" i="6"/>
  <c r="P15" i="6"/>
  <c r="N15" i="6"/>
  <c r="M15" i="6"/>
  <c r="L15" i="6"/>
  <c r="K15" i="6"/>
  <c r="J15" i="6"/>
  <c r="I15" i="6"/>
  <c r="H15" i="6"/>
  <c r="G15" i="6"/>
  <c r="F15" i="6"/>
  <c r="E15" i="6"/>
  <c r="D15" i="6"/>
  <c r="B15" i="6"/>
  <c r="Z15" i="6" s="1"/>
  <c r="AA14" i="6"/>
  <c r="Y14" i="6"/>
  <c r="X14" i="6"/>
  <c r="S14" i="6"/>
  <c r="O14" i="6"/>
  <c r="N14" i="6"/>
  <c r="M14" i="6"/>
  <c r="L14" i="6"/>
  <c r="K14" i="6"/>
  <c r="J14" i="6"/>
  <c r="I14" i="6"/>
  <c r="H14" i="6"/>
  <c r="F14" i="6"/>
  <c r="E14" i="6"/>
  <c r="D14" i="6"/>
  <c r="C14" i="6"/>
  <c r="B14" i="6"/>
  <c r="AB14" i="6" s="1"/>
  <c r="B13" i="6"/>
  <c r="AB12" i="6"/>
  <c r="Y12" i="6"/>
  <c r="W12" i="6"/>
  <c r="V12" i="6"/>
  <c r="U12" i="6"/>
  <c r="T12" i="6"/>
  <c r="S12" i="6"/>
  <c r="B12" i="6"/>
  <c r="K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G8" i="6"/>
  <c r="E8" i="6"/>
  <c r="D8" i="6"/>
  <c r="C8" i="6"/>
  <c r="B8" i="6"/>
  <c r="AB8" i="6" s="1"/>
  <c r="B7" i="6"/>
  <c r="J7" i="6" s="1"/>
  <c r="AB6" i="6"/>
  <c r="AA6" i="6"/>
  <c r="J6" i="6"/>
  <c r="I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Z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X17" i="5"/>
  <c r="W17" i="5"/>
  <c r="V17" i="5"/>
  <c r="U17" i="5"/>
  <c r="T17" i="5"/>
  <c r="S17" i="5"/>
  <c r="R17" i="5"/>
  <c r="Q17" i="5"/>
  <c r="P17" i="5"/>
  <c r="O17" i="5"/>
  <c r="L17" i="5"/>
  <c r="K17" i="5"/>
  <c r="B17" i="5"/>
  <c r="D17" i="5" s="1"/>
  <c r="B16" i="5"/>
  <c r="AB15" i="5"/>
  <c r="AA15" i="5"/>
  <c r="Z15" i="5"/>
  <c r="W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E15" i="5"/>
  <c r="D15" i="5"/>
  <c r="C15" i="5"/>
  <c r="B15" i="5"/>
  <c r="X15" i="5" s="1"/>
  <c r="B14" i="5"/>
  <c r="D14" i="5" s="1"/>
  <c r="Z13" i="5"/>
  <c r="Y13" i="5"/>
  <c r="X13" i="5"/>
  <c r="R13" i="5"/>
  <c r="M13" i="5"/>
  <c r="K13" i="5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V7" i="5"/>
  <c r="U7" i="5"/>
  <c r="N7" i="5"/>
  <c r="B7" i="5"/>
  <c r="D7" i="5" s="1"/>
  <c r="Z6" i="5"/>
  <c r="X6" i="5"/>
  <c r="J6" i="5"/>
  <c r="I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B2" i="5"/>
  <c r="F2" i="5" s="1"/>
  <c r="B2" i="1"/>
  <c r="I7" i="5" l="1"/>
  <c r="AB17" i="6"/>
  <c r="AA14" i="8"/>
  <c r="AA15" i="10"/>
  <c r="Z7" i="11"/>
  <c r="O13" i="15"/>
  <c r="AB14" i="8"/>
  <c r="C2" i="10"/>
  <c r="AB7" i="11"/>
  <c r="S14" i="11"/>
  <c r="R14" i="11"/>
  <c r="K14" i="11"/>
  <c r="H14" i="11"/>
  <c r="G14" i="11"/>
  <c r="U12" i="15"/>
  <c r="R12" i="15"/>
  <c r="N12" i="15"/>
  <c r="I12" i="15"/>
  <c r="G12" i="15"/>
  <c r="D12" i="15"/>
  <c r="C12" i="15"/>
  <c r="AA12" i="15"/>
  <c r="Z12" i="15"/>
  <c r="V12" i="15"/>
  <c r="T12" i="15"/>
  <c r="Y7" i="17"/>
  <c r="V7" i="17"/>
  <c r="U7" i="17"/>
  <c r="T7" i="17"/>
  <c r="R7" i="17"/>
  <c r="O7" i="17"/>
  <c r="J7" i="17"/>
  <c r="H7" i="17"/>
  <c r="G7" i="17"/>
  <c r="F7" i="17"/>
  <c r="E7" i="17"/>
  <c r="D7" i="17"/>
  <c r="AB17" i="17"/>
  <c r="Z17" i="17"/>
  <c r="X17" i="17"/>
  <c r="W17" i="17"/>
  <c r="U17" i="17"/>
  <c r="R17" i="17"/>
  <c r="Q17" i="17"/>
  <c r="O17" i="17"/>
  <c r="M17" i="17"/>
  <c r="L17" i="17"/>
  <c r="E2" i="10"/>
  <c r="C8" i="10"/>
  <c r="X14" i="10"/>
  <c r="H14" i="10"/>
  <c r="AB14" i="10"/>
  <c r="E14" i="10"/>
  <c r="AA14" i="10"/>
  <c r="D14" i="10"/>
  <c r="C15" i="10"/>
  <c r="C7" i="11"/>
  <c r="C8" i="11"/>
  <c r="E14" i="11"/>
  <c r="F3" i="12"/>
  <c r="AB12" i="12"/>
  <c r="P15" i="12"/>
  <c r="G2" i="13"/>
  <c r="M14" i="13"/>
  <c r="M3" i="14"/>
  <c r="G6" i="14"/>
  <c r="R14" i="14"/>
  <c r="J12" i="15"/>
  <c r="P7" i="17"/>
  <c r="E17" i="17"/>
  <c r="H2" i="13"/>
  <c r="P14" i="13"/>
  <c r="H6" i="14"/>
  <c r="S14" i="14"/>
  <c r="X2" i="15"/>
  <c r="N2" i="15"/>
  <c r="J2" i="15"/>
  <c r="E2" i="15"/>
  <c r="AB2" i="15"/>
  <c r="C2" i="15"/>
  <c r="Z2" i="15"/>
  <c r="V2" i="15"/>
  <c r="U2" i="15"/>
  <c r="Q2" i="15"/>
  <c r="P2" i="15"/>
  <c r="K12" i="15"/>
  <c r="S7" i="17"/>
  <c r="Y17" i="17"/>
  <c r="S13" i="8"/>
  <c r="P13" i="8"/>
  <c r="O13" i="8"/>
  <c r="P3" i="12"/>
  <c r="G3" i="12"/>
  <c r="X7" i="5"/>
  <c r="E13" i="7"/>
  <c r="G14" i="8"/>
  <c r="H14" i="8"/>
  <c r="D13" i="9"/>
  <c r="K3" i="12"/>
  <c r="C14" i="8"/>
  <c r="AB13" i="6"/>
  <c r="S13" i="6"/>
  <c r="O13" i="6"/>
  <c r="F13" i="8"/>
  <c r="D7" i="11"/>
  <c r="Q2" i="14"/>
  <c r="F2" i="14"/>
  <c r="AB2" i="14"/>
  <c r="Y2" i="14"/>
  <c r="U2" i="14"/>
  <c r="R2" i="14"/>
  <c r="Z15" i="8"/>
  <c r="N15" i="8"/>
  <c r="K15" i="8"/>
  <c r="J15" i="8"/>
  <c r="G2" i="10"/>
  <c r="F15" i="10"/>
  <c r="E8" i="11"/>
  <c r="I14" i="11"/>
  <c r="J3" i="12"/>
  <c r="AB14" i="14"/>
  <c r="F13" i="7"/>
  <c r="I2" i="8"/>
  <c r="H2" i="10"/>
  <c r="K8" i="10"/>
  <c r="K14" i="12"/>
  <c r="X15" i="14"/>
  <c r="W15" i="14"/>
  <c r="S15" i="14"/>
  <c r="N15" i="14"/>
  <c r="L15" i="14"/>
  <c r="J15" i="14"/>
  <c r="H15" i="14"/>
  <c r="G15" i="14"/>
  <c r="AA15" i="14"/>
  <c r="D15" i="14"/>
  <c r="Z15" i="14"/>
  <c r="C15" i="14"/>
  <c r="O14" i="7"/>
  <c r="L3" i="12"/>
  <c r="N6" i="14"/>
  <c r="O12" i="15"/>
  <c r="U15" i="5"/>
  <c r="Y17" i="5"/>
  <c r="K13" i="6"/>
  <c r="P14" i="6"/>
  <c r="Q15" i="6"/>
  <c r="M17" i="6"/>
  <c r="O2" i="7"/>
  <c r="V7" i="7"/>
  <c r="W8" i="7"/>
  <c r="N12" i="7"/>
  <c r="K12" i="7"/>
  <c r="J12" i="7"/>
  <c r="S14" i="7"/>
  <c r="T15" i="7"/>
  <c r="L17" i="7"/>
  <c r="L2" i="8"/>
  <c r="W7" i="8"/>
  <c r="U7" i="8"/>
  <c r="J13" i="8"/>
  <c r="J14" i="8"/>
  <c r="M15" i="8"/>
  <c r="AA7" i="9"/>
  <c r="Q13" i="9"/>
  <c r="T14" i="9"/>
  <c r="U17" i="9"/>
  <c r="K2" i="10"/>
  <c r="J14" i="10"/>
  <c r="I15" i="10"/>
  <c r="H7" i="11"/>
  <c r="K8" i="11"/>
  <c r="M14" i="11"/>
  <c r="C17" i="11"/>
  <c r="M3" i="12"/>
  <c r="C8" i="12"/>
  <c r="Q14" i="12"/>
  <c r="Y15" i="12"/>
  <c r="P2" i="13"/>
  <c r="G13" i="13"/>
  <c r="W14" i="13"/>
  <c r="E2" i="14"/>
  <c r="W3" i="14"/>
  <c r="P6" i="14"/>
  <c r="F15" i="14"/>
  <c r="H2" i="15"/>
  <c r="P12" i="15"/>
  <c r="U17" i="16"/>
  <c r="D17" i="6"/>
  <c r="C2" i="8"/>
  <c r="E15" i="8"/>
  <c r="E17" i="6"/>
  <c r="Z13" i="7"/>
  <c r="R13" i="7"/>
  <c r="N13" i="7"/>
  <c r="M13" i="7"/>
  <c r="V14" i="5"/>
  <c r="I8" i="6"/>
  <c r="H2" i="8"/>
  <c r="E7" i="11"/>
  <c r="Z6" i="16"/>
  <c r="T6" i="16"/>
  <c r="S6" i="16"/>
  <c r="O6" i="16"/>
  <c r="M6" i="16"/>
  <c r="K6" i="16"/>
  <c r="J6" i="16"/>
  <c r="I6" i="16"/>
  <c r="G6" i="16"/>
  <c r="F6" i="16"/>
  <c r="W14" i="5"/>
  <c r="H13" i="8"/>
  <c r="I15" i="8"/>
  <c r="E6" i="16"/>
  <c r="D17" i="16"/>
  <c r="W12" i="8"/>
  <c r="T12" i="8"/>
  <c r="S12" i="8"/>
  <c r="I13" i="8"/>
  <c r="L15" i="8"/>
  <c r="J2" i="10"/>
  <c r="H15" i="10"/>
  <c r="G7" i="11"/>
  <c r="J8" i="11"/>
  <c r="L14" i="11"/>
  <c r="F13" i="13"/>
  <c r="E15" i="14"/>
  <c r="H6" i="16"/>
  <c r="R17" i="16"/>
  <c r="Z7" i="17"/>
  <c r="Z14" i="5"/>
  <c r="AA14" i="5"/>
  <c r="V15" i="5"/>
  <c r="M13" i="6"/>
  <c r="R14" i="6"/>
  <c r="R15" i="6"/>
  <c r="O17" i="6"/>
  <c r="W7" i="7"/>
  <c r="Y8" i="7"/>
  <c r="C12" i="7"/>
  <c r="J13" i="7"/>
  <c r="T14" i="7"/>
  <c r="M17" i="7"/>
  <c r="M2" i="8"/>
  <c r="D12" i="8"/>
  <c r="K13" i="8"/>
  <c r="K14" i="8"/>
  <c r="O15" i="8"/>
  <c r="S13" i="9"/>
  <c r="L2" i="10"/>
  <c r="K14" i="10"/>
  <c r="K15" i="10"/>
  <c r="I7" i="11"/>
  <c r="N8" i="11"/>
  <c r="N14" i="11"/>
  <c r="D17" i="11"/>
  <c r="N3" i="12"/>
  <c r="R14" i="12"/>
  <c r="Z15" i="12"/>
  <c r="Q2" i="13"/>
  <c r="G2" i="14"/>
  <c r="Y3" i="14"/>
  <c r="I15" i="14"/>
  <c r="I2" i="15"/>
  <c r="Q12" i="15"/>
  <c r="S15" i="15"/>
  <c r="E15" i="15"/>
  <c r="AA15" i="15"/>
  <c r="V15" i="15"/>
  <c r="U15" i="15"/>
  <c r="N6" i="16"/>
  <c r="Y2" i="7"/>
  <c r="L2" i="7"/>
  <c r="G2" i="7"/>
  <c r="E17" i="7"/>
  <c r="C13" i="8"/>
  <c r="U6" i="14"/>
  <c r="X6" i="14"/>
  <c r="Q6" i="14"/>
  <c r="O6" i="14"/>
  <c r="M6" i="14"/>
  <c r="J6" i="14"/>
  <c r="F6" i="14"/>
  <c r="E6" i="14"/>
  <c r="G8" i="10"/>
  <c r="Z7" i="5"/>
  <c r="K2" i="7"/>
  <c r="G13" i="8"/>
  <c r="H15" i="8"/>
  <c r="C13" i="9"/>
  <c r="I8" i="10"/>
  <c r="W13" i="13"/>
  <c r="X13" i="13"/>
  <c r="U13" i="13"/>
  <c r="S13" i="13"/>
  <c r="P13" i="13"/>
  <c r="M13" i="13"/>
  <c r="K13" i="13"/>
  <c r="L6" i="14"/>
  <c r="I13" i="6"/>
  <c r="K17" i="7"/>
  <c r="K2" i="8"/>
  <c r="M13" i="9"/>
  <c r="U8" i="12"/>
  <c r="Q8" i="12"/>
  <c r="P8" i="12"/>
  <c r="L14" i="12"/>
  <c r="P6" i="6"/>
  <c r="L6" i="6"/>
  <c r="N13" i="6"/>
  <c r="T15" i="6"/>
  <c r="P17" i="6"/>
  <c r="Q2" i="7"/>
  <c r="Z8" i="7"/>
  <c r="K13" i="7"/>
  <c r="V14" i="7"/>
  <c r="Q17" i="7"/>
  <c r="N2" i="8"/>
  <c r="E12" i="8"/>
  <c r="L13" i="8"/>
  <c r="N14" i="8"/>
  <c r="P15" i="8"/>
  <c r="W8" i="9"/>
  <c r="X8" i="9"/>
  <c r="S8" i="9"/>
  <c r="R8" i="9"/>
  <c r="W13" i="9"/>
  <c r="P2" i="10"/>
  <c r="L14" i="10"/>
  <c r="L15" i="10"/>
  <c r="J7" i="11"/>
  <c r="Q8" i="11"/>
  <c r="O14" i="11"/>
  <c r="J17" i="11"/>
  <c r="T3" i="12"/>
  <c r="F8" i="12"/>
  <c r="V14" i="12"/>
  <c r="R2" i="13"/>
  <c r="N13" i="13"/>
  <c r="L2" i="14"/>
  <c r="S6" i="14"/>
  <c r="K15" i="14"/>
  <c r="K2" i="15"/>
  <c r="S12" i="15"/>
  <c r="Q6" i="16"/>
  <c r="X17" i="18"/>
  <c r="V17" i="18"/>
  <c r="U17" i="18"/>
  <c r="S17" i="18"/>
  <c r="R17" i="18"/>
  <c r="Q17" i="18"/>
  <c r="P17" i="18"/>
  <c r="O17" i="18"/>
  <c r="N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C17" i="6"/>
  <c r="D14" i="8"/>
  <c r="D2" i="10"/>
  <c r="E13" i="8"/>
  <c r="E14" i="8"/>
  <c r="F15" i="8"/>
  <c r="Y7" i="5"/>
  <c r="H17" i="7"/>
  <c r="G2" i="8"/>
  <c r="E6" i="8"/>
  <c r="F14" i="8"/>
  <c r="H17" i="6"/>
  <c r="F6" i="8"/>
  <c r="K6" i="14"/>
  <c r="AA17" i="17"/>
  <c r="AA7" i="5"/>
  <c r="H13" i="6"/>
  <c r="O6" i="8"/>
  <c r="G15" i="10"/>
  <c r="F7" i="11"/>
  <c r="I8" i="11"/>
  <c r="J14" i="11"/>
  <c r="AB7" i="5"/>
  <c r="Y14" i="5"/>
  <c r="U8" i="6"/>
  <c r="K17" i="6"/>
  <c r="N2" i="7"/>
  <c r="H13" i="7"/>
  <c r="P6" i="8"/>
  <c r="I14" i="8"/>
  <c r="AB14" i="5"/>
  <c r="E6" i="5"/>
  <c r="Y15" i="5"/>
  <c r="E6" i="6"/>
  <c r="P13" i="6"/>
  <c r="T14" i="6"/>
  <c r="U15" i="6"/>
  <c r="R2" i="7"/>
  <c r="O13" i="7"/>
  <c r="X14" i="7"/>
  <c r="S17" i="7"/>
  <c r="H12" i="8"/>
  <c r="M13" i="8"/>
  <c r="O14" i="8"/>
  <c r="U15" i="8"/>
  <c r="C8" i="9"/>
  <c r="X13" i="9"/>
  <c r="U2" i="10"/>
  <c r="M14" i="10"/>
  <c r="M15" i="10"/>
  <c r="AA6" i="11"/>
  <c r="O6" i="11"/>
  <c r="J6" i="11"/>
  <c r="I6" i="11"/>
  <c r="K7" i="11"/>
  <c r="R8" i="11"/>
  <c r="P14" i="11"/>
  <c r="O17" i="11"/>
  <c r="U3" i="12"/>
  <c r="G8" i="12"/>
  <c r="U2" i="13"/>
  <c r="O13" i="13"/>
  <c r="M2" i="14"/>
  <c r="T6" i="14"/>
  <c r="M15" i="14"/>
  <c r="L2" i="15"/>
  <c r="W12" i="15"/>
  <c r="V6" i="16"/>
  <c r="Z2" i="17"/>
  <c r="W2" i="17"/>
  <c r="L2" i="17"/>
  <c r="J2" i="17"/>
  <c r="I2" i="17"/>
  <c r="G2" i="17"/>
  <c r="F2" i="17"/>
  <c r="T17" i="18"/>
  <c r="AA7" i="19"/>
  <c r="U7" i="19"/>
  <c r="R7" i="19"/>
  <c r="M7" i="19"/>
  <c r="L7" i="19"/>
  <c r="H7" i="19"/>
  <c r="G7" i="19"/>
  <c r="F7" i="19"/>
  <c r="C7" i="19"/>
  <c r="X12" i="15"/>
  <c r="W6" i="16"/>
  <c r="X12" i="17"/>
  <c r="O12" i="17"/>
  <c r="I12" i="17"/>
  <c r="H12" i="17"/>
  <c r="G12" i="17"/>
  <c r="E12" i="17"/>
  <c r="C12" i="17"/>
  <c r="AB12" i="17"/>
  <c r="Z12" i="17"/>
  <c r="Y12" i="17"/>
  <c r="W12" i="17"/>
  <c r="V12" i="17"/>
  <c r="U12" i="17"/>
  <c r="R12" i="17"/>
  <c r="Q12" i="17"/>
  <c r="O7" i="11"/>
  <c r="T14" i="11"/>
  <c r="Z3" i="12"/>
  <c r="I8" i="12"/>
  <c r="X15" i="12"/>
  <c r="J15" i="12"/>
  <c r="AA15" i="12"/>
  <c r="C15" i="12"/>
  <c r="W15" i="12"/>
  <c r="V15" i="12"/>
  <c r="Y2" i="13"/>
  <c r="R13" i="13"/>
  <c r="P2" i="14"/>
  <c r="Z6" i="14"/>
  <c r="P15" i="14"/>
  <c r="O2" i="15"/>
  <c r="P13" i="15"/>
  <c r="Q13" i="15"/>
  <c r="L13" i="15"/>
  <c r="G13" i="15"/>
  <c r="E13" i="15"/>
  <c r="D13" i="15"/>
  <c r="C13" i="15"/>
  <c r="AA13" i="15"/>
  <c r="Z13" i="15"/>
  <c r="T13" i="15"/>
  <c r="S13" i="15"/>
  <c r="Z7" i="16"/>
  <c r="C7" i="16"/>
  <c r="Y7" i="16"/>
  <c r="X7" i="16"/>
  <c r="U7" i="16"/>
  <c r="S7" i="16"/>
  <c r="P7" i="16"/>
  <c r="O7" i="16"/>
  <c r="M7" i="16"/>
  <c r="J7" i="16"/>
  <c r="I7" i="16"/>
  <c r="F7" i="16"/>
  <c r="E7" i="16"/>
  <c r="D12" i="17"/>
  <c r="N17" i="6"/>
  <c r="L17" i="6"/>
  <c r="G17" i="6"/>
  <c r="O2" i="8"/>
  <c r="D2" i="8"/>
  <c r="AA2" i="8"/>
  <c r="Q8" i="10"/>
  <c r="Z8" i="10"/>
  <c r="N8" i="10"/>
  <c r="H2" i="7"/>
  <c r="G13" i="6"/>
  <c r="I17" i="7"/>
  <c r="S2" i="7"/>
  <c r="Q14" i="8"/>
  <c r="J12" i="6"/>
  <c r="S17" i="6"/>
  <c r="Z2" i="7"/>
  <c r="U17" i="7"/>
  <c r="R2" i="8"/>
  <c r="Z13" i="9"/>
  <c r="C2" i="5"/>
  <c r="K6" i="5"/>
  <c r="F13" i="5"/>
  <c r="K6" i="6"/>
  <c r="T13" i="6"/>
  <c r="Y15" i="6"/>
  <c r="T17" i="6"/>
  <c r="AB14" i="7"/>
  <c r="Q12" i="8"/>
  <c r="R13" i="8"/>
  <c r="S14" i="8"/>
  <c r="C3" i="9"/>
  <c r="Y7" i="9"/>
  <c r="V7" i="9"/>
  <c r="S7" i="9"/>
  <c r="R7" i="9"/>
  <c r="G8" i="9"/>
  <c r="X12" i="9"/>
  <c r="S12" i="9"/>
  <c r="O12" i="9"/>
  <c r="AA13" i="9"/>
  <c r="AA15" i="9"/>
  <c r="M15" i="9"/>
  <c r="Z2" i="10"/>
  <c r="E6" i="10"/>
  <c r="Z12" i="10"/>
  <c r="P14" i="10"/>
  <c r="P15" i="10"/>
  <c r="M3" i="11"/>
  <c r="J3" i="11"/>
  <c r="I3" i="11"/>
  <c r="G6" i="11"/>
  <c r="P7" i="11"/>
  <c r="U14" i="11"/>
  <c r="AA3" i="12"/>
  <c r="F6" i="12"/>
  <c r="J8" i="12"/>
  <c r="D15" i="12"/>
  <c r="Z2" i="13"/>
  <c r="T13" i="13"/>
  <c r="C17" i="13"/>
  <c r="V2" i="14"/>
  <c r="AA6" i="14"/>
  <c r="Q15" i="14"/>
  <c r="R2" i="15"/>
  <c r="F13" i="15"/>
  <c r="AB12" i="16"/>
  <c r="Y12" i="16"/>
  <c r="X12" i="16"/>
  <c r="K12" i="16"/>
  <c r="C12" i="16"/>
  <c r="F12" i="17"/>
  <c r="AB6" i="18"/>
  <c r="X6" i="18"/>
  <c r="W6" i="18"/>
  <c r="Q6" i="18"/>
  <c r="P6" i="18"/>
  <c r="O6" i="18"/>
  <c r="K6" i="18"/>
  <c r="J6" i="18"/>
  <c r="I6" i="18"/>
  <c r="AB8" i="11"/>
  <c r="S8" i="11"/>
  <c r="P8" i="11"/>
  <c r="O8" i="11"/>
  <c r="F2" i="8"/>
  <c r="F2" i="10"/>
  <c r="E15" i="10"/>
  <c r="V17" i="16"/>
  <c r="J17" i="16"/>
  <c r="H17" i="16"/>
  <c r="G17" i="16"/>
  <c r="C17" i="16"/>
  <c r="AB17" i="16"/>
  <c r="Z17" i="16"/>
  <c r="J8" i="6"/>
  <c r="N14" i="7"/>
  <c r="X12" i="6"/>
  <c r="N12" i="6"/>
  <c r="D12" i="6"/>
  <c r="Q13" i="6"/>
  <c r="R17" i="6"/>
  <c r="X2" i="10"/>
  <c r="N15" i="10"/>
  <c r="L7" i="11"/>
  <c r="T8" i="11"/>
  <c r="Q14" i="11"/>
  <c r="O2" i="14"/>
  <c r="D13" i="5"/>
  <c r="S13" i="7"/>
  <c r="Y2" i="10"/>
  <c r="C6" i="10"/>
  <c r="G12" i="10"/>
  <c r="X3" i="7"/>
  <c r="U3" i="7"/>
  <c r="O3" i="7"/>
  <c r="X8" i="7"/>
  <c r="I8" i="7"/>
  <c r="F8" i="7"/>
  <c r="E8" i="7"/>
  <c r="T13" i="7"/>
  <c r="V17" i="7"/>
  <c r="S2" i="8"/>
  <c r="D2" i="5"/>
  <c r="M6" i="5"/>
  <c r="G13" i="5"/>
  <c r="F15" i="5"/>
  <c r="C2" i="6"/>
  <c r="T2" i="6"/>
  <c r="M6" i="6"/>
  <c r="L12" i="6"/>
  <c r="V13" i="6"/>
  <c r="U17" i="6"/>
  <c r="F3" i="7"/>
  <c r="G7" i="7"/>
  <c r="L7" i="7"/>
  <c r="I7" i="7"/>
  <c r="H7" i="7"/>
  <c r="C8" i="7"/>
  <c r="V13" i="7"/>
  <c r="X15" i="7"/>
  <c r="R15" i="7"/>
  <c r="O15" i="7"/>
  <c r="N15" i="7"/>
  <c r="AB15" i="7"/>
  <c r="Z17" i="7"/>
  <c r="T2" i="8"/>
  <c r="R12" i="8"/>
  <c r="T13" i="8"/>
  <c r="T14" i="8"/>
  <c r="F3" i="9"/>
  <c r="C7" i="9"/>
  <c r="I8" i="9"/>
  <c r="C12" i="9"/>
  <c r="X14" i="9"/>
  <c r="H14" i="9"/>
  <c r="AB14" i="9"/>
  <c r="E14" i="9"/>
  <c r="AA14" i="9"/>
  <c r="D14" i="9"/>
  <c r="K15" i="9"/>
  <c r="H6" i="10"/>
  <c r="AA12" i="10"/>
  <c r="Q14" i="10"/>
  <c r="C3" i="11"/>
  <c r="H6" i="11"/>
  <c r="S7" i="11"/>
  <c r="Y12" i="11"/>
  <c r="X12" i="11"/>
  <c r="V14" i="11"/>
  <c r="M8" i="12"/>
  <c r="E15" i="12"/>
  <c r="V13" i="13"/>
  <c r="E17" i="13"/>
  <c r="X2" i="14"/>
  <c r="Z7" i="14"/>
  <c r="Y7" i="14"/>
  <c r="R7" i="14"/>
  <c r="O7" i="14"/>
  <c r="M7" i="14"/>
  <c r="J7" i="14"/>
  <c r="G7" i="14"/>
  <c r="E7" i="14"/>
  <c r="R15" i="14"/>
  <c r="S2" i="15"/>
  <c r="H13" i="15"/>
  <c r="X15" i="15"/>
  <c r="G7" i="16"/>
  <c r="I12" i="16"/>
  <c r="J12" i="17"/>
  <c r="E6" i="18"/>
  <c r="X15" i="10"/>
  <c r="D15" i="10"/>
  <c r="Z15" i="10"/>
  <c r="Y15" i="10"/>
  <c r="O14" i="5"/>
  <c r="Y14" i="12"/>
  <c r="X14" i="12"/>
  <c r="J17" i="6"/>
  <c r="M2" i="7"/>
  <c r="J17" i="7"/>
  <c r="Q13" i="13"/>
  <c r="W6" i="14"/>
  <c r="R13" i="6"/>
  <c r="O12" i="8"/>
  <c r="Q13" i="8"/>
  <c r="R14" i="8"/>
  <c r="AA15" i="8"/>
  <c r="E2" i="5"/>
  <c r="R6" i="5"/>
  <c r="H13" i="5"/>
  <c r="X15" i="6"/>
  <c r="S15" i="6"/>
  <c r="O15" i="6"/>
  <c r="V17" i="6"/>
  <c r="G3" i="7"/>
  <c r="D8" i="7"/>
  <c r="W13" i="7"/>
  <c r="AA17" i="7"/>
  <c r="U2" i="8"/>
  <c r="U12" i="8"/>
  <c r="U13" i="8"/>
  <c r="U14" i="8"/>
  <c r="G3" i="9"/>
  <c r="D7" i="9"/>
  <c r="K8" i="9"/>
  <c r="J6" i="10"/>
  <c r="R14" i="10"/>
  <c r="R15" i="10"/>
  <c r="D3" i="11"/>
  <c r="K6" i="11"/>
  <c r="W14" i="11"/>
  <c r="AA7" i="12"/>
  <c r="P7" i="12"/>
  <c r="I7" i="12"/>
  <c r="G7" i="12"/>
  <c r="R8" i="12"/>
  <c r="F15" i="12"/>
  <c r="AA3" i="13"/>
  <c r="P3" i="13"/>
  <c r="L3" i="13"/>
  <c r="K3" i="13"/>
  <c r="Y13" i="13"/>
  <c r="Z2" i="14"/>
  <c r="T15" i="14"/>
  <c r="Y2" i="15"/>
  <c r="K8" i="15"/>
  <c r="F8" i="15"/>
  <c r="AA8" i="15"/>
  <c r="Z8" i="15"/>
  <c r="Y8" i="15"/>
  <c r="W8" i="15"/>
  <c r="T8" i="15"/>
  <c r="N8" i="15"/>
  <c r="M8" i="15"/>
  <c r="I13" i="15"/>
  <c r="Y15" i="15"/>
  <c r="H7" i="16"/>
  <c r="W12" i="16"/>
  <c r="M12" i="17"/>
  <c r="AA6" i="18"/>
  <c r="D15" i="18"/>
  <c r="C15" i="18"/>
  <c r="AB15" i="18"/>
  <c r="AA15" i="18"/>
  <c r="Z15" i="18"/>
  <c r="Y15" i="18"/>
  <c r="X15" i="18"/>
  <c r="W15" i="18"/>
  <c r="S15" i="18"/>
  <c r="M15" i="18"/>
  <c r="K15" i="18"/>
  <c r="J15" i="18"/>
  <c r="E15" i="18"/>
  <c r="Q7" i="11"/>
  <c r="R7" i="11"/>
  <c r="N7" i="11"/>
  <c r="M7" i="11"/>
  <c r="F17" i="7"/>
  <c r="F17" i="6"/>
  <c r="I2" i="7"/>
  <c r="D8" i="11"/>
  <c r="Q13" i="7"/>
  <c r="Y14" i="7"/>
  <c r="Q2" i="8"/>
  <c r="N13" i="8"/>
  <c r="Y15" i="8"/>
  <c r="Y3" i="12"/>
  <c r="AB14" i="12"/>
  <c r="N6" i="6"/>
  <c r="O12" i="6"/>
  <c r="Y13" i="6"/>
  <c r="AA15" i="6"/>
  <c r="W6" i="5"/>
  <c r="I13" i="5"/>
  <c r="J17" i="5"/>
  <c r="O6" i="6"/>
  <c r="P12" i="6"/>
  <c r="U14" i="6"/>
  <c r="W14" i="6"/>
  <c r="Q14" i="6"/>
  <c r="C15" i="6"/>
  <c r="AB15" i="6"/>
  <c r="W17" i="6"/>
  <c r="H3" i="7"/>
  <c r="G8" i="7"/>
  <c r="X13" i="7"/>
  <c r="V2" i="8"/>
  <c r="V12" i="8"/>
  <c r="V13" i="8"/>
  <c r="V14" i="8"/>
  <c r="F7" i="9"/>
  <c r="L8" i="9"/>
  <c r="E12" i="9"/>
  <c r="Z15" i="9"/>
  <c r="Z17" i="9"/>
  <c r="AA17" i="9"/>
  <c r="L6" i="10"/>
  <c r="S14" i="10"/>
  <c r="T15" i="10"/>
  <c r="E3" i="11"/>
  <c r="L6" i="11"/>
  <c r="U7" i="11"/>
  <c r="X14" i="11"/>
  <c r="D7" i="12"/>
  <c r="S8" i="12"/>
  <c r="G15" i="12"/>
  <c r="C3" i="13"/>
  <c r="AB6" i="13"/>
  <c r="P6" i="13"/>
  <c r="K6" i="13"/>
  <c r="J6" i="13"/>
  <c r="AB12" i="13"/>
  <c r="R12" i="13"/>
  <c r="M12" i="13"/>
  <c r="J12" i="13"/>
  <c r="D12" i="13"/>
  <c r="Z13" i="13"/>
  <c r="AA2" i="14"/>
  <c r="D7" i="14"/>
  <c r="U15" i="14"/>
  <c r="AA2" i="15"/>
  <c r="C8" i="15"/>
  <c r="J13" i="15"/>
  <c r="L7" i="16"/>
  <c r="P12" i="17"/>
  <c r="Q15" i="18"/>
  <c r="H8" i="6"/>
  <c r="J13" i="5"/>
  <c r="R12" i="6"/>
  <c r="X17" i="6"/>
  <c r="AA13" i="7"/>
  <c r="W2" i="8"/>
  <c r="W13" i="8"/>
  <c r="W14" i="8"/>
  <c r="O6" i="10"/>
  <c r="U15" i="10"/>
  <c r="V7" i="11"/>
  <c r="AA14" i="11"/>
  <c r="V8" i="12"/>
  <c r="U14" i="13"/>
  <c r="Y14" i="13"/>
  <c r="V14" i="13"/>
  <c r="R14" i="13"/>
  <c r="O14" i="13"/>
  <c r="N14" i="13"/>
  <c r="K3" i="14"/>
  <c r="E3" i="14"/>
  <c r="C3" i="14"/>
  <c r="AB3" i="14"/>
  <c r="X3" i="14"/>
  <c r="U3" i="14"/>
  <c r="T3" i="14"/>
  <c r="AB13" i="14"/>
  <c r="X13" i="14"/>
  <c r="K13" i="14"/>
  <c r="E13" i="14"/>
  <c r="V15" i="14"/>
  <c r="P3" i="15"/>
  <c r="M3" i="15"/>
  <c r="I3" i="15"/>
  <c r="C3" i="15"/>
  <c r="AA3" i="15"/>
  <c r="Y3" i="15"/>
  <c r="X3" i="15"/>
  <c r="T3" i="15"/>
  <c r="Q3" i="15"/>
  <c r="D8" i="15"/>
  <c r="K13" i="15"/>
  <c r="R7" i="16"/>
  <c r="S12" i="17"/>
  <c r="W2" i="10"/>
  <c r="V2" i="10"/>
  <c r="N2" i="10"/>
  <c r="M2" i="10"/>
  <c r="Z17" i="6"/>
  <c r="AB13" i="7"/>
  <c r="Z2" i="8"/>
  <c r="X13" i="8"/>
  <c r="R6" i="10"/>
  <c r="V15" i="10"/>
  <c r="W7" i="11"/>
  <c r="AB14" i="11"/>
  <c r="W8" i="12"/>
  <c r="Y15" i="14"/>
  <c r="E6" i="17"/>
  <c r="M6" i="17"/>
  <c r="L6" i="17"/>
  <c r="X14" i="8"/>
  <c r="P14" i="8"/>
  <c r="M14" i="8"/>
  <c r="L14" i="8"/>
  <c r="AB17" i="7"/>
  <c r="G17" i="7"/>
  <c r="D17" i="7"/>
  <c r="C17" i="7"/>
  <c r="AA17" i="6"/>
  <c r="Z14" i="7"/>
  <c r="U14" i="7"/>
  <c r="R14" i="7"/>
  <c r="Q14" i="7"/>
  <c r="AA13" i="8"/>
  <c r="Z14" i="8"/>
  <c r="W15" i="10"/>
  <c r="X7" i="11"/>
  <c r="X8" i="12"/>
  <c r="S2" i="13"/>
  <c r="X2" i="13"/>
  <c r="N2" i="13"/>
  <c r="J2" i="13"/>
  <c r="I2" i="13"/>
  <c r="F14" i="13"/>
  <c r="F3" i="14"/>
  <c r="N13" i="14"/>
  <c r="AB15" i="14"/>
  <c r="N13" i="15"/>
  <c r="V7" i="16"/>
  <c r="C6" i="17"/>
  <c r="D2" i="18"/>
  <c r="J3" i="18"/>
  <c r="AB8" i="18"/>
  <c r="Y12" i="18"/>
  <c r="H2" i="19"/>
  <c r="K3" i="19"/>
  <c r="N6" i="19"/>
  <c r="M8" i="19"/>
  <c r="C12" i="19"/>
  <c r="K13" i="19"/>
  <c r="T14" i="19"/>
  <c r="X7" i="13"/>
  <c r="M15" i="13"/>
  <c r="S6" i="15"/>
  <c r="P7" i="15"/>
  <c r="K2" i="16"/>
  <c r="F2" i="18"/>
  <c r="K3" i="18"/>
  <c r="C8" i="18"/>
  <c r="Z12" i="18"/>
  <c r="M2" i="19"/>
  <c r="M3" i="19"/>
  <c r="O6" i="19"/>
  <c r="N8" i="19"/>
  <c r="E12" i="19"/>
  <c r="L13" i="19"/>
  <c r="U14" i="19"/>
  <c r="Z7" i="13"/>
  <c r="N15" i="13"/>
  <c r="T6" i="15"/>
  <c r="Q7" i="15"/>
  <c r="P2" i="16"/>
  <c r="C14" i="16"/>
  <c r="G2" i="18"/>
  <c r="M3" i="18"/>
  <c r="D8" i="18"/>
  <c r="AB12" i="18"/>
  <c r="N2" i="19"/>
  <c r="N3" i="19"/>
  <c r="R6" i="19"/>
  <c r="O8" i="19"/>
  <c r="F12" i="19"/>
  <c r="M13" i="19"/>
  <c r="V14" i="19"/>
  <c r="O2" i="19"/>
  <c r="P3" i="19"/>
  <c r="W6" i="19"/>
  <c r="P8" i="19"/>
  <c r="G12" i="19"/>
  <c r="O13" i="19"/>
  <c r="AB14" i="19"/>
  <c r="K6" i="7"/>
  <c r="E3" i="8"/>
  <c r="Q15" i="13"/>
  <c r="W6" i="15"/>
  <c r="T7" i="15"/>
  <c r="U2" i="16"/>
  <c r="J14" i="16"/>
  <c r="H8" i="17"/>
  <c r="H15" i="17"/>
  <c r="L2" i="18"/>
  <c r="Q3" i="18"/>
  <c r="G8" i="18"/>
  <c r="H13" i="18"/>
  <c r="R2" i="19"/>
  <c r="R3" i="19"/>
  <c r="R8" i="19"/>
  <c r="I12" i="19"/>
  <c r="Q13" i="19"/>
  <c r="C15" i="19"/>
  <c r="X6" i="15"/>
  <c r="U7" i="15"/>
  <c r="W2" i="16"/>
  <c r="Y14" i="16"/>
  <c r="J8" i="17"/>
  <c r="I15" i="17"/>
  <c r="M2" i="18"/>
  <c r="R3" i="18"/>
  <c r="J8" i="18"/>
  <c r="P13" i="18"/>
  <c r="S2" i="19"/>
  <c r="S3" i="19"/>
  <c r="S8" i="19"/>
  <c r="J12" i="19"/>
  <c r="T13" i="19"/>
  <c r="E15" i="19"/>
  <c r="N8" i="17"/>
  <c r="N15" i="17"/>
  <c r="N2" i="18"/>
  <c r="S3" i="18"/>
  <c r="K8" i="18"/>
  <c r="U2" i="19"/>
  <c r="T3" i="19"/>
  <c r="T8" i="19"/>
  <c r="L12" i="19"/>
  <c r="V13" i="19"/>
  <c r="F15" i="19"/>
  <c r="T15" i="13"/>
  <c r="AB6" i="15"/>
  <c r="W7" i="15"/>
  <c r="Y2" i="16"/>
  <c r="K15" i="16"/>
  <c r="O2" i="18"/>
  <c r="V3" i="18"/>
  <c r="V2" i="19"/>
  <c r="U3" i="19"/>
  <c r="V8" i="19"/>
  <c r="P12" i="19"/>
  <c r="W13" i="19"/>
  <c r="G15" i="19"/>
  <c r="Y7" i="15"/>
  <c r="AA2" i="16"/>
  <c r="X15" i="16"/>
  <c r="W3" i="18"/>
  <c r="W2" i="19"/>
  <c r="V3" i="19"/>
  <c r="W8" i="19"/>
  <c r="J15" i="19"/>
  <c r="C7" i="15"/>
  <c r="Z7" i="15"/>
  <c r="E14" i="15"/>
  <c r="Q8" i="17"/>
  <c r="R2" i="18"/>
  <c r="Y3" i="18"/>
  <c r="O8" i="18"/>
  <c r="L14" i="18"/>
  <c r="X2" i="19"/>
  <c r="W3" i="19"/>
  <c r="Y8" i="19"/>
  <c r="R12" i="19"/>
  <c r="Z13" i="19"/>
  <c r="L15" i="19"/>
  <c r="C17" i="19"/>
  <c r="S2" i="18"/>
  <c r="P8" i="18"/>
  <c r="Q14" i="18"/>
  <c r="Z2" i="19"/>
  <c r="Y3" i="19"/>
  <c r="Z8" i="19"/>
  <c r="T12" i="19"/>
  <c r="AA13" i="19"/>
  <c r="M15" i="19"/>
  <c r="E17" i="19"/>
  <c r="F7" i="13"/>
  <c r="Z15" i="13"/>
  <c r="E6" i="15"/>
  <c r="E7" i="15"/>
  <c r="AB7" i="15"/>
  <c r="O3" i="16"/>
  <c r="C13" i="17"/>
  <c r="U2" i="18"/>
  <c r="AB2" i="19"/>
  <c r="Z3" i="19"/>
  <c r="AA8" i="19"/>
  <c r="O15" i="19"/>
  <c r="F17" i="19"/>
  <c r="AA3" i="19"/>
  <c r="AB8" i="19"/>
  <c r="V12" i="19"/>
  <c r="F14" i="19"/>
  <c r="P15" i="19"/>
  <c r="G17" i="19"/>
  <c r="U8" i="17"/>
  <c r="N13" i="17"/>
  <c r="X2" i="18"/>
  <c r="S8" i="18"/>
  <c r="V14" i="18"/>
  <c r="C3" i="19"/>
  <c r="AB3" i="19"/>
  <c r="C8" i="19"/>
  <c r="Y12" i="19"/>
  <c r="G14" i="19"/>
  <c r="Q15" i="19"/>
  <c r="M17" i="19"/>
  <c r="T8" i="18"/>
  <c r="X14" i="18"/>
  <c r="D3" i="19"/>
  <c r="D8" i="19"/>
  <c r="AA12" i="19"/>
  <c r="H14" i="19"/>
  <c r="W15" i="19"/>
  <c r="O17" i="19"/>
  <c r="R13" i="17"/>
  <c r="C7" i="18"/>
  <c r="E3" i="19"/>
  <c r="E8" i="19"/>
  <c r="AB12" i="19"/>
  <c r="J14" i="19"/>
  <c r="Y15" i="19"/>
  <c r="Q17" i="19"/>
  <c r="J7" i="15"/>
  <c r="X17" i="15"/>
  <c r="S13" i="17"/>
  <c r="D7" i="18"/>
  <c r="F3" i="19"/>
  <c r="D6" i="19"/>
  <c r="F8" i="19"/>
  <c r="K14" i="19"/>
  <c r="AA15" i="19"/>
  <c r="R17" i="19"/>
  <c r="AA8" i="17"/>
  <c r="U13" i="17"/>
  <c r="D3" i="18"/>
  <c r="G7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N7" i="15"/>
  <c r="I3" i="18"/>
  <c r="F2" i="19"/>
  <c r="J3" i="19"/>
  <c r="J6" i="19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<sst xmlns="http://schemas.openxmlformats.org/spreadsheetml/2006/main" count="3113" uniqueCount="587">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</sst>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53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CT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3.7676100680321976E-2</v>
      </c>
      <c r="C2" s="7">
        <f>$B2 * IFERROR(VLOOKUP("transport|PM25|Premature mortality", US_national_yearly!$D:$AM, 11, FALSE) / VLOOKUP("transport|PM25|Premature mortality", US_national_yearly!$D:$AM, 10, FALSE), 1)</f>
        <v>3.8143201762105748E-2</v>
      </c>
      <c r="D2" s="7">
        <f>$B2 * IFERROR(VLOOKUP("transport|PM25|Premature mortality", US_national_yearly!$D:$AM, 12, FALSE) / VLOOKUP("transport|PM25|Premature mortality", US_national_yearly!$D:$AM, 10, FALSE), 1)</f>
        <v>3.8610302843889513E-2</v>
      </c>
      <c r="E2" s="7">
        <f>$B2 * IFERROR(VLOOKUP("transport|PM25|Premature mortality", US_national_yearly!$D:$AM, 13, FALSE) / VLOOKUP("transport|PM25|Premature mortality", US_national_yearly!$D:$AM, 10, FALSE), 1)</f>
        <v>3.9077403925673271E-2</v>
      </c>
      <c r="F2" s="7">
        <f>$B2 * IFERROR(VLOOKUP("transport|PM25|Premature mortality", US_national_yearly!$D:$AM, 14, FALSE) / VLOOKUP("transport|PM25|Premature mortality", US_national_yearly!$D:$AM, 10, FALSE), 1)</f>
        <v>3.9544505007457036E-2</v>
      </c>
      <c r="G2" s="7">
        <f>$B2 * IFERROR(VLOOKUP("transport|PM25|Premature mortality", US_national_yearly!$D:$AM, 15, FALSE) / VLOOKUP("transport|PM25|Premature mortality", US_national_yearly!$D:$AM, 10, FALSE), 1)</f>
        <v>4.0454180841437953E-2</v>
      </c>
      <c r="H2" s="7">
        <f>$B2 * IFERROR(VLOOKUP("transport|PM25|Premature mortality", US_national_yearly!$D:$AM, 16, FALSE) / VLOOKUP("transport|PM25|Premature mortality", US_national_yearly!$D:$AM, 10, FALSE), 1)</f>
        <v>4.1363856675418864E-2</v>
      </c>
      <c r="I2" s="7">
        <f>$B2 * IFERROR(VLOOKUP("transport|PM25|Premature mortality", US_national_yearly!$D:$AM, 17, FALSE) / VLOOKUP("transport|PM25|Premature mortality", US_national_yearly!$D:$AM, 10, FALSE), 1)</f>
        <v>4.1961370056104959E-2</v>
      </c>
      <c r="J2" s="7">
        <f>$B2 * IFERROR(VLOOKUP("transport|PM25|Premature mortality", US_national_yearly!$D:$AM, 18, FALSE) / VLOOKUP("transport|PM25|Premature mortality", US_national_yearly!$D:$AM, 10, FALSE), 1)</f>
        <v>4.2558883436791074E-2</v>
      </c>
      <c r="K2" s="7">
        <f>$B2 * IFERROR(VLOOKUP("transport|PM25|Premature mortality", US_national_yearly!$D:$AM, 19, FALSE) / VLOOKUP("transport|PM25|Premature mortality", US_national_yearly!$D:$AM, 10, FALSE), 1)</f>
        <v>4.3156396817477176E-2</v>
      </c>
      <c r="L2" s="7">
        <f>$B2 * IFERROR(VLOOKUP("transport|PM25|Premature mortality", US_national_yearly!$D:$AM, 20, FALSE) / VLOOKUP("transport|PM25|Premature mortality", US_national_yearly!$D:$AM, 10, FALSE), 1)</f>
        <v>4.3753910198163284E-2</v>
      </c>
      <c r="M2" s="7">
        <f>$B2 * IFERROR(VLOOKUP("transport|PM25|Premature mortality", US_national_yearly!$D:$AM, 21, FALSE) / VLOOKUP("transport|PM25|Premature mortality", US_national_yearly!$D:$AM, 10, FALSE), 1)</f>
        <v>4.4351423578849386E-2</v>
      </c>
      <c r="N2" s="7">
        <f>$B2 * IFERROR(VLOOKUP("transport|PM25|Premature mortality", US_national_yearly!$D:$AM, 22, FALSE) / VLOOKUP("transport|PM25|Premature mortality", US_national_yearly!$D:$AM, 10, FALSE), 1)</f>
        <v>4.4815354690786999E-2</v>
      </c>
      <c r="O2" s="7">
        <f>$B2 * IFERROR(VLOOKUP("transport|PM25|Premature mortality", US_national_yearly!$D:$AM, 23, FALSE) / VLOOKUP("transport|PM25|Premature mortality", US_national_yearly!$D:$AM, 10, FALSE), 1)</f>
        <v>4.5279285802724611E-2</v>
      </c>
      <c r="P2" s="7">
        <f>$B2 * IFERROR(VLOOKUP("transport|PM25|Premature mortality", US_national_yearly!$D:$AM, 24, FALSE) / VLOOKUP("transport|PM25|Premature mortality", US_national_yearly!$D:$AM, 10, FALSE), 1)</f>
        <v>4.5743216914662224E-2</v>
      </c>
      <c r="Q2" s="7">
        <f>$B2 * IFERROR(VLOOKUP("transport|PM25|Premature mortality", US_national_yearly!$D:$AM, 25, FALSE) / VLOOKUP("transport|PM25|Premature mortality", US_national_yearly!$D:$AM, 10, FALSE), 1)</f>
        <v>4.6207148026599837E-2</v>
      </c>
      <c r="R2" s="7">
        <f>$B2 * IFERROR(VLOOKUP("transport|PM25|Premature mortality", US_national_yearly!$D:$AM, 26, FALSE) / VLOOKUP("transport|PM25|Premature mortality", US_national_yearly!$D:$AM, 10, FALSE), 1)</f>
        <v>4.6671079138537457E-2</v>
      </c>
      <c r="S2" s="7">
        <f>$B2 * IFERROR(VLOOKUP("transport|PM25|Premature mortality", US_national_yearly!$D:$AM, 27, FALSE) / VLOOKUP("transport|PM25|Premature mortality", US_national_yearly!$D:$AM, 10, FALSE), 1)</f>
        <v>4.6916856057789245E-2</v>
      </c>
      <c r="T2" s="7">
        <f>$B2 * IFERROR(VLOOKUP("transport|PM25|Premature mortality", US_national_yearly!$D:$AM, 28, FALSE) / VLOOKUP("transport|PM25|Premature mortality", US_national_yearly!$D:$AM, 10, FALSE), 1)</f>
        <v>4.716263297704102E-2</v>
      </c>
      <c r="U2" s="7">
        <f>$B2 * IFERROR(VLOOKUP("transport|PM25|Premature mortality", US_national_yearly!$D:$AM, 29, FALSE) / VLOOKUP("transport|PM25|Premature mortality", US_national_yearly!$D:$AM, 10, FALSE), 1)</f>
        <v>4.7408409896292802E-2</v>
      </c>
      <c r="V2" s="7">
        <f>$B2 * IFERROR(VLOOKUP("transport|PM25|Premature mortality", US_national_yearly!$D:$AM, 30, FALSE) / VLOOKUP("transport|PM25|Premature mortality", US_national_yearly!$D:$AM, 10, FALSE), 1)</f>
        <v>4.7654186815544577E-2</v>
      </c>
      <c r="W2" s="7">
        <f>$B2 * IFERROR(VLOOKUP("transport|PM25|Premature mortality", US_national_yearly!$D:$AM, 31, FALSE) / VLOOKUP("transport|PM25|Premature mortality", US_national_yearly!$D:$AM, 10, FALSE), 1)</f>
        <v>4.7899963734796359E-2</v>
      </c>
      <c r="X2" s="7">
        <f>$B2 * IFERROR(VLOOKUP("transport|PM25|Premature mortality", US_national_yearly!$D:$AM, 32, FALSE) / VLOOKUP("transport|PM25|Premature mortality", US_national_yearly!$D:$AM, 10, FALSE), 1)</f>
        <v>4.7942939730343706E-2</v>
      </c>
      <c r="Y2" s="7">
        <f>$B2 * IFERROR(VLOOKUP("transport|PM25|Premature mortality", US_national_yearly!$D:$AM, 33, FALSE) / VLOOKUP("transport|PM25|Premature mortality", US_national_yearly!$D:$AM, 10, FALSE), 1)</f>
        <v>4.7985915725891067E-2</v>
      </c>
      <c r="Z2" s="7">
        <f>$B2 * IFERROR(VLOOKUP("transport|PM25|Premature mortality", US_national_yearly!$D:$AM, 34, FALSE) / VLOOKUP("transport|PM25|Premature mortality", US_national_yearly!$D:$AM, 10, FALSE), 1)</f>
        <v>4.802889172143842E-2</v>
      </c>
      <c r="AA2" s="7">
        <f>$B2 * IFERROR(VLOOKUP("transport|PM25|Premature mortality", US_national_yearly!$D:$AM, 35, FALSE) / VLOOKUP("transport|PM25|Premature mortality", US_national_yearly!$D:$AM, 10, FALSE), 1)</f>
        <v>4.8071867716985774E-2</v>
      </c>
      <c r="AB2" s="7">
        <f>$B2 * IFERROR(VLOOKUP("transport|PM25|Premature mortality", US_national_yearly!$D:$AM, 36, FALSE) / VLOOKUP("transport|PM25|Premature mortality", US_national_yearly!$D:$AM, 10, FALSE), 1)</f>
        <v>4.8114843712533127E-2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6.5195587157983761E-5</v>
      </c>
      <c r="C3" s="7">
        <f>$B3 * IFERROR(VLOOKUP("transport|PM25|Infant mortality", US_national_yearly!$D:$AM, 11, FALSE) / VLOOKUP("transport|PM25|Infant mortality", US_national_yearly!$D:$AM, 10, FALSE), 1)</f>
        <v>6.4627141129363475E-5</v>
      </c>
      <c r="D3" s="7">
        <f>$B3 * IFERROR(VLOOKUP("transport|PM25|Infant mortality", US_national_yearly!$D:$AM, 12, FALSE) / VLOOKUP("transport|PM25|Infant mortality", US_national_yearly!$D:$AM, 10, FALSE), 1)</f>
        <v>6.4058695100743175E-5</v>
      </c>
      <c r="E3" s="7">
        <f>$B3 * IFERROR(VLOOKUP("transport|PM25|Infant mortality", US_national_yearly!$D:$AM, 13, FALSE) / VLOOKUP("transport|PM25|Infant mortality", US_national_yearly!$D:$AM, 10, FALSE), 1)</f>
        <v>6.3490249072122875E-5</v>
      </c>
      <c r="F3" s="7">
        <f>$B3 * IFERROR(VLOOKUP("transport|PM25|Infant mortality", US_national_yearly!$D:$AM, 14, FALSE) / VLOOKUP("transport|PM25|Infant mortality", US_national_yearly!$D:$AM, 10, FALSE), 1)</f>
        <v>6.2921803043502575E-5</v>
      </c>
      <c r="G3" s="7">
        <f>$B3 * IFERROR(VLOOKUP("transport|PM25|Infant mortality", US_national_yearly!$D:$AM, 15, FALSE) / VLOOKUP("transport|PM25|Infant mortality", US_national_yearly!$D:$AM, 10, FALSE), 1)</f>
        <v>4.1846364834254338E-5</v>
      </c>
      <c r="H3" s="7">
        <f>$B3 * IFERROR(VLOOKUP("transport|PM25|Infant mortality", US_national_yearly!$D:$AM, 16, FALSE) / VLOOKUP("transport|PM25|Infant mortality", US_national_yearly!$D:$AM, 10, FALSE), 1)</f>
        <v>2.0770926625006085E-5</v>
      </c>
      <c r="I3" s="7">
        <f>$B3 * IFERROR(VLOOKUP("transport|PM25|Infant mortality", US_national_yearly!$D:$AM, 17, FALSE) / VLOOKUP("transport|PM25|Infant mortality", US_national_yearly!$D:$AM, 10, FALSE), 1)</f>
        <v>2.0635154309000702E-5</v>
      </c>
      <c r="J3" s="7">
        <f>$B3 * IFERROR(VLOOKUP("transport|PM25|Infant mortality", US_national_yearly!$D:$AM, 18, FALSE) / VLOOKUP("transport|PM25|Infant mortality", US_national_yearly!$D:$AM, 10, FALSE), 1)</f>
        <v>2.0499381992995312E-5</v>
      </c>
      <c r="K3" s="7">
        <f>$B3 * IFERROR(VLOOKUP("transport|PM25|Infant mortality", US_national_yearly!$D:$AM, 19, FALSE) / VLOOKUP("transport|PM25|Infant mortality", US_national_yearly!$D:$AM, 10, FALSE), 1)</f>
        <v>2.0363609676989925E-5</v>
      </c>
      <c r="L3" s="7">
        <f>$B3 * IFERROR(VLOOKUP("transport|PM25|Infant mortality", US_national_yearly!$D:$AM, 20, FALSE) / VLOOKUP("transport|PM25|Infant mortality", US_national_yearly!$D:$AM, 10, FALSE), 1)</f>
        <v>2.0227837360984538E-5</v>
      </c>
      <c r="M3" s="7">
        <f>$B3 * IFERROR(VLOOKUP("transport|PM25|Infant mortality", US_national_yearly!$D:$AM, 21, FALSE) / VLOOKUP("transport|PM25|Infant mortality", US_national_yearly!$D:$AM, 10, FALSE), 1)</f>
        <v>2.0092065044979155E-5</v>
      </c>
      <c r="N3" s="7">
        <f>$B3 * IFERROR(VLOOKUP("transport|PM25|Infant mortality", US_national_yearly!$D:$AM, 22, FALSE) / VLOOKUP("transport|PM25|Infant mortality", US_national_yearly!$D:$AM, 10, FALSE), 1)</f>
        <v>2.0006784999064349E-5</v>
      </c>
      <c r="O3" s="7">
        <f>$B3 * IFERROR(VLOOKUP("transport|PM25|Infant mortality", US_national_yearly!$D:$AM, 23, FALSE) / VLOOKUP("transport|PM25|Infant mortality", US_national_yearly!$D:$AM, 10, FALSE), 1)</f>
        <v>1.9921504953149546E-5</v>
      </c>
      <c r="P3" s="7">
        <f>$B3 * IFERROR(VLOOKUP("transport|PM25|Infant mortality", US_national_yearly!$D:$AM, 24, FALSE) / VLOOKUP("transport|PM25|Infant mortality", US_national_yearly!$D:$AM, 10, FALSE), 1)</f>
        <v>1.9836224907234737E-5</v>
      </c>
      <c r="Q3" s="7">
        <f>$B3 * IFERROR(VLOOKUP("transport|PM25|Infant mortality", US_national_yearly!$D:$AM, 25, FALSE) / VLOOKUP("transport|PM25|Infant mortality", US_national_yearly!$D:$AM, 10, FALSE), 1)</f>
        <v>1.9750944861319935E-5</v>
      </c>
      <c r="R3" s="7">
        <f>$B3 * IFERROR(VLOOKUP("transport|PM25|Infant mortality", US_national_yearly!$D:$AM, 26, FALSE) / VLOOKUP("transport|PM25|Infant mortality", US_national_yearly!$D:$AM, 10, FALSE), 1)</f>
        <v>1.9665664815405129E-5</v>
      </c>
      <c r="S3" s="7">
        <f>$B3 * IFERROR(VLOOKUP("transport|PM25|Infant mortality", US_national_yearly!$D:$AM, 27, FALSE) / VLOOKUP("transport|PM25|Infant mortality", US_national_yearly!$D:$AM, 10, FALSE), 1)</f>
        <v>1.9559361494485456E-5</v>
      </c>
      <c r="T3" s="7">
        <f>$B3 * IFERROR(VLOOKUP("transport|PM25|Infant mortality", US_national_yearly!$D:$AM, 28, FALSE) / VLOOKUP("transport|PM25|Infant mortality", US_national_yearly!$D:$AM, 10, FALSE), 1)</f>
        <v>1.9453058173565779E-5</v>
      </c>
      <c r="U3" s="7">
        <f>$B3 * IFERROR(VLOOKUP("transport|PM25|Infant mortality", US_national_yearly!$D:$AM, 29, FALSE) / VLOOKUP("transport|PM25|Infant mortality", US_national_yearly!$D:$AM, 10, FALSE), 1)</f>
        <v>1.9346754852646106E-5</v>
      </c>
      <c r="V3" s="7">
        <f>$B3 * IFERROR(VLOOKUP("transport|PM25|Infant mortality", US_national_yearly!$D:$AM, 30, FALSE) / VLOOKUP("transport|PM25|Infant mortality", US_national_yearly!$D:$AM, 10, FALSE), 1)</f>
        <v>1.9240451531726429E-5</v>
      </c>
      <c r="W3" s="7">
        <f>$B3 * IFERROR(VLOOKUP("transport|PM25|Infant mortality", US_national_yearly!$D:$AM, 31, FALSE) / VLOOKUP("transport|PM25|Infant mortality", US_national_yearly!$D:$AM, 10, FALSE), 1)</f>
        <v>1.9134148210806753E-5</v>
      </c>
      <c r="X3" s="7">
        <f>$B3 * IFERROR(VLOOKUP("transport|PM25|Infant mortality", US_national_yearly!$D:$AM, 32, FALSE) / VLOOKUP("transport|PM25|Infant mortality", US_national_yearly!$D:$AM, 10, FALSE), 1)</f>
        <v>1.9019539869929627E-5</v>
      </c>
      <c r="Y3" s="7">
        <f>$B3 * IFERROR(VLOOKUP("transport|PM25|Infant mortality", US_national_yearly!$D:$AM, 33, FALSE) / VLOOKUP("transport|PM25|Infant mortality", US_national_yearly!$D:$AM, 10, FALSE), 1)</f>
        <v>1.8904931529052494E-5</v>
      </c>
      <c r="Z3" s="7">
        <f>$B3 * IFERROR(VLOOKUP("transport|PM25|Infant mortality", US_national_yearly!$D:$AM, 34, FALSE) / VLOOKUP("transport|PM25|Infant mortality", US_national_yearly!$D:$AM, 10, FALSE), 1)</f>
        <v>1.8790323188175367E-5</v>
      </c>
      <c r="AA3" s="7">
        <f>$B3 * IFERROR(VLOOKUP("transport|PM25|Infant mortality", US_national_yearly!$D:$AM, 35, FALSE) / VLOOKUP("transport|PM25|Infant mortality", US_national_yearly!$D:$AM, 10, FALSE), 1)</f>
        <v>1.8675714847298238E-5</v>
      </c>
      <c r="AB3" s="7">
        <f>$B3 * IFERROR(VLOOKUP("transport|PM25|Infant mortality", US_national_yearly!$D:$AM, 36, FALSE) / VLOOKUP("transport|PM25|Infant mortality", US_national_yearly!$D:$AM, 10, FALSE), 1)</f>
        <v>1.8561106506421111E-5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8.8162724358891914E-2</v>
      </c>
      <c r="C6" s="7">
        <f>$B6 * IFERROR(VLOOKUP("transport|PM25|Asthma symptoms cough", US_national_yearly!$D:$AM, 11, FALSE) / VLOOKUP("transport|PM25|Asthma symptoms cough", US_national_yearly!$D:$AM, 10, FALSE), 1)</f>
        <v>8.8162724358891914E-2</v>
      </c>
      <c r="D6" s="7">
        <f>$B6 * IFERROR(VLOOKUP("transport|PM25|Asthma symptoms cough", US_national_yearly!$D:$AM, 12, FALSE) / VLOOKUP("transport|PM25|Asthma symptoms cough", US_national_yearly!$D:$AM, 10, FALSE), 1)</f>
        <v>8.8162724358891914E-2</v>
      </c>
      <c r="E6" s="7">
        <f>$B6 * IFERROR(VLOOKUP("transport|PM25|Asthma symptoms cough", US_national_yearly!$D:$AM, 13, FALSE) / VLOOKUP("transport|PM25|Asthma symptoms cough", US_national_yearly!$D:$AM, 10, FALSE), 1)</f>
        <v>8.8162724358891914E-2</v>
      </c>
      <c r="F6" s="7">
        <f>$B6 * IFERROR(VLOOKUP("transport|PM25|Asthma symptoms cough", US_national_yearly!$D:$AM, 14, FALSE) / VLOOKUP("transport|PM25|Asthma symptoms cough", US_national_yearly!$D:$AM, 10, FALSE), 1)</f>
        <v>8.8162724358891914E-2</v>
      </c>
      <c r="G6" s="7">
        <f>$B6 * IFERROR(VLOOKUP("transport|PM25|Asthma symptoms cough", US_national_yearly!$D:$AM, 15, FALSE) / VLOOKUP("transport|PM25|Asthma symptoms cough", US_national_yearly!$D:$AM, 10, FALSE), 1)</f>
        <v>8.8162724358891914E-2</v>
      </c>
      <c r="H6" s="7">
        <f>$B6 * IFERROR(VLOOKUP("transport|PM25|Asthma symptoms cough", US_national_yearly!$D:$AM, 16, FALSE) / VLOOKUP("transport|PM25|Asthma symptoms cough", US_national_yearly!$D:$AM, 10, FALSE), 1)</f>
        <v>8.8162724358891914E-2</v>
      </c>
      <c r="I6" s="7">
        <f>$B6 * IFERROR(VLOOKUP("transport|PM25|Asthma symptoms cough", US_national_yearly!$D:$AM, 17, FALSE) / VLOOKUP("transport|PM25|Asthma symptoms cough", US_national_yearly!$D:$AM, 10, FALSE), 1)</f>
        <v>8.8162724358891914E-2</v>
      </c>
      <c r="J6" s="7">
        <f>$B6 * IFERROR(VLOOKUP("transport|PM25|Asthma symptoms cough", US_national_yearly!$D:$AM, 18, FALSE) / VLOOKUP("transport|PM25|Asthma symptoms cough", US_national_yearly!$D:$AM, 10, FALSE), 1)</f>
        <v>8.8162724358891914E-2</v>
      </c>
      <c r="K6" s="7">
        <f>$B6 * IFERROR(VLOOKUP("transport|PM25|Asthma symptoms cough", US_national_yearly!$D:$AM, 19, FALSE) / VLOOKUP("transport|PM25|Asthma symptoms cough", US_national_yearly!$D:$AM, 10, FALSE), 1)</f>
        <v>8.8162724358891914E-2</v>
      </c>
      <c r="L6" s="7">
        <f>$B6 * IFERROR(VLOOKUP("transport|PM25|Asthma symptoms cough", US_national_yearly!$D:$AM, 20, FALSE) / VLOOKUP("transport|PM25|Asthma symptoms cough", US_national_yearly!$D:$AM, 10, FALSE), 1)</f>
        <v>8.8162724358891914E-2</v>
      </c>
      <c r="M6" s="7">
        <f>$B6 * IFERROR(VLOOKUP("transport|PM25|Asthma symptoms cough", US_national_yearly!$D:$AM, 21, FALSE) / VLOOKUP("transport|PM25|Asthma symptoms cough", US_national_yearly!$D:$AM, 10, FALSE), 1)</f>
        <v>8.8162724358891914E-2</v>
      </c>
      <c r="N6" s="7">
        <f>$B6 * IFERROR(VLOOKUP("transport|PM25|Asthma symptoms cough", US_national_yearly!$D:$AM, 22, FALSE) / VLOOKUP("transport|PM25|Asthma symptoms cough", US_national_yearly!$D:$AM, 10, FALSE), 1)</f>
        <v>8.8162724358891914E-2</v>
      </c>
      <c r="O6" s="7">
        <f>$B6 * IFERROR(VLOOKUP("transport|PM25|Asthma symptoms cough", US_national_yearly!$D:$AM, 23, FALSE) / VLOOKUP("transport|PM25|Asthma symptoms cough", US_national_yearly!$D:$AM, 10, FALSE), 1)</f>
        <v>8.8162724358891914E-2</v>
      </c>
      <c r="P6" s="7">
        <f>$B6 * IFERROR(VLOOKUP("transport|PM25|Asthma symptoms cough", US_national_yearly!$D:$AM, 24, FALSE) / VLOOKUP("transport|PM25|Asthma symptoms cough", US_national_yearly!$D:$AM, 10, FALSE), 1)</f>
        <v>8.8162724358891914E-2</v>
      </c>
      <c r="Q6" s="7">
        <f>$B6 * IFERROR(VLOOKUP("transport|PM25|Asthma symptoms cough", US_national_yearly!$D:$AM, 25, FALSE) / VLOOKUP("transport|PM25|Asthma symptoms cough", US_national_yearly!$D:$AM, 10, FALSE), 1)</f>
        <v>8.8162724358891914E-2</v>
      </c>
      <c r="R6" s="7">
        <f>$B6 * IFERROR(VLOOKUP("transport|PM25|Asthma symptoms cough", US_national_yearly!$D:$AM, 26, FALSE) / VLOOKUP("transport|PM25|Asthma symptoms cough", US_national_yearly!$D:$AM, 10, FALSE), 1)</f>
        <v>8.8162724358891914E-2</v>
      </c>
      <c r="S6" s="7">
        <f>$B6 * IFERROR(VLOOKUP("transport|PM25|Asthma symptoms cough", US_national_yearly!$D:$AM, 27, FALSE) / VLOOKUP("transport|PM25|Asthma symptoms cough", US_national_yearly!$D:$AM, 10, FALSE), 1)</f>
        <v>8.8162724358891914E-2</v>
      </c>
      <c r="T6" s="7">
        <f>$B6 * IFERROR(VLOOKUP("transport|PM25|Asthma symptoms cough", US_national_yearly!$D:$AM, 28, FALSE) / VLOOKUP("transport|PM25|Asthma symptoms cough", US_national_yearly!$D:$AM, 10, FALSE), 1)</f>
        <v>8.8162724358891914E-2</v>
      </c>
      <c r="U6" s="7">
        <f>$B6 * IFERROR(VLOOKUP("transport|PM25|Asthma symptoms cough", US_national_yearly!$D:$AM, 29, FALSE) / VLOOKUP("transport|PM25|Asthma symptoms cough", US_national_yearly!$D:$AM, 10, FALSE), 1)</f>
        <v>8.8162724358891914E-2</v>
      </c>
      <c r="V6" s="7">
        <f>$B6 * IFERROR(VLOOKUP("transport|PM25|Asthma symptoms cough", US_national_yearly!$D:$AM, 30, FALSE) / VLOOKUP("transport|PM25|Asthma symptoms cough", US_national_yearly!$D:$AM, 10, FALSE), 1)</f>
        <v>8.8162724358891914E-2</v>
      </c>
      <c r="W6" s="7">
        <f>$B6 * IFERROR(VLOOKUP("transport|PM25|Asthma symptoms cough", US_national_yearly!$D:$AM, 31, FALSE) / VLOOKUP("transport|PM25|Asthma symptoms cough", US_national_yearly!$D:$AM, 10, FALSE), 1)</f>
        <v>8.8162724358891914E-2</v>
      </c>
      <c r="X6" s="7">
        <f>$B6 * IFERROR(VLOOKUP("transport|PM25|Asthma symptoms cough", US_national_yearly!$D:$AM, 32, FALSE) / VLOOKUP("transport|PM25|Asthma symptoms cough", US_national_yearly!$D:$AM, 10, FALSE), 1)</f>
        <v>8.8162724358891914E-2</v>
      </c>
      <c r="Y6" s="7">
        <f>$B6 * IFERROR(VLOOKUP("transport|PM25|Asthma symptoms cough", US_national_yearly!$D:$AM, 33, FALSE) / VLOOKUP("transport|PM25|Asthma symptoms cough", US_national_yearly!$D:$AM, 10, FALSE), 1)</f>
        <v>8.8162724358891914E-2</v>
      </c>
      <c r="Z6" s="7">
        <f>$B6 * IFERROR(VLOOKUP("transport|PM25|Asthma symptoms cough", US_national_yearly!$D:$AM, 34, FALSE) / VLOOKUP("transport|PM25|Asthma symptoms cough", US_national_yearly!$D:$AM, 10, FALSE), 1)</f>
        <v>8.8162724358891914E-2</v>
      </c>
      <c r="AA6" s="7">
        <f>$B6 * IFERROR(VLOOKUP("transport|PM25|Asthma symptoms cough", US_national_yearly!$D:$AM, 35, FALSE) / VLOOKUP("transport|PM25|Asthma symptoms cough", US_national_yearly!$D:$AM, 10, FALSE), 1)</f>
        <v>8.8162724358891914E-2</v>
      </c>
      <c r="AB6" s="7">
        <f>$B6 * IFERROR(VLOOKUP("transport|PM25|Asthma symptoms cough", US_national_yearly!$D:$AM, 36, FALSE) / VLOOKUP("transport|PM25|Asthma symptoms cough", US_national_yearly!$D:$AM, 10, FALSE), 1)</f>
        <v>8.8162724358891914E-2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0.11872232291777185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0.11872232291777185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0.11872232291777185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0.11872232291777185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0.11872232291777185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0.11872232291777185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0.11872232291777185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0.11872232291777185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0.11872232291777185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0.11872232291777185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0.11872232291777185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0.11872232291777185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0.11872232291777185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0.11872232291777185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0.11872232291777185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0.11872232291777185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0.11872232291777185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0.11872232291777185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0.11872232291777185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0.11872232291777185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0.11872232291777185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0.11872232291777185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0.11872232291777185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0.11872232291777185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0.11872232291777185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0.11872232291777185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0.11872232291777185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0.18139321745195339</v>
      </c>
      <c r="C8" s="7">
        <f>$B8 * IFERROR(VLOOKUP("transport|PM25|Asthma symptoms wheeze", US_national_yearly!$D:$AM, 11, FALSE) / VLOOKUP("transport|PM25|Asthma symptoms wheeze", US_national_yearly!$D:$AM, 10, FALSE), 1)</f>
        <v>0.18139321745195339</v>
      </c>
      <c r="D8" s="7">
        <f>$B8 * IFERROR(VLOOKUP("transport|PM25|Asthma symptoms wheeze", US_national_yearly!$D:$AM, 12, FALSE) / VLOOKUP("transport|PM25|Asthma symptoms wheeze", US_national_yearly!$D:$AM, 10, FALSE), 1)</f>
        <v>0.18139321745195339</v>
      </c>
      <c r="E8" s="7">
        <f>$B8 * IFERROR(VLOOKUP("transport|PM25|Asthma symptoms wheeze", US_national_yearly!$D:$AM, 13, FALSE) / VLOOKUP("transport|PM25|Asthma symptoms wheeze", US_national_yearly!$D:$AM, 10, FALSE), 1)</f>
        <v>0.18139321745195339</v>
      </c>
      <c r="F8" s="7">
        <f>$B8 * IFERROR(VLOOKUP("transport|PM25|Asthma symptoms wheeze", US_national_yearly!$D:$AM, 14, FALSE) / VLOOKUP("transport|PM25|Asthma symptoms wheeze", US_national_yearly!$D:$AM, 10, FALSE), 1)</f>
        <v>0.18139321745195339</v>
      </c>
      <c r="G8" s="7">
        <f>$B8 * IFERROR(VLOOKUP("transport|PM25|Asthma symptoms wheeze", US_national_yearly!$D:$AM, 15, FALSE) / VLOOKUP("transport|PM25|Asthma symptoms wheeze", US_national_yearly!$D:$AM, 10, FALSE), 1)</f>
        <v>0.18139321745195339</v>
      </c>
      <c r="H8" s="7">
        <f>$B8 * IFERROR(VLOOKUP("transport|PM25|Asthma symptoms wheeze", US_national_yearly!$D:$AM, 16, FALSE) / VLOOKUP("transport|PM25|Asthma symptoms wheeze", US_national_yearly!$D:$AM, 10, FALSE), 1)</f>
        <v>0.18139321745195339</v>
      </c>
      <c r="I8" s="7">
        <f>$B8 * IFERROR(VLOOKUP("transport|PM25|Asthma symptoms wheeze", US_national_yearly!$D:$AM, 17, FALSE) / VLOOKUP("transport|PM25|Asthma symptoms wheeze", US_national_yearly!$D:$AM, 10, FALSE), 1)</f>
        <v>0.18139321745195339</v>
      </c>
      <c r="J8" s="7">
        <f>$B8 * IFERROR(VLOOKUP("transport|PM25|Asthma symptoms wheeze", US_national_yearly!$D:$AM, 18, FALSE) / VLOOKUP("transport|PM25|Asthma symptoms wheeze", US_national_yearly!$D:$AM, 10, FALSE), 1)</f>
        <v>0.18139321745195339</v>
      </c>
      <c r="K8" s="7">
        <f>$B8 * IFERROR(VLOOKUP("transport|PM25|Asthma symptoms wheeze", US_national_yearly!$D:$AM, 19, FALSE) / VLOOKUP("transport|PM25|Asthma symptoms wheeze", US_national_yearly!$D:$AM, 10, FALSE), 1)</f>
        <v>0.18139321745195339</v>
      </c>
      <c r="L8" s="7">
        <f>$B8 * IFERROR(VLOOKUP("transport|PM25|Asthma symptoms wheeze", US_national_yearly!$D:$AM, 20, FALSE) / VLOOKUP("transport|PM25|Asthma symptoms wheeze", US_national_yearly!$D:$AM, 10, FALSE), 1)</f>
        <v>0.18139321745195339</v>
      </c>
      <c r="M8" s="7">
        <f>$B8 * IFERROR(VLOOKUP("transport|PM25|Asthma symptoms wheeze", US_national_yearly!$D:$AM, 21, FALSE) / VLOOKUP("transport|PM25|Asthma symptoms wheeze", US_national_yearly!$D:$AM, 10, FALSE), 1)</f>
        <v>0.18139321745195339</v>
      </c>
      <c r="N8" s="7">
        <f>$B8 * IFERROR(VLOOKUP("transport|PM25|Asthma symptoms wheeze", US_national_yearly!$D:$AM, 22, FALSE) / VLOOKUP("transport|PM25|Asthma symptoms wheeze", US_national_yearly!$D:$AM, 10, FALSE), 1)</f>
        <v>0.18139321745195339</v>
      </c>
      <c r="O8" s="7">
        <f>$B8 * IFERROR(VLOOKUP("transport|PM25|Asthma symptoms wheeze", US_national_yearly!$D:$AM, 23, FALSE) / VLOOKUP("transport|PM25|Asthma symptoms wheeze", US_national_yearly!$D:$AM, 10, FALSE), 1)</f>
        <v>0.18139321745195339</v>
      </c>
      <c r="P8" s="7">
        <f>$B8 * IFERROR(VLOOKUP("transport|PM25|Asthma symptoms wheeze", US_national_yearly!$D:$AM, 24, FALSE) / VLOOKUP("transport|PM25|Asthma symptoms wheeze", US_national_yearly!$D:$AM, 10, FALSE), 1)</f>
        <v>0.18139321745195339</v>
      </c>
      <c r="Q8" s="7">
        <f>$B8 * IFERROR(VLOOKUP("transport|PM25|Asthma symptoms wheeze", US_national_yearly!$D:$AM, 25, FALSE) / VLOOKUP("transport|PM25|Asthma symptoms wheeze", US_national_yearly!$D:$AM, 10, FALSE), 1)</f>
        <v>0.18139321745195339</v>
      </c>
      <c r="R8" s="7">
        <f>$B8 * IFERROR(VLOOKUP("transport|PM25|Asthma symptoms wheeze", US_national_yearly!$D:$AM, 26, FALSE) / VLOOKUP("transport|PM25|Asthma symptoms wheeze", US_national_yearly!$D:$AM, 10, FALSE), 1)</f>
        <v>0.18139321745195339</v>
      </c>
      <c r="S8" s="7">
        <f>$B8 * IFERROR(VLOOKUP("transport|PM25|Asthma symptoms wheeze", US_national_yearly!$D:$AM, 27, FALSE) / VLOOKUP("transport|PM25|Asthma symptoms wheeze", US_national_yearly!$D:$AM, 10, FALSE), 1)</f>
        <v>0.18139321745195339</v>
      </c>
      <c r="T8" s="7">
        <f>$B8 * IFERROR(VLOOKUP("transport|PM25|Asthma symptoms wheeze", US_national_yearly!$D:$AM, 28, FALSE) / VLOOKUP("transport|PM25|Asthma symptoms wheeze", US_national_yearly!$D:$AM, 10, FALSE), 1)</f>
        <v>0.18139321745195339</v>
      </c>
      <c r="U8" s="7">
        <f>$B8 * IFERROR(VLOOKUP("transport|PM25|Asthma symptoms wheeze", US_national_yearly!$D:$AM, 29, FALSE) / VLOOKUP("transport|PM25|Asthma symptoms wheeze", US_national_yearly!$D:$AM, 10, FALSE), 1)</f>
        <v>0.18139321745195339</v>
      </c>
      <c r="V8" s="7">
        <f>$B8 * IFERROR(VLOOKUP("transport|PM25|Asthma symptoms wheeze", US_national_yearly!$D:$AM, 30, FALSE) / VLOOKUP("transport|PM25|Asthma symptoms wheeze", US_national_yearly!$D:$AM, 10, FALSE), 1)</f>
        <v>0.18139321745195339</v>
      </c>
      <c r="W8" s="7">
        <f>$B8 * IFERROR(VLOOKUP("transport|PM25|Asthma symptoms wheeze", US_national_yearly!$D:$AM, 31, FALSE) / VLOOKUP("transport|PM25|Asthma symptoms wheeze", US_national_yearly!$D:$AM, 10, FALSE), 1)</f>
        <v>0.18139321745195339</v>
      </c>
      <c r="X8" s="7">
        <f>$B8 * IFERROR(VLOOKUP("transport|PM25|Asthma symptoms wheeze", US_national_yearly!$D:$AM, 32, FALSE) / VLOOKUP("transport|PM25|Asthma symptoms wheeze", US_national_yearly!$D:$AM, 10, FALSE), 1)</f>
        <v>0.18139321745195339</v>
      </c>
      <c r="Y8" s="7">
        <f>$B8 * IFERROR(VLOOKUP("transport|PM25|Asthma symptoms wheeze", US_national_yearly!$D:$AM, 33, FALSE) / VLOOKUP("transport|PM25|Asthma symptoms wheeze", US_national_yearly!$D:$AM, 10, FALSE), 1)</f>
        <v>0.18139321745195339</v>
      </c>
      <c r="Z8" s="7">
        <f>$B8 * IFERROR(VLOOKUP("transport|PM25|Asthma symptoms wheeze", US_national_yearly!$D:$AM, 34, FALSE) / VLOOKUP("transport|PM25|Asthma symptoms wheeze", US_national_yearly!$D:$AM, 10, FALSE), 1)</f>
        <v>0.18139321745195339</v>
      </c>
      <c r="AA8" s="7">
        <f>$B8 * IFERROR(VLOOKUP("transport|PM25|Asthma symptoms wheeze", US_national_yearly!$D:$AM, 35, FALSE) / VLOOKUP("transport|PM25|Asthma symptoms wheeze", US_national_yearly!$D:$AM, 10, FALSE), 1)</f>
        <v>0.18139321745195339</v>
      </c>
      <c r="AB8" s="7">
        <f>$B8 * IFERROR(VLOOKUP("transport|PM25|Asthma symptoms wheeze", US_national_yearly!$D:$AM, 36, FALSE) / VLOOKUP("transport|PM25|Asthma symptoms wheeze", US_national_yearly!$D:$AM, 10, FALSE), 1)</f>
        <v>0.18139321745195339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2.829705461242879E-3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2.8459241924142639E-3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2.8621429235856479E-3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2.8783616547570327E-3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2.8945803859284167E-3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2.9120973074079613E-3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2.9296142288875058E-3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2.9463509818318445E-3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2.9630877347761844E-3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2.9798244877205235E-3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2.9965612406648635E-3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3.0132979936092021E-3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3.0253104496064174E-3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3.0373229056036319E-3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3.0493353616008459E-3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3.0613478175980603E-3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3.0733602735952756E-3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3.0847977145603651E-3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3.0962351555254555E-3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3.1076725964905455E-3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3.119110037455635E-3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3.1305474784207249E-3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3.1415504425270848E-3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3.1525534066334433E-3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3.1635563707398027E-3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3.1745593348461612E-3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3.1855622989525206E-3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1.5334547997863431E-2</v>
      </c>
      <c r="C13" s="7">
        <f>$B13 * IFERROR(VLOOKUP("transport|PM25|Non-fatal heart attacks", US_national_yearly!$D:$AM, 11, FALSE) / VLOOKUP("transport|PM25|Non-fatal heart attacks", US_national_yearly!$D:$AM, 10, FALSE), 1)</f>
        <v>1.5780364001394369E-2</v>
      </c>
      <c r="D13" s="7">
        <f>$B13 * IFERROR(VLOOKUP("transport|PM25|Non-fatal heart attacks", US_national_yearly!$D:$AM, 12, FALSE) / VLOOKUP("transport|PM25|Non-fatal heart attacks", US_national_yearly!$D:$AM, 10, FALSE), 1)</f>
        <v>1.622618000492531E-2</v>
      </c>
      <c r="E13" s="7">
        <f>$B13 * IFERROR(VLOOKUP("transport|PM25|Non-fatal heart attacks", US_national_yearly!$D:$AM, 13, FALSE) / VLOOKUP("transport|PM25|Non-fatal heart attacks", US_national_yearly!$D:$AM, 10, FALSE), 1)</f>
        <v>1.6671996008456244E-2</v>
      </c>
      <c r="F13" s="7">
        <f>$B13 * IFERROR(VLOOKUP("transport|PM25|Non-fatal heart attacks", US_national_yearly!$D:$AM, 14, FALSE) / VLOOKUP("transport|PM25|Non-fatal heart attacks", US_national_yearly!$D:$AM, 10, FALSE), 1)</f>
        <v>1.7117812011987185E-2</v>
      </c>
      <c r="G13" s="7">
        <f>$B13 * IFERROR(VLOOKUP("transport|PM25|Non-fatal heart attacks", US_national_yearly!$D:$AM, 15, FALSE) / VLOOKUP("transport|PM25|Non-fatal heart attacks", US_national_yearly!$D:$AM, 10, FALSE), 1)</f>
        <v>1.75382446872582E-2</v>
      </c>
      <c r="H13" s="7">
        <f>$B13 * IFERROR(VLOOKUP("transport|PM25|Non-fatal heart attacks", US_national_yearly!$D:$AM, 16, FALSE) / VLOOKUP("transport|PM25|Non-fatal heart attacks", US_national_yearly!$D:$AM, 10, FALSE), 1)</f>
        <v>1.7958677362529207E-2</v>
      </c>
      <c r="I13" s="7">
        <f>$B13 * IFERROR(VLOOKUP("transport|PM25|Non-fatal heart attacks", US_national_yearly!$D:$AM, 17, FALSE) / VLOOKUP("transport|PM25|Non-fatal heart attacks", US_national_yearly!$D:$AM, 10, FALSE), 1)</f>
        <v>1.8296565332369889E-2</v>
      </c>
      <c r="J13" s="7">
        <f>$B13 * IFERROR(VLOOKUP("transport|PM25|Non-fatal heart attacks", US_national_yearly!$D:$AM, 18, FALSE) / VLOOKUP("transport|PM25|Non-fatal heart attacks", US_national_yearly!$D:$AM, 10, FALSE), 1)</f>
        <v>1.8634453302210571E-2</v>
      </c>
      <c r="K13" s="7">
        <f>$B13 * IFERROR(VLOOKUP("transport|PM25|Non-fatal heart attacks", US_national_yearly!$D:$AM, 19, FALSE) / VLOOKUP("transport|PM25|Non-fatal heart attacks", US_national_yearly!$D:$AM, 10, FALSE), 1)</f>
        <v>1.8972341272051257E-2</v>
      </c>
      <c r="L13" s="7">
        <f>$B13 * IFERROR(VLOOKUP("transport|PM25|Non-fatal heart attacks", US_national_yearly!$D:$AM, 20, FALSE) / VLOOKUP("transport|PM25|Non-fatal heart attacks", US_national_yearly!$D:$AM, 10, FALSE), 1)</f>
        <v>1.9310229241891939E-2</v>
      </c>
      <c r="M13" s="7">
        <f>$B13 * IFERROR(VLOOKUP("transport|PM25|Non-fatal heart attacks", US_national_yearly!$D:$AM, 21, FALSE) / VLOOKUP("transport|PM25|Non-fatal heart attacks", US_national_yearly!$D:$AM, 10, FALSE), 1)</f>
        <v>1.9648117211732624E-2</v>
      </c>
      <c r="N13" s="7">
        <f>$B13 * IFERROR(VLOOKUP("transport|PM25|Non-fatal heart attacks", US_national_yearly!$D:$AM, 22, FALSE) / VLOOKUP("transport|PM25|Non-fatal heart attacks", US_national_yearly!$D:$AM, 10, FALSE), 1)</f>
        <v>1.9866021587370206E-2</v>
      </c>
      <c r="O13" s="7">
        <f>$B13 * IFERROR(VLOOKUP("transport|PM25|Non-fatal heart attacks", US_national_yearly!$D:$AM, 23, FALSE) / VLOOKUP("transport|PM25|Non-fatal heart attacks", US_national_yearly!$D:$AM, 10, FALSE), 1)</f>
        <v>2.0083925963007791E-2</v>
      </c>
      <c r="P13" s="7">
        <f>$B13 * IFERROR(VLOOKUP("transport|PM25|Non-fatal heart attacks", US_national_yearly!$D:$AM, 24, FALSE) / VLOOKUP("transport|PM25|Non-fatal heart attacks", US_national_yearly!$D:$AM, 10, FALSE), 1)</f>
        <v>2.0301830338645376E-2</v>
      </c>
      <c r="Q13" s="7">
        <f>$B13 * IFERROR(VLOOKUP("transport|PM25|Non-fatal heart attacks", US_national_yearly!$D:$AM, 25, FALSE) / VLOOKUP("transport|PM25|Non-fatal heart attacks", US_national_yearly!$D:$AM, 10, FALSE), 1)</f>
        <v>2.0519734714282957E-2</v>
      </c>
      <c r="R13" s="7">
        <f>$B13 * IFERROR(VLOOKUP("transport|PM25|Non-fatal heart attacks", US_national_yearly!$D:$AM, 26, FALSE) / VLOOKUP("transport|PM25|Non-fatal heart attacks", US_national_yearly!$D:$AM, 10, FALSE), 1)</f>
        <v>2.0737639089920542E-2</v>
      </c>
      <c r="S13" s="7">
        <f>$B13 * IFERROR(VLOOKUP("transport|PM25|Non-fatal heart attacks", US_national_yearly!$D:$AM, 27, FALSE) / VLOOKUP("transport|PM25|Non-fatal heart attacks", US_national_yearly!$D:$AM, 10, FALSE), 1)</f>
        <v>2.085239375961179E-2</v>
      </c>
      <c r="T13" s="7">
        <f>$B13 * IFERROR(VLOOKUP("transport|PM25|Non-fatal heart attacks", US_national_yearly!$D:$AM, 28, FALSE) / VLOOKUP("transport|PM25|Non-fatal heart attacks", US_national_yearly!$D:$AM, 10, FALSE), 1)</f>
        <v>2.0967148429303049E-2</v>
      </c>
      <c r="U13" s="7">
        <f>$B13 * IFERROR(VLOOKUP("transport|PM25|Non-fatal heart attacks", US_national_yearly!$D:$AM, 29, FALSE) / VLOOKUP("transport|PM25|Non-fatal heart attacks", US_national_yearly!$D:$AM, 10, FALSE), 1)</f>
        <v>2.1081903098994308E-2</v>
      </c>
      <c r="V13" s="7">
        <f>$B13 * IFERROR(VLOOKUP("transport|PM25|Non-fatal heart attacks", US_national_yearly!$D:$AM, 30, FALSE) / VLOOKUP("transport|PM25|Non-fatal heart attacks", US_national_yearly!$D:$AM, 10, FALSE), 1)</f>
        <v>2.1196657768685564E-2</v>
      </c>
      <c r="W13" s="7">
        <f>$B13 * IFERROR(VLOOKUP("transport|PM25|Non-fatal heart attacks", US_national_yearly!$D:$AM, 31, FALSE) / VLOOKUP("transport|PM25|Non-fatal heart attacks", US_national_yearly!$D:$AM, 10, FALSE), 1)</f>
        <v>2.1311412438376816E-2</v>
      </c>
      <c r="X13" s="7">
        <f>$B13 * IFERROR(VLOOKUP("transport|PM25|Non-fatal heart attacks", US_national_yearly!$D:$AM, 32, FALSE) / VLOOKUP("transport|PM25|Non-fatal heart attacks", US_national_yearly!$D:$AM, 10, FALSE), 1)</f>
        <v>2.1398527825856693E-2</v>
      </c>
      <c r="Y13" s="7">
        <f>$B13 * IFERROR(VLOOKUP("transport|PM25|Non-fatal heart attacks", US_national_yearly!$D:$AM, 33, FALSE) / VLOOKUP("transport|PM25|Non-fatal heart attacks", US_national_yearly!$D:$AM, 10, FALSE), 1)</f>
        <v>2.1485643213336573E-2</v>
      </c>
      <c r="Z13" s="7">
        <f>$B13 * IFERROR(VLOOKUP("transport|PM25|Non-fatal heart attacks", US_national_yearly!$D:$AM, 34, FALSE) / VLOOKUP("transport|PM25|Non-fatal heart attacks", US_national_yearly!$D:$AM, 10, FALSE), 1)</f>
        <v>2.157275860081645E-2</v>
      </c>
      <c r="AA13" s="7">
        <f>$B13 * IFERROR(VLOOKUP("transport|PM25|Non-fatal heart attacks", US_national_yearly!$D:$AM, 35, FALSE) / VLOOKUP("transport|PM25|Non-fatal heart attacks", US_national_yearly!$D:$AM, 10, FALSE), 1)</f>
        <v>2.165987398829633E-2</v>
      </c>
      <c r="AB13" s="7">
        <f>$B13 * IFERROR(VLOOKUP("transport|PM25|Non-fatal heart attacks", US_national_yearly!$D:$AM, 36, FALSE) / VLOOKUP("transport|PM25|Non-fatal heart attacks", US_national_yearly!$D:$AM, 10, FALSE), 1)</f>
        <v>2.1746989375776207E-2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12.012901472756637</v>
      </c>
      <c r="C14" s="7">
        <f>$B14 * IFERROR(VLOOKUP("transport|PM25|Minor restricted activity days", US_national_yearly!$D:$AM, 11, FALSE) / VLOOKUP("transport|PM25|Minor restricted activity days", US_national_yearly!$D:$AM, 10, FALSE), 1)</f>
        <v>12.042238402773712</v>
      </c>
      <c r="D14" s="7">
        <f>$B14 * IFERROR(VLOOKUP("transport|PM25|Minor restricted activity days", US_national_yearly!$D:$AM, 12, FALSE) / VLOOKUP("transport|PM25|Minor restricted activity days", US_national_yearly!$D:$AM, 10, FALSE), 1)</f>
        <v>12.071575332790786</v>
      </c>
      <c r="E14" s="7">
        <f>$B14 * IFERROR(VLOOKUP("transport|PM25|Minor restricted activity days", US_national_yearly!$D:$AM, 13, FALSE) / VLOOKUP("transport|PM25|Minor restricted activity days", US_national_yearly!$D:$AM, 10, FALSE), 1)</f>
        <v>12.100912262807864</v>
      </c>
      <c r="F14" s="7">
        <f>$B14 * IFERROR(VLOOKUP("transport|PM25|Minor restricted activity days", US_national_yearly!$D:$AM, 14, FALSE) / VLOOKUP("transport|PM25|Minor restricted activity days", US_national_yearly!$D:$AM, 10, FALSE), 1)</f>
        <v>12.130249192824936</v>
      </c>
      <c r="G14" s="7">
        <f>$B14 * IFERROR(VLOOKUP("transport|PM25|Minor restricted activity days", US_national_yearly!$D:$AM, 15, FALSE) / VLOOKUP("transport|PM25|Minor restricted activity days", US_national_yearly!$D:$AM, 10, FALSE), 1)</f>
        <v>12.173534955086899</v>
      </c>
      <c r="H14" s="7">
        <f>$B14 * IFERROR(VLOOKUP("transport|PM25|Minor restricted activity days", US_national_yearly!$D:$AM, 16, FALSE) / VLOOKUP("transport|PM25|Minor restricted activity days", US_national_yearly!$D:$AM, 10, FALSE), 1)</f>
        <v>12.21682071734886</v>
      </c>
      <c r="I14" s="7">
        <f>$B14 * IFERROR(VLOOKUP("transport|PM25|Minor restricted activity days", US_national_yearly!$D:$AM, 17, FALSE) / VLOOKUP("transport|PM25|Minor restricted activity days", US_national_yearly!$D:$AM, 10, FALSE), 1)</f>
        <v>12.290819549003663</v>
      </c>
      <c r="J14" s="7">
        <f>$B14 * IFERROR(VLOOKUP("transport|PM25|Minor restricted activity days", US_national_yearly!$D:$AM, 18, FALSE) / VLOOKUP("transport|PM25|Minor restricted activity days", US_national_yearly!$D:$AM, 10, FALSE), 1)</f>
        <v>12.364818380658461</v>
      </c>
      <c r="K14" s="7">
        <f>$B14 * IFERROR(VLOOKUP("transport|PM25|Minor restricted activity days", US_national_yearly!$D:$AM, 19, FALSE) / VLOOKUP("transport|PM25|Minor restricted activity days", US_national_yearly!$D:$AM, 10, FALSE), 1)</f>
        <v>12.438817212313264</v>
      </c>
      <c r="L14" s="7">
        <f>$B14 * IFERROR(VLOOKUP("transport|PM25|Minor restricted activity days", US_national_yearly!$D:$AM, 20, FALSE) / VLOOKUP("transport|PM25|Minor restricted activity days", US_national_yearly!$D:$AM, 10, FALSE), 1)</f>
        <v>12.512816043968064</v>
      </c>
      <c r="M14" s="7">
        <f>$B14 * IFERROR(VLOOKUP("transport|PM25|Minor restricted activity days", US_national_yearly!$D:$AM, 21, FALSE) / VLOOKUP("transport|PM25|Minor restricted activity days", US_national_yearly!$D:$AM, 10, FALSE), 1)</f>
        <v>12.586814875622863</v>
      </c>
      <c r="N14" s="7">
        <f>$B14 * IFERROR(VLOOKUP("transport|PM25|Minor restricted activity days", US_national_yearly!$D:$AM, 22, FALSE) / VLOOKUP("transport|PM25|Minor restricted activity days", US_national_yearly!$D:$AM, 10, FALSE), 1)</f>
        <v>12.687616017477884</v>
      </c>
      <c r="O14" s="7">
        <f>$B14 * IFERROR(VLOOKUP("transport|PM25|Minor restricted activity days", US_national_yearly!$D:$AM, 23, FALSE) / VLOOKUP("transport|PM25|Minor restricted activity days", US_national_yearly!$D:$AM, 10, FALSE), 1)</f>
        <v>12.7884171593329</v>
      </c>
      <c r="P14" s="7">
        <f>$B14 * IFERROR(VLOOKUP("transport|PM25|Minor restricted activity days", US_national_yearly!$D:$AM, 24, FALSE) / VLOOKUP("transport|PM25|Minor restricted activity days", US_national_yearly!$D:$AM, 10, FALSE), 1)</f>
        <v>12.88921830118792</v>
      </c>
      <c r="Q14" s="7">
        <f>$B14 * IFERROR(VLOOKUP("transport|PM25|Minor restricted activity days", US_national_yearly!$D:$AM, 25, FALSE) / VLOOKUP("transport|PM25|Minor restricted activity days", US_national_yearly!$D:$AM, 10, FALSE), 1)</f>
        <v>12.990019443042936</v>
      </c>
      <c r="R14" s="7">
        <f>$B14 * IFERROR(VLOOKUP("transport|PM25|Minor restricted activity days", US_national_yearly!$D:$AM, 26, FALSE) / VLOOKUP("transport|PM25|Minor restricted activity days", US_national_yearly!$D:$AM, 10, FALSE), 1)</f>
        <v>13.090820584897953</v>
      </c>
      <c r="S14" s="7">
        <f>$B14 * IFERROR(VLOOKUP("transport|PM25|Minor restricted activity days", US_national_yearly!$D:$AM, 27, FALSE) / VLOOKUP("transport|PM25|Minor restricted activity days", US_national_yearly!$D:$AM, 10, FALSE), 1)</f>
        <v>13.192315911186469</v>
      </c>
      <c r="T14" s="7">
        <f>$B14 * IFERROR(VLOOKUP("transport|PM25|Minor restricted activity days", US_national_yearly!$D:$AM, 28, FALSE) / VLOOKUP("transport|PM25|Minor restricted activity days", US_national_yearly!$D:$AM, 10, FALSE), 1)</f>
        <v>13.293811237474987</v>
      </c>
      <c r="U14" s="7">
        <f>$B14 * IFERROR(VLOOKUP("transport|PM25|Minor restricted activity days", US_national_yearly!$D:$AM, 29, FALSE) / VLOOKUP("transport|PM25|Minor restricted activity days", US_national_yearly!$D:$AM, 10, FALSE), 1)</f>
        <v>13.395306563763503</v>
      </c>
      <c r="V14" s="7">
        <f>$B14 * IFERROR(VLOOKUP("transport|PM25|Minor restricted activity days", US_national_yearly!$D:$AM, 30, FALSE) / VLOOKUP("transport|PM25|Minor restricted activity days", US_national_yearly!$D:$AM, 10, FALSE), 1)</f>
        <v>13.496801890052019</v>
      </c>
      <c r="W14" s="7">
        <f>$B14 * IFERROR(VLOOKUP("transport|PM25|Minor restricted activity days", US_national_yearly!$D:$AM, 31, FALSE) / VLOOKUP("transport|PM25|Minor restricted activity days", US_national_yearly!$D:$AM, 10, FALSE), 1)</f>
        <v>13.598297216340535</v>
      </c>
      <c r="X14" s="7">
        <f>$B14 * IFERROR(VLOOKUP("transport|PM25|Minor restricted activity days", US_national_yearly!$D:$AM, 32, FALSE) / VLOOKUP("transport|PM25|Minor restricted activity days", US_national_yearly!$D:$AM, 10, FALSE), 1)</f>
        <v>13.686405370183062</v>
      </c>
      <c r="Y14" s="7">
        <f>$B14 * IFERROR(VLOOKUP("transport|PM25|Minor restricted activity days", US_national_yearly!$D:$AM, 33, FALSE) / VLOOKUP("transport|PM25|Minor restricted activity days", US_national_yearly!$D:$AM, 10, FALSE), 1)</f>
        <v>13.774513524025586</v>
      </c>
      <c r="Z14" s="7">
        <f>$B14 * IFERROR(VLOOKUP("transport|PM25|Minor restricted activity days", US_national_yearly!$D:$AM, 34, FALSE) / VLOOKUP("transport|PM25|Minor restricted activity days", US_national_yearly!$D:$AM, 10, FALSE), 1)</f>
        <v>13.862621677868113</v>
      </c>
      <c r="AA14" s="7">
        <f>$B14 * IFERROR(VLOOKUP("transport|PM25|Minor restricted activity days", US_national_yearly!$D:$AM, 35, FALSE) / VLOOKUP("transport|PM25|Minor restricted activity days", US_national_yearly!$D:$AM, 10, FALSE), 1)</f>
        <v>13.950729831710635</v>
      </c>
      <c r="AB14" s="7">
        <f>$B14 * IFERROR(VLOOKUP("transport|PM25|Minor restricted activity days", US_national_yearly!$D:$AM, 36, FALSE) / VLOOKUP("transport|PM25|Minor restricted activity days", US_national_yearly!$D:$AM, 10, FALSE), 1)</f>
        <v>14.038837985553162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2.0250358652181104</v>
      </c>
      <c r="C15" s="7">
        <f>$B15 * IFERROR(VLOOKUP("transport|PM25|Work loss days", US_national_yearly!$D:$AM, 11, FALSE) / VLOOKUP("transport|PM25|Work loss days", US_national_yearly!$D:$AM, 10, FALSE), 1)</f>
        <v>2.0313127470415084</v>
      </c>
      <c r="D15" s="7">
        <f>$B15 * IFERROR(VLOOKUP("transport|PM25|Work loss days", US_national_yearly!$D:$AM, 12, FALSE) / VLOOKUP("transport|PM25|Work loss days", US_national_yearly!$D:$AM, 10, FALSE), 1)</f>
        <v>2.0375896288649069</v>
      </c>
      <c r="E15" s="7">
        <f>$B15 * IFERROR(VLOOKUP("transport|PM25|Work loss days", US_national_yearly!$D:$AM, 13, FALSE) / VLOOKUP("transport|PM25|Work loss days", US_national_yearly!$D:$AM, 10, FALSE), 1)</f>
        <v>2.0438665106883049</v>
      </c>
      <c r="F15" s="7">
        <f>$B15 * IFERROR(VLOOKUP("transport|PM25|Work loss days", US_national_yearly!$D:$AM, 14, FALSE) / VLOOKUP("transport|PM25|Work loss days", US_national_yearly!$D:$AM, 10, FALSE), 1)</f>
        <v>2.050143392511703</v>
      </c>
      <c r="G15" s="7">
        <f>$B15 * IFERROR(VLOOKUP("transport|PM25|Work loss days", US_national_yearly!$D:$AM, 15, FALSE) / VLOOKUP("transport|PM25|Work loss days", US_national_yearly!$D:$AM, 10, FALSE), 1)</f>
        <v>2.0583727851160272</v>
      </c>
      <c r="H15" s="7">
        <f>$B15 * IFERROR(VLOOKUP("transport|PM25|Work loss days", US_national_yearly!$D:$AM, 16, FALSE) / VLOOKUP("transport|PM25|Work loss days", US_national_yearly!$D:$AM, 10, FALSE), 1)</f>
        <v>2.0666021777203518</v>
      </c>
      <c r="I15" s="7">
        <f>$B15 * IFERROR(VLOOKUP("transport|PM25|Work loss days", US_national_yearly!$D:$AM, 17, FALSE) / VLOOKUP("transport|PM25|Work loss days", US_national_yearly!$D:$AM, 10, FALSE), 1)</f>
        <v>2.0787208634392069</v>
      </c>
      <c r="J15" s="7">
        <f>$B15 * IFERROR(VLOOKUP("transport|PM25|Work loss days", US_national_yearly!$D:$AM, 18, FALSE) / VLOOKUP("transport|PM25|Work loss days", US_national_yearly!$D:$AM, 10, FALSE), 1)</f>
        <v>2.090839549158062</v>
      </c>
      <c r="K15" s="7">
        <f>$B15 * IFERROR(VLOOKUP("transport|PM25|Work loss days", US_national_yearly!$D:$AM, 19, FALSE) / VLOOKUP("transport|PM25|Work loss days", US_national_yearly!$D:$AM, 10, FALSE), 1)</f>
        <v>2.1029582348769171</v>
      </c>
      <c r="L15" s="7">
        <f>$B15 * IFERROR(VLOOKUP("transport|PM25|Work loss days", US_national_yearly!$D:$AM, 20, FALSE) / VLOOKUP("transport|PM25|Work loss days", US_national_yearly!$D:$AM, 10, FALSE), 1)</f>
        <v>2.1150769205957722</v>
      </c>
      <c r="M15" s="7">
        <f>$B15 * IFERROR(VLOOKUP("transport|PM25|Work loss days", US_national_yearly!$D:$AM, 21, FALSE) / VLOOKUP("transport|PM25|Work loss days", US_national_yearly!$D:$AM, 10, FALSE), 1)</f>
        <v>2.1271956063146273</v>
      </c>
      <c r="N15" s="7">
        <f>$B15 * IFERROR(VLOOKUP("transport|PM25|Work loss days", US_national_yearly!$D:$AM, 22, FALSE) / VLOOKUP("transport|PM25|Work loss days", US_national_yearly!$D:$AM, 10, FALSE), 1)</f>
        <v>2.1424478895405992</v>
      </c>
      <c r="O15" s="7">
        <f>$B15 * IFERROR(VLOOKUP("transport|PM25|Work loss days", US_national_yearly!$D:$AM, 23, FALSE) / VLOOKUP("transport|PM25|Work loss days", US_national_yearly!$D:$AM, 10, FALSE), 1)</f>
        <v>2.1577001727665706</v>
      </c>
      <c r="P15" s="7">
        <f>$B15 * IFERROR(VLOOKUP("transport|PM25|Work loss days", US_national_yearly!$D:$AM, 24, FALSE) / VLOOKUP("transport|PM25|Work loss days", US_national_yearly!$D:$AM, 10, FALSE), 1)</f>
        <v>2.1729524559925424</v>
      </c>
      <c r="Q15" s="7">
        <f>$B15 * IFERROR(VLOOKUP("transport|PM25|Work loss days", US_national_yearly!$D:$AM, 25, FALSE) / VLOOKUP("transport|PM25|Work loss days", US_national_yearly!$D:$AM, 10, FALSE), 1)</f>
        <v>2.1882047392185138</v>
      </c>
      <c r="R15" s="7">
        <f>$B15 * IFERROR(VLOOKUP("transport|PM25|Work loss days", US_national_yearly!$D:$AM, 26, FALSE) / VLOOKUP("transport|PM25|Work loss days", US_national_yearly!$D:$AM, 10, FALSE), 1)</f>
        <v>2.2034570224444856</v>
      </c>
      <c r="S15" s="7">
        <f>$B15 * IFERROR(VLOOKUP("transport|PM25|Work loss days", US_national_yearly!$D:$AM, 27, FALSE) / VLOOKUP("transport|PM25|Work loss days", US_national_yearly!$D:$AM, 10, FALSE), 1)</f>
        <v>2.2203266988650485</v>
      </c>
      <c r="T15" s="7">
        <f>$B15 * IFERROR(VLOOKUP("transport|PM25|Work loss days", US_national_yearly!$D:$AM, 28, FALSE) / VLOOKUP("transport|PM25|Work loss days", US_national_yearly!$D:$AM, 10, FALSE), 1)</f>
        <v>2.2371963752856123</v>
      </c>
      <c r="U15" s="7">
        <f>$B15 * IFERROR(VLOOKUP("transport|PM25|Work loss days", US_national_yearly!$D:$AM, 29, FALSE) / VLOOKUP("transport|PM25|Work loss days", US_national_yearly!$D:$AM, 10, FALSE), 1)</f>
        <v>2.2540660517061748</v>
      </c>
      <c r="V15" s="7">
        <f>$B15 * IFERROR(VLOOKUP("transport|PM25|Work loss days", US_national_yearly!$D:$AM, 30, FALSE) / VLOOKUP("transport|PM25|Work loss days", US_national_yearly!$D:$AM, 10, FALSE), 1)</f>
        <v>2.2709357281267386</v>
      </c>
      <c r="W15" s="7">
        <f>$B15 * IFERROR(VLOOKUP("transport|PM25|Work loss days", US_national_yearly!$D:$AM, 31, FALSE) / VLOOKUP("transport|PM25|Work loss days", US_national_yearly!$D:$AM, 10, FALSE), 1)</f>
        <v>2.2878054045473015</v>
      </c>
      <c r="X15" s="7">
        <f>$B15 * IFERROR(VLOOKUP("transport|PM25|Work loss days", US_national_yearly!$D:$AM, 32, FALSE) / VLOOKUP("transport|PM25|Work loss days", US_national_yearly!$D:$AM, 10, FALSE), 1)</f>
        <v>2.3027733573451803</v>
      </c>
      <c r="Y15" s="7">
        <f>$B15 * IFERROR(VLOOKUP("transport|PM25|Work loss days", US_national_yearly!$D:$AM, 33, FALSE) / VLOOKUP("transport|PM25|Work loss days", US_national_yearly!$D:$AM, 10, FALSE), 1)</f>
        <v>2.3177413101430586</v>
      </c>
      <c r="Z15" s="7">
        <f>$B15 * IFERROR(VLOOKUP("transport|PM25|Work loss days", US_national_yearly!$D:$AM, 34, FALSE) / VLOOKUP("transport|PM25|Work loss days", US_national_yearly!$D:$AM, 10, FALSE), 1)</f>
        <v>2.3327092629409378</v>
      </c>
      <c r="AA15" s="7">
        <f>$B15 * IFERROR(VLOOKUP("transport|PM25|Work loss days", US_national_yearly!$D:$AM, 35, FALSE) / VLOOKUP("transport|PM25|Work loss days", US_national_yearly!$D:$AM, 10, FALSE), 1)</f>
        <v>2.347677215738817</v>
      </c>
      <c r="AB15" s="7">
        <f>$B15 * IFERROR(VLOOKUP("transport|PM25|Work loss days", US_national_yearly!$D:$AM, 36, FALSE) / VLOOKUP("transport|PM25|Work loss days", US_national_yearly!$D:$AM, 10, FALSE), 1)</f>
        <v>2.3626451685366954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3.597326306957816E-3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3.7048169254859866E-3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3.812307544014158E-3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3.9197981625423289E-3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4.0272887810705003E-3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4.1302455929205896E-3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4.2332024047706807E-3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4.3212567228204423E-3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4.409311040870203E-3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4.4973653589199638E-3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4.5854196769697254E-3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4.6734739950194861E-3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4.7321818192607307E-3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4.7908896435019761E-3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4.8495974677432207E-3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4.9083052919844652E-3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4.9670131162257098E-3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4.9980750362745435E-3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5.0291369563233764E-3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5.0601988763722084E-3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5.0912607964210405E-3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5.1223227164698733E-3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5.1432340096343159E-3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5.1641453027987585E-3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5.1850565959632011E-3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5.2059678891276436E-3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5.2268791822920862E-3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1.3023830865146618E-3</v>
      </c>
      <c r="C2" s="7">
        <f>$B2 * IFERROR(VLOOKUP("transport|NOx|Premature mortality", US_national_yearly!$D:$AM, 11, FALSE) / VLOOKUP("transport|NOx|Premature mortality", US_national_yearly!$D:$AM, 10, FALSE), 1)</f>
        <v>1.3215128926982879E-3</v>
      </c>
      <c r="D2" s="7">
        <f>$B2 * IFERROR(VLOOKUP("transport|NOx|Premature mortality", US_national_yearly!$D:$AM, 12, FALSE) / VLOOKUP("transport|NOx|Premature mortality", US_national_yearly!$D:$AM, 10, FALSE), 1)</f>
        <v>1.3406426988819135E-3</v>
      </c>
      <c r="E2" s="7">
        <f>$B2 * IFERROR(VLOOKUP("transport|NOx|Premature mortality", US_national_yearly!$D:$AM, 13, FALSE) / VLOOKUP("transport|NOx|Premature mortality", US_national_yearly!$D:$AM, 10, FALSE), 1)</f>
        <v>1.3597725050655393E-3</v>
      </c>
      <c r="F2" s="7">
        <f>$B2 * IFERROR(VLOOKUP("transport|NOx|Premature mortality", US_national_yearly!$D:$AM, 14, FALSE) / VLOOKUP("transport|NOx|Premature mortality", US_national_yearly!$D:$AM, 10, FALSE), 1)</f>
        <v>1.3789023112491653E-3</v>
      </c>
      <c r="G2" s="7">
        <f>$B2 * IFERROR(VLOOKUP("transport|NOx|Premature mortality", US_national_yearly!$D:$AM, 15, FALSE) / VLOOKUP("transport|NOx|Premature mortality", US_national_yearly!$D:$AM, 10, FALSE), 1)</f>
        <v>1.4132639659041632E-3</v>
      </c>
      <c r="H2" s="7">
        <f>$B2 * IFERROR(VLOOKUP("transport|NOx|Premature mortality", US_national_yearly!$D:$AM, 16, FALSE) / VLOOKUP("transport|NOx|Premature mortality", US_national_yearly!$D:$AM, 10, FALSE), 1)</f>
        <v>1.4476256205591617E-3</v>
      </c>
      <c r="I2" s="7">
        <f>$B2 * IFERROR(VLOOKUP("transport|NOx|Premature mortality", US_national_yearly!$D:$AM, 17, FALSE) / VLOOKUP("transport|NOx|Premature mortality", US_national_yearly!$D:$AM, 10, FALSE), 1)</f>
        <v>1.4698067204326479E-3</v>
      </c>
      <c r="J2" s="7">
        <f>$B2 * IFERROR(VLOOKUP("transport|NOx|Premature mortality", US_national_yearly!$D:$AM, 18, FALSE) / VLOOKUP("transport|NOx|Premature mortality", US_national_yearly!$D:$AM, 10, FALSE), 1)</f>
        <v>1.4919878203061344E-3</v>
      </c>
      <c r="K2" s="7">
        <f>$B2 * IFERROR(VLOOKUP("transport|NOx|Premature mortality", US_national_yearly!$D:$AM, 19, FALSE) / VLOOKUP("transport|NOx|Premature mortality", US_national_yearly!$D:$AM, 10, FALSE), 1)</f>
        <v>1.5141689201796206E-3</v>
      </c>
      <c r="L2" s="7">
        <f>$B2 * IFERROR(VLOOKUP("transport|NOx|Premature mortality", US_national_yearly!$D:$AM, 20, FALSE) / VLOOKUP("transport|NOx|Premature mortality", US_national_yearly!$D:$AM, 10, FALSE), 1)</f>
        <v>1.5363500200531069E-3</v>
      </c>
      <c r="M2" s="7">
        <f>$B2 * IFERROR(VLOOKUP("transport|NOx|Premature mortality", US_national_yearly!$D:$AM, 21, FALSE) / VLOOKUP("transport|NOx|Premature mortality", US_national_yearly!$D:$AM, 10, FALSE), 1)</f>
        <v>1.5585311199265933E-3</v>
      </c>
      <c r="N2" s="7">
        <f>$B2 * IFERROR(VLOOKUP("transport|NOx|Premature mortality", US_national_yearly!$D:$AM, 22, FALSE) / VLOOKUP("transport|NOx|Premature mortality", US_national_yearly!$D:$AM, 10, FALSE), 1)</f>
        <v>1.5749627924828769E-3</v>
      </c>
      <c r="O2" s="7">
        <f>$B2 * IFERROR(VLOOKUP("transport|NOx|Premature mortality", US_national_yearly!$D:$AM, 23, FALSE) / VLOOKUP("transport|NOx|Premature mortality", US_national_yearly!$D:$AM, 10, FALSE), 1)</f>
        <v>1.5913944650391605E-3</v>
      </c>
      <c r="P2" s="7">
        <f>$B2 * IFERROR(VLOOKUP("transport|NOx|Premature mortality", US_national_yearly!$D:$AM, 24, FALSE) / VLOOKUP("transport|NOx|Premature mortality", US_national_yearly!$D:$AM, 10, FALSE), 1)</f>
        <v>1.6078261375954441E-3</v>
      </c>
      <c r="Q2" s="7">
        <f>$B2 * IFERROR(VLOOKUP("transport|NOx|Premature mortality", US_national_yearly!$D:$AM, 25, FALSE) / VLOOKUP("transport|NOx|Premature mortality", US_national_yearly!$D:$AM, 10, FALSE), 1)</f>
        <v>1.6242578101517279E-3</v>
      </c>
      <c r="R2" s="7">
        <f>$B2 * IFERROR(VLOOKUP("transport|NOx|Premature mortality", US_national_yearly!$D:$AM, 26, FALSE) / VLOOKUP("transport|NOx|Premature mortality", US_national_yearly!$D:$AM, 10, FALSE), 1)</f>
        <v>1.6406894827080114E-3</v>
      </c>
      <c r="S2" s="7">
        <f>$B2 * IFERROR(VLOOKUP("transport|NOx|Premature mortality", US_national_yearly!$D:$AM, 27, FALSE) / VLOOKUP("transport|NOx|Premature mortality", US_national_yearly!$D:$AM, 10, FALSE), 1)</f>
        <v>1.6481578433495861E-3</v>
      </c>
      <c r="T2" s="7">
        <f>$B2 * IFERROR(VLOOKUP("transport|NOx|Premature mortality", US_national_yearly!$D:$AM, 28, FALSE) / VLOOKUP("transport|NOx|Premature mortality", US_national_yearly!$D:$AM, 10, FALSE), 1)</f>
        <v>1.6556262039911609E-3</v>
      </c>
      <c r="U2" s="7">
        <f>$B2 * IFERROR(VLOOKUP("transport|NOx|Premature mortality", US_national_yearly!$D:$AM, 29, FALSE) / VLOOKUP("transport|NOx|Premature mortality", US_national_yearly!$D:$AM, 10, FALSE), 1)</f>
        <v>1.6630945646327355E-3</v>
      </c>
      <c r="V2" s="7">
        <f>$B2 * IFERROR(VLOOKUP("transport|NOx|Premature mortality", US_national_yearly!$D:$AM, 30, FALSE) / VLOOKUP("transport|NOx|Premature mortality", US_national_yearly!$D:$AM, 10, FALSE), 1)</f>
        <v>1.6705629252743103E-3</v>
      </c>
      <c r="W2" s="7">
        <f>$B2 * IFERROR(VLOOKUP("transport|NOx|Premature mortality", US_national_yearly!$D:$AM, 31, FALSE) / VLOOKUP("transport|NOx|Premature mortality", US_national_yearly!$D:$AM, 10, FALSE), 1)</f>
        <v>1.6780312859158851E-3</v>
      </c>
      <c r="X2" s="7">
        <f>$B2 * IFERROR(VLOOKUP("transport|NOx|Premature mortality", US_national_yearly!$D:$AM, 32, FALSE) / VLOOKUP("transport|NOx|Premature mortality", US_national_yearly!$D:$AM, 10, FALSE), 1)</f>
        <v>1.6782899856416359E-3</v>
      </c>
      <c r="Y2" s="7">
        <f>$B2 * IFERROR(VLOOKUP("transport|NOx|Premature mortality", US_national_yearly!$D:$AM, 33, FALSE) / VLOOKUP("transport|NOx|Premature mortality", US_national_yearly!$D:$AM, 10, FALSE), 1)</f>
        <v>1.6785486853673867E-3</v>
      </c>
      <c r="Z2" s="7">
        <f>$B2 * IFERROR(VLOOKUP("transport|NOx|Premature mortality", US_national_yearly!$D:$AM, 34, FALSE) / VLOOKUP("transport|NOx|Premature mortality", US_national_yearly!$D:$AM, 10, FALSE), 1)</f>
        <v>1.6788073850931373E-3</v>
      </c>
      <c r="AA2" s="7">
        <f>$B2 * IFERROR(VLOOKUP("transport|NOx|Premature mortality", US_national_yearly!$D:$AM, 35, FALSE) / VLOOKUP("transport|NOx|Premature mortality", US_national_yearly!$D:$AM, 10, FALSE), 1)</f>
        <v>1.6790660848188886E-3</v>
      </c>
      <c r="AB2" s="7">
        <f>$B2 * IFERROR(VLOOKUP("transport|NOx|Premature mortality", US_national_yearly!$D:$AM, 36, FALSE) / VLOOKUP("transport|NOx|Premature mortality", US_national_yearly!$D:$AM, 10, FALSE), 1)</f>
        <v>1.6793247845446394E-3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2.261375061537379E-6</v>
      </c>
      <c r="C3" s="7">
        <f>$B3 * IFERROR(VLOOKUP("transport|NOx|Infant mortality", US_national_yearly!$D:$AM, 11, FALSE) / VLOOKUP("transport|NOx|Infant mortality", US_national_yearly!$D:$AM, 10, FALSE), 1)</f>
        <v>2.2398297017250985E-6</v>
      </c>
      <c r="D3" s="7">
        <f>$B3 * IFERROR(VLOOKUP("transport|NOx|Infant mortality", US_national_yearly!$D:$AM, 12, FALSE) / VLOOKUP("transport|NOx|Infant mortality", US_national_yearly!$D:$AM, 10, FALSE), 1)</f>
        <v>2.2182843419128176E-6</v>
      </c>
      <c r="E3" s="7">
        <f>$B3 * IFERROR(VLOOKUP("transport|NOx|Infant mortality", US_national_yearly!$D:$AM, 13, FALSE) / VLOOKUP("transport|NOx|Infant mortality", US_national_yearly!$D:$AM, 10, FALSE), 1)</f>
        <v>2.1967389821005371E-6</v>
      </c>
      <c r="F3" s="7">
        <f>$B3 * IFERROR(VLOOKUP("transport|NOx|Infant mortality", US_national_yearly!$D:$AM, 14, FALSE) / VLOOKUP("transport|NOx|Infant mortality", US_national_yearly!$D:$AM, 10, FALSE), 1)</f>
        <v>2.1751936222882566E-6</v>
      </c>
      <c r="G3" s="7">
        <f>$B3 * IFERROR(VLOOKUP("transport|NOx|Infant mortality", US_national_yearly!$D:$AM, 15, FALSE) / VLOOKUP("transport|NOx|Infant mortality", US_national_yearly!$D:$AM, 10, FALSE), 1)</f>
        <v>1.4440009396734543E-6</v>
      </c>
      <c r="H3" s="7">
        <f>$B3 * IFERROR(VLOOKUP("transport|NOx|Infant mortality", US_national_yearly!$D:$AM, 16, FALSE) / VLOOKUP("transport|NOx|Infant mortality", US_national_yearly!$D:$AM, 10, FALSE), 1)</f>
        <v>7.1280825705865223E-7</v>
      </c>
      <c r="I3" s="7">
        <f>$B3 * IFERROR(VLOOKUP("transport|NOx|Infant mortality", US_national_yearly!$D:$AM, 17, FALSE) / VLOOKUP("transport|NOx|Infant mortality", US_national_yearly!$D:$AM, 10, FALSE), 1)</f>
        <v>7.0776802208915029E-7</v>
      </c>
      <c r="J3" s="7">
        <f>$B3 * IFERROR(VLOOKUP("transport|NOx|Infant mortality", US_national_yearly!$D:$AM, 18, FALSE) / VLOOKUP("transport|NOx|Infant mortality", US_national_yearly!$D:$AM, 10, FALSE), 1)</f>
        <v>7.0272778711964834E-7</v>
      </c>
      <c r="K3" s="7">
        <f>$B3 * IFERROR(VLOOKUP("transport|NOx|Infant mortality", US_national_yearly!$D:$AM, 19, FALSE) / VLOOKUP("transport|NOx|Infant mortality", US_national_yearly!$D:$AM, 10, FALSE), 1)</f>
        <v>6.9768755215014639E-7</v>
      </c>
      <c r="L3" s="7">
        <f>$B3 * IFERROR(VLOOKUP("transport|NOx|Infant mortality", US_national_yearly!$D:$AM, 20, FALSE) / VLOOKUP("transport|NOx|Infant mortality", US_national_yearly!$D:$AM, 10, FALSE), 1)</f>
        <v>6.9264731718064455E-7</v>
      </c>
      <c r="M3" s="7">
        <f>$B3 * IFERROR(VLOOKUP("transport|NOx|Infant mortality", US_national_yearly!$D:$AM, 21, FALSE) / VLOOKUP("transport|NOx|Infant mortality", US_national_yearly!$D:$AM, 10, FALSE), 1)</f>
        <v>6.876070822111425E-7</v>
      </c>
      <c r="N3" s="7">
        <f>$B3 * IFERROR(VLOOKUP("transport|NOx|Infant mortality", US_national_yearly!$D:$AM, 22, FALSE) / VLOOKUP("transport|NOx|Infant mortality", US_national_yearly!$D:$AM, 10, FALSE), 1)</f>
        <v>6.8426158498313424E-7</v>
      </c>
      <c r="O3" s="7">
        <f>$B3 * IFERROR(VLOOKUP("transport|NOx|Infant mortality", US_national_yearly!$D:$AM, 23, FALSE) / VLOOKUP("transport|NOx|Infant mortality", US_national_yearly!$D:$AM, 10, FALSE), 1)</f>
        <v>6.8091608775512609E-7</v>
      </c>
      <c r="P3" s="7">
        <f>$B3 * IFERROR(VLOOKUP("transport|NOx|Infant mortality", US_national_yearly!$D:$AM, 24, FALSE) / VLOOKUP("transport|NOx|Infant mortality", US_national_yearly!$D:$AM, 10, FALSE), 1)</f>
        <v>6.7757059052711784E-7</v>
      </c>
      <c r="Q3" s="7">
        <f>$B3 * IFERROR(VLOOKUP("transport|NOx|Infant mortality", US_national_yearly!$D:$AM, 25, FALSE) / VLOOKUP("transport|NOx|Infant mortality", US_national_yearly!$D:$AM, 10, FALSE), 1)</f>
        <v>6.7422509329910968E-7</v>
      </c>
      <c r="R3" s="7">
        <f>$B3 * IFERROR(VLOOKUP("transport|NOx|Infant mortality", US_national_yearly!$D:$AM, 26, FALSE) / VLOOKUP("transport|NOx|Infant mortality", US_national_yearly!$D:$AM, 10, FALSE), 1)</f>
        <v>6.7087959607110143E-7</v>
      </c>
      <c r="S3" s="7">
        <f>$B3 * IFERROR(VLOOKUP("transport|NOx|Infant mortality", US_national_yearly!$D:$AM, 27, FALSE) / VLOOKUP("transport|NOx|Infant mortality", US_national_yearly!$D:$AM, 10, FALSE), 1)</f>
        <v>6.6685777638926729E-7</v>
      </c>
      <c r="T3" s="7">
        <f>$B3 * IFERROR(VLOOKUP("transport|NOx|Infant mortality", US_national_yearly!$D:$AM, 28, FALSE) / VLOOKUP("transport|NOx|Infant mortality", US_national_yearly!$D:$AM, 10, FALSE), 1)</f>
        <v>6.6283595670743325E-7</v>
      </c>
      <c r="U3" s="7">
        <f>$B3 * IFERROR(VLOOKUP("transport|NOx|Infant mortality", US_national_yearly!$D:$AM, 29, FALSE) / VLOOKUP("transport|NOx|Infant mortality", US_national_yearly!$D:$AM, 10, FALSE), 1)</f>
        <v>6.5881413702559912E-7</v>
      </c>
      <c r="V3" s="7">
        <f>$B3 * IFERROR(VLOOKUP("transport|NOx|Infant mortality", US_national_yearly!$D:$AM, 30, FALSE) / VLOOKUP("transport|NOx|Infant mortality", US_national_yearly!$D:$AM, 10, FALSE), 1)</f>
        <v>6.5479231734376508E-7</v>
      </c>
      <c r="W3" s="7">
        <f>$B3 * IFERROR(VLOOKUP("transport|NOx|Infant mortality", US_national_yearly!$D:$AM, 31, FALSE) / VLOOKUP("transport|NOx|Infant mortality", US_national_yearly!$D:$AM, 10, FALSE), 1)</f>
        <v>6.5077049766193094E-7</v>
      </c>
      <c r="X3" s="7">
        <f>$B3 * IFERROR(VLOOKUP("transport|NOx|Infant mortality", US_national_yearly!$D:$AM, 32, FALSE) / VLOOKUP("transport|NOx|Infant mortality", US_national_yearly!$D:$AM, 10, FALSE), 1)</f>
        <v>6.4651119613160672E-7</v>
      </c>
      <c r="Y3" s="7">
        <f>$B3 * IFERROR(VLOOKUP("transport|NOx|Infant mortality", US_national_yearly!$D:$AM, 33, FALSE) / VLOOKUP("transport|NOx|Infant mortality", US_national_yearly!$D:$AM, 10, FALSE), 1)</f>
        <v>6.422518946012825E-7</v>
      </c>
      <c r="Z3" s="7">
        <f>$B3 * IFERROR(VLOOKUP("transport|NOx|Infant mortality", US_national_yearly!$D:$AM, 34, FALSE) / VLOOKUP("transport|NOx|Infant mortality", US_national_yearly!$D:$AM, 10, FALSE), 1)</f>
        <v>6.3799259307095817E-7</v>
      </c>
      <c r="AA3" s="7">
        <f>$B3 * IFERROR(VLOOKUP("transport|NOx|Infant mortality", US_national_yearly!$D:$AM, 35, FALSE) / VLOOKUP("transport|NOx|Infant mortality", US_national_yearly!$D:$AM, 10, FALSE), 1)</f>
        <v>6.3373329154063384E-7</v>
      </c>
      <c r="AB3" s="7">
        <f>$B3 * IFERROR(VLOOKUP("transport|NOx|Infant mortality", US_national_yearly!$D:$AM, 36, FALSE) / VLOOKUP("transport|NOx|Infant mortality", US_national_yearly!$D:$AM, 10, FALSE), 1)</f>
        <v>6.2947399001030961E-7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3.0181330486139832E-3</v>
      </c>
      <c r="C6" s="7">
        <f>$B6 * IFERROR(VLOOKUP("transport|NOx|Asthma symptoms cough", US_national_yearly!$D:$AM, 11, FALSE) / VLOOKUP("transport|NOx|Asthma symptoms cough", US_national_yearly!$D:$AM, 10, FALSE), 1)</f>
        <v>3.0593958618407423E-3</v>
      </c>
      <c r="D6" s="7">
        <f>$B6 * IFERROR(VLOOKUP("transport|NOx|Asthma symptoms cough", US_national_yearly!$D:$AM, 12, FALSE) / VLOOKUP("transport|NOx|Asthma symptoms cough", US_national_yearly!$D:$AM, 10, FALSE), 1)</f>
        <v>3.1006586750675015E-3</v>
      </c>
      <c r="E6" s="7">
        <f>$B6 * IFERROR(VLOOKUP("transport|NOx|Asthma symptoms cough", US_national_yearly!$D:$AM, 13, FALSE) / VLOOKUP("transport|NOx|Asthma symptoms cough", US_national_yearly!$D:$AM, 10, FALSE), 1)</f>
        <v>3.1419214882942607E-3</v>
      </c>
      <c r="F6" s="7">
        <f>$B6 * IFERROR(VLOOKUP("transport|NOx|Asthma symptoms cough", US_national_yearly!$D:$AM, 14, FALSE) / VLOOKUP("transport|NOx|Asthma symptoms cough", US_national_yearly!$D:$AM, 10, FALSE), 1)</f>
        <v>3.1831843015210195E-3</v>
      </c>
      <c r="G6" s="7">
        <f>$B6 * IFERROR(VLOOKUP("transport|NOx|Asthma symptoms cough", US_national_yearly!$D:$AM, 15, FALSE) / VLOOKUP("transport|NOx|Asthma symptoms cough", US_national_yearly!$D:$AM, 10, FALSE), 1)</f>
        <v>3.216126891793993E-3</v>
      </c>
      <c r="H6" s="7">
        <f>$B6 * IFERROR(VLOOKUP("transport|NOx|Asthma symptoms cough", US_national_yearly!$D:$AM, 16, FALSE) / VLOOKUP("transport|NOx|Asthma symptoms cough", US_national_yearly!$D:$AM, 10, FALSE), 1)</f>
        <v>3.2490694820669665E-3</v>
      </c>
      <c r="I6" s="7">
        <f>$B6 * IFERROR(VLOOKUP("transport|NOx|Asthma symptoms cough", US_national_yearly!$D:$AM, 17, FALSE) / VLOOKUP("transport|NOx|Asthma symptoms cough", US_national_yearly!$D:$AM, 10, FALSE), 1)</f>
        <v>3.260407850699846E-3</v>
      </c>
      <c r="J6" s="7">
        <f>$B6 * IFERROR(VLOOKUP("transport|NOx|Asthma symptoms cough", US_national_yearly!$D:$AM, 18, FALSE) / VLOOKUP("transport|NOx|Asthma symptoms cough", US_national_yearly!$D:$AM, 10, FALSE), 1)</f>
        <v>3.2717462193327259E-3</v>
      </c>
      <c r="K6" s="7">
        <f>$B6 * IFERROR(VLOOKUP("transport|NOx|Asthma symptoms cough", US_national_yearly!$D:$AM, 19, FALSE) / VLOOKUP("transport|NOx|Asthma symptoms cough", US_national_yearly!$D:$AM, 10, FALSE), 1)</f>
        <v>3.2830845879656054E-3</v>
      </c>
      <c r="L6" s="7">
        <f>$B6 * IFERROR(VLOOKUP("transport|NOx|Asthma symptoms cough", US_national_yearly!$D:$AM, 20, FALSE) / VLOOKUP("transport|NOx|Asthma symptoms cough", US_national_yearly!$D:$AM, 10, FALSE), 1)</f>
        <v>3.2944229565984844E-3</v>
      </c>
      <c r="M6" s="7">
        <f>$B6 * IFERROR(VLOOKUP("transport|NOx|Asthma symptoms cough", US_national_yearly!$D:$AM, 21, FALSE) / VLOOKUP("transport|NOx|Asthma symptoms cough", US_national_yearly!$D:$AM, 10, FALSE), 1)</f>
        <v>3.3057613252313644E-3</v>
      </c>
      <c r="N6" s="7">
        <f>$B6 * IFERROR(VLOOKUP("transport|NOx|Asthma symptoms cough", US_national_yearly!$D:$AM, 22, FALSE) / VLOOKUP("transport|NOx|Asthma symptoms cough", US_national_yearly!$D:$AM, 10, FALSE), 1)</f>
        <v>3.3189090079985425E-3</v>
      </c>
      <c r="O6" s="7">
        <f>$B6 * IFERROR(VLOOKUP("transport|NOx|Asthma symptoms cough", US_national_yearly!$D:$AM, 23, FALSE) / VLOOKUP("transport|NOx|Asthma symptoms cough", US_national_yearly!$D:$AM, 10, FALSE), 1)</f>
        <v>3.3320566907657201E-3</v>
      </c>
      <c r="P6" s="7">
        <f>$B6 * IFERROR(VLOOKUP("transport|NOx|Asthma symptoms cough", US_national_yearly!$D:$AM, 24, FALSE) / VLOOKUP("transport|NOx|Asthma symptoms cough", US_national_yearly!$D:$AM, 10, FALSE), 1)</f>
        <v>3.3452043735328978E-3</v>
      </c>
      <c r="Q6" s="7">
        <f>$B6 * IFERROR(VLOOKUP("transport|NOx|Asthma symptoms cough", US_national_yearly!$D:$AM, 25, FALSE) / VLOOKUP("transport|NOx|Asthma symptoms cough", US_national_yearly!$D:$AM, 10, FALSE), 1)</f>
        <v>3.3583520563000764E-3</v>
      </c>
      <c r="R6" s="7">
        <f>$B6 * IFERROR(VLOOKUP("transport|NOx|Asthma symptoms cough", US_national_yearly!$D:$AM, 26, FALSE) / VLOOKUP("transport|NOx|Asthma symptoms cough", US_national_yearly!$D:$AM, 10, FALSE), 1)</f>
        <v>3.371499739067254E-3</v>
      </c>
      <c r="S6" s="7">
        <f>$B6 * IFERROR(VLOOKUP("transport|NOx|Asthma symptoms cough", US_national_yearly!$D:$AM, 27, FALSE) / VLOOKUP("transport|NOx|Asthma symptoms cough", US_national_yearly!$D:$AM, 10, FALSE), 1)</f>
        <v>3.3886748002671203E-3</v>
      </c>
      <c r="T6" s="7">
        <f>$B6 * IFERROR(VLOOKUP("transport|NOx|Asthma symptoms cough", US_national_yearly!$D:$AM, 28, FALSE) / VLOOKUP("transport|NOx|Asthma symptoms cough", US_national_yearly!$D:$AM, 10, FALSE), 1)</f>
        <v>3.4058498614669861E-3</v>
      </c>
      <c r="U6" s="7">
        <f>$B6 * IFERROR(VLOOKUP("transport|NOx|Asthma symptoms cough", US_national_yearly!$D:$AM, 29, FALSE) / VLOOKUP("transport|NOx|Asthma symptoms cough", US_national_yearly!$D:$AM, 10, FALSE), 1)</f>
        <v>3.4230249226668511E-3</v>
      </c>
      <c r="V6" s="7">
        <f>$B6 * IFERROR(VLOOKUP("transport|NOx|Asthma symptoms cough", US_national_yearly!$D:$AM, 30, FALSE) / VLOOKUP("transport|NOx|Asthma symptoms cough", US_national_yearly!$D:$AM, 10, FALSE), 1)</f>
        <v>3.4401999838667178E-3</v>
      </c>
      <c r="W6" s="7">
        <f>$B6 * IFERROR(VLOOKUP("transport|NOx|Asthma symptoms cough", US_national_yearly!$D:$AM, 31, FALSE) / VLOOKUP("transport|NOx|Asthma symptoms cough", US_national_yearly!$D:$AM, 10, FALSE), 1)</f>
        <v>3.4573750450665837E-3</v>
      </c>
      <c r="X6" s="7">
        <f>$B6 * IFERROR(VLOOKUP("transport|NOx|Asthma symptoms cough", US_national_yearly!$D:$AM, 32, FALSE) / VLOOKUP("transport|NOx|Asthma symptoms cough", US_national_yearly!$D:$AM, 10, FALSE), 1)</f>
        <v>3.4733331447293343E-3</v>
      </c>
      <c r="Y6" s="7">
        <f>$B6 * IFERROR(VLOOKUP("transport|NOx|Asthma symptoms cough", US_national_yearly!$D:$AM, 33, FALSE) / VLOOKUP("transport|NOx|Asthma symptoms cough", US_national_yearly!$D:$AM, 10, FALSE), 1)</f>
        <v>3.4892912443920845E-3</v>
      </c>
      <c r="Z6" s="7">
        <f>$B6 * IFERROR(VLOOKUP("transport|NOx|Asthma symptoms cough", US_national_yearly!$D:$AM, 34, FALSE) / VLOOKUP("transport|NOx|Asthma symptoms cough", US_national_yearly!$D:$AM, 10, FALSE), 1)</f>
        <v>3.5052493440548352E-3</v>
      </c>
      <c r="AA6" s="7">
        <f>$B6 * IFERROR(VLOOKUP("transport|NOx|Asthma symptoms cough", US_national_yearly!$D:$AM, 35, FALSE) / VLOOKUP("transport|NOx|Asthma symptoms cough", US_national_yearly!$D:$AM, 10, FALSE), 1)</f>
        <v>3.5212074437175858E-3</v>
      </c>
      <c r="AB6" s="7">
        <f>$B6 * IFERROR(VLOOKUP("transport|NOx|Asthma symptoms cough", US_national_yearly!$D:$AM, 36, FALSE) / VLOOKUP("transport|NOx|Asthma symptoms cough", US_national_yearly!$D:$AM, 10, FALSE), 1)</f>
        <v>3.5371655433803369E-3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4.0642966594013853E-3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4.1198622395539368E-3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4.1754278197064865E-3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4.230993399859038E-3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4.2865589800115886E-3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4.3309203309596193E-3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4.3752816819076492E-3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4.3905502246491005E-3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4.4058187673905519E-3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4.4210873101320032E-3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4.4363558528734545E-3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4.4516243956149058E-3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4.4693294079902407E-3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4.4870344203655765E-3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4.5047394327409115E-3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4.5224444451162464E-3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4.5401494574915822E-3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4.563277842723242E-3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4.5864062279549027E-3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4.6095346131865616E-3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4.6326629984182206E-3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4.6557913836498804E-3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4.6772809767306311E-3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4.6987705698113827E-3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4.7202601628921351E-3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4.7417497559728858E-3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4.7632393490536374E-3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6.2097613310529839E-3</v>
      </c>
      <c r="C8" s="7">
        <f>$B8 * IFERROR(VLOOKUP("transport|NOx|Asthma symptoms wheeze", US_national_yearly!$D:$AM, 11, FALSE) / VLOOKUP("transport|NOx|Asthma symptoms wheeze", US_national_yearly!$D:$AM, 10, FALSE), 1)</f>
        <v>6.2946589211234387E-3</v>
      </c>
      <c r="D8" s="7">
        <f>$B8 * IFERROR(VLOOKUP("transport|NOx|Asthma symptoms wheeze", US_national_yearly!$D:$AM, 12, FALSE) / VLOOKUP("transport|NOx|Asthma symptoms wheeze", US_national_yearly!$D:$AM, 10, FALSE), 1)</f>
        <v>6.379556511193896E-3</v>
      </c>
      <c r="E8" s="7">
        <f>$B8 * IFERROR(VLOOKUP("transport|NOx|Asthma symptoms wheeze", US_national_yearly!$D:$AM, 13, FALSE) / VLOOKUP("transport|NOx|Asthma symptoms wheeze", US_national_yearly!$D:$AM, 10, FALSE), 1)</f>
        <v>6.4644541012643508E-3</v>
      </c>
      <c r="F8" s="7">
        <f>$B8 * IFERROR(VLOOKUP("transport|NOx|Asthma symptoms wheeze", US_national_yearly!$D:$AM, 14, FALSE) / VLOOKUP("transport|NOx|Asthma symptoms wheeze", US_national_yearly!$D:$AM, 10, FALSE), 1)</f>
        <v>6.5493516913348046E-3</v>
      </c>
      <c r="G8" s="7">
        <f>$B8 * IFERROR(VLOOKUP("transport|NOx|Asthma symptoms wheeze", US_national_yearly!$D:$AM, 15, FALSE) / VLOOKUP("transport|NOx|Asthma symptoms wheeze", US_national_yearly!$D:$AM, 10, FALSE), 1)</f>
        <v>6.6171305534198479E-3</v>
      </c>
      <c r="H8" s="7">
        <f>$B8 * IFERROR(VLOOKUP("transport|NOx|Asthma symptoms wheeze", US_national_yearly!$D:$AM, 16, FALSE) / VLOOKUP("transport|NOx|Asthma symptoms wheeze", US_national_yearly!$D:$AM, 10, FALSE), 1)</f>
        <v>6.6849094155048902E-3</v>
      </c>
      <c r="I8" s="7">
        <f>$B8 * IFERROR(VLOOKUP("transport|NOx|Asthma symptoms wheeze", US_national_yearly!$D:$AM, 17, FALSE) / VLOOKUP("transport|NOx|Asthma symptoms wheeze", US_national_yearly!$D:$AM, 10, FALSE), 1)</f>
        <v>6.7082379309709641E-3</v>
      </c>
      <c r="J8" s="7">
        <f>$B8 * IFERROR(VLOOKUP("transport|NOx|Asthma symptoms wheeze", US_national_yearly!$D:$AM, 18, FALSE) / VLOOKUP("transport|NOx|Asthma symptoms wheeze", US_national_yearly!$D:$AM, 10, FALSE), 1)</f>
        <v>6.7315664464370397E-3</v>
      </c>
      <c r="K8" s="7">
        <f>$B8 * IFERROR(VLOOKUP("transport|NOx|Asthma symptoms wheeze", US_national_yearly!$D:$AM, 19, FALSE) / VLOOKUP("transport|NOx|Asthma symptoms wheeze", US_national_yearly!$D:$AM, 10, FALSE), 1)</f>
        <v>6.7548949619031119E-3</v>
      </c>
      <c r="L8" s="7">
        <f>$B8 * IFERROR(VLOOKUP("transport|NOx|Asthma symptoms wheeze", US_national_yearly!$D:$AM, 20, FALSE) / VLOOKUP("transport|NOx|Asthma symptoms wheeze", US_national_yearly!$D:$AM, 10, FALSE), 1)</f>
        <v>6.7782234773691875E-3</v>
      </c>
      <c r="M8" s="7">
        <f>$B8 * IFERROR(VLOOKUP("transport|NOx|Asthma symptoms wheeze", US_national_yearly!$D:$AM, 21, FALSE) / VLOOKUP("transport|NOx|Asthma symptoms wheeze", US_national_yearly!$D:$AM, 10, FALSE), 1)</f>
        <v>6.8015519928352614E-3</v>
      </c>
      <c r="N8" s="7">
        <f>$B8 * IFERROR(VLOOKUP("transport|NOx|Asthma symptoms wheeze", US_national_yearly!$D:$AM, 22, FALSE) / VLOOKUP("transport|NOx|Asthma symptoms wheeze", US_national_yearly!$D:$AM, 10, FALSE), 1)</f>
        <v>6.8286031437398186E-3</v>
      </c>
      <c r="O8" s="7">
        <f>$B8 * IFERROR(VLOOKUP("transport|NOx|Asthma symptoms wheeze", US_national_yearly!$D:$AM, 23, FALSE) / VLOOKUP("transport|NOx|Asthma symptoms wheeze", US_national_yearly!$D:$AM, 10, FALSE), 1)</f>
        <v>6.8556542946443767E-3</v>
      </c>
      <c r="P8" s="7">
        <f>$B8 * IFERROR(VLOOKUP("transport|NOx|Asthma symptoms wheeze", US_national_yearly!$D:$AM, 24, FALSE) / VLOOKUP("transport|NOx|Asthma symptoms wheeze", US_national_yearly!$D:$AM, 10, FALSE), 1)</f>
        <v>6.8827054455489339E-3</v>
      </c>
      <c r="Q8" s="7">
        <f>$B8 * IFERROR(VLOOKUP("transport|NOx|Asthma symptoms wheeze", US_national_yearly!$D:$AM, 25, FALSE) / VLOOKUP("transport|NOx|Asthma symptoms wheeze", US_national_yearly!$D:$AM, 10, FALSE), 1)</f>
        <v>6.9097565964534929E-3</v>
      </c>
      <c r="R8" s="7">
        <f>$B8 * IFERROR(VLOOKUP("transport|NOx|Asthma symptoms wheeze", US_national_yearly!$D:$AM, 26, FALSE) / VLOOKUP("transport|NOx|Asthma symptoms wheeze", US_national_yearly!$D:$AM, 10, FALSE), 1)</f>
        <v>6.9368077473580493E-3</v>
      </c>
      <c r="S8" s="7">
        <f>$B8 * IFERROR(VLOOKUP("transport|NOx|Asthma symptoms wheeze", US_national_yearly!$D:$AM, 27, FALSE) / VLOOKUP("transport|NOx|Asthma symptoms wheeze", US_national_yearly!$D:$AM, 10, FALSE), 1)</f>
        <v>6.9721451661461896E-3</v>
      </c>
      <c r="T8" s="7">
        <f>$B8 * IFERROR(VLOOKUP("transport|NOx|Asthma symptoms wheeze", US_national_yearly!$D:$AM, 28, FALSE) / VLOOKUP("transport|NOx|Asthma symptoms wheeze", US_national_yearly!$D:$AM, 10, FALSE), 1)</f>
        <v>7.007482584934329E-3</v>
      </c>
      <c r="U8" s="7">
        <f>$B8 * IFERROR(VLOOKUP("transport|NOx|Asthma symptoms wheeze", US_national_yearly!$D:$AM, 29, FALSE) / VLOOKUP("transport|NOx|Asthma symptoms wheeze", US_national_yearly!$D:$AM, 10, FALSE), 1)</f>
        <v>7.0428200037224685E-3</v>
      </c>
      <c r="V8" s="7">
        <f>$B8 * IFERROR(VLOOKUP("transport|NOx|Asthma symptoms wheeze", US_national_yearly!$D:$AM, 30, FALSE) / VLOOKUP("transport|NOx|Asthma symptoms wheeze", US_national_yearly!$D:$AM, 10, FALSE), 1)</f>
        <v>7.0781574225106097E-3</v>
      </c>
      <c r="W8" s="7">
        <f>$B8 * IFERROR(VLOOKUP("transport|NOx|Asthma symptoms wheeze", US_national_yearly!$D:$AM, 31, FALSE) / VLOOKUP("transport|NOx|Asthma symptoms wheeze", US_national_yearly!$D:$AM, 10, FALSE), 1)</f>
        <v>7.1134948412987483E-3</v>
      </c>
      <c r="X8" s="7">
        <f>$B8 * IFERROR(VLOOKUP("transport|NOx|Asthma symptoms wheeze", US_national_yearly!$D:$AM, 32, FALSE) / VLOOKUP("transport|NOx|Asthma symptoms wheeze", US_national_yearly!$D:$AM, 10, FALSE), 1)</f>
        <v>7.1463283808181474E-3</v>
      </c>
      <c r="Y8" s="7">
        <f>$B8 * IFERROR(VLOOKUP("transport|NOx|Asthma symptoms wheeze", US_national_yearly!$D:$AM, 33, FALSE) / VLOOKUP("transport|NOx|Asthma symptoms wheeze", US_national_yearly!$D:$AM, 10, FALSE), 1)</f>
        <v>7.1791619203375448E-3</v>
      </c>
      <c r="Z8" s="7">
        <f>$B8 * IFERROR(VLOOKUP("transport|NOx|Asthma symptoms wheeze", US_national_yearly!$D:$AM, 34, FALSE) / VLOOKUP("transport|NOx|Asthma symptoms wheeze", US_national_yearly!$D:$AM, 10, FALSE), 1)</f>
        <v>7.2119954598569439E-3</v>
      </c>
      <c r="AA8" s="7">
        <f>$B8 * IFERROR(VLOOKUP("transport|NOx|Asthma symptoms wheeze", US_national_yearly!$D:$AM, 35, FALSE) / VLOOKUP("transport|NOx|Asthma symptoms wheeze", US_national_yearly!$D:$AM, 10, FALSE), 1)</f>
        <v>7.2448289993763413E-3</v>
      </c>
      <c r="AB8" s="7">
        <f>$B8 * IFERROR(VLOOKUP("transport|NOx|Asthma symptoms wheeze", US_national_yearly!$D:$AM, 36, FALSE) / VLOOKUP("transport|NOx|Asthma symptoms wheeze", US_national_yearly!$D:$AM, 10, FALSE), 1)</f>
        <v>7.2776625388957404E-3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9.7112416713850412E-5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9.9534853387235836E-5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1.0195729006062129E-4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1.0437972673400674E-4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1.0680216340739219E-4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1.0911809531707858E-4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1.1143402722676497E-4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1.1340030102883053E-4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1.1536657483089608E-4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1.1733284863296164E-4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1.192991224350272E-4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1.2126539623709276E-4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1.2257988567566697E-4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1.238943751142412E-4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1.252088645528154E-4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1.2652335399138964E-4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1.2783784342996387E-4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1.2854211125261396E-4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1.2924637907526403E-4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1.2995064689791413E-4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1.306549147205642E-4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1.3135918254321432E-4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1.3184045810399567E-4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1.3232173366477701E-4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1.3280300922555838E-4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1.3328428478633973E-4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1.3376556034712107E-4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5.3093516859985485E-4</v>
      </c>
      <c r="C13" s="7">
        <f>$B13 * IFERROR(VLOOKUP("transport|NOx|Non-fatal heart attacks", US_national_yearly!$D:$AM, 11, FALSE) / VLOOKUP("transport|NOx|Non-fatal heart attacks", US_national_yearly!$D:$AM, 10, FALSE), 1)</f>
        <v>5.4611413728639546E-4</v>
      </c>
      <c r="D13" s="7">
        <f>$B13 * IFERROR(VLOOKUP("transport|NOx|Non-fatal heart attacks", US_national_yearly!$D:$AM, 12, FALSE) / VLOOKUP("transport|NOx|Non-fatal heart attacks", US_national_yearly!$D:$AM, 10, FALSE), 1)</f>
        <v>5.6129310597293608E-4</v>
      </c>
      <c r="E13" s="7">
        <f>$B13 * IFERROR(VLOOKUP("transport|NOx|Non-fatal heart attacks", US_national_yearly!$D:$AM, 13, FALSE) / VLOOKUP("transport|NOx|Non-fatal heart attacks", US_national_yearly!$D:$AM, 10, FALSE), 1)</f>
        <v>5.7647207465947659E-4</v>
      </c>
      <c r="F13" s="7">
        <f>$B13 * IFERROR(VLOOKUP("transport|NOx|Non-fatal heart attacks", US_national_yearly!$D:$AM, 14, FALSE) / VLOOKUP("transport|NOx|Non-fatal heart attacks", US_national_yearly!$D:$AM, 10, FALSE), 1)</f>
        <v>5.9165104334601721E-4</v>
      </c>
      <c r="G13" s="7">
        <f>$B13 * IFERROR(VLOOKUP("transport|NOx|Non-fatal heart attacks", US_national_yearly!$D:$AM, 15, FALSE) / VLOOKUP("transport|NOx|Non-fatal heart attacks", US_national_yearly!$D:$AM, 10, FALSE), 1)</f>
        <v>6.0583575803642366E-4</v>
      </c>
      <c r="H13" s="7">
        <f>$B13 * IFERROR(VLOOKUP("transport|NOx|Non-fatal heart attacks", US_national_yearly!$D:$AM, 16, FALSE) / VLOOKUP("transport|NOx|Non-fatal heart attacks", US_national_yearly!$D:$AM, 10, FALSE), 1)</f>
        <v>6.2002047272683011E-4</v>
      </c>
      <c r="I13" s="7">
        <f>$B13 * IFERROR(VLOOKUP("transport|NOx|Non-fatal heart attacks", US_national_yearly!$D:$AM, 17, FALSE) / VLOOKUP("transport|NOx|Non-fatal heart attacks", US_national_yearly!$D:$AM, 10, FALSE), 1)</f>
        <v>6.3120349879250653E-4</v>
      </c>
      <c r="J13" s="7">
        <f>$B13 * IFERROR(VLOOKUP("transport|NOx|Non-fatal heart attacks", US_national_yearly!$D:$AM, 18, FALSE) / VLOOKUP("transport|NOx|Non-fatal heart attacks", US_national_yearly!$D:$AM, 10, FALSE), 1)</f>
        <v>6.4238652485818306E-4</v>
      </c>
      <c r="K13" s="7">
        <f>$B13 * IFERROR(VLOOKUP("transport|NOx|Non-fatal heart attacks", US_national_yearly!$D:$AM, 19, FALSE) / VLOOKUP("transport|NOx|Non-fatal heart attacks", US_national_yearly!$D:$AM, 10, FALSE), 1)</f>
        <v>6.5356955092385905E-4</v>
      </c>
      <c r="L13" s="7">
        <f>$B13 * IFERROR(VLOOKUP("transport|NOx|Non-fatal heart attacks", US_national_yearly!$D:$AM, 20, FALSE) / VLOOKUP("transport|NOx|Non-fatal heart attacks", US_national_yearly!$D:$AM, 10, FALSE), 1)</f>
        <v>6.6475257698953602E-4</v>
      </c>
      <c r="M13" s="7">
        <f>$B13 * IFERROR(VLOOKUP("transport|NOx|Non-fatal heart attacks", US_national_yearly!$D:$AM, 21, FALSE) / VLOOKUP("transport|NOx|Non-fatal heart attacks", US_national_yearly!$D:$AM, 10, FALSE), 1)</f>
        <v>6.7593560305521233E-4</v>
      </c>
      <c r="N13" s="7">
        <f>$B13 * IFERROR(VLOOKUP("transport|NOx|Non-fatal heart attacks", US_national_yearly!$D:$AM, 22, FALSE) / VLOOKUP("transport|NOx|Non-fatal heart attacks", US_national_yearly!$D:$AM, 10, FALSE), 1)</f>
        <v>6.8266365067923252E-4</v>
      </c>
      <c r="O13" s="7">
        <f>$B13 * IFERROR(VLOOKUP("transport|NOx|Non-fatal heart attacks", US_national_yearly!$D:$AM, 23, FALSE) / VLOOKUP("transport|NOx|Non-fatal heart attacks", US_national_yearly!$D:$AM, 10, FALSE), 1)</f>
        <v>6.8939169830325281E-4</v>
      </c>
      <c r="P13" s="7">
        <f>$B13 * IFERROR(VLOOKUP("transport|NOx|Non-fatal heart attacks", US_national_yearly!$D:$AM, 24, FALSE) / VLOOKUP("transport|NOx|Non-fatal heart attacks", US_national_yearly!$D:$AM, 10, FALSE), 1)</f>
        <v>6.96119745927273E-4</v>
      </c>
      <c r="Q13" s="7">
        <f>$B13 * IFERROR(VLOOKUP("transport|NOx|Non-fatal heart attacks", US_national_yearly!$D:$AM, 25, FALSE) / VLOOKUP("transport|NOx|Non-fatal heart attacks", US_national_yearly!$D:$AM, 10, FALSE), 1)</f>
        <v>7.028477935512934E-4</v>
      </c>
      <c r="R13" s="7">
        <f>$B13 * IFERROR(VLOOKUP("transport|NOx|Non-fatal heart attacks", US_national_yearly!$D:$AM, 26, FALSE) / VLOOKUP("transport|NOx|Non-fatal heart attacks", US_national_yearly!$D:$AM, 10, FALSE), 1)</f>
        <v>7.095758411753137E-4</v>
      </c>
      <c r="S13" s="7">
        <f>$B13 * IFERROR(VLOOKUP("transport|NOx|Non-fatal heart attacks", US_national_yearly!$D:$AM, 27, FALSE) / VLOOKUP("transport|NOx|Non-fatal heart attacks", US_national_yearly!$D:$AM, 10, FALSE), 1)</f>
        <v>7.1262773011124953E-4</v>
      </c>
      <c r="T13" s="7">
        <f>$B13 * IFERROR(VLOOKUP("transport|NOx|Non-fatal heart attacks", US_national_yearly!$D:$AM, 28, FALSE) / VLOOKUP("transport|NOx|Non-fatal heart attacks", US_national_yearly!$D:$AM, 10, FALSE), 1)</f>
        <v>7.1567961904718546E-4</v>
      </c>
      <c r="U13" s="7">
        <f>$B13 * IFERROR(VLOOKUP("transport|NOx|Non-fatal heart attacks", US_national_yearly!$D:$AM, 29, FALSE) / VLOOKUP("transport|NOx|Non-fatal heart attacks", US_national_yearly!$D:$AM, 10, FALSE), 1)</f>
        <v>7.1873150798312129E-4</v>
      </c>
      <c r="V13" s="7">
        <f>$B13 * IFERROR(VLOOKUP("transport|NOx|Non-fatal heart attacks", US_national_yearly!$D:$AM, 30, FALSE) / VLOOKUP("transport|NOx|Non-fatal heart attacks", US_national_yearly!$D:$AM, 10, FALSE), 1)</f>
        <v>7.2178339691905723E-4</v>
      </c>
      <c r="W13" s="7">
        <f>$B13 * IFERROR(VLOOKUP("transport|NOx|Non-fatal heart attacks", US_national_yearly!$D:$AM, 31, FALSE) / VLOOKUP("transport|NOx|Non-fatal heart attacks", US_national_yearly!$D:$AM, 10, FALSE), 1)</f>
        <v>7.2483528585499306E-4</v>
      </c>
      <c r="X13" s="7">
        <f>$B13 * IFERROR(VLOOKUP("transport|NOx|Non-fatal heart attacks", US_national_yearly!$D:$AM, 32, FALSE) / VLOOKUP("transport|NOx|Non-fatal heart attacks", US_national_yearly!$D:$AM, 10, FALSE), 1)</f>
        <v>7.2687471862691987E-4</v>
      </c>
      <c r="Y13" s="7">
        <f>$B13 * IFERROR(VLOOKUP("transport|NOx|Non-fatal heart attacks", US_national_yearly!$D:$AM, 33, FALSE) / VLOOKUP("transport|NOx|Non-fatal heart attacks", US_national_yearly!$D:$AM, 10, FALSE), 1)</f>
        <v>7.289141513988468E-4</v>
      </c>
      <c r="Z13" s="7">
        <f>$B13 * IFERROR(VLOOKUP("transport|NOx|Non-fatal heart attacks", US_national_yearly!$D:$AM, 34, FALSE) / VLOOKUP("transport|NOx|Non-fatal heart attacks", US_national_yearly!$D:$AM, 10, FALSE), 1)</f>
        <v>7.309535841707735E-4</v>
      </c>
      <c r="AA13" s="7">
        <f>$B13 * IFERROR(VLOOKUP("transport|NOx|Non-fatal heart attacks", US_national_yearly!$D:$AM, 35, FALSE) / VLOOKUP("transport|NOx|Non-fatal heart attacks", US_national_yearly!$D:$AM, 10, FALSE), 1)</f>
        <v>7.3299301694270032E-4</v>
      </c>
      <c r="AB13" s="7">
        <f>$B13 * IFERROR(VLOOKUP("transport|NOx|Non-fatal heart attacks", US_national_yearly!$D:$AM, 36, FALSE) / VLOOKUP("transport|NOx|Non-fatal heart attacks", US_national_yearly!$D:$AM, 10, FALSE), 1)</f>
        <v>7.3503244971462724E-4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0.41195821228468782</v>
      </c>
      <c r="C14" s="7">
        <f>$B14 * IFERROR(VLOOKUP("transport|NOx|Minor restricted activity days", US_national_yearly!$D:$AM, 11, FALSE) / VLOOKUP("transport|NOx|Minor restricted activity days", US_national_yearly!$D:$AM, 10, FALSE), 1)</f>
        <v>0.41258981335837991</v>
      </c>
      <c r="D14" s="7">
        <f>$B14 * IFERROR(VLOOKUP("transport|NOx|Minor restricted activity days", US_national_yearly!$D:$AM, 12, FALSE) / VLOOKUP("transport|NOx|Minor restricted activity days", US_national_yearly!$D:$AM, 10, FALSE), 1)</f>
        <v>0.41322141443207205</v>
      </c>
      <c r="E14" s="7">
        <f>$B14 * IFERROR(VLOOKUP("transport|NOx|Minor restricted activity days", US_national_yearly!$D:$AM, 13, FALSE) / VLOOKUP("transport|NOx|Minor restricted activity days", US_national_yearly!$D:$AM, 10, FALSE), 1)</f>
        <v>0.4138530155057642</v>
      </c>
      <c r="F14" s="7">
        <f>$B14 * IFERROR(VLOOKUP("transport|NOx|Minor restricted activity days", US_national_yearly!$D:$AM, 14, FALSE) / VLOOKUP("transport|NOx|Minor restricted activity days", US_national_yearly!$D:$AM, 10, FALSE), 1)</f>
        <v>0.41448461657945629</v>
      </c>
      <c r="G14" s="7">
        <f>$B14 * IFERROR(VLOOKUP("transport|NOx|Minor restricted activity days", US_national_yearly!$D:$AM, 15, FALSE) / VLOOKUP("transport|NOx|Minor restricted activity days", US_national_yearly!$D:$AM, 10, FALSE), 1)</f>
        <v>0.41562513778457072</v>
      </c>
      <c r="H14" s="7">
        <f>$B14 * IFERROR(VLOOKUP("transport|NOx|Minor restricted activity days", US_national_yearly!$D:$AM, 16, FALSE) / VLOOKUP("transport|NOx|Minor restricted activity days", US_national_yearly!$D:$AM, 10, FALSE), 1)</f>
        <v>0.41676565898968504</v>
      </c>
      <c r="I14" s="7">
        <f>$B14 * IFERROR(VLOOKUP("transport|NOx|Minor restricted activity days", US_national_yearly!$D:$AM, 17, FALSE) / VLOOKUP("transport|NOx|Minor restricted activity days", US_national_yearly!$D:$AM, 10, FALSE), 1)</f>
        <v>0.41899647336601353</v>
      </c>
      <c r="J14" s="7">
        <f>$B14 * IFERROR(VLOOKUP("transport|NOx|Minor restricted activity days", US_national_yearly!$D:$AM, 18, FALSE) / VLOOKUP("transport|NOx|Minor restricted activity days", US_national_yearly!$D:$AM, 10, FALSE), 1)</f>
        <v>0.42122728774234192</v>
      </c>
      <c r="K14" s="7">
        <f>$B14 * IFERROR(VLOOKUP("transport|NOx|Minor restricted activity days", US_national_yearly!$D:$AM, 19, FALSE) / VLOOKUP("transport|NOx|Minor restricted activity days", US_national_yearly!$D:$AM, 10, FALSE), 1)</f>
        <v>0.42345810211867041</v>
      </c>
      <c r="L14" s="7">
        <f>$B14 * IFERROR(VLOOKUP("transport|NOx|Minor restricted activity days", US_national_yearly!$D:$AM, 20, FALSE) / VLOOKUP("transport|NOx|Minor restricted activity days", US_national_yearly!$D:$AM, 10, FALSE), 1)</f>
        <v>0.42568891649499879</v>
      </c>
      <c r="M14" s="7">
        <f>$B14 * IFERROR(VLOOKUP("transport|NOx|Minor restricted activity days", US_national_yearly!$D:$AM, 21, FALSE) / VLOOKUP("transport|NOx|Minor restricted activity days", US_national_yearly!$D:$AM, 10, FALSE), 1)</f>
        <v>0.42791973087132729</v>
      </c>
      <c r="N14" s="7">
        <f>$B14 * IFERROR(VLOOKUP("transport|NOx|Minor restricted activity days", US_national_yearly!$D:$AM, 22, FALSE) / VLOOKUP("transport|NOx|Minor restricted activity days", US_national_yearly!$D:$AM, 10, FALSE), 1)</f>
        <v>0.43111375123202578</v>
      </c>
      <c r="O14" s="7">
        <f>$B14 * IFERROR(VLOOKUP("transport|NOx|Minor restricted activity days", US_national_yearly!$D:$AM, 23, FALSE) / VLOOKUP("transport|NOx|Minor restricted activity days", US_national_yearly!$D:$AM, 10, FALSE), 1)</f>
        <v>0.43430777159272421</v>
      </c>
      <c r="P14" s="7">
        <f>$B14 * IFERROR(VLOOKUP("transport|NOx|Minor restricted activity days", US_national_yearly!$D:$AM, 24, FALSE) / VLOOKUP("transport|NOx|Minor restricted activity days", US_national_yearly!$D:$AM, 10, FALSE), 1)</f>
        <v>0.43750179195342265</v>
      </c>
      <c r="Q14" s="7">
        <f>$B14 * IFERROR(VLOOKUP("transport|NOx|Minor restricted activity days", US_national_yearly!$D:$AM, 25, FALSE) / VLOOKUP("transport|NOx|Minor restricted activity days", US_national_yearly!$D:$AM, 10, FALSE), 1)</f>
        <v>0.44069581231412108</v>
      </c>
      <c r="R14" s="7">
        <f>$B14 * IFERROR(VLOOKUP("transport|NOx|Minor restricted activity days", US_national_yearly!$D:$AM, 26, FALSE) / VLOOKUP("transport|NOx|Minor restricted activity days", US_national_yearly!$D:$AM, 10, FALSE), 1)</f>
        <v>0.44388983267481957</v>
      </c>
      <c r="S14" s="7">
        <f>$B14 * IFERROR(VLOOKUP("transport|NOx|Minor restricted activity days", US_national_yearly!$D:$AM, 27, FALSE) / VLOOKUP("transport|NOx|Minor restricted activity days", US_national_yearly!$D:$AM, 10, FALSE), 1)</f>
        <v>0.44708318149957349</v>
      </c>
      <c r="T14" s="7">
        <f>$B14 * IFERROR(VLOOKUP("transport|NOx|Minor restricted activity days", US_national_yearly!$D:$AM, 28, FALSE) / VLOOKUP("transport|NOx|Minor restricted activity days", US_national_yearly!$D:$AM, 10, FALSE), 1)</f>
        <v>0.4502765303243273</v>
      </c>
      <c r="U14" s="7">
        <f>$B14 * IFERROR(VLOOKUP("transport|NOx|Minor restricted activity days", US_national_yearly!$D:$AM, 29, FALSE) / VLOOKUP("transport|NOx|Minor restricted activity days", US_national_yearly!$D:$AM, 10, FALSE), 1)</f>
        <v>0.45346987914908121</v>
      </c>
      <c r="V14" s="7">
        <f>$B14 * IFERROR(VLOOKUP("transport|NOx|Minor restricted activity days", US_national_yearly!$D:$AM, 30, FALSE) / VLOOKUP("transport|NOx|Minor restricted activity days", US_national_yearly!$D:$AM, 10, FALSE), 1)</f>
        <v>0.45666322797383513</v>
      </c>
      <c r="W14" s="7">
        <f>$B14 * IFERROR(VLOOKUP("transport|NOx|Minor restricted activity days", US_national_yearly!$D:$AM, 31, FALSE) / VLOOKUP("transport|NOx|Minor restricted activity days", US_national_yearly!$D:$AM, 10, FALSE), 1)</f>
        <v>0.45985657679858893</v>
      </c>
      <c r="X14" s="7">
        <f>$B14 * IFERROR(VLOOKUP("transport|NOx|Minor restricted activity days", US_national_yearly!$D:$AM, 32, FALSE) / VLOOKUP("transport|NOx|Minor restricted activity days", US_national_yearly!$D:$AM, 10, FALSE), 1)</f>
        <v>0.46255643157664483</v>
      </c>
      <c r="Y14" s="7">
        <f>$B14 * IFERROR(VLOOKUP("transport|NOx|Minor restricted activity days", US_national_yearly!$D:$AM, 33, FALSE) / VLOOKUP("transport|NOx|Minor restricted activity days", US_national_yearly!$D:$AM, 10, FALSE), 1)</f>
        <v>0.46525628635470068</v>
      </c>
      <c r="Z14" s="7">
        <f>$B14 * IFERROR(VLOOKUP("transport|NOx|Minor restricted activity days", US_national_yearly!$D:$AM, 34, FALSE) / VLOOKUP("transport|NOx|Minor restricted activity days", US_national_yearly!$D:$AM, 10, FALSE), 1)</f>
        <v>0.46795614113275658</v>
      </c>
      <c r="AA14" s="7">
        <f>$B14 * IFERROR(VLOOKUP("transport|NOx|Minor restricted activity days", US_national_yearly!$D:$AM, 35, FALSE) / VLOOKUP("transport|NOx|Minor restricted activity days", US_national_yearly!$D:$AM, 10, FALSE), 1)</f>
        <v>0.47065599591081242</v>
      </c>
      <c r="AB14" s="7">
        <f>$B14 * IFERROR(VLOOKUP("transport|NOx|Minor restricted activity days", US_national_yearly!$D:$AM, 36, FALSE) / VLOOKUP("transport|NOx|Minor restricted activity days", US_national_yearly!$D:$AM, 10, FALSE), 1)</f>
        <v>0.47335585068886832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6.9455288588292197E-2</v>
      </c>
      <c r="C15" s="7">
        <f>$B15 * IFERROR(VLOOKUP("transport|NOx|Work loss days", US_national_yearly!$D:$AM, 11, FALSE) / VLOOKUP("transport|NOx|Work loss days", US_national_yearly!$D:$AM, 10, FALSE), 1)</f>
        <v>6.9609788141298354E-2</v>
      </c>
      <c r="D15" s="7">
        <f>$B15 * IFERROR(VLOOKUP("transport|NOx|Work loss days", US_national_yearly!$D:$AM, 12, FALSE) / VLOOKUP("transport|NOx|Work loss days", US_national_yearly!$D:$AM, 10, FALSE), 1)</f>
        <v>6.9764287694304525E-2</v>
      </c>
      <c r="E15" s="7">
        <f>$B15 * IFERROR(VLOOKUP("transport|NOx|Work loss days", US_national_yearly!$D:$AM, 13, FALSE) / VLOOKUP("transport|NOx|Work loss days", US_national_yearly!$D:$AM, 10, FALSE), 1)</f>
        <v>6.9918787247310682E-2</v>
      </c>
      <c r="F15" s="7">
        <f>$B15 * IFERROR(VLOOKUP("transport|NOx|Work loss days", US_national_yearly!$D:$AM, 14, FALSE) / VLOOKUP("transport|NOx|Work loss days", US_national_yearly!$D:$AM, 10, FALSE), 1)</f>
        <v>7.0073286800316853E-2</v>
      </c>
      <c r="G15" s="7">
        <f>$B15 * IFERROR(VLOOKUP("transport|NOx|Work loss days", US_national_yearly!$D:$AM, 15, FALSE) / VLOOKUP("transport|NOx|Work loss days", US_national_yearly!$D:$AM, 10, FALSE), 1)</f>
        <v>7.0298857465655631E-2</v>
      </c>
      <c r="H15" s="7">
        <f>$B15 * IFERROR(VLOOKUP("transport|NOx|Work loss days", US_national_yearly!$D:$AM, 16, FALSE) / VLOOKUP("transport|NOx|Work loss days", US_national_yearly!$D:$AM, 10, FALSE), 1)</f>
        <v>7.0524428130994424E-2</v>
      </c>
      <c r="I15" s="7">
        <f>$B15 * IFERROR(VLOOKUP("transport|NOx|Work loss days", US_national_yearly!$D:$AM, 17, FALSE) / VLOOKUP("transport|NOx|Work loss days", US_national_yearly!$D:$AM, 10, FALSE), 1)</f>
        <v>7.0889840383766584E-2</v>
      </c>
      <c r="J15" s="7">
        <f>$B15 * IFERROR(VLOOKUP("transport|NOx|Work loss days", US_national_yearly!$D:$AM, 18, FALSE) / VLOOKUP("transport|NOx|Work loss days", US_national_yearly!$D:$AM, 10, FALSE), 1)</f>
        <v>7.1255252636538771E-2</v>
      </c>
      <c r="K15" s="7">
        <f>$B15 * IFERROR(VLOOKUP("transport|NOx|Work loss days", US_national_yearly!$D:$AM, 19, FALSE) / VLOOKUP("transport|NOx|Work loss days", US_national_yearly!$D:$AM, 10, FALSE), 1)</f>
        <v>7.1620664889310931E-2</v>
      </c>
      <c r="L15" s="7">
        <f>$B15 * IFERROR(VLOOKUP("transport|NOx|Work loss days", US_national_yearly!$D:$AM, 20, FALSE) / VLOOKUP("transport|NOx|Work loss days", US_national_yearly!$D:$AM, 10, FALSE), 1)</f>
        <v>7.1986077142083105E-2</v>
      </c>
      <c r="M15" s="7">
        <f>$B15 * IFERROR(VLOOKUP("transport|NOx|Work loss days", US_national_yearly!$D:$AM, 21, FALSE) / VLOOKUP("transport|NOx|Work loss days", US_national_yearly!$D:$AM, 10, FALSE), 1)</f>
        <v>7.2351489394855278E-2</v>
      </c>
      <c r="N15" s="7">
        <f>$B15 * IFERROR(VLOOKUP("transport|NOx|Work loss days", US_national_yearly!$D:$AM, 22, FALSE) / VLOOKUP("transport|NOx|Work loss days", US_national_yearly!$D:$AM, 10, FALSE), 1)</f>
        <v>7.2827051019143649E-2</v>
      </c>
      <c r="O15" s="7">
        <f>$B15 * IFERROR(VLOOKUP("transport|NOx|Work loss days", US_national_yearly!$D:$AM, 23, FALSE) / VLOOKUP("transport|NOx|Work loss days", US_national_yearly!$D:$AM, 10, FALSE), 1)</f>
        <v>7.3302612643432019E-2</v>
      </c>
      <c r="P15" s="7">
        <f>$B15 * IFERROR(VLOOKUP("transport|NOx|Work loss days", US_national_yearly!$D:$AM, 24, FALSE) / VLOOKUP("transport|NOx|Work loss days", US_national_yearly!$D:$AM, 10, FALSE), 1)</f>
        <v>7.3778174267720403E-2</v>
      </c>
      <c r="Q15" s="7">
        <f>$B15 * IFERROR(VLOOKUP("transport|NOx|Work loss days", US_national_yearly!$D:$AM, 25, FALSE) / VLOOKUP("transport|NOx|Work loss days", US_national_yearly!$D:$AM, 10, FALSE), 1)</f>
        <v>7.425373589200876E-2</v>
      </c>
      <c r="R15" s="7">
        <f>$B15 * IFERROR(VLOOKUP("transport|NOx|Work loss days", US_national_yearly!$D:$AM, 26, FALSE) / VLOOKUP("transport|NOx|Work loss days", US_national_yearly!$D:$AM, 10, FALSE), 1)</f>
        <v>7.4729297516297144E-2</v>
      </c>
      <c r="S15" s="7">
        <f>$B15 * IFERROR(VLOOKUP("transport|NOx|Work loss days", US_national_yearly!$D:$AM, 27, FALSE) / VLOOKUP("transport|NOx|Work loss days", US_national_yearly!$D:$AM, 10, FALSE), 1)</f>
        <v>7.5259487921116044E-2</v>
      </c>
      <c r="T15" s="7">
        <f>$B15 * IFERROR(VLOOKUP("transport|NOx|Work loss days", US_national_yearly!$D:$AM, 28, FALSE) / VLOOKUP("transport|NOx|Work loss days", US_national_yearly!$D:$AM, 10, FALSE), 1)</f>
        <v>7.5789678325934945E-2</v>
      </c>
      <c r="U15" s="7">
        <f>$B15 * IFERROR(VLOOKUP("transport|NOx|Work loss days", US_national_yearly!$D:$AM, 29, FALSE) / VLOOKUP("transport|NOx|Work loss days", US_national_yearly!$D:$AM, 10, FALSE), 1)</f>
        <v>7.6319868730753831E-2</v>
      </c>
      <c r="V15" s="7">
        <f>$B15 * IFERROR(VLOOKUP("transport|NOx|Work loss days", US_national_yearly!$D:$AM, 30, FALSE) / VLOOKUP("transport|NOx|Work loss days", US_national_yearly!$D:$AM, 10, FALSE), 1)</f>
        <v>7.6850059135572732E-2</v>
      </c>
      <c r="W15" s="7">
        <f>$B15 * IFERROR(VLOOKUP("transport|NOx|Work loss days", US_national_yearly!$D:$AM, 31, FALSE) / VLOOKUP("transport|NOx|Work loss days", US_national_yearly!$D:$AM, 10, FALSE), 1)</f>
        <v>7.7380249540391632E-2</v>
      </c>
      <c r="X15" s="7">
        <f>$B15 * IFERROR(VLOOKUP("transport|NOx|Work loss days", US_national_yearly!$D:$AM, 32, FALSE) / VLOOKUP("transport|NOx|Work loss days", US_national_yearly!$D:$AM, 10, FALSE), 1)</f>
        <v>7.7840426543750174E-2</v>
      </c>
      <c r="Y15" s="7">
        <f>$B15 * IFERROR(VLOOKUP("transport|NOx|Work loss days", US_national_yearly!$D:$AM, 33, FALSE) / VLOOKUP("transport|NOx|Work loss days", US_national_yearly!$D:$AM, 10, FALSE), 1)</f>
        <v>7.8300603547108702E-2</v>
      </c>
      <c r="Z15" s="7">
        <f>$B15 * IFERROR(VLOOKUP("transport|NOx|Work loss days", US_national_yearly!$D:$AM, 34, FALSE) / VLOOKUP("transport|NOx|Work loss days", US_national_yearly!$D:$AM, 10, FALSE), 1)</f>
        <v>7.8760780550467244E-2</v>
      </c>
      <c r="AA15" s="7">
        <f>$B15 * IFERROR(VLOOKUP("transport|NOx|Work loss days", US_national_yearly!$D:$AM, 35, FALSE) / VLOOKUP("transport|NOx|Work loss days", US_national_yearly!$D:$AM, 10, FALSE), 1)</f>
        <v>7.9220957553825772E-2</v>
      </c>
      <c r="AB15" s="7">
        <f>$B15 * IFERROR(VLOOKUP("transport|NOx|Work loss days", US_national_yearly!$D:$AM, 36, FALSE) / VLOOKUP("transport|NOx|Work loss days", US_national_yearly!$D:$AM, 10, FALSE), 1)</f>
        <v>7.9681134557184313E-2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1.2551129502226299E-4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1.2919939820275436E-4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1.3288750138324568E-4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1.3657560456373702E-4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1.4026370774422836E-4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1.4376679584711242E-4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1.4726988394999651E-4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1.502157107965285E-4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1.5316153764306052E-4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1.5610736448959251E-4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1.5905319133612453E-4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1.6199901818265657E-4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1.6384114131913464E-4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1.6568326445561276E-4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1.6752538759209085E-4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1.6936751072856897E-4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1.7120963386504706E-4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1.720501440666352E-4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1.7289065426822332E-4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1.7373116446981141E-4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1.7457167467139955E-4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1.7541218487298767E-4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1.7587995794033642E-4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1.7634773100768517E-4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1.7681550407503392E-4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1.7728327714238267E-4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1.7775105020973142E-4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5.5361734410595952E-3</v>
      </c>
      <c r="C2" s="7">
        <f>$B2 * IFERROR(VLOOKUP("transport|SO2|Premature mortality", US_national_yearly!$D:$AM, 11, FALSE) / VLOOKUP("transport|SO2|Premature mortality", US_national_yearly!$D:$AM, 10, FALSE), 1)</f>
        <v>5.606286082264083E-3</v>
      </c>
      <c r="D2" s="7">
        <f>$B2 * IFERROR(VLOOKUP("transport|SO2|Premature mortality", US_national_yearly!$D:$AM, 12, FALSE) / VLOOKUP("transport|SO2|Premature mortality", US_national_yearly!$D:$AM, 10, FALSE), 1)</f>
        <v>5.6763987234685715E-3</v>
      </c>
      <c r="E2" s="7">
        <f>$B2 * IFERROR(VLOOKUP("transport|SO2|Premature mortality", US_national_yearly!$D:$AM, 13, FALSE) / VLOOKUP("transport|SO2|Premature mortality", US_national_yearly!$D:$AM, 10, FALSE), 1)</f>
        <v>5.7465113646730593E-3</v>
      </c>
      <c r="F2" s="7">
        <f>$B2 * IFERROR(VLOOKUP("transport|SO2|Premature mortality", US_national_yearly!$D:$AM, 14, FALSE) / VLOOKUP("transport|SO2|Premature mortality", US_national_yearly!$D:$AM, 10, FALSE), 1)</f>
        <v>5.816624005877547E-3</v>
      </c>
      <c r="G2" s="7">
        <f>$B2 * IFERROR(VLOOKUP("transport|SO2|Premature mortality", US_national_yearly!$D:$AM, 15, FALSE) / VLOOKUP("transport|SO2|Premature mortality", US_national_yearly!$D:$AM, 10, FALSE), 1)</f>
        <v>5.9517270919251615E-3</v>
      </c>
      <c r="H2" s="7">
        <f>$B2 * IFERROR(VLOOKUP("transport|SO2|Premature mortality", US_national_yearly!$D:$AM, 16, FALSE) / VLOOKUP("transport|SO2|Premature mortality", US_national_yearly!$D:$AM, 10, FALSE), 1)</f>
        <v>6.0868301779727751E-3</v>
      </c>
      <c r="I2" s="7">
        <f>$B2 * IFERROR(VLOOKUP("transport|SO2|Premature mortality", US_national_yearly!$D:$AM, 17, FALSE) / VLOOKUP("transport|SO2|Premature mortality", US_national_yearly!$D:$AM, 10, FALSE), 1)</f>
        <v>6.1761145755421572E-3</v>
      </c>
      <c r="J2" s="7">
        <f>$B2 * IFERROR(VLOOKUP("transport|SO2|Premature mortality", US_national_yearly!$D:$AM, 18, FALSE) / VLOOKUP("transport|SO2|Premature mortality", US_national_yearly!$D:$AM, 10, FALSE), 1)</f>
        <v>6.2653989731115403E-3</v>
      </c>
      <c r="K2" s="7">
        <f>$B2 * IFERROR(VLOOKUP("transport|SO2|Premature mortality", US_national_yearly!$D:$AM, 19, FALSE) / VLOOKUP("transport|SO2|Premature mortality", US_national_yearly!$D:$AM, 10, FALSE), 1)</f>
        <v>6.3546833706809216E-3</v>
      </c>
      <c r="L2" s="7">
        <f>$B2 * IFERROR(VLOOKUP("transport|SO2|Premature mortality", US_national_yearly!$D:$AM, 20, FALSE) / VLOOKUP("transport|SO2|Premature mortality", US_national_yearly!$D:$AM, 10, FALSE), 1)</f>
        <v>6.4439677682503046E-3</v>
      </c>
      <c r="M2" s="7">
        <f>$B2 * IFERROR(VLOOKUP("transport|SO2|Premature mortality", US_national_yearly!$D:$AM, 21, FALSE) / VLOOKUP("transport|SO2|Premature mortality", US_national_yearly!$D:$AM, 10, FALSE), 1)</f>
        <v>6.5332521658196868E-3</v>
      </c>
      <c r="N2" s="7">
        <f>$B2 * IFERROR(VLOOKUP("transport|SO2|Premature mortality", US_national_yearly!$D:$AM, 22, FALSE) / VLOOKUP("transport|SO2|Premature mortality", US_national_yearly!$D:$AM, 10, FALSE), 1)</f>
        <v>6.6030141510512244E-3</v>
      </c>
      <c r="O2" s="7">
        <f>$B2 * IFERROR(VLOOKUP("transport|SO2|Premature mortality", US_national_yearly!$D:$AM, 23, FALSE) / VLOOKUP("transport|SO2|Premature mortality", US_national_yearly!$D:$AM, 10, FALSE), 1)</f>
        <v>6.672776136282762E-3</v>
      </c>
      <c r="P2" s="7">
        <f>$B2 * IFERROR(VLOOKUP("transport|SO2|Premature mortality", US_national_yearly!$D:$AM, 24, FALSE) / VLOOKUP("transport|SO2|Premature mortality", US_national_yearly!$D:$AM, 10, FALSE), 1)</f>
        <v>6.7425381215142997E-3</v>
      </c>
      <c r="Q2" s="7">
        <f>$B2 * IFERROR(VLOOKUP("transport|SO2|Premature mortality", US_national_yearly!$D:$AM, 25, FALSE) / VLOOKUP("transport|SO2|Premature mortality", US_national_yearly!$D:$AM, 10, FALSE), 1)</f>
        <v>6.8123001067458364E-3</v>
      </c>
      <c r="R2" s="7">
        <f>$B2 * IFERROR(VLOOKUP("transport|SO2|Premature mortality", US_national_yearly!$D:$AM, 26, FALSE) / VLOOKUP("transport|SO2|Premature mortality", US_national_yearly!$D:$AM, 10, FALSE), 1)</f>
        <v>6.8820620919773732E-3</v>
      </c>
      <c r="S2" s="7">
        <f>$B2 * IFERROR(VLOOKUP("transport|SO2|Premature mortality", US_national_yearly!$D:$AM, 27, FALSE) / VLOOKUP("transport|SO2|Premature mortality", US_national_yearly!$D:$AM, 10, FALSE), 1)</f>
        <v>6.9194205639635945E-3</v>
      </c>
      <c r="T2" s="7">
        <f>$B2 * IFERROR(VLOOKUP("transport|SO2|Premature mortality", US_national_yearly!$D:$AM, 28, FALSE) / VLOOKUP("transport|SO2|Premature mortality", US_national_yearly!$D:$AM, 10, FALSE), 1)</f>
        <v>6.9567790359498158E-3</v>
      </c>
      <c r="U2" s="7">
        <f>$B2 * IFERROR(VLOOKUP("transport|SO2|Premature mortality", US_national_yearly!$D:$AM, 29, FALSE) / VLOOKUP("transport|SO2|Premature mortality", US_national_yearly!$D:$AM, 10, FALSE), 1)</f>
        <v>6.9941375079360362E-3</v>
      </c>
      <c r="V2" s="7">
        <f>$B2 * IFERROR(VLOOKUP("transport|SO2|Premature mortality", US_national_yearly!$D:$AM, 30, FALSE) / VLOOKUP("transport|SO2|Premature mortality", US_national_yearly!$D:$AM, 10, FALSE), 1)</f>
        <v>7.0314959799222566E-3</v>
      </c>
      <c r="W2" s="7">
        <f>$B2 * IFERROR(VLOOKUP("transport|SO2|Premature mortality", US_national_yearly!$D:$AM, 31, FALSE) / VLOOKUP("transport|SO2|Premature mortality", US_national_yearly!$D:$AM, 10, FALSE), 1)</f>
        <v>7.0688544519084788E-3</v>
      </c>
      <c r="X2" s="7">
        <f>$B2 * IFERROR(VLOOKUP("transport|SO2|Premature mortality", US_national_yearly!$D:$AM, 32, FALSE) / VLOOKUP("transport|SO2|Premature mortality", US_national_yearly!$D:$AM, 10, FALSE), 1)</f>
        <v>7.0764439397634511E-3</v>
      </c>
      <c r="Y2" s="7">
        <f>$B2 * IFERROR(VLOOKUP("transport|SO2|Premature mortality", US_national_yearly!$D:$AM, 33, FALSE) / VLOOKUP("transport|SO2|Premature mortality", US_national_yearly!$D:$AM, 10, FALSE), 1)</f>
        <v>7.084033427618425E-3</v>
      </c>
      <c r="Z2" s="7">
        <f>$B2 * IFERROR(VLOOKUP("transport|SO2|Premature mortality", US_national_yearly!$D:$AM, 34, FALSE) / VLOOKUP("transport|SO2|Premature mortality", US_national_yearly!$D:$AM, 10, FALSE), 1)</f>
        <v>7.091622915473399E-3</v>
      </c>
      <c r="AA2" s="7">
        <f>$B2 * IFERROR(VLOOKUP("transport|SO2|Premature mortality", US_national_yearly!$D:$AM, 35, FALSE) / VLOOKUP("transport|SO2|Premature mortality", US_national_yearly!$D:$AM, 10, FALSE), 1)</f>
        <v>7.099212403328373E-3</v>
      </c>
      <c r="AB2" s="7">
        <f>$B2 * IFERROR(VLOOKUP("transport|SO2|Premature mortality", US_national_yearly!$D:$AM, 36, FALSE) / VLOOKUP("transport|SO2|Premature mortality", US_national_yearly!$D:$AM, 10, FALSE), 1)</f>
        <v>7.1068018911833461E-3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9.8161576473858061E-6</v>
      </c>
      <c r="C3" s="7">
        <f>$B3 * IFERROR(VLOOKUP("transport|SO2|Infant mortality", US_national_yearly!$D:$AM, 11, FALSE) / VLOOKUP("transport|SO2|Infant mortality", US_national_yearly!$D:$AM, 10, FALSE), 1)</f>
        <v>9.7318350626729212E-6</v>
      </c>
      <c r="D3" s="7">
        <f>$B3 * IFERROR(VLOOKUP("transport|SO2|Infant mortality", US_national_yearly!$D:$AM, 12, FALSE) / VLOOKUP("transport|SO2|Infant mortality", US_national_yearly!$D:$AM, 10, FALSE), 1)</f>
        <v>9.6475124779600379E-6</v>
      </c>
      <c r="E3" s="7">
        <f>$B3 * IFERROR(VLOOKUP("transport|SO2|Infant mortality", US_national_yearly!$D:$AM, 13, FALSE) / VLOOKUP("transport|SO2|Infant mortality", US_national_yearly!$D:$AM, 10, FALSE), 1)</f>
        <v>9.563189893247153E-6</v>
      </c>
      <c r="F3" s="7">
        <f>$B3 * IFERROR(VLOOKUP("transport|SO2|Infant mortality", US_national_yearly!$D:$AM, 14, FALSE) / VLOOKUP("transport|SO2|Infant mortality", US_national_yearly!$D:$AM, 10, FALSE), 1)</f>
        <v>9.4788673085342698E-6</v>
      </c>
      <c r="G3" s="7">
        <f>$B3 * IFERROR(VLOOKUP("transport|SO2|Infant mortality", US_national_yearly!$D:$AM, 15, FALSE) / VLOOKUP("transport|SO2|Infant mortality", US_national_yearly!$D:$AM, 10, FALSE), 1)</f>
        <v>6.3136890704400122E-6</v>
      </c>
      <c r="H3" s="7">
        <f>$B3 * IFERROR(VLOOKUP("transport|SO2|Infant mortality", US_national_yearly!$D:$AM, 16, FALSE) / VLOOKUP("transport|SO2|Infant mortality", US_national_yearly!$D:$AM, 10, FALSE), 1)</f>
        <v>3.1485108323457605E-6</v>
      </c>
      <c r="I3" s="7">
        <f>$B3 * IFERROR(VLOOKUP("transport|SO2|Infant mortality", US_national_yearly!$D:$AM, 17, FALSE) / VLOOKUP("transport|SO2|Infant mortality", US_national_yearly!$D:$AM, 10, FALSE), 1)</f>
        <v>3.1287592731258149E-6</v>
      </c>
      <c r="J3" s="7">
        <f>$B3 * IFERROR(VLOOKUP("transport|SO2|Infant mortality", US_national_yearly!$D:$AM, 18, FALSE) / VLOOKUP("transport|SO2|Infant mortality", US_national_yearly!$D:$AM, 10, FALSE), 1)</f>
        <v>3.1090077139058688E-6</v>
      </c>
      <c r="K3" s="7">
        <f>$B3 * IFERROR(VLOOKUP("transport|SO2|Infant mortality", US_national_yearly!$D:$AM, 19, FALSE) / VLOOKUP("transport|SO2|Infant mortality", US_national_yearly!$D:$AM, 10, FALSE), 1)</f>
        <v>3.0892561546859232E-6</v>
      </c>
      <c r="L3" s="7">
        <f>$B3 * IFERROR(VLOOKUP("transport|SO2|Infant mortality", US_national_yearly!$D:$AM, 20, FALSE) / VLOOKUP("transport|SO2|Infant mortality", US_national_yearly!$D:$AM, 10, FALSE), 1)</f>
        <v>3.0695045954659781E-6</v>
      </c>
      <c r="M3" s="7">
        <f>$B3 * IFERROR(VLOOKUP("transport|SO2|Infant mortality", US_national_yearly!$D:$AM, 21, FALSE) / VLOOKUP("transport|SO2|Infant mortality", US_national_yearly!$D:$AM, 10, FALSE), 1)</f>
        <v>3.0497530362460321E-6</v>
      </c>
      <c r="N3" s="7">
        <f>$B3 * IFERROR(VLOOKUP("transport|SO2|Infant mortality", US_national_yearly!$D:$AM, 22, FALSE) / VLOOKUP("transport|SO2|Infant mortality", US_national_yearly!$D:$AM, 10, FALSE), 1)</f>
        <v>3.0373551303969243E-6</v>
      </c>
      <c r="O3" s="7">
        <f>$B3 * IFERROR(VLOOKUP("transport|SO2|Infant mortality", US_national_yearly!$D:$AM, 23, FALSE) / VLOOKUP("transport|SO2|Infant mortality", US_national_yearly!$D:$AM, 10, FALSE), 1)</f>
        <v>3.024957224547817E-6</v>
      </c>
      <c r="P3" s="7">
        <f>$B3 * IFERROR(VLOOKUP("transport|SO2|Infant mortality", US_national_yearly!$D:$AM, 24, FALSE) / VLOOKUP("transport|SO2|Infant mortality", US_national_yearly!$D:$AM, 10, FALSE), 1)</f>
        <v>3.0125593186987088E-6</v>
      </c>
      <c r="Q3" s="7">
        <f>$B3 * IFERROR(VLOOKUP("transport|SO2|Infant mortality", US_national_yearly!$D:$AM, 25, FALSE) / VLOOKUP("transport|SO2|Infant mortality", US_national_yearly!$D:$AM, 10, FALSE), 1)</f>
        <v>3.000161412849601E-6</v>
      </c>
      <c r="R3" s="7">
        <f>$B3 * IFERROR(VLOOKUP("transport|SO2|Infant mortality", US_national_yearly!$D:$AM, 26, FALSE) / VLOOKUP("transport|SO2|Infant mortality", US_national_yearly!$D:$AM, 10, FALSE), 1)</f>
        <v>2.9877635070004933E-6</v>
      </c>
      <c r="S3" s="7">
        <f>$B3 * IFERROR(VLOOKUP("transport|SO2|Infant mortality", US_national_yearly!$D:$AM, 27, FALSE) / VLOOKUP("transport|SO2|Infant mortality", US_national_yearly!$D:$AM, 10, FALSE), 1)</f>
        <v>2.9721971809103462E-6</v>
      </c>
      <c r="T3" s="7">
        <f>$B3 * IFERROR(VLOOKUP("transport|SO2|Infant mortality", US_national_yearly!$D:$AM, 28, FALSE) / VLOOKUP("transport|SO2|Infant mortality", US_national_yearly!$D:$AM, 10, FALSE), 1)</f>
        <v>2.9566308548201995E-6</v>
      </c>
      <c r="U3" s="7">
        <f>$B3 * IFERROR(VLOOKUP("transport|SO2|Infant mortality", US_national_yearly!$D:$AM, 29, FALSE) / VLOOKUP("transport|SO2|Infant mortality", US_national_yearly!$D:$AM, 10, FALSE), 1)</f>
        <v>2.9410645287300519E-6</v>
      </c>
      <c r="V3" s="7">
        <f>$B3 * IFERROR(VLOOKUP("transport|SO2|Infant mortality", US_national_yearly!$D:$AM, 30, FALSE) / VLOOKUP("transport|SO2|Infant mortality", US_national_yearly!$D:$AM, 10, FALSE), 1)</f>
        <v>2.9254982026399057E-6</v>
      </c>
      <c r="W3" s="7">
        <f>$B3 * IFERROR(VLOOKUP("transport|SO2|Infant mortality", US_national_yearly!$D:$AM, 31, FALSE) / VLOOKUP("transport|SO2|Infant mortality", US_national_yearly!$D:$AM, 10, FALSE), 1)</f>
        <v>2.9099318765497581E-6</v>
      </c>
      <c r="X3" s="7">
        <f>$B3 * IFERROR(VLOOKUP("transport|SO2|Infant mortality", US_national_yearly!$D:$AM, 32, FALSE) / VLOOKUP("transport|SO2|Infant mortality", US_national_yearly!$D:$AM, 10, FALSE), 1)</f>
        <v>2.8929130772431033E-6</v>
      </c>
      <c r="Y3" s="7">
        <f>$B3 * IFERROR(VLOOKUP("transport|SO2|Infant mortality", US_national_yearly!$D:$AM, 33, FALSE) / VLOOKUP("transport|SO2|Infant mortality", US_national_yearly!$D:$AM, 10, FALSE), 1)</f>
        <v>2.8758942779364472E-6</v>
      </c>
      <c r="Z3" s="7">
        <f>$B3 * IFERROR(VLOOKUP("transport|SO2|Infant mortality", US_national_yearly!$D:$AM, 34, FALSE) / VLOOKUP("transport|SO2|Infant mortality", US_national_yearly!$D:$AM, 10, FALSE), 1)</f>
        <v>2.8588754786297923E-6</v>
      </c>
      <c r="AA3" s="7">
        <f>$B3 * IFERROR(VLOOKUP("transport|SO2|Infant mortality", US_national_yearly!$D:$AM, 35, FALSE) / VLOOKUP("transport|SO2|Infant mortality", US_national_yearly!$D:$AM, 10, FALSE), 1)</f>
        <v>2.8418566793231366E-6</v>
      </c>
      <c r="AB3" s="7">
        <f>$B3 * IFERROR(VLOOKUP("transport|SO2|Infant mortality", US_national_yearly!$D:$AM, 36, FALSE) / VLOOKUP("transport|SO2|Infant mortality", US_national_yearly!$D:$AM, 10, FALSE), 1)</f>
        <v>2.8248378800164818E-6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1.2535767034278325E-2</v>
      </c>
      <c r="C6" s="7">
        <f>$B6 * IFERROR(VLOOKUP("transport|SO2|Asthma symptoms cough", US_national_yearly!$D:$AM, 11, FALSE) / VLOOKUP("transport|SO2|Asthma symptoms cough", US_national_yearly!$D:$AM, 10, FALSE), 1)</f>
        <v>1.2535767034278325E-2</v>
      </c>
      <c r="D6" s="7">
        <f>$B6 * IFERROR(VLOOKUP("transport|SO2|Asthma symptoms cough", US_national_yearly!$D:$AM, 12, FALSE) / VLOOKUP("transport|SO2|Asthma symptoms cough", US_national_yearly!$D:$AM, 10, FALSE), 1)</f>
        <v>1.2535767034278325E-2</v>
      </c>
      <c r="E6" s="7">
        <f>$B6 * IFERROR(VLOOKUP("transport|SO2|Asthma symptoms cough", US_national_yearly!$D:$AM, 13, FALSE) / VLOOKUP("transport|SO2|Asthma symptoms cough", US_national_yearly!$D:$AM, 10, FALSE), 1)</f>
        <v>1.2535767034278325E-2</v>
      </c>
      <c r="F6" s="7">
        <f>$B6 * IFERROR(VLOOKUP("transport|SO2|Asthma symptoms cough", US_national_yearly!$D:$AM, 14, FALSE) / VLOOKUP("transport|SO2|Asthma symptoms cough", US_national_yearly!$D:$AM, 10, FALSE), 1)</f>
        <v>1.2535767034278325E-2</v>
      </c>
      <c r="G6" s="7">
        <f>$B6 * IFERROR(VLOOKUP("transport|SO2|Asthma symptoms cough", US_national_yearly!$D:$AM, 15, FALSE) / VLOOKUP("transport|SO2|Asthma symptoms cough", US_national_yearly!$D:$AM, 10, FALSE), 1)</f>
        <v>1.2535767034278325E-2</v>
      </c>
      <c r="H6" s="7">
        <f>$B6 * IFERROR(VLOOKUP("transport|SO2|Asthma symptoms cough", US_national_yearly!$D:$AM, 16, FALSE) / VLOOKUP("transport|SO2|Asthma symptoms cough", US_national_yearly!$D:$AM, 10, FALSE), 1)</f>
        <v>1.2535767034278325E-2</v>
      </c>
      <c r="I6" s="7">
        <f>$B6 * IFERROR(VLOOKUP("transport|SO2|Asthma symptoms cough", US_national_yearly!$D:$AM, 17, FALSE) / VLOOKUP("transport|SO2|Asthma symptoms cough", US_national_yearly!$D:$AM, 10, FALSE), 1)</f>
        <v>1.2535767034278325E-2</v>
      </c>
      <c r="J6" s="7">
        <f>$B6 * IFERROR(VLOOKUP("transport|SO2|Asthma symptoms cough", US_national_yearly!$D:$AM, 18, FALSE) / VLOOKUP("transport|SO2|Asthma symptoms cough", US_national_yearly!$D:$AM, 10, FALSE), 1)</f>
        <v>1.2535767034278325E-2</v>
      </c>
      <c r="K6" s="7">
        <f>$B6 * IFERROR(VLOOKUP("transport|SO2|Asthma symptoms cough", US_national_yearly!$D:$AM, 19, FALSE) / VLOOKUP("transport|SO2|Asthma symptoms cough", US_national_yearly!$D:$AM, 10, FALSE), 1)</f>
        <v>1.2535767034278325E-2</v>
      </c>
      <c r="L6" s="7">
        <f>$B6 * IFERROR(VLOOKUP("transport|SO2|Asthma symptoms cough", US_national_yearly!$D:$AM, 20, FALSE) / VLOOKUP("transport|SO2|Asthma symptoms cough", US_national_yearly!$D:$AM, 10, FALSE), 1)</f>
        <v>1.2535767034278325E-2</v>
      </c>
      <c r="M6" s="7">
        <f>$B6 * IFERROR(VLOOKUP("transport|SO2|Asthma symptoms cough", US_national_yearly!$D:$AM, 21, FALSE) / VLOOKUP("transport|SO2|Asthma symptoms cough", US_national_yearly!$D:$AM, 10, FALSE), 1)</f>
        <v>1.2535767034278325E-2</v>
      </c>
      <c r="N6" s="7">
        <f>$B6 * IFERROR(VLOOKUP("transport|SO2|Asthma symptoms cough", US_national_yearly!$D:$AM, 22, FALSE) / VLOOKUP("transport|SO2|Asthma symptoms cough", US_national_yearly!$D:$AM, 10, FALSE), 1)</f>
        <v>1.2535767034278325E-2</v>
      </c>
      <c r="O6" s="7">
        <f>$B6 * IFERROR(VLOOKUP("transport|SO2|Asthma symptoms cough", US_national_yearly!$D:$AM, 23, FALSE) / VLOOKUP("transport|SO2|Asthma symptoms cough", US_national_yearly!$D:$AM, 10, FALSE), 1)</f>
        <v>1.2535767034278325E-2</v>
      </c>
      <c r="P6" s="7">
        <f>$B6 * IFERROR(VLOOKUP("transport|SO2|Asthma symptoms cough", US_national_yearly!$D:$AM, 24, FALSE) / VLOOKUP("transport|SO2|Asthma symptoms cough", US_national_yearly!$D:$AM, 10, FALSE), 1)</f>
        <v>1.2535767034278325E-2</v>
      </c>
      <c r="Q6" s="7">
        <f>$B6 * IFERROR(VLOOKUP("transport|SO2|Asthma symptoms cough", US_national_yearly!$D:$AM, 25, FALSE) / VLOOKUP("transport|SO2|Asthma symptoms cough", US_national_yearly!$D:$AM, 10, FALSE), 1)</f>
        <v>1.2535767034278325E-2</v>
      </c>
      <c r="R6" s="7">
        <f>$B6 * IFERROR(VLOOKUP("transport|SO2|Asthma symptoms cough", US_national_yearly!$D:$AM, 26, FALSE) / VLOOKUP("transport|SO2|Asthma symptoms cough", US_national_yearly!$D:$AM, 10, FALSE), 1)</f>
        <v>1.2535767034278325E-2</v>
      </c>
      <c r="S6" s="7">
        <f>$B6 * IFERROR(VLOOKUP("transport|SO2|Asthma symptoms cough", US_national_yearly!$D:$AM, 27, FALSE) / VLOOKUP("transport|SO2|Asthma symptoms cough", US_national_yearly!$D:$AM, 10, FALSE), 1)</f>
        <v>1.2535767034278325E-2</v>
      </c>
      <c r="T6" s="7">
        <f>$B6 * IFERROR(VLOOKUP("transport|SO2|Asthma symptoms cough", US_national_yearly!$D:$AM, 28, FALSE) / VLOOKUP("transport|SO2|Asthma symptoms cough", US_national_yearly!$D:$AM, 10, FALSE), 1)</f>
        <v>1.2535767034278325E-2</v>
      </c>
      <c r="U6" s="7">
        <f>$B6 * IFERROR(VLOOKUP("transport|SO2|Asthma symptoms cough", US_national_yearly!$D:$AM, 29, FALSE) / VLOOKUP("transport|SO2|Asthma symptoms cough", US_national_yearly!$D:$AM, 10, FALSE), 1)</f>
        <v>1.2535767034278325E-2</v>
      </c>
      <c r="V6" s="7">
        <f>$B6 * IFERROR(VLOOKUP("transport|SO2|Asthma symptoms cough", US_national_yearly!$D:$AM, 30, FALSE) / VLOOKUP("transport|SO2|Asthma symptoms cough", US_national_yearly!$D:$AM, 10, FALSE), 1)</f>
        <v>1.2535767034278325E-2</v>
      </c>
      <c r="W6" s="7">
        <f>$B6 * IFERROR(VLOOKUP("transport|SO2|Asthma symptoms cough", US_national_yearly!$D:$AM, 31, FALSE) / VLOOKUP("transport|SO2|Asthma symptoms cough", US_national_yearly!$D:$AM, 10, FALSE), 1)</f>
        <v>1.2535767034278325E-2</v>
      </c>
      <c r="X6" s="7">
        <f>$B6 * IFERROR(VLOOKUP("transport|SO2|Asthma symptoms cough", US_national_yearly!$D:$AM, 32, FALSE) / VLOOKUP("transport|SO2|Asthma symptoms cough", US_national_yearly!$D:$AM, 10, FALSE), 1)</f>
        <v>1.2535767034278325E-2</v>
      </c>
      <c r="Y6" s="7">
        <f>$B6 * IFERROR(VLOOKUP("transport|SO2|Asthma symptoms cough", US_national_yearly!$D:$AM, 33, FALSE) / VLOOKUP("transport|SO2|Asthma symptoms cough", US_national_yearly!$D:$AM, 10, FALSE), 1)</f>
        <v>1.2535767034278325E-2</v>
      </c>
      <c r="Z6" s="7">
        <f>$B6 * IFERROR(VLOOKUP("transport|SO2|Asthma symptoms cough", US_national_yearly!$D:$AM, 34, FALSE) / VLOOKUP("transport|SO2|Asthma symptoms cough", US_national_yearly!$D:$AM, 10, FALSE), 1)</f>
        <v>1.2535767034278325E-2</v>
      </c>
      <c r="AA6" s="7">
        <f>$B6 * IFERROR(VLOOKUP("transport|SO2|Asthma symptoms cough", US_national_yearly!$D:$AM, 35, FALSE) / VLOOKUP("transport|SO2|Asthma symptoms cough", US_national_yearly!$D:$AM, 10, FALSE), 1)</f>
        <v>1.2535767034278325E-2</v>
      </c>
      <c r="AB6" s="7">
        <f>$B6 * IFERROR(VLOOKUP("transport|SO2|Asthma symptoms cough", US_national_yearly!$D:$AM, 36, FALSE) / VLOOKUP("transport|SO2|Asthma symptoms cough", US_national_yearly!$D:$AM, 10, FALSE), 1)</f>
        <v>1.2535767034278325E-2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1.6881243034183056E-2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1.6881243034183056E-2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1.6881243034183056E-2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1.6881243034183056E-2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1.6881243034183056E-2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1.6881243034183056E-2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1.6881243034183056E-2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1.6881243034183056E-2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1.6881243034183056E-2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1.6881243034183056E-2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1.6881243034183056E-2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1.6881243034183056E-2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1.6881243034183056E-2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1.6881243034183056E-2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1.6881243034183056E-2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1.6881243034183056E-2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1.6881243034183056E-2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1.6881243034183056E-2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1.6881243034183056E-2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1.6881243034183056E-2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1.6881243034183056E-2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1.6881243034183056E-2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1.6881243034183056E-2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1.6881243034183056E-2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1.6881243034183056E-2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1.6881243034183056E-2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1.6881243034183056E-2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2.5791629383190611E-2</v>
      </c>
      <c r="C8" s="7">
        <f>$B8 * IFERROR(VLOOKUP("transport|SO2|Asthma symptoms wheeze", US_national_yearly!$D:$AM, 11, FALSE) / VLOOKUP("transport|SO2|Asthma symptoms wheeze", US_national_yearly!$D:$AM, 10, FALSE), 1)</f>
        <v>2.5791629383190611E-2</v>
      </c>
      <c r="D8" s="7">
        <f>$B8 * IFERROR(VLOOKUP("transport|SO2|Asthma symptoms wheeze", US_national_yearly!$D:$AM, 12, FALSE) / VLOOKUP("transport|SO2|Asthma symptoms wheeze", US_national_yearly!$D:$AM, 10, FALSE), 1)</f>
        <v>2.5791629383190611E-2</v>
      </c>
      <c r="E8" s="7">
        <f>$B8 * IFERROR(VLOOKUP("transport|SO2|Asthma symptoms wheeze", US_national_yearly!$D:$AM, 13, FALSE) / VLOOKUP("transport|SO2|Asthma symptoms wheeze", US_national_yearly!$D:$AM, 10, FALSE), 1)</f>
        <v>2.5791629383190611E-2</v>
      </c>
      <c r="F8" s="7">
        <f>$B8 * IFERROR(VLOOKUP("transport|SO2|Asthma symptoms wheeze", US_national_yearly!$D:$AM, 14, FALSE) / VLOOKUP("transport|SO2|Asthma symptoms wheeze", US_national_yearly!$D:$AM, 10, FALSE), 1)</f>
        <v>2.5791629383190611E-2</v>
      </c>
      <c r="G8" s="7">
        <f>$B8 * IFERROR(VLOOKUP("transport|SO2|Asthma symptoms wheeze", US_national_yearly!$D:$AM, 15, FALSE) / VLOOKUP("transport|SO2|Asthma symptoms wheeze", US_national_yearly!$D:$AM, 10, FALSE), 1)</f>
        <v>2.5791629383190611E-2</v>
      </c>
      <c r="H8" s="7">
        <f>$B8 * IFERROR(VLOOKUP("transport|SO2|Asthma symptoms wheeze", US_national_yearly!$D:$AM, 16, FALSE) / VLOOKUP("transport|SO2|Asthma symptoms wheeze", US_national_yearly!$D:$AM, 10, FALSE), 1)</f>
        <v>2.5791629383190611E-2</v>
      </c>
      <c r="I8" s="7">
        <f>$B8 * IFERROR(VLOOKUP("transport|SO2|Asthma symptoms wheeze", US_national_yearly!$D:$AM, 17, FALSE) / VLOOKUP("transport|SO2|Asthma symptoms wheeze", US_national_yearly!$D:$AM, 10, FALSE), 1)</f>
        <v>2.5791629383190611E-2</v>
      </c>
      <c r="J8" s="7">
        <f>$B8 * IFERROR(VLOOKUP("transport|SO2|Asthma symptoms wheeze", US_national_yearly!$D:$AM, 18, FALSE) / VLOOKUP("transport|SO2|Asthma symptoms wheeze", US_national_yearly!$D:$AM, 10, FALSE), 1)</f>
        <v>2.5791629383190611E-2</v>
      </c>
      <c r="K8" s="7">
        <f>$B8 * IFERROR(VLOOKUP("transport|SO2|Asthma symptoms wheeze", US_national_yearly!$D:$AM, 19, FALSE) / VLOOKUP("transport|SO2|Asthma symptoms wheeze", US_national_yearly!$D:$AM, 10, FALSE), 1)</f>
        <v>2.5791629383190611E-2</v>
      </c>
      <c r="L8" s="7">
        <f>$B8 * IFERROR(VLOOKUP("transport|SO2|Asthma symptoms wheeze", US_national_yearly!$D:$AM, 20, FALSE) / VLOOKUP("transport|SO2|Asthma symptoms wheeze", US_national_yearly!$D:$AM, 10, FALSE), 1)</f>
        <v>2.5791629383190611E-2</v>
      </c>
      <c r="M8" s="7">
        <f>$B8 * IFERROR(VLOOKUP("transport|SO2|Asthma symptoms wheeze", US_national_yearly!$D:$AM, 21, FALSE) / VLOOKUP("transport|SO2|Asthma symptoms wheeze", US_national_yearly!$D:$AM, 10, FALSE), 1)</f>
        <v>2.5791629383190611E-2</v>
      </c>
      <c r="N8" s="7">
        <f>$B8 * IFERROR(VLOOKUP("transport|SO2|Asthma symptoms wheeze", US_national_yearly!$D:$AM, 22, FALSE) / VLOOKUP("transport|SO2|Asthma symptoms wheeze", US_national_yearly!$D:$AM, 10, FALSE), 1)</f>
        <v>2.5791629383190611E-2</v>
      </c>
      <c r="O8" s="7">
        <f>$B8 * IFERROR(VLOOKUP("transport|SO2|Asthma symptoms wheeze", US_national_yearly!$D:$AM, 23, FALSE) / VLOOKUP("transport|SO2|Asthma symptoms wheeze", US_national_yearly!$D:$AM, 10, FALSE), 1)</f>
        <v>2.5791629383190611E-2</v>
      </c>
      <c r="P8" s="7">
        <f>$B8 * IFERROR(VLOOKUP("transport|SO2|Asthma symptoms wheeze", US_national_yearly!$D:$AM, 24, FALSE) / VLOOKUP("transport|SO2|Asthma symptoms wheeze", US_national_yearly!$D:$AM, 10, FALSE), 1)</f>
        <v>2.5791629383190611E-2</v>
      </c>
      <c r="Q8" s="7">
        <f>$B8 * IFERROR(VLOOKUP("transport|SO2|Asthma symptoms wheeze", US_national_yearly!$D:$AM, 25, FALSE) / VLOOKUP("transport|SO2|Asthma symptoms wheeze", US_national_yearly!$D:$AM, 10, FALSE), 1)</f>
        <v>2.5791629383190611E-2</v>
      </c>
      <c r="R8" s="7">
        <f>$B8 * IFERROR(VLOOKUP("transport|SO2|Asthma symptoms wheeze", US_national_yearly!$D:$AM, 26, FALSE) / VLOOKUP("transport|SO2|Asthma symptoms wheeze", US_national_yearly!$D:$AM, 10, FALSE), 1)</f>
        <v>2.5791629383190611E-2</v>
      </c>
      <c r="S8" s="7">
        <f>$B8 * IFERROR(VLOOKUP("transport|SO2|Asthma symptoms wheeze", US_national_yearly!$D:$AM, 27, FALSE) / VLOOKUP("transport|SO2|Asthma symptoms wheeze", US_national_yearly!$D:$AM, 10, FALSE), 1)</f>
        <v>2.5791629383190611E-2</v>
      </c>
      <c r="T8" s="7">
        <f>$B8 * IFERROR(VLOOKUP("transport|SO2|Asthma symptoms wheeze", US_national_yearly!$D:$AM, 28, FALSE) / VLOOKUP("transport|SO2|Asthma symptoms wheeze", US_national_yearly!$D:$AM, 10, FALSE), 1)</f>
        <v>2.5791629383190611E-2</v>
      </c>
      <c r="U8" s="7">
        <f>$B8 * IFERROR(VLOOKUP("transport|SO2|Asthma symptoms wheeze", US_national_yearly!$D:$AM, 29, FALSE) / VLOOKUP("transport|SO2|Asthma symptoms wheeze", US_national_yearly!$D:$AM, 10, FALSE), 1)</f>
        <v>2.5791629383190611E-2</v>
      </c>
      <c r="V8" s="7">
        <f>$B8 * IFERROR(VLOOKUP("transport|SO2|Asthma symptoms wheeze", US_national_yearly!$D:$AM, 30, FALSE) / VLOOKUP("transport|SO2|Asthma symptoms wheeze", US_national_yearly!$D:$AM, 10, FALSE), 1)</f>
        <v>2.5791629383190611E-2</v>
      </c>
      <c r="W8" s="7">
        <f>$B8 * IFERROR(VLOOKUP("transport|SO2|Asthma symptoms wheeze", US_national_yearly!$D:$AM, 31, FALSE) / VLOOKUP("transport|SO2|Asthma symptoms wheeze", US_national_yearly!$D:$AM, 10, FALSE), 1)</f>
        <v>2.5791629383190611E-2</v>
      </c>
      <c r="X8" s="7">
        <f>$B8 * IFERROR(VLOOKUP("transport|SO2|Asthma symptoms wheeze", US_national_yearly!$D:$AM, 32, FALSE) / VLOOKUP("transport|SO2|Asthma symptoms wheeze", US_national_yearly!$D:$AM, 10, FALSE), 1)</f>
        <v>2.5791629383190611E-2</v>
      </c>
      <c r="Y8" s="7">
        <f>$B8 * IFERROR(VLOOKUP("transport|SO2|Asthma symptoms wheeze", US_national_yearly!$D:$AM, 33, FALSE) / VLOOKUP("transport|SO2|Asthma symptoms wheeze", US_national_yearly!$D:$AM, 10, FALSE), 1)</f>
        <v>2.5791629383190611E-2</v>
      </c>
      <c r="Z8" s="7">
        <f>$B8 * IFERROR(VLOOKUP("transport|SO2|Asthma symptoms wheeze", US_national_yearly!$D:$AM, 34, FALSE) / VLOOKUP("transport|SO2|Asthma symptoms wheeze", US_national_yearly!$D:$AM, 10, FALSE), 1)</f>
        <v>2.5791629383190611E-2</v>
      </c>
      <c r="AA8" s="7">
        <f>$B8 * IFERROR(VLOOKUP("transport|SO2|Asthma symptoms wheeze", US_national_yearly!$D:$AM, 35, FALSE) / VLOOKUP("transport|SO2|Asthma symptoms wheeze", US_national_yearly!$D:$AM, 10, FALSE), 1)</f>
        <v>2.5791629383190611E-2</v>
      </c>
      <c r="AB8" s="7">
        <f>$B8 * IFERROR(VLOOKUP("transport|SO2|Asthma symptoms wheeze", US_national_yearly!$D:$AM, 36, FALSE) / VLOOKUP("transport|SO2|Asthma symptoms wheeze", US_national_yearly!$D:$AM, 10, FALSE), 1)</f>
        <v>2.5791629383190611E-2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4.0248038574584779E-4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4.048542350621991E-4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4.0722808437855046E-4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4.0960193369490177E-4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4.1197578301125308E-4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4.1456367916560153E-4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4.1715157531995004E-4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4.1970354905374301E-4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4.222555227875361E-4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4.2480749652132902E-4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4.273594702551221E-4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4.2991144398891502E-4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4.3177430603873353E-4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4.3363716808855193E-4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4.3550003013837033E-4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4.3736289218818878E-4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4.3922575423800718E-4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4.4100278249314869E-4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4.4277981074829009E-4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4.4455683900343159E-4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4.463338672585731E-4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4.4811089551371455E-4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4.4979700357447615E-4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4.5148311163523776E-4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4.5316921969599936E-4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4.5485532775676096E-4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4.5654143581752262E-4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2.2824714266629752E-3</v>
      </c>
      <c r="C13" s="7">
        <f>$B13 * IFERROR(VLOOKUP("transport|SO2|Non-fatal heart attacks", US_national_yearly!$D:$AM, 11, FALSE) / VLOOKUP("transport|SO2|Non-fatal heart attacks", US_national_yearly!$D:$AM, 10, FALSE), 1)</f>
        <v>2.34947649735901E-3</v>
      </c>
      <c r="D13" s="7">
        <f>$B13 * IFERROR(VLOOKUP("transport|SO2|Non-fatal heart attacks", US_national_yearly!$D:$AM, 12, FALSE) / VLOOKUP("transport|SO2|Non-fatal heart attacks", US_national_yearly!$D:$AM, 10, FALSE), 1)</f>
        <v>2.4164815680550447E-3</v>
      </c>
      <c r="E13" s="7">
        <f>$B13 * IFERROR(VLOOKUP("transport|SO2|Non-fatal heart attacks", US_national_yearly!$D:$AM, 13, FALSE) / VLOOKUP("transport|SO2|Non-fatal heart attacks", US_national_yearly!$D:$AM, 10, FALSE), 1)</f>
        <v>2.4834866387510798E-3</v>
      </c>
      <c r="F13" s="7">
        <f>$B13 * IFERROR(VLOOKUP("transport|SO2|Non-fatal heart attacks", US_national_yearly!$D:$AM, 14, FALSE) / VLOOKUP("transport|SO2|Non-fatal heart attacks", US_national_yearly!$D:$AM, 10, FALSE), 1)</f>
        <v>2.5504917094471141E-3</v>
      </c>
      <c r="G13" s="7">
        <f>$B13 * IFERROR(VLOOKUP("transport|SO2|Non-fatal heart attacks", US_national_yearly!$D:$AM, 15, FALSE) / VLOOKUP("transport|SO2|Non-fatal heart attacks", US_national_yearly!$D:$AM, 10, FALSE), 1)</f>
        <v>2.6136837062134613E-3</v>
      </c>
      <c r="H13" s="7">
        <f>$B13 * IFERROR(VLOOKUP("transport|SO2|Non-fatal heart attacks", US_national_yearly!$D:$AM, 16, FALSE) / VLOOKUP("transport|SO2|Non-fatal heart attacks", US_national_yearly!$D:$AM, 10, FALSE), 1)</f>
        <v>2.6768757029798089E-3</v>
      </c>
      <c r="I13" s="7">
        <f>$B13 * IFERROR(VLOOKUP("transport|SO2|Non-fatal heart attacks", US_national_yearly!$D:$AM, 17, FALSE) / VLOOKUP("transport|SO2|Non-fatal heart attacks", US_national_yearly!$D:$AM, 10, FALSE), 1)</f>
        <v>2.727725450601915E-3</v>
      </c>
      <c r="J13" s="7">
        <f>$B13 * IFERROR(VLOOKUP("transport|SO2|Non-fatal heart attacks", US_national_yearly!$D:$AM, 18, FALSE) / VLOOKUP("transport|SO2|Non-fatal heart attacks", US_national_yearly!$D:$AM, 10, FALSE), 1)</f>
        <v>2.778575198224022E-3</v>
      </c>
      <c r="K13" s="7">
        <f>$B13 * IFERROR(VLOOKUP("transport|SO2|Non-fatal heart attacks", US_national_yearly!$D:$AM, 19, FALSE) / VLOOKUP("transport|SO2|Non-fatal heart attacks", US_national_yearly!$D:$AM, 10, FALSE), 1)</f>
        <v>2.8294249458461285E-3</v>
      </c>
      <c r="L13" s="7">
        <f>$B13 * IFERROR(VLOOKUP("transport|SO2|Non-fatal heart attacks", US_national_yearly!$D:$AM, 20, FALSE) / VLOOKUP("transport|SO2|Non-fatal heart attacks", US_national_yearly!$D:$AM, 10, FALSE), 1)</f>
        <v>2.8802746934682359E-3</v>
      </c>
      <c r="M13" s="7">
        <f>$B13 * IFERROR(VLOOKUP("transport|SO2|Non-fatal heart attacks", US_national_yearly!$D:$AM, 21, FALSE) / VLOOKUP("transport|SO2|Non-fatal heart attacks", US_national_yearly!$D:$AM, 10, FALSE), 1)</f>
        <v>2.9311244410903429E-3</v>
      </c>
      <c r="N13" s="7">
        <f>$B13 * IFERROR(VLOOKUP("transport|SO2|Non-fatal heart attacks", US_national_yearly!$D:$AM, 22, FALSE) / VLOOKUP("transport|SO2|Non-fatal heart attacks", US_national_yearly!$D:$AM, 10, FALSE), 1)</f>
        <v>2.964141796567836E-3</v>
      </c>
      <c r="O13" s="7">
        <f>$B13 * IFERROR(VLOOKUP("transport|SO2|Non-fatal heart attacks", US_national_yearly!$D:$AM, 23, FALSE) / VLOOKUP("transport|SO2|Non-fatal heart attacks", US_national_yearly!$D:$AM, 10, FALSE), 1)</f>
        <v>2.99715915204533E-3</v>
      </c>
      <c r="P13" s="7">
        <f>$B13 * IFERROR(VLOOKUP("transport|SO2|Non-fatal heart attacks", US_national_yearly!$D:$AM, 24, FALSE) / VLOOKUP("transport|SO2|Non-fatal heart attacks", US_national_yearly!$D:$AM, 10, FALSE), 1)</f>
        <v>3.030176507522824E-3</v>
      </c>
      <c r="Q13" s="7">
        <f>$B13 * IFERROR(VLOOKUP("transport|SO2|Non-fatal heart attacks", US_national_yearly!$D:$AM, 25, FALSE) / VLOOKUP("transport|SO2|Non-fatal heart attacks", US_national_yearly!$D:$AM, 10, FALSE), 1)</f>
        <v>3.0631938630003176E-3</v>
      </c>
      <c r="R13" s="7">
        <f>$B13 * IFERROR(VLOOKUP("transport|SO2|Non-fatal heart attacks", US_national_yearly!$D:$AM, 26, FALSE) / VLOOKUP("transport|SO2|Non-fatal heart attacks", US_national_yearly!$D:$AM, 10, FALSE), 1)</f>
        <v>3.0962112184778116E-3</v>
      </c>
      <c r="S13" s="7">
        <f>$B13 * IFERROR(VLOOKUP("transport|SO2|Non-fatal heart attacks", US_national_yearly!$D:$AM, 27, FALSE) / VLOOKUP("transport|SO2|Non-fatal heart attacks", US_national_yearly!$D:$AM, 10, FALSE), 1)</f>
        <v>3.1134493940569515E-3</v>
      </c>
      <c r="T13" s="7">
        <f>$B13 * IFERROR(VLOOKUP("transport|SO2|Non-fatal heart attacks", US_national_yearly!$D:$AM, 28, FALSE) / VLOOKUP("transport|SO2|Non-fatal heart attacks", US_national_yearly!$D:$AM, 10, FALSE), 1)</f>
        <v>3.1306875696360918E-3</v>
      </c>
      <c r="U13" s="7">
        <f>$B13 * IFERROR(VLOOKUP("transport|SO2|Non-fatal heart attacks", US_national_yearly!$D:$AM, 29, FALSE) / VLOOKUP("transport|SO2|Non-fatal heart attacks", US_national_yearly!$D:$AM, 10, FALSE), 1)</f>
        <v>3.1479257452152313E-3</v>
      </c>
      <c r="V13" s="7">
        <f>$B13 * IFERROR(VLOOKUP("transport|SO2|Non-fatal heart attacks", US_national_yearly!$D:$AM, 30, FALSE) / VLOOKUP("transport|SO2|Non-fatal heart attacks", US_national_yearly!$D:$AM, 10, FALSE), 1)</f>
        <v>3.1651639207943712E-3</v>
      </c>
      <c r="W13" s="7">
        <f>$B13 * IFERROR(VLOOKUP("transport|SO2|Non-fatal heart attacks", US_national_yearly!$D:$AM, 31, FALSE) / VLOOKUP("transport|SO2|Non-fatal heart attacks", US_national_yearly!$D:$AM, 10, FALSE), 1)</f>
        <v>3.182402096373512E-3</v>
      </c>
      <c r="X13" s="7">
        <f>$B13 * IFERROR(VLOOKUP("transport|SO2|Non-fatal heart attacks", US_national_yearly!$D:$AM, 32, FALSE) / VLOOKUP("transport|SO2|Non-fatal heart attacks", US_national_yearly!$D:$AM, 10, FALSE), 1)</f>
        <v>3.1954154110461572E-3</v>
      </c>
      <c r="Y13" s="7">
        <f>$B13 * IFERROR(VLOOKUP("transport|SO2|Non-fatal heart attacks", US_national_yearly!$D:$AM, 33, FALSE) / VLOOKUP("transport|SO2|Non-fatal heart attacks", US_national_yearly!$D:$AM, 10, FALSE), 1)</f>
        <v>3.2084287257188025E-3</v>
      </c>
      <c r="Z13" s="7">
        <f>$B13 * IFERROR(VLOOKUP("transport|SO2|Non-fatal heart attacks", US_national_yearly!$D:$AM, 34, FALSE) / VLOOKUP("transport|SO2|Non-fatal heart attacks", US_national_yearly!$D:$AM, 10, FALSE), 1)</f>
        <v>3.2214420403914481E-3</v>
      </c>
      <c r="AA13" s="7">
        <f>$B13 * IFERROR(VLOOKUP("transport|SO2|Non-fatal heart attacks", US_national_yearly!$D:$AM, 35, FALSE) / VLOOKUP("transport|SO2|Non-fatal heart attacks", US_national_yearly!$D:$AM, 10, FALSE), 1)</f>
        <v>3.2344553550640934E-3</v>
      </c>
      <c r="AB13" s="7">
        <f>$B13 * IFERROR(VLOOKUP("transport|SO2|Non-fatal heart attacks", US_national_yearly!$D:$AM, 36, FALSE) / VLOOKUP("transport|SO2|Non-fatal heart attacks", US_national_yearly!$D:$AM, 10, FALSE), 1)</f>
        <v>3.2474686697367386E-3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1.7086520867070125</v>
      </c>
      <c r="C14" s="7">
        <f>$B14 * IFERROR(VLOOKUP("transport|SO2|Minor restricted activity days", US_national_yearly!$D:$AM, 11, FALSE) / VLOOKUP("transport|SO2|Minor restricted activity days", US_national_yearly!$D:$AM, 10, FALSE), 1)</f>
        <v>1.712959029307844</v>
      </c>
      <c r="D14" s="7">
        <f>$B14 * IFERROR(VLOOKUP("transport|SO2|Minor restricted activity days", US_national_yearly!$D:$AM, 12, FALSE) / VLOOKUP("transport|SO2|Minor restricted activity days", US_national_yearly!$D:$AM, 10, FALSE), 1)</f>
        <v>1.7172659719086749</v>
      </c>
      <c r="E14" s="7">
        <f>$B14 * IFERROR(VLOOKUP("transport|SO2|Minor restricted activity days", US_national_yearly!$D:$AM, 13, FALSE) / VLOOKUP("transport|SO2|Minor restricted activity days", US_national_yearly!$D:$AM, 10, FALSE), 1)</f>
        <v>1.7215729145095064</v>
      </c>
      <c r="F14" s="7">
        <f>$B14 * IFERROR(VLOOKUP("transport|SO2|Minor restricted activity days", US_national_yearly!$D:$AM, 14, FALSE) / VLOOKUP("transport|SO2|Minor restricted activity days", US_national_yearly!$D:$AM, 10, FALSE), 1)</f>
        <v>1.7258798571103375</v>
      </c>
      <c r="G14" s="7">
        <f>$B14 * IFERROR(VLOOKUP("transport|SO2|Minor restricted activity days", US_national_yearly!$D:$AM, 15, FALSE) / VLOOKUP("transport|SO2|Minor restricted activity days", US_national_yearly!$D:$AM, 10, FALSE), 1)</f>
        <v>1.7322192535023573</v>
      </c>
      <c r="H14" s="7">
        <f>$B14 * IFERROR(VLOOKUP("transport|SO2|Minor restricted activity days", US_national_yearly!$D:$AM, 16, FALSE) / VLOOKUP("transport|SO2|Minor restricted activity days", US_national_yearly!$D:$AM, 10, FALSE), 1)</f>
        <v>1.7385586498943773</v>
      </c>
      <c r="I14" s="7">
        <f>$B14 * IFERROR(VLOOKUP("transport|SO2|Minor restricted activity days", US_national_yearly!$D:$AM, 17, FALSE) / VLOOKUP("transport|SO2|Minor restricted activity days", US_national_yearly!$D:$AM, 10, FALSE), 1)</f>
        <v>1.7493698995399916</v>
      </c>
      <c r="J14" s="7">
        <f>$B14 * IFERROR(VLOOKUP("transport|SO2|Minor restricted activity days", US_national_yearly!$D:$AM, 18, FALSE) / VLOOKUP("transport|SO2|Minor restricted activity days", US_national_yearly!$D:$AM, 10, FALSE), 1)</f>
        <v>1.7601811491856056</v>
      </c>
      <c r="K14" s="7">
        <f>$B14 * IFERROR(VLOOKUP("transport|SO2|Minor restricted activity days", US_national_yearly!$D:$AM, 19, FALSE) / VLOOKUP("transport|SO2|Minor restricted activity days", US_national_yearly!$D:$AM, 10, FALSE), 1)</f>
        <v>1.7709923988312202</v>
      </c>
      <c r="L14" s="7">
        <f>$B14 * IFERROR(VLOOKUP("transport|SO2|Minor restricted activity days", US_national_yearly!$D:$AM, 20, FALSE) / VLOOKUP("transport|SO2|Minor restricted activity days", US_national_yearly!$D:$AM, 10, FALSE), 1)</f>
        <v>1.7818036484768345</v>
      </c>
      <c r="M14" s="7">
        <f>$B14 * IFERROR(VLOOKUP("transport|SO2|Minor restricted activity days", US_national_yearly!$D:$AM, 21, FALSE) / VLOOKUP("transport|SO2|Minor restricted activity days", US_national_yearly!$D:$AM, 10, FALSE), 1)</f>
        <v>1.7926148981224486</v>
      </c>
      <c r="N14" s="7">
        <f>$B14 * IFERROR(VLOOKUP("transport|SO2|Minor restricted activity days", US_national_yearly!$D:$AM, 22, FALSE) / VLOOKUP("transport|SO2|Minor restricted activity days", US_national_yearly!$D:$AM, 10, FALSE), 1)</f>
        <v>1.8074029528755755</v>
      </c>
      <c r="O14" s="7">
        <f>$B14 * IFERROR(VLOOKUP("transport|SO2|Minor restricted activity days", US_national_yearly!$D:$AM, 23, FALSE) / VLOOKUP("transport|SO2|Minor restricted activity days", US_national_yearly!$D:$AM, 10, FALSE), 1)</f>
        <v>1.8221910076287025</v>
      </c>
      <c r="P14" s="7">
        <f>$B14 * IFERROR(VLOOKUP("transport|SO2|Minor restricted activity days", US_national_yearly!$D:$AM, 24, FALSE) / VLOOKUP("transport|SO2|Minor restricted activity days", US_national_yearly!$D:$AM, 10, FALSE), 1)</f>
        <v>1.8369790623818294</v>
      </c>
      <c r="Q14" s="7">
        <f>$B14 * IFERROR(VLOOKUP("transport|SO2|Minor restricted activity days", US_national_yearly!$D:$AM, 25, FALSE) / VLOOKUP("transport|SO2|Minor restricted activity days", US_national_yearly!$D:$AM, 10, FALSE), 1)</f>
        <v>1.8517671171349561</v>
      </c>
      <c r="R14" s="7">
        <f>$B14 * IFERROR(VLOOKUP("transport|SO2|Minor restricted activity days", US_national_yearly!$D:$AM, 26, FALSE) / VLOOKUP("transport|SO2|Minor restricted activity days", US_national_yearly!$D:$AM, 10, FALSE), 1)</f>
        <v>1.8665551718880831</v>
      </c>
      <c r="S14" s="7">
        <f>$B14 * IFERROR(VLOOKUP("transport|SO2|Minor restricted activity days", US_national_yearly!$D:$AM, 27, FALSE) / VLOOKUP("transport|SO2|Minor restricted activity days", US_national_yearly!$D:$AM, 10, FALSE), 1)</f>
        <v>1.881633041073856</v>
      </c>
      <c r="T14" s="7">
        <f>$B14 * IFERROR(VLOOKUP("transport|SO2|Minor restricted activity days", US_national_yearly!$D:$AM, 28, FALSE) / VLOOKUP("transport|SO2|Minor restricted activity days", US_national_yearly!$D:$AM, 10, FALSE), 1)</f>
        <v>1.8967109102596289</v>
      </c>
      <c r="U14" s="7">
        <f>$B14 * IFERROR(VLOOKUP("transport|SO2|Minor restricted activity days", US_national_yearly!$D:$AM, 29, FALSE) / VLOOKUP("transport|SO2|Minor restricted activity days", US_national_yearly!$D:$AM, 10, FALSE), 1)</f>
        <v>1.9117887794454018</v>
      </c>
      <c r="V14" s="7">
        <f>$B14 * IFERROR(VLOOKUP("transport|SO2|Minor restricted activity days", US_national_yearly!$D:$AM, 30, FALSE) / VLOOKUP("transport|SO2|Minor restricted activity days", US_national_yearly!$D:$AM, 10, FALSE), 1)</f>
        <v>1.9268666486311747</v>
      </c>
      <c r="W14" s="7">
        <f>$B14 * IFERROR(VLOOKUP("transport|SO2|Minor restricted activity days", US_national_yearly!$D:$AM, 31, FALSE) / VLOOKUP("transport|SO2|Minor restricted activity days", US_national_yearly!$D:$AM, 10, FALSE), 1)</f>
        <v>1.9419445178169481</v>
      </c>
      <c r="X14" s="7">
        <f>$B14 * IFERROR(VLOOKUP("transport|SO2|Minor restricted activity days", US_national_yearly!$D:$AM, 32, FALSE) / VLOOKUP("transport|SO2|Minor restricted activity days", US_national_yearly!$D:$AM, 10, FALSE), 1)</f>
        <v>1.9552043022282859</v>
      </c>
      <c r="Y14" s="7">
        <f>$B14 * IFERROR(VLOOKUP("transport|SO2|Minor restricted activity days", US_national_yearly!$D:$AM, 33, FALSE) / VLOOKUP("transport|SO2|Minor restricted activity days", US_national_yearly!$D:$AM, 10, FALSE), 1)</f>
        <v>1.9684640866396237</v>
      </c>
      <c r="Z14" s="7">
        <f>$B14 * IFERROR(VLOOKUP("transport|SO2|Minor restricted activity days", US_national_yearly!$D:$AM, 34, FALSE) / VLOOKUP("transport|SO2|Minor restricted activity days", US_national_yearly!$D:$AM, 10, FALSE), 1)</f>
        <v>1.9817238710509619</v>
      </c>
      <c r="AA14" s="7">
        <f>$B14 * IFERROR(VLOOKUP("transport|SO2|Minor restricted activity days", US_national_yearly!$D:$AM, 35, FALSE) / VLOOKUP("transport|SO2|Minor restricted activity days", US_national_yearly!$D:$AM, 10, FALSE), 1)</f>
        <v>1.9949836554622997</v>
      </c>
      <c r="AB14" s="7">
        <f>$B14 * IFERROR(VLOOKUP("transport|SO2|Minor restricted activity days", US_national_yearly!$D:$AM, 36, FALSE) / VLOOKUP("transport|SO2|Minor restricted activity days", US_national_yearly!$D:$AM, 10, FALSE), 1)</f>
        <v>2.0082434398736382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0.28817370548543381</v>
      </c>
      <c r="C15" s="7">
        <f>$B15 * IFERROR(VLOOKUP("transport|SO2|Work loss days", US_national_yearly!$D:$AM, 11, FALSE) / VLOOKUP("transport|SO2|Work loss days", US_national_yearly!$D:$AM, 10, FALSE), 1)</f>
        <v>0.28910734249004744</v>
      </c>
      <c r="D15" s="7">
        <f>$B15 * IFERROR(VLOOKUP("transport|SO2|Work loss days", US_national_yearly!$D:$AM, 12, FALSE) / VLOOKUP("transport|SO2|Work loss days", US_national_yearly!$D:$AM, 10, FALSE), 1)</f>
        <v>0.29004097949466107</v>
      </c>
      <c r="E15" s="7">
        <f>$B15 * IFERROR(VLOOKUP("transport|SO2|Work loss days", US_national_yearly!$D:$AM, 13, FALSE) / VLOOKUP("transport|SO2|Work loss days", US_national_yearly!$D:$AM, 10, FALSE), 1)</f>
        <v>0.29097461649927475</v>
      </c>
      <c r="F15" s="7">
        <f>$B15 * IFERROR(VLOOKUP("transport|SO2|Work loss days", US_national_yearly!$D:$AM, 14, FALSE) / VLOOKUP("transport|SO2|Work loss days", US_national_yearly!$D:$AM, 10, FALSE), 1)</f>
        <v>0.29190825350388838</v>
      </c>
      <c r="G15" s="7">
        <f>$B15 * IFERROR(VLOOKUP("transport|SO2|Work loss days", US_national_yearly!$D:$AM, 15, FALSE) / VLOOKUP("transport|SO2|Work loss days", US_national_yearly!$D:$AM, 10, FALSE), 1)</f>
        <v>0.29312816448820522</v>
      </c>
      <c r="H15" s="7">
        <f>$B15 * IFERROR(VLOOKUP("transport|SO2|Work loss days", US_national_yearly!$D:$AM, 16, FALSE) / VLOOKUP("transport|SO2|Work loss days", US_national_yearly!$D:$AM, 10, FALSE), 1)</f>
        <v>0.29434807547252195</v>
      </c>
      <c r="I15" s="7">
        <f>$B15 * IFERROR(VLOOKUP("transport|SO2|Work loss days", US_national_yearly!$D:$AM, 17, FALSE) / VLOOKUP("transport|SO2|Work loss days", US_national_yearly!$D:$AM, 10, FALSE), 1)</f>
        <v>0.29613264148134227</v>
      </c>
      <c r="J15" s="7">
        <f>$B15 * IFERROR(VLOOKUP("transport|SO2|Work loss days", US_national_yearly!$D:$AM, 18, FALSE) / VLOOKUP("transport|SO2|Work loss days", US_national_yearly!$D:$AM, 10, FALSE), 1)</f>
        <v>0.29791720749016254</v>
      </c>
      <c r="K15" s="7">
        <f>$B15 * IFERROR(VLOOKUP("transport|SO2|Work loss days", US_national_yearly!$D:$AM, 19, FALSE) / VLOOKUP("transport|SO2|Work loss days", US_national_yearly!$D:$AM, 10, FALSE), 1)</f>
        <v>0.2997017734989828</v>
      </c>
      <c r="L15" s="7">
        <f>$B15 * IFERROR(VLOOKUP("transport|SO2|Work loss days", US_national_yearly!$D:$AM, 20, FALSE) / VLOOKUP("transport|SO2|Work loss days", US_national_yearly!$D:$AM, 10, FALSE), 1)</f>
        <v>0.30148633950780312</v>
      </c>
      <c r="M15" s="7">
        <f>$B15 * IFERROR(VLOOKUP("transport|SO2|Work loss days", US_national_yearly!$D:$AM, 21, FALSE) / VLOOKUP("transport|SO2|Work loss days", US_national_yearly!$D:$AM, 10, FALSE), 1)</f>
        <v>0.30327090551662345</v>
      </c>
      <c r="N15" s="7">
        <f>$B15 * IFERROR(VLOOKUP("transport|SO2|Work loss days", US_national_yearly!$D:$AM, 22, FALSE) / VLOOKUP("transport|SO2|Work loss days", US_national_yearly!$D:$AM, 10, FALSE), 1)</f>
        <v>0.3055084621017306</v>
      </c>
      <c r="O15" s="7">
        <f>$B15 * IFERROR(VLOOKUP("transport|SO2|Work loss days", US_national_yearly!$D:$AM, 23, FALSE) / VLOOKUP("transport|SO2|Work loss days", US_national_yearly!$D:$AM, 10, FALSE), 1)</f>
        <v>0.30774601868683782</v>
      </c>
      <c r="P15" s="7">
        <f>$B15 * IFERROR(VLOOKUP("transport|SO2|Work loss days", US_national_yearly!$D:$AM, 24, FALSE) / VLOOKUP("transport|SO2|Work loss days", US_national_yearly!$D:$AM, 10, FALSE), 1)</f>
        <v>0.30998357527194492</v>
      </c>
      <c r="Q15" s="7">
        <f>$B15 * IFERROR(VLOOKUP("transport|SO2|Work loss days", US_national_yearly!$D:$AM, 25, FALSE) / VLOOKUP("transport|SO2|Work loss days", US_national_yearly!$D:$AM, 10, FALSE), 1)</f>
        <v>0.31222113185705208</v>
      </c>
      <c r="R15" s="7">
        <f>$B15 * IFERROR(VLOOKUP("transport|SO2|Work loss days", US_national_yearly!$D:$AM, 26, FALSE) / VLOOKUP("transport|SO2|Work loss days", US_national_yearly!$D:$AM, 10, FALSE), 1)</f>
        <v>0.3144586884421593</v>
      </c>
      <c r="S15" s="7">
        <f>$B15 * IFERROR(VLOOKUP("transport|SO2|Work loss days", US_national_yearly!$D:$AM, 27, FALSE) / VLOOKUP("transport|SO2|Work loss days", US_national_yearly!$D:$AM, 10, FALSE), 1)</f>
        <v>0.31695915054888674</v>
      </c>
      <c r="T15" s="7">
        <f>$B15 * IFERROR(VLOOKUP("transport|SO2|Work loss days", US_national_yearly!$D:$AM, 28, FALSE) / VLOOKUP("transport|SO2|Work loss days", US_national_yearly!$D:$AM, 10, FALSE), 1)</f>
        <v>0.31945961265561418</v>
      </c>
      <c r="U15" s="7">
        <f>$B15 * IFERROR(VLOOKUP("transport|SO2|Work loss days", US_national_yearly!$D:$AM, 29, FALSE) / VLOOKUP("transport|SO2|Work loss days", US_national_yearly!$D:$AM, 10, FALSE), 1)</f>
        <v>0.32196007476234162</v>
      </c>
      <c r="V15" s="7">
        <f>$B15 * IFERROR(VLOOKUP("transport|SO2|Work loss days", US_national_yearly!$D:$AM, 30, FALSE) / VLOOKUP("transport|SO2|Work loss days", US_national_yearly!$D:$AM, 10, FALSE), 1)</f>
        <v>0.32446053686906906</v>
      </c>
      <c r="W15" s="7">
        <f>$B15 * IFERROR(VLOOKUP("transport|SO2|Work loss days", US_national_yearly!$D:$AM, 31, FALSE) / VLOOKUP("transport|SO2|Work loss days", US_national_yearly!$D:$AM, 10, FALSE), 1)</f>
        <v>0.32696099897579656</v>
      </c>
      <c r="X15" s="7">
        <f>$B15 * IFERROR(VLOOKUP("transport|SO2|Work loss days", US_national_yearly!$D:$AM, 32, FALSE) / VLOOKUP("transport|SO2|Work loss days", US_national_yearly!$D:$AM, 10, FALSE), 1)</f>
        <v>0.32920606929240409</v>
      </c>
      <c r="Y15" s="7">
        <f>$B15 * IFERROR(VLOOKUP("transport|SO2|Work loss days", US_national_yearly!$D:$AM, 33, FALSE) / VLOOKUP("transport|SO2|Work loss days", US_national_yearly!$D:$AM, 10, FALSE), 1)</f>
        <v>0.33145113960901174</v>
      </c>
      <c r="Z15" s="7">
        <f>$B15 * IFERROR(VLOOKUP("transport|SO2|Work loss days", US_national_yearly!$D:$AM, 34, FALSE) / VLOOKUP("transport|SO2|Work loss days", US_national_yearly!$D:$AM, 10, FALSE), 1)</f>
        <v>0.33369620992561932</v>
      </c>
      <c r="AA15" s="7">
        <f>$B15 * IFERROR(VLOOKUP("transport|SO2|Work loss days", US_national_yearly!$D:$AM, 35, FALSE) / VLOOKUP("transport|SO2|Work loss days", US_national_yearly!$D:$AM, 10, FALSE), 1)</f>
        <v>0.33594128024222697</v>
      </c>
      <c r="AB15" s="7">
        <f>$B15 * IFERROR(VLOOKUP("transport|SO2|Work loss days", US_national_yearly!$D:$AM, 36, FALSE) / VLOOKUP("transport|SO2|Work loss days", US_national_yearly!$D:$AM, 10, FALSE), 1)</f>
        <v>0.33818635055883461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5.5557986186367987E-4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5.7238272443605625E-4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5.8918558700843263E-4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6.0598844958080901E-4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6.227913121531855E-4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6.3888685679502064E-4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6.549824014368559E-4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6.6877314217679161E-4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6.8256388291672721E-4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6.9635462365666282E-4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7.1014536439659842E-4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7.2393610513653403E-4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7.3320034152408835E-4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7.4246457791164256E-4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7.5172881429919677E-4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7.6099305068675087E-4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7.7025728707430529E-4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7.7512961579991187E-4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7.8000194452551856E-4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7.8487427325112514E-4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7.8974660197673183E-4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7.9461893070233852E-4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7.9788988604272018E-4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8.0116084138310195E-4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8.0443179672348372E-4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8.0770275206386549E-4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8.1097370740424715E-4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2.6927261719274169E-2</v>
      </c>
      <c r="C2" s="7">
        <f>$B2 * IFERROR(VLOOKUP("electricity|PM25|Premature mortality", US_national_yearly!$D:$AM, 11, FALSE) / VLOOKUP("electricity|PM25|Premature mortality", US_national_yearly!$D:$AM, 10, FALSE), 1)</f>
        <v>2.7260789184556437E-2</v>
      </c>
      <c r="D2" s="7">
        <f>$B2 * IFERROR(VLOOKUP("electricity|PM25|Premature mortality", US_national_yearly!$D:$AM, 12, FALSE) / VLOOKUP("electricity|PM25|Premature mortality", US_national_yearly!$D:$AM, 10, FALSE), 1)</f>
        <v>2.7594316649838701E-2</v>
      </c>
      <c r="E2" s="7">
        <f>$B2 * IFERROR(VLOOKUP("electricity|PM25|Premature mortality", US_national_yearly!$D:$AM, 13, FALSE) / VLOOKUP("electricity|PM25|Premature mortality", US_national_yearly!$D:$AM, 10, FALSE), 1)</f>
        <v>2.7927844115120969E-2</v>
      </c>
      <c r="F2" s="7">
        <f>$B2 * IFERROR(VLOOKUP("electricity|PM25|Premature mortality", US_national_yearly!$D:$AM, 14, FALSE) / VLOOKUP("electricity|PM25|Premature mortality", US_national_yearly!$D:$AM, 10, FALSE), 1)</f>
        <v>2.826137158040324E-2</v>
      </c>
      <c r="G2" s="7">
        <f>$B2 * IFERROR(VLOOKUP("electricity|PM25|Premature mortality", US_national_yearly!$D:$AM, 15, FALSE) / VLOOKUP("electricity|PM25|Premature mortality", US_national_yearly!$D:$AM, 10, FALSE), 1)</f>
        <v>2.8916437259766888E-2</v>
      </c>
      <c r="H2" s="7">
        <f>$B2 * IFERROR(VLOOKUP("electricity|PM25|Premature mortality", US_national_yearly!$D:$AM, 16, FALSE) / VLOOKUP("electricity|PM25|Premature mortality", US_national_yearly!$D:$AM, 10, FALSE), 1)</f>
        <v>2.9571502939130544E-2</v>
      </c>
      <c r="I2" s="7">
        <f>$B2 * IFERROR(VLOOKUP("electricity|PM25|Premature mortality", US_national_yearly!$D:$AM, 17, FALSE) / VLOOKUP("electricity|PM25|Premature mortality", US_national_yearly!$D:$AM, 10, FALSE), 1)</f>
        <v>3.0011647133467045E-2</v>
      </c>
      <c r="J2" s="7">
        <f>$B2 * IFERROR(VLOOKUP("electricity|PM25|Premature mortality", US_national_yearly!$D:$AM, 18, FALSE) / VLOOKUP("electricity|PM25|Premature mortality", US_national_yearly!$D:$AM, 10, FALSE), 1)</f>
        <v>3.0451791327803557E-2</v>
      </c>
      <c r="K2" s="7">
        <f>$B2 * IFERROR(VLOOKUP("electricity|PM25|Premature mortality", US_national_yearly!$D:$AM, 19, FALSE) / VLOOKUP("electricity|PM25|Premature mortality", US_national_yearly!$D:$AM, 10, FALSE), 1)</f>
        <v>3.0891935522140059E-2</v>
      </c>
      <c r="L2" s="7">
        <f>$B2 * IFERROR(VLOOKUP("electricity|PM25|Premature mortality", US_national_yearly!$D:$AM, 20, FALSE) / VLOOKUP("electricity|PM25|Premature mortality", US_national_yearly!$D:$AM, 10, FALSE), 1)</f>
        <v>3.1332079716476571E-2</v>
      </c>
      <c r="M2" s="7">
        <f>$B2 * IFERROR(VLOOKUP("electricity|PM25|Premature mortality", US_national_yearly!$D:$AM, 21, FALSE) / VLOOKUP("electricity|PM25|Premature mortality", US_national_yearly!$D:$AM, 10, FALSE), 1)</f>
        <v>3.1772223910813073E-2</v>
      </c>
      <c r="N2" s="7">
        <f>$B2 * IFERROR(VLOOKUP("electricity|PM25|Premature mortality", US_national_yearly!$D:$AM, 22, FALSE) / VLOOKUP("electricity|PM25|Premature mortality", US_national_yearly!$D:$AM, 10, FALSE), 1)</f>
        <v>3.2123068665284735E-2</v>
      </c>
      <c r="O2" s="7">
        <f>$B2 * IFERROR(VLOOKUP("electricity|PM25|Premature mortality", US_national_yearly!$D:$AM, 23, FALSE) / VLOOKUP("electricity|PM25|Premature mortality", US_national_yearly!$D:$AM, 10, FALSE), 1)</f>
        <v>3.2473913419756383E-2</v>
      </c>
      <c r="P2" s="7">
        <f>$B2 * IFERROR(VLOOKUP("electricity|PM25|Premature mortality", US_national_yearly!$D:$AM, 24, FALSE) / VLOOKUP("electricity|PM25|Premature mortality", US_national_yearly!$D:$AM, 10, FALSE), 1)</f>
        <v>3.2824758174228044E-2</v>
      </c>
      <c r="Q2" s="7">
        <f>$B2 * IFERROR(VLOOKUP("electricity|PM25|Premature mortality", US_national_yearly!$D:$AM, 25, FALSE) / VLOOKUP("electricity|PM25|Premature mortality", US_national_yearly!$D:$AM, 10, FALSE), 1)</f>
        <v>3.3175602928699699E-2</v>
      </c>
      <c r="R2" s="7">
        <f>$B2 * IFERROR(VLOOKUP("electricity|PM25|Premature mortality", US_national_yearly!$D:$AM, 26, FALSE) / VLOOKUP("electricity|PM25|Premature mortality", US_national_yearly!$D:$AM, 10, FALSE), 1)</f>
        <v>3.3526447683171361E-2</v>
      </c>
      <c r="S2" s="7">
        <f>$B2 * IFERROR(VLOOKUP("electricity|PM25|Premature mortality", US_national_yearly!$D:$AM, 27, FALSE) / VLOOKUP("electricity|PM25|Premature mortality", US_national_yearly!$D:$AM, 10, FALSE), 1)</f>
        <v>3.3727202932119567E-2</v>
      </c>
      <c r="T2" s="7">
        <f>$B2 * IFERROR(VLOOKUP("electricity|PM25|Premature mortality", US_national_yearly!$D:$AM, 28, FALSE) / VLOOKUP("electricity|PM25|Premature mortality", US_national_yearly!$D:$AM, 10, FALSE), 1)</f>
        <v>3.3927958181067766E-2</v>
      </c>
      <c r="U2" s="7">
        <f>$B2 * IFERROR(VLOOKUP("electricity|PM25|Premature mortality", US_national_yearly!$D:$AM, 29, FALSE) / VLOOKUP("electricity|PM25|Premature mortality", US_national_yearly!$D:$AM, 10, FALSE), 1)</f>
        <v>3.4128713430015986E-2</v>
      </c>
      <c r="V2" s="7">
        <f>$B2 * IFERROR(VLOOKUP("electricity|PM25|Premature mortality", US_national_yearly!$D:$AM, 30, FALSE) / VLOOKUP("electricity|PM25|Premature mortality", US_national_yearly!$D:$AM, 10, FALSE), 1)</f>
        <v>3.4329468678964185E-2</v>
      </c>
      <c r="W2" s="7">
        <f>$B2 * IFERROR(VLOOKUP("electricity|PM25|Premature mortality", US_national_yearly!$D:$AM, 31, FALSE) / VLOOKUP("electricity|PM25|Premature mortality", US_national_yearly!$D:$AM, 10, FALSE), 1)</f>
        <v>3.4530223927912392E-2</v>
      </c>
      <c r="X2" s="7">
        <f>$B2 * IFERROR(VLOOKUP("electricity|PM25|Premature mortality", US_national_yearly!$D:$AM, 32, FALSE) / VLOOKUP("electricity|PM25|Premature mortality", US_national_yearly!$D:$AM, 10, FALSE), 1)</f>
        <v>3.4585992438068522E-2</v>
      </c>
      <c r="Y2" s="7">
        <f>$B2 * IFERROR(VLOOKUP("electricity|PM25|Premature mortality", US_national_yearly!$D:$AM, 33, FALSE) / VLOOKUP("electricity|PM25|Premature mortality", US_national_yearly!$D:$AM, 10, FALSE), 1)</f>
        <v>3.4641760948224659E-2</v>
      </c>
      <c r="Z2" s="7">
        <f>$B2 * IFERROR(VLOOKUP("electricity|PM25|Premature mortality", US_national_yearly!$D:$AM, 34, FALSE) / VLOOKUP("electricity|PM25|Premature mortality", US_national_yearly!$D:$AM, 10, FALSE), 1)</f>
        <v>3.4697529458380789E-2</v>
      </c>
      <c r="AA2" s="7">
        <f>$B2 * IFERROR(VLOOKUP("electricity|PM25|Premature mortality", US_national_yearly!$D:$AM, 35, FALSE) / VLOOKUP("electricity|PM25|Premature mortality", US_national_yearly!$D:$AM, 10, FALSE), 1)</f>
        <v>3.4753297968536927E-2</v>
      </c>
      <c r="AB2" s="7">
        <f>$B2 * IFERROR(VLOOKUP("electricity|PM25|Premature mortality", US_national_yearly!$D:$AM, 36, FALSE) / VLOOKUP("electricity|PM25|Premature mortality", US_national_yearly!$D:$AM, 10, FALSE), 1)</f>
        <v>3.4809066478693064E-2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4.7610821046979489E-5</v>
      </c>
      <c r="C3" s="7">
        <f>$B3 * IFERROR(VLOOKUP("electricity|PM25|Infant mortality", US_national_yearly!$D:$AM, 11, FALSE) / VLOOKUP("electricity|PM25|Infant mortality", US_national_yearly!$D:$AM, 10, FALSE), 1)</f>
        <v>4.7195988083123633E-5</v>
      </c>
      <c r="D3" s="7">
        <f>$B3 * IFERROR(VLOOKUP("electricity|PM25|Infant mortality", US_national_yearly!$D:$AM, 12, FALSE) / VLOOKUP("electricity|PM25|Infant mortality", US_national_yearly!$D:$AM, 10, FALSE), 1)</f>
        <v>4.6781155119267784E-5</v>
      </c>
      <c r="E3" s="7">
        <f>$B3 * IFERROR(VLOOKUP("electricity|PM25|Infant mortality", US_national_yearly!$D:$AM, 13, FALSE) / VLOOKUP("electricity|PM25|Infant mortality", US_national_yearly!$D:$AM, 10, FALSE), 1)</f>
        <v>4.6366322155411928E-5</v>
      </c>
      <c r="F3" s="7">
        <f>$B3 * IFERROR(VLOOKUP("electricity|PM25|Infant mortality", US_national_yearly!$D:$AM, 14, FALSE) / VLOOKUP("electricity|PM25|Infant mortality", US_national_yearly!$D:$AM, 10, FALSE), 1)</f>
        <v>4.5951489191556066E-5</v>
      </c>
      <c r="G3" s="7">
        <f>$B3 * IFERROR(VLOOKUP("electricity|PM25|Infant mortality", US_national_yearly!$D:$AM, 15, FALSE) / VLOOKUP("electricity|PM25|Infant mortality", US_national_yearly!$D:$AM, 10, FALSE), 1)</f>
        <v>3.0473595396723489E-5</v>
      </c>
      <c r="H3" s="7">
        <f>$B3 * IFERROR(VLOOKUP("electricity|PM25|Infant mortality", US_national_yearly!$D:$AM, 16, FALSE) / VLOOKUP("electricity|PM25|Infant mortality", US_national_yearly!$D:$AM, 10, FALSE), 1)</f>
        <v>1.499570160189091E-5</v>
      </c>
      <c r="I3" s="7">
        <f>$B3 * IFERROR(VLOOKUP("electricity|PM25|Infant mortality", US_national_yearly!$D:$AM, 17, FALSE) / VLOOKUP("electricity|PM25|Infant mortality", US_national_yearly!$D:$AM, 10, FALSE), 1)</f>
        <v>1.4889825077186151E-5</v>
      </c>
      <c r="J3" s="7">
        <f>$B3 * IFERROR(VLOOKUP("electricity|PM25|Infant mortality", US_national_yearly!$D:$AM, 18, FALSE) / VLOOKUP("electricity|PM25|Infant mortality", US_national_yearly!$D:$AM, 10, FALSE), 1)</f>
        <v>1.4783948552481396E-5</v>
      </c>
      <c r="K3" s="7">
        <f>$B3 * IFERROR(VLOOKUP("electricity|PM25|Infant mortality", US_national_yearly!$D:$AM, 19, FALSE) / VLOOKUP("electricity|PM25|Infant mortality", US_national_yearly!$D:$AM, 10, FALSE), 1)</f>
        <v>1.4678072027776636E-5</v>
      </c>
      <c r="L3" s="7">
        <f>$B3 * IFERROR(VLOOKUP("electricity|PM25|Infant mortality", US_national_yearly!$D:$AM, 20, FALSE) / VLOOKUP("electricity|PM25|Infant mortality", US_national_yearly!$D:$AM, 10, FALSE), 1)</f>
        <v>1.4572195503071879E-5</v>
      </c>
      <c r="M3" s="7">
        <f>$B3 * IFERROR(VLOOKUP("electricity|PM25|Infant mortality", US_national_yearly!$D:$AM, 21, FALSE) / VLOOKUP("electricity|PM25|Infant mortality", US_national_yearly!$D:$AM, 10, FALSE), 1)</f>
        <v>1.446631897836712E-5</v>
      </c>
      <c r="N3" s="7">
        <f>$B3 * IFERROR(VLOOKUP("electricity|PM25|Infant mortality", US_national_yearly!$D:$AM, 22, FALSE) / VLOOKUP("electricity|PM25|Infant mortality", US_national_yearly!$D:$AM, 10, FALSE), 1)</f>
        <v>1.4398226315999929E-5</v>
      </c>
      <c r="O3" s="7">
        <f>$B3 * IFERROR(VLOOKUP("electricity|PM25|Infant mortality", US_national_yearly!$D:$AM, 23, FALSE) / VLOOKUP("electricity|PM25|Infant mortality", US_national_yearly!$D:$AM, 10, FALSE), 1)</f>
        <v>1.4330133653632736E-5</v>
      </c>
      <c r="P3" s="7">
        <f>$B3 * IFERROR(VLOOKUP("electricity|PM25|Infant mortality", US_national_yearly!$D:$AM, 24, FALSE) / VLOOKUP("electricity|PM25|Infant mortality", US_national_yearly!$D:$AM, 10, FALSE), 1)</f>
        <v>1.4262040991265541E-5</v>
      </c>
      <c r="Q3" s="7">
        <f>$B3 * IFERROR(VLOOKUP("electricity|PM25|Infant mortality", US_national_yearly!$D:$AM, 25, FALSE) / VLOOKUP("electricity|PM25|Infant mortality", US_national_yearly!$D:$AM, 10, FALSE), 1)</f>
        <v>1.4193948328898348E-5</v>
      </c>
      <c r="R3" s="7">
        <f>$B3 * IFERROR(VLOOKUP("electricity|PM25|Infant mortality", US_national_yearly!$D:$AM, 26, FALSE) / VLOOKUP("electricity|PM25|Infant mortality", US_national_yearly!$D:$AM, 10, FALSE), 1)</f>
        <v>1.4125855666531153E-5</v>
      </c>
      <c r="S3" s="7">
        <f>$B3 * IFERROR(VLOOKUP("electricity|PM25|Infant mortality", US_national_yearly!$D:$AM, 27, FALSE) / VLOOKUP("electricity|PM25|Infant mortality", US_national_yearly!$D:$AM, 10, FALSE), 1)</f>
        <v>1.4044279135381408E-5</v>
      </c>
      <c r="T3" s="7">
        <f>$B3 * IFERROR(VLOOKUP("electricity|PM25|Infant mortality", US_national_yearly!$D:$AM, 28, FALSE) / VLOOKUP("electricity|PM25|Infant mortality", US_national_yearly!$D:$AM, 10, FALSE), 1)</f>
        <v>1.3962702604231664E-5</v>
      </c>
      <c r="U3" s="7">
        <f>$B3 * IFERROR(VLOOKUP("electricity|PM25|Infant mortality", US_national_yearly!$D:$AM, 29, FALSE) / VLOOKUP("electricity|PM25|Infant mortality", US_national_yearly!$D:$AM, 10, FALSE), 1)</f>
        <v>1.3881126073081922E-5</v>
      </c>
      <c r="V3" s="7">
        <f>$B3 * IFERROR(VLOOKUP("electricity|PM25|Infant mortality", US_national_yearly!$D:$AM, 30, FALSE) / VLOOKUP("electricity|PM25|Infant mortality", US_national_yearly!$D:$AM, 10, FALSE), 1)</f>
        <v>1.3799549541932179E-5</v>
      </c>
      <c r="W3" s="7">
        <f>$B3 * IFERROR(VLOOKUP("electricity|PM25|Infant mortality", US_national_yearly!$D:$AM, 31, FALSE) / VLOOKUP("electricity|PM25|Infant mortality", US_national_yearly!$D:$AM, 10, FALSE), 1)</f>
        <v>1.3717973010782434E-5</v>
      </c>
      <c r="X3" s="7">
        <f>$B3 * IFERROR(VLOOKUP("electricity|PM25|Infant mortality", US_national_yearly!$D:$AM, 32, FALSE) / VLOOKUP("electricity|PM25|Infant mortality", US_national_yearly!$D:$AM, 10, FALSE), 1)</f>
        <v>1.3633673851134642E-5</v>
      </c>
      <c r="Y3" s="7">
        <f>$B3 * IFERROR(VLOOKUP("electricity|PM25|Infant mortality", US_national_yearly!$D:$AM, 33, FALSE) / VLOOKUP("electricity|PM25|Infant mortality", US_national_yearly!$D:$AM, 10, FALSE), 1)</f>
        <v>1.3549374691486851E-5</v>
      </c>
      <c r="Z3" s="7">
        <f>$B3 * IFERROR(VLOOKUP("electricity|PM25|Infant mortality", US_national_yearly!$D:$AM, 34, FALSE) / VLOOKUP("electricity|PM25|Infant mortality", US_national_yearly!$D:$AM, 10, FALSE), 1)</f>
        <v>1.3465075531839059E-5</v>
      </c>
      <c r="AA3" s="7">
        <f>$B3 * IFERROR(VLOOKUP("electricity|PM25|Infant mortality", US_national_yearly!$D:$AM, 35, FALSE) / VLOOKUP("electricity|PM25|Infant mortality", US_national_yearly!$D:$AM, 10, FALSE), 1)</f>
        <v>1.3380776372191268E-5</v>
      </c>
      <c r="AB3" s="7">
        <f>$B3 * IFERROR(VLOOKUP("electricity|PM25|Infant mortality", US_national_yearly!$D:$AM, 36, FALSE) / VLOOKUP("electricity|PM25|Infant mortality", US_national_yearly!$D:$AM, 10, FALSE), 1)</f>
        <v>1.3296477212543476E-5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6.2730343138423697E-2</v>
      </c>
      <c r="C6" s="7">
        <f>$B6 * IFERROR(VLOOKUP("electricity|PM25|Asthma symptoms cough", US_national_yearly!$D:$AM, 11, FALSE) / VLOOKUP("electricity|PM25|Asthma symptoms cough", US_national_yearly!$D:$AM, 10, FALSE), 1)</f>
        <v>6.2730343138423697E-2</v>
      </c>
      <c r="D6" s="7">
        <f>$B6 * IFERROR(VLOOKUP("electricity|PM25|Asthma symptoms cough", US_national_yearly!$D:$AM, 12, FALSE) / VLOOKUP("electricity|PM25|Asthma symptoms cough", US_national_yearly!$D:$AM, 10, FALSE), 1)</f>
        <v>6.2730343138423697E-2</v>
      </c>
      <c r="E6" s="7">
        <f>$B6 * IFERROR(VLOOKUP("electricity|PM25|Asthma symptoms cough", US_national_yearly!$D:$AM, 13, FALSE) / VLOOKUP("electricity|PM25|Asthma symptoms cough", US_national_yearly!$D:$AM, 10, FALSE), 1)</f>
        <v>6.2730343138423697E-2</v>
      </c>
      <c r="F6" s="7">
        <f>$B6 * IFERROR(VLOOKUP("electricity|PM25|Asthma symptoms cough", US_national_yearly!$D:$AM, 14, FALSE) / VLOOKUP("electricity|PM25|Asthma symptoms cough", US_national_yearly!$D:$AM, 10, FALSE), 1)</f>
        <v>6.2730343138423697E-2</v>
      </c>
      <c r="G6" s="7">
        <f>$B6 * IFERROR(VLOOKUP("electricity|PM25|Asthma symptoms cough", US_national_yearly!$D:$AM, 15, FALSE) / VLOOKUP("electricity|PM25|Asthma symptoms cough", US_national_yearly!$D:$AM, 10, FALSE), 1)</f>
        <v>6.2730343138423697E-2</v>
      </c>
      <c r="H6" s="7">
        <f>$B6 * IFERROR(VLOOKUP("electricity|PM25|Asthma symptoms cough", US_national_yearly!$D:$AM, 16, FALSE) / VLOOKUP("electricity|PM25|Asthma symptoms cough", US_national_yearly!$D:$AM, 10, FALSE), 1)</f>
        <v>6.2730343138423697E-2</v>
      </c>
      <c r="I6" s="7">
        <f>$B6 * IFERROR(VLOOKUP("electricity|PM25|Asthma symptoms cough", US_national_yearly!$D:$AM, 17, FALSE) / VLOOKUP("electricity|PM25|Asthma symptoms cough", US_national_yearly!$D:$AM, 10, FALSE), 1)</f>
        <v>6.2730343138423697E-2</v>
      </c>
      <c r="J6" s="7">
        <f>$B6 * IFERROR(VLOOKUP("electricity|PM25|Asthma symptoms cough", US_national_yearly!$D:$AM, 18, FALSE) / VLOOKUP("electricity|PM25|Asthma symptoms cough", US_national_yearly!$D:$AM, 10, FALSE), 1)</f>
        <v>6.2730343138423697E-2</v>
      </c>
      <c r="K6" s="7">
        <f>$B6 * IFERROR(VLOOKUP("electricity|PM25|Asthma symptoms cough", US_national_yearly!$D:$AM, 19, FALSE) / VLOOKUP("electricity|PM25|Asthma symptoms cough", US_national_yearly!$D:$AM, 10, FALSE), 1)</f>
        <v>6.2730343138423697E-2</v>
      </c>
      <c r="L6" s="7">
        <f>$B6 * IFERROR(VLOOKUP("electricity|PM25|Asthma symptoms cough", US_national_yearly!$D:$AM, 20, FALSE) / VLOOKUP("electricity|PM25|Asthma symptoms cough", US_national_yearly!$D:$AM, 10, FALSE), 1)</f>
        <v>6.2730343138423697E-2</v>
      </c>
      <c r="M6" s="7">
        <f>$B6 * IFERROR(VLOOKUP("electricity|PM25|Asthma symptoms cough", US_national_yearly!$D:$AM, 21, FALSE) / VLOOKUP("electricity|PM25|Asthma symptoms cough", US_national_yearly!$D:$AM, 10, FALSE), 1)</f>
        <v>6.2730343138423697E-2</v>
      </c>
      <c r="N6" s="7">
        <f>$B6 * IFERROR(VLOOKUP("electricity|PM25|Asthma symptoms cough", US_national_yearly!$D:$AM, 22, FALSE) / VLOOKUP("electricity|PM25|Asthma symptoms cough", US_national_yearly!$D:$AM, 10, FALSE), 1)</f>
        <v>6.2730343138423697E-2</v>
      </c>
      <c r="O6" s="7">
        <f>$B6 * IFERROR(VLOOKUP("electricity|PM25|Asthma symptoms cough", US_national_yearly!$D:$AM, 23, FALSE) / VLOOKUP("electricity|PM25|Asthma symptoms cough", US_national_yearly!$D:$AM, 10, FALSE), 1)</f>
        <v>6.2730343138423697E-2</v>
      </c>
      <c r="P6" s="7">
        <f>$B6 * IFERROR(VLOOKUP("electricity|PM25|Asthma symptoms cough", US_national_yearly!$D:$AM, 24, FALSE) / VLOOKUP("electricity|PM25|Asthma symptoms cough", US_national_yearly!$D:$AM, 10, FALSE), 1)</f>
        <v>6.2730343138423697E-2</v>
      </c>
      <c r="Q6" s="7">
        <f>$B6 * IFERROR(VLOOKUP("electricity|PM25|Asthma symptoms cough", US_national_yearly!$D:$AM, 25, FALSE) / VLOOKUP("electricity|PM25|Asthma symptoms cough", US_national_yearly!$D:$AM, 10, FALSE), 1)</f>
        <v>6.2730343138423697E-2</v>
      </c>
      <c r="R6" s="7">
        <f>$B6 * IFERROR(VLOOKUP("electricity|PM25|Asthma symptoms cough", US_national_yearly!$D:$AM, 26, FALSE) / VLOOKUP("electricity|PM25|Asthma symptoms cough", US_national_yearly!$D:$AM, 10, FALSE), 1)</f>
        <v>6.2730343138423697E-2</v>
      </c>
      <c r="S6" s="7">
        <f>$B6 * IFERROR(VLOOKUP("electricity|PM25|Asthma symptoms cough", US_national_yearly!$D:$AM, 27, FALSE) / VLOOKUP("electricity|PM25|Asthma symptoms cough", US_national_yearly!$D:$AM, 10, FALSE), 1)</f>
        <v>6.2730343138423697E-2</v>
      </c>
      <c r="T6" s="7">
        <f>$B6 * IFERROR(VLOOKUP("electricity|PM25|Asthma symptoms cough", US_national_yearly!$D:$AM, 28, FALSE) / VLOOKUP("electricity|PM25|Asthma symptoms cough", US_national_yearly!$D:$AM, 10, FALSE), 1)</f>
        <v>6.2730343138423697E-2</v>
      </c>
      <c r="U6" s="7">
        <f>$B6 * IFERROR(VLOOKUP("electricity|PM25|Asthma symptoms cough", US_national_yearly!$D:$AM, 29, FALSE) / VLOOKUP("electricity|PM25|Asthma symptoms cough", US_national_yearly!$D:$AM, 10, FALSE), 1)</f>
        <v>6.2730343138423697E-2</v>
      </c>
      <c r="V6" s="7">
        <f>$B6 * IFERROR(VLOOKUP("electricity|PM25|Asthma symptoms cough", US_national_yearly!$D:$AM, 30, FALSE) / VLOOKUP("electricity|PM25|Asthma symptoms cough", US_national_yearly!$D:$AM, 10, FALSE), 1)</f>
        <v>6.2730343138423697E-2</v>
      </c>
      <c r="W6" s="7">
        <f>$B6 * IFERROR(VLOOKUP("electricity|PM25|Asthma symptoms cough", US_national_yearly!$D:$AM, 31, FALSE) / VLOOKUP("electricity|PM25|Asthma symptoms cough", US_national_yearly!$D:$AM, 10, FALSE), 1)</f>
        <v>6.2730343138423697E-2</v>
      </c>
      <c r="X6" s="7">
        <f>$B6 * IFERROR(VLOOKUP("electricity|PM25|Asthma symptoms cough", US_national_yearly!$D:$AM, 32, FALSE) / VLOOKUP("electricity|PM25|Asthma symptoms cough", US_national_yearly!$D:$AM, 10, FALSE), 1)</f>
        <v>6.2730343138423697E-2</v>
      </c>
      <c r="Y6" s="7">
        <f>$B6 * IFERROR(VLOOKUP("electricity|PM25|Asthma symptoms cough", US_national_yearly!$D:$AM, 33, FALSE) / VLOOKUP("electricity|PM25|Asthma symptoms cough", US_national_yearly!$D:$AM, 10, FALSE), 1)</f>
        <v>6.2730343138423697E-2</v>
      </c>
      <c r="Z6" s="7">
        <f>$B6 * IFERROR(VLOOKUP("electricity|PM25|Asthma symptoms cough", US_national_yearly!$D:$AM, 34, FALSE) / VLOOKUP("electricity|PM25|Asthma symptoms cough", US_national_yearly!$D:$AM, 10, FALSE), 1)</f>
        <v>6.2730343138423697E-2</v>
      </c>
      <c r="AA6" s="7">
        <f>$B6 * IFERROR(VLOOKUP("electricity|PM25|Asthma symptoms cough", US_national_yearly!$D:$AM, 35, FALSE) / VLOOKUP("electricity|PM25|Asthma symptoms cough", US_national_yearly!$D:$AM, 10, FALSE), 1)</f>
        <v>6.2730343138423697E-2</v>
      </c>
      <c r="AB6" s="7">
        <f>$B6 * IFERROR(VLOOKUP("electricity|PM25|Asthma symptoms cough", US_national_yearly!$D:$AM, 36, FALSE) / VLOOKUP("electricity|PM25|Asthma symptoms cough", US_national_yearly!$D:$AM, 10, FALSE), 1)</f>
        <v>6.2730343138423697E-2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8.4475153935567177E-2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8.4475153935567177E-2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8.4475153935567177E-2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8.4475153935567177E-2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8.4475153935567177E-2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8.4475153935567177E-2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8.4475153935567177E-2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8.4475153935567177E-2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8.4475153935567177E-2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8.4475153935567177E-2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8.4475153935567177E-2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8.4475153935567177E-2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8.4475153935567177E-2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8.4475153935567177E-2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8.4475153935567177E-2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8.4475153935567177E-2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8.4475153935567177E-2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8.4475153935567177E-2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8.4475153935567177E-2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8.4475153935567177E-2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8.4475153935567177E-2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8.4475153935567177E-2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8.4475153935567177E-2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8.4475153935567177E-2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8.4475153935567177E-2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8.4475153935567177E-2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8.4475153935567177E-2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0.12906498690546964</v>
      </c>
      <c r="C8" s="7">
        <f>$B8 * IFERROR(VLOOKUP("electricity|PM25|Asthma symptoms wheeze", US_national_yearly!$D:$AM, 11, FALSE) / VLOOKUP("electricity|PM25|Asthma symptoms wheeze", US_national_yearly!$D:$AM, 10, FALSE), 1)</f>
        <v>0.12906498690546964</v>
      </c>
      <c r="D8" s="7">
        <f>$B8 * IFERROR(VLOOKUP("electricity|PM25|Asthma symptoms wheeze", US_national_yearly!$D:$AM, 12, FALSE) / VLOOKUP("electricity|PM25|Asthma symptoms wheeze", US_national_yearly!$D:$AM, 10, FALSE), 1)</f>
        <v>0.12906498690546964</v>
      </c>
      <c r="E8" s="7">
        <f>$B8 * IFERROR(VLOOKUP("electricity|PM25|Asthma symptoms wheeze", US_national_yearly!$D:$AM, 13, FALSE) / VLOOKUP("electricity|PM25|Asthma symptoms wheeze", US_national_yearly!$D:$AM, 10, FALSE), 1)</f>
        <v>0.12906498690546964</v>
      </c>
      <c r="F8" s="7">
        <f>$B8 * IFERROR(VLOOKUP("electricity|PM25|Asthma symptoms wheeze", US_national_yearly!$D:$AM, 14, FALSE) / VLOOKUP("electricity|PM25|Asthma symptoms wheeze", US_national_yearly!$D:$AM, 10, FALSE), 1)</f>
        <v>0.12906498690546964</v>
      </c>
      <c r="G8" s="7">
        <f>$B8 * IFERROR(VLOOKUP("electricity|PM25|Asthma symptoms wheeze", US_national_yearly!$D:$AM, 15, FALSE) / VLOOKUP("electricity|PM25|Asthma symptoms wheeze", US_national_yearly!$D:$AM, 10, FALSE), 1)</f>
        <v>0.12906498690546964</v>
      </c>
      <c r="H8" s="7">
        <f>$B8 * IFERROR(VLOOKUP("electricity|PM25|Asthma symptoms wheeze", US_national_yearly!$D:$AM, 16, FALSE) / VLOOKUP("electricity|PM25|Asthma symptoms wheeze", US_national_yearly!$D:$AM, 10, FALSE), 1)</f>
        <v>0.12906498690546964</v>
      </c>
      <c r="I8" s="7">
        <f>$B8 * IFERROR(VLOOKUP("electricity|PM25|Asthma symptoms wheeze", US_national_yearly!$D:$AM, 17, FALSE) / VLOOKUP("electricity|PM25|Asthma symptoms wheeze", US_national_yearly!$D:$AM, 10, FALSE), 1)</f>
        <v>0.12906498690546964</v>
      </c>
      <c r="J8" s="7">
        <f>$B8 * IFERROR(VLOOKUP("electricity|PM25|Asthma symptoms wheeze", US_national_yearly!$D:$AM, 18, FALSE) / VLOOKUP("electricity|PM25|Asthma symptoms wheeze", US_national_yearly!$D:$AM, 10, FALSE), 1)</f>
        <v>0.12906498690546964</v>
      </c>
      <c r="K8" s="7">
        <f>$B8 * IFERROR(VLOOKUP("electricity|PM25|Asthma symptoms wheeze", US_national_yearly!$D:$AM, 19, FALSE) / VLOOKUP("electricity|PM25|Asthma symptoms wheeze", US_national_yearly!$D:$AM, 10, FALSE), 1)</f>
        <v>0.12906498690546964</v>
      </c>
      <c r="L8" s="7">
        <f>$B8 * IFERROR(VLOOKUP("electricity|PM25|Asthma symptoms wheeze", US_national_yearly!$D:$AM, 20, FALSE) / VLOOKUP("electricity|PM25|Asthma symptoms wheeze", US_national_yearly!$D:$AM, 10, FALSE), 1)</f>
        <v>0.12906498690546964</v>
      </c>
      <c r="M8" s="7">
        <f>$B8 * IFERROR(VLOOKUP("electricity|PM25|Asthma symptoms wheeze", US_national_yearly!$D:$AM, 21, FALSE) / VLOOKUP("electricity|PM25|Asthma symptoms wheeze", US_national_yearly!$D:$AM, 10, FALSE), 1)</f>
        <v>0.12906498690546964</v>
      </c>
      <c r="N8" s="7">
        <f>$B8 * IFERROR(VLOOKUP("electricity|PM25|Asthma symptoms wheeze", US_national_yearly!$D:$AM, 22, FALSE) / VLOOKUP("electricity|PM25|Asthma symptoms wheeze", US_national_yearly!$D:$AM, 10, FALSE), 1)</f>
        <v>0.12906498690546964</v>
      </c>
      <c r="O8" s="7">
        <f>$B8 * IFERROR(VLOOKUP("electricity|PM25|Asthma symptoms wheeze", US_national_yearly!$D:$AM, 23, FALSE) / VLOOKUP("electricity|PM25|Asthma symptoms wheeze", US_national_yearly!$D:$AM, 10, FALSE), 1)</f>
        <v>0.12906498690546964</v>
      </c>
      <c r="P8" s="7">
        <f>$B8 * IFERROR(VLOOKUP("electricity|PM25|Asthma symptoms wheeze", US_national_yearly!$D:$AM, 24, FALSE) / VLOOKUP("electricity|PM25|Asthma symptoms wheeze", US_national_yearly!$D:$AM, 10, FALSE), 1)</f>
        <v>0.12906498690546964</v>
      </c>
      <c r="Q8" s="7">
        <f>$B8 * IFERROR(VLOOKUP("electricity|PM25|Asthma symptoms wheeze", US_national_yearly!$D:$AM, 25, FALSE) / VLOOKUP("electricity|PM25|Asthma symptoms wheeze", US_national_yearly!$D:$AM, 10, FALSE), 1)</f>
        <v>0.12906498690546964</v>
      </c>
      <c r="R8" s="7">
        <f>$B8 * IFERROR(VLOOKUP("electricity|PM25|Asthma symptoms wheeze", US_national_yearly!$D:$AM, 26, FALSE) / VLOOKUP("electricity|PM25|Asthma symptoms wheeze", US_national_yearly!$D:$AM, 10, FALSE), 1)</f>
        <v>0.12906498690546964</v>
      </c>
      <c r="S8" s="7">
        <f>$B8 * IFERROR(VLOOKUP("electricity|PM25|Asthma symptoms wheeze", US_national_yearly!$D:$AM, 27, FALSE) / VLOOKUP("electricity|PM25|Asthma symptoms wheeze", US_national_yearly!$D:$AM, 10, FALSE), 1)</f>
        <v>0.12906498690546964</v>
      </c>
      <c r="T8" s="7">
        <f>$B8 * IFERROR(VLOOKUP("electricity|PM25|Asthma symptoms wheeze", US_national_yearly!$D:$AM, 28, FALSE) / VLOOKUP("electricity|PM25|Asthma symptoms wheeze", US_national_yearly!$D:$AM, 10, FALSE), 1)</f>
        <v>0.12906498690546964</v>
      </c>
      <c r="U8" s="7">
        <f>$B8 * IFERROR(VLOOKUP("electricity|PM25|Asthma symptoms wheeze", US_national_yearly!$D:$AM, 29, FALSE) / VLOOKUP("electricity|PM25|Asthma symptoms wheeze", US_national_yearly!$D:$AM, 10, FALSE), 1)</f>
        <v>0.12906498690546964</v>
      </c>
      <c r="V8" s="7">
        <f>$B8 * IFERROR(VLOOKUP("electricity|PM25|Asthma symptoms wheeze", US_national_yearly!$D:$AM, 30, FALSE) / VLOOKUP("electricity|PM25|Asthma symptoms wheeze", US_national_yearly!$D:$AM, 10, FALSE), 1)</f>
        <v>0.12906498690546964</v>
      </c>
      <c r="W8" s="7">
        <f>$B8 * IFERROR(VLOOKUP("electricity|PM25|Asthma symptoms wheeze", US_national_yearly!$D:$AM, 31, FALSE) / VLOOKUP("electricity|PM25|Asthma symptoms wheeze", US_national_yearly!$D:$AM, 10, FALSE), 1)</f>
        <v>0.12906498690546964</v>
      </c>
      <c r="X8" s="7">
        <f>$B8 * IFERROR(VLOOKUP("electricity|PM25|Asthma symptoms wheeze", US_national_yearly!$D:$AM, 32, FALSE) / VLOOKUP("electricity|PM25|Asthma symptoms wheeze", US_national_yearly!$D:$AM, 10, FALSE), 1)</f>
        <v>0.12906498690546964</v>
      </c>
      <c r="Y8" s="7">
        <f>$B8 * IFERROR(VLOOKUP("electricity|PM25|Asthma symptoms wheeze", US_national_yearly!$D:$AM, 33, FALSE) / VLOOKUP("electricity|PM25|Asthma symptoms wheeze", US_national_yearly!$D:$AM, 10, FALSE), 1)</f>
        <v>0.12906498690546964</v>
      </c>
      <c r="Z8" s="7">
        <f>$B8 * IFERROR(VLOOKUP("electricity|PM25|Asthma symptoms wheeze", US_national_yearly!$D:$AM, 34, FALSE) / VLOOKUP("electricity|PM25|Asthma symptoms wheeze", US_national_yearly!$D:$AM, 10, FALSE), 1)</f>
        <v>0.12906498690546964</v>
      </c>
      <c r="AA8" s="7">
        <f>$B8 * IFERROR(VLOOKUP("electricity|PM25|Asthma symptoms wheeze", US_national_yearly!$D:$AM, 35, FALSE) / VLOOKUP("electricity|PM25|Asthma symptoms wheeze", US_national_yearly!$D:$AM, 10, FALSE), 1)</f>
        <v>0.12906498690546964</v>
      </c>
      <c r="AB8" s="7">
        <f>$B8 * IFERROR(VLOOKUP("electricity|PM25|Asthma symptoms wheeze", US_national_yearly!$D:$AM, 36, FALSE) / VLOOKUP("electricity|PM25|Asthma symptoms wheeze", US_national_yearly!$D:$AM, 10, FALSE), 1)</f>
        <v>0.12906498690546964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2.0072722318476973E-3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2.0183039556655059E-3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2.0293356794833135E-3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2.0403674033011225E-3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2.0513991271189306E-3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2.0632248638839047E-3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2.0750506006488789E-3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2.0856156883438779E-3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2.0961807760388768E-3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2.1067458637338754E-3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2.1173109514288739E-3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2.1278760391238729E-3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2.1350025659333332E-3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2.1421290927427939E-3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2.1492556195522546E-3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2.1563821463617149E-3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2.1635086731711757E-3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2.1701495994996723E-3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2.176790525828168E-3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2.1834314521566641E-3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2.1900723784851598E-3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2.1967133048136555E-3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2.2032799162844076E-3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2.2098465277551587E-3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2.2164131392259103E-3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2.2229797506966614E-3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2.229546362167413E-3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1.0939001291958491E-2</v>
      </c>
      <c r="C13" s="7">
        <f>$B13 * IFERROR(VLOOKUP("electricity|PM25|Non-fatal heart attacks", US_national_yearly!$D:$AM, 11, FALSE) / VLOOKUP("electricity|PM25|Non-fatal heart attacks", US_national_yearly!$D:$AM, 10, FALSE), 1)</f>
        <v>1.125584751529545E-2</v>
      </c>
      <c r="D13" s="7">
        <f>$B13 * IFERROR(VLOOKUP("electricity|PM25|Non-fatal heart attacks", US_national_yearly!$D:$AM, 12, FALSE) / VLOOKUP("electricity|PM25|Non-fatal heart attacks", US_national_yearly!$D:$AM, 10, FALSE), 1)</f>
        <v>1.1572693738632409E-2</v>
      </c>
      <c r="E13" s="7">
        <f>$B13 * IFERROR(VLOOKUP("electricity|PM25|Non-fatal heart attacks", US_national_yearly!$D:$AM, 13, FALSE) / VLOOKUP("electricity|PM25|Non-fatal heart attacks", US_national_yearly!$D:$AM, 10, FALSE), 1)</f>
        <v>1.1889539961969365E-2</v>
      </c>
      <c r="F13" s="7">
        <f>$B13 * IFERROR(VLOOKUP("electricity|PM25|Non-fatal heart attacks", US_national_yearly!$D:$AM, 14, FALSE) / VLOOKUP("electricity|PM25|Non-fatal heart attacks", US_national_yearly!$D:$AM, 10, FALSE), 1)</f>
        <v>1.2206386185306324E-2</v>
      </c>
      <c r="G13" s="7">
        <f>$B13 * IFERROR(VLOOKUP("electricity|PM25|Non-fatal heart attacks", US_national_yearly!$D:$AM, 15, FALSE) / VLOOKUP("electricity|PM25|Non-fatal heart attacks", US_national_yearly!$D:$AM, 10, FALSE), 1)</f>
        <v>1.2507126163249824E-2</v>
      </c>
      <c r="H13" s="7">
        <f>$B13 * IFERROR(VLOOKUP("electricity|PM25|Non-fatal heart attacks", US_national_yearly!$D:$AM, 16, FALSE) / VLOOKUP("electricity|PM25|Non-fatal heart attacks", US_national_yearly!$D:$AM, 10, FALSE), 1)</f>
        <v>1.2807866141193322E-2</v>
      </c>
      <c r="I13" s="7">
        <f>$B13 * IFERROR(VLOOKUP("electricity|PM25|Non-fatal heart attacks", US_national_yearly!$D:$AM, 17, FALSE) / VLOOKUP("electricity|PM25|Non-fatal heart attacks", US_national_yearly!$D:$AM, 10, FALSE), 1)</f>
        <v>1.3053234459159379E-2</v>
      </c>
      <c r="J13" s="7">
        <f>$B13 * IFERROR(VLOOKUP("electricity|PM25|Non-fatal heart attacks", US_national_yearly!$D:$AM, 18, FALSE) / VLOOKUP("electricity|PM25|Non-fatal heart attacks", US_national_yearly!$D:$AM, 10, FALSE), 1)</f>
        <v>1.3298602777125437E-2</v>
      </c>
      <c r="K13" s="7">
        <f>$B13 * IFERROR(VLOOKUP("electricity|PM25|Non-fatal heart attacks", US_national_yearly!$D:$AM, 19, FALSE) / VLOOKUP("electricity|PM25|Non-fatal heart attacks", US_national_yearly!$D:$AM, 10, FALSE), 1)</f>
        <v>1.3543971095091492E-2</v>
      </c>
      <c r="L13" s="7">
        <f>$B13 * IFERROR(VLOOKUP("electricity|PM25|Non-fatal heart attacks", US_national_yearly!$D:$AM, 20, FALSE) / VLOOKUP("electricity|PM25|Non-fatal heart attacks", US_national_yearly!$D:$AM, 10, FALSE), 1)</f>
        <v>1.3789339413057548E-2</v>
      </c>
      <c r="M13" s="7">
        <f>$B13 * IFERROR(VLOOKUP("electricity|PM25|Non-fatal heart attacks", US_national_yearly!$D:$AM, 21, FALSE) / VLOOKUP("electricity|PM25|Non-fatal heart attacks", US_national_yearly!$D:$AM, 10, FALSE), 1)</f>
        <v>1.4034707731023608E-2</v>
      </c>
      <c r="N13" s="7">
        <f>$B13 * IFERROR(VLOOKUP("electricity|PM25|Non-fatal heart attacks", US_national_yearly!$D:$AM, 22, FALSE) / VLOOKUP("electricity|PM25|Non-fatal heart attacks", US_national_yearly!$D:$AM, 10, FALSE), 1)</f>
        <v>1.4193920094092084E-2</v>
      </c>
      <c r="O13" s="7">
        <f>$B13 * IFERROR(VLOOKUP("electricity|PM25|Non-fatal heart attacks", US_national_yearly!$D:$AM, 23, FALSE) / VLOOKUP("electricity|PM25|Non-fatal heart attacks", US_national_yearly!$D:$AM, 10, FALSE), 1)</f>
        <v>1.4353132457160559E-2</v>
      </c>
      <c r="P13" s="7">
        <f>$B13 * IFERROR(VLOOKUP("electricity|PM25|Non-fatal heart attacks", US_national_yearly!$D:$AM, 24, FALSE) / VLOOKUP("electricity|PM25|Non-fatal heart attacks", US_national_yearly!$D:$AM, 10, FALSE), 1)</f>
        <v>1.4512344820229032E-2</v>
      </c>
      <c r="Q13" s="7">
        <f>$B13 * IFERROR(VLOOKUP("electricity|PM25|Non-fatal heart attacks", US_national_yearly!$D:$AM, 25, FALSE) / VLOOKUP("electricity|PM25|Non-fatal heart attacks", US_national_yearly!$D:$AM, 10, FALSE), 1)</f>
        <v>1.4671557183297507E-2</v>
      </c>
      <c r="R13" s="7">
        <f>$B13 * IFERROR(VLOOKUP("electricity|PM25|Non-fatal heart attacks", US_national_yearly!$D:$AM, 26, FALSE) / VLOOKUP("electricity|PM25|Non-fatal heart attacks", US_national_yearly!$D:$AM, 10, FALSE), 1)</f>
        <v>1.4830769546365983E-2</v>
      </c>
      <c r="S13" s="7">
        <f>$B13 * IFERROR(VLOOKUP("electricity|PM25|Non-fatal heart attacks", US_national_yearly!$D:$AM, 27, FALSE) / VLOOKUP("electricity|PM25|Non-fatal heart attacks", US_national_yearly!$D:$AM, 10, FALSE), 1)</f>
        <v>1.491842004243276E-2</v>
      </c>
      <c r="T13" s="7">
        <f>$B13 * IFERROR(VLOOKUP("electricity|PM25|Non-fatal heart attacks", US_national_yearly!$D:$AM, 28, FALSE) / VLOOKUP("electricity|PM25|Non-fatal heart attacks", US_national_yearly!$D:$AM, 10, FALSE), 1)</f>
        <v>1.500607053849954E-2</v>
      </c>
      <c r="U13" s="7">
        <f>$B13 * IFERROR(VLOOKUP("electricity|PM25|Non-fatal heart attacks", US_national_yearly!$D:$AM, 29, FALSE) / VLOOKUP("electricity|PM25|Non-fatal heart attacks", US_national_yearly!$D:$AM, 10, FALSE), 1)</f>
        <v>1.5093721034566318E-2</v>
      </c>
      <c r="V13" s="7">
        <f>$B13 * IFERROR(VLOOKUP("electricity|PM25|Non-fatal heart attacks", US_national_yearly!$D:$AM, 30, FALSE) / VLOOKUP("electricity|PM25|Non-fatal heart attacks", US_national_yearly!$D:$AM, 10, FALSE), 1)</f>
        <v>1.5181371530633094E-2</v>
      </c>
      <c r="W13" s="7">
        <f>$B13 * IFERROR(VLOOKUP("electricity|PM25|Non-fatal heart attacks", US_national_yearly!$D:$AM, 31, FALSE) / VLOOKUP("electricity|PM25|Non-fatal heart attacks", US_national_yearly!$D:$AM, 10, FALSE), 1)</f>
        <v>1.5269022026699875E-2</v>
      </c>
      <c r="X13" s="7">
        <f>$B13 * IFERROR(VLOOKUP("electricity|PM25|Non-fatal heart attacks", US_national_yearly!$D:$AM, 32, FALSE) / VLOOKUP("electricity|PM25|Non-fatal heart attacks", US_national_yearly!$D:$AM, 10, FALSE), 1)</f>
        <v>1.5337592393386511E-2</v>
      </c>
      <c r="Y13" s="7">
        <f>$B13 * IFERROR(VLOOKUP("electricity|PM25|Non-fatal heart attacks", US_national_yearly!$D:$AM, 33, FALSE) / VLOOKUP("electricity|PM25|Non-fatal heart attacks", US_national_yearly!$D:$AM, 10, FALSE), 1)</f>
        <v>1.540616276007315E-2</v>
      </c>
      <c r="Z13" s="7">
        <f>$B13 * IFERROR(VLOOKUP("electricity|PM25|Non-fatal heart attacks", US_national_yearly!$D:$AM, 34, FALSE) / VLOOKUP("electricity|PM25|Non-fatal heart attacks", US_national_yearly!$D:$AM, 10, FALSE), 1)</f>
        <v>1.5474733126759786E-2</v>
      </c>
      <c r="AA13" s="7">
        <f>$B13 * IFERROR(VLOOKUP("electricity|PM25|Non-fatal heart attacks", US_national_yearly!$D:$AM, 35, FALSE) / VLOOKUP("electricity|PM25|Non-fatal heart attacks", US_national_yearly!$D:$AM, 10, FALSE), 1)</f>
        <v>1.5543303493446427E-2</v>
      </c>
      <c r="AB13" s="7">
        <f>$B13 * IFERROR(VLOOKUP("electricity|PM25|Non-fatal heart attacks", US_national_yearly!$D:$AM, 36, FALSE) / VLOOKUP("electricity|PM25|Non-fatal heart attacks", US_national_yearly!$D:$AM, 10, FALSE), 1)</f>
        <v>1.5611873860133064E-2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8.5688683711357392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8.5878906829408663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8.606912994745997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8.6259353065511242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8.6449576183562531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8.6731845248866364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8.7014114314170179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8.7512524620798011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8.8010934927425879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8.8509345234053729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8.9007755540681579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8.9506165847309429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9.0197604686089772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9.0889043524870132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9.1580482363650511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9.2271921202430871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9.2963360041211214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9.3660762890577125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9.4358165739943001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9.5055568589308876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9.5752971438674788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9.6450374288040663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9.7048194098855749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9.7646013909670852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9.8243833720485956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9.8841653531301024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9.9439473342116145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1.4454970713310995</v>
      </c>
      <c r="C15" s="7">
        <f>$B15 * IFERROR(VLOOKUP("electricity|PM25|Work loss days", US_national_yearly!$D:$AM, 11, FALSE) / VLOOKUP("electricity|PM25|Work loss days", US_national_yearly!$D:$AM, 10, FALSE), 1)</f>
        <v>1.4496334447574961</v>
      </c>
      <c r="D15" s="7">
        <f>$B15 * IFERROR(VLOOKUP("electricity|PM25|Work loss days", US_national_yearly!$D:$AM, 12, FALSE) / VLOOKUP("electricity|PM25|Work loss days", US_national_yearly!$D:$AM, 10, FALSE), 1)</f>
        <v>1.4537698181838929</v>
      </c>
      <c r="E15" s="7">
        <f>$B15 * IFERROR(VLOOKUP("electricity|PM25|Work loss days", US_national_yearly!$D:$AM, 13, FALSE) / VLOOKUP("electricity|PM25|Work loss days", US_national_yearly!$D:$AM, 10, FALSE), 1)</f>
        <v>1.4579061916102893</v>
      </c>
      <c r="F15" s="7">
        <f>$B15 * IFERROR(VLOOKUP("electricity|PM25|Work loss days", US_national_yearly!$D:$AM, 14, FALSE) / VLOOKUP("electricity|PM25|Work loss days", US_national_yearly!$D:$AM, 10, FALSE), 1)</f>
        <v>1.4620425650366859</v>
      </c>
      <c r="G15" s="7">
        <f>$B15 * IFERROR(VLOOKUP("electricity|PM25|Work loss days", US_national_yearly!$D:$AM, 15, FALSE) / VLOOKUP("electricity|PM25|Work loss days", US_national_yearly!$D:$AM, 10, FALSE), 1)</f>
        <v>1.4674010244704898</v>
      </c>
      <c r="H15" s="7">
        <f>$B15 * IFERROR(VLOOKUP("electricity|PM25|Work loss days", US_national_yearly!$D:$AM, 16, FALSE) / VLOOKUP("electricity|PM25|Work loss days", US_national_yearly!$D:$AM, 10, FALSE), 1)</f>
        <v>1.4727594839042941</v>
      </c>
      <c r="I15" s="7">
        <f>$B15 * IFERROR(VLOOKUP("electricity|PM25|Work loss days", US_national_yearly!$D:$AM, 17, FALSE) / VLOOKUP("electricity|PM25|Work loss days", US_national_yearly!$D:$AM, 10, FALSE), 1)</f>
        <v>1.4808150126571853</v>
      </c>
      <c r="J15" s="7">
        <f>$B15 * IFERROR(VLOOKUP("electricity|PM25|Work loss days", US_national_yearly!$D:$AM, 18, FALSE) / VLOOKUP("electricity|PM25|Work loss days", US_national_yearly!$D:$AM, 10, FALSE), 1)</f>
        <v>1.4888705414100762</v>
      </c>
      <c r="K15" s="7">
        <f>$B15 * IFERROR(VLOOKUP("electricity|PM25|Work loss days", US_national_yearly!$D:$AM, 19, FALSE) / VLOOKUP("electricity|PM25|Work loss days", US_national_yearly!$D:$AM, 10, FALSE), 1)</f>
        <v>1.4969260701629676</v>
      </c>
      <c r="L15" s="7">
        <f>$B15 * IFERROR(VLOOKUP("electricity|PM25|Work loss days", US_national_yearly!$D:$AM, 20, FALSE) / VLOOKUP("electricity|PM25|Work loss days", US_national_yearly!$D:$AM, 10, FALSE), 1)</f>
        <v>1.5049815989158588</v>
      </c>
      <c r="M15" s="7">
        <f>$B15 * IFERROR(VLOOKUP("electricity|PM25|Work loss days", US_national_yearly!$D:$AM, 21, FALSE) / VLOOKUP("electricity|PM25|Work loss days", US_national_yearly!$D:$AM, 10, FALSE), 1)</f>
        <v>1.51303712766875</v>
      </c>
      <c r="N15" s="7">
        <f>$B15 * IFERROR(VLOOKUP("electricity|PM25|Work loss days", US_national_yearly!$D:$AM, 22, FALSE) / VLOOKUP("electricity|PM25|Work loss days", US_national_yearly!$D:$AM, 10, FALSE), 1)</f>
        <v>1.5234373745234824</v>
      </c>
      <c r="O15" s="7">
        <f>$B15 * IFERROR(VLOOKUP("electricity|PM25|Work loss days", US_national_yearly!$D:$AM, 23, FALSE) / VLOOKUP("electricity|PM25|Work loss days", US_national_yearly!$D:$AM, 10, FALSE), 1)</f>
        <v>1.5338376213782146</v>
      </c>
      <c r="P15" s="7">
        <f>$B15 * IFERROR(VLOOKUP("electricity|PM25|Work loss days", US_national_yearly!$D:$AM, 24, FALSE) / VLOOKUP("electricity|PM25|Work loss days", US_national_yearly!$D:$AM, 10, FALSE), 1)</f>
        <v>1.5442378682329465</v>
      </c>
      <c r="Q15" s="7">
        <f>$B15 * IFERROR(VLOOKUP("electricity|PM25|Work loss days", US_national_yearly!$D:$AM, 25, FALSE) / VLOOKUP("electricity|PM25|Work loss days", US_national_yearly!$D:$AM, 10, FALSE), 1)</f>
        <v>1.5546381150876785</v>
      </c>
      <c r="R15" s="7">
        <f>$B15 * IFERROR(VLOOKUP("electricity|PM25|Work loss days", US_national_yearly!$D:$AM, 26, FALSE) / VLOOKUP("electricity|PM25|Work loss days", US_national_yearly!$D:$AM, 10, FALSE), 1)</f>
        <v>1.5650383619424106</v>
      </c>
      <c r="S15" s="7">
        <f>$B15 * IFERROR(VLOOKUP("electricity|PM25|Work loss days", US_national_yearly!$D:$AM, 27, FALSE) / VLOOKUP("electricity|PM25|Work loss days", US_national_yearly!$D:$AM, 10, FALSE), 1)</f>
        <v>1.5765789634675367</v>
      </c>
      <c r="T15" s="7">
        <f>$B15 * IFERROR(VLOOKUP("electricity|PM25|Work loss days", US_national_yearly!$D:$AM, 28, FALSE) / VLOOKUP("electricity|PM25|Work loss days", US_national_yearly!$D:$AM, 10, FALSE), 1)</f>
        <v>1.5881195649926629</v>
      </c>
      <c r="U15" s="7">
        <f>$B15 * IFERROR(VLOOKUP("electricity|PM25|Work loss days", US_national_yearly!$D:$AM, 29, FALSE) / VLOOKUP("electricity|PM25|Work loss days", US_national_yearly!$D:$AM, 10, FALSE), 1)</f>
        <v>1.5996601665177892</v>
      </c>
      <c r="V15" s="7">
        <f>$B15 * IFERROR(VLOOKUP("electricity|PM25|Work loss days", US_national_yearly!$D:$AM, 30, FALSE) / VLOOKUP("electricity|PM25|Work loss days", US_national_yearly!$D:$AM, 10, FALSE), 1)</f>
        <v>1.6112007680429157</v>
      </c>
      <c r="W15" s="7">
        <f>$B15 * IFERROR(VLOOKUP("electricity|PM25|Work loss days", US_national_yearly!$D:$AM, 31, FALSE) / VLOOKUP("electricity|PM25|Work loss days", US_national_yearly!$D:$AM, 10, FALSE), 1)</f>
        <v>1.6227413695680415</v>
      </c>
      <c r="X15" s="7">
        <f>$B15 * IFERROR(VLOOKUP("electricity|PM25|Work loss days", US_national_yearly!$D:$AM, 32, FALSE) / VLOOKUP("electricity|PM25|Work loss days", US_national_yearly!$D:$AM, 10, FALSE), 1)</f>
        <v>1.6329220737583301</v>
      </c>
      <c r="Y15" s="7">
        <f>$B15 * IFERROR(VLOOKUP("electricity|PM25|Work loss days", US_national_yearly!$D:$AM, 33, FALSE) / VLOOKUP("electricity|PM25|Work loss days", US_national_yearly!$D:$AM, 10, FALSE), 1)</f>
        <v>1.6431027779486178</v>
      </c>
      <c r="Z15" s="7">
        <f>$B15 * IFERROR(VLOOKUP("electricity|PM25|Work loss days", US_national_yearly!$D:$AM, 34, FALSE) / VLOOKUP("electricity|PM25|Work loss days", US_national_yearly!$D:$AM, 10, FALSE), 1)</f>
        <v>1.653283482138906</v>
      </c>
      <c r="AA15" s="7">
        <f>$B15 * IFERROR(VLOOKUP("electricity|PM25|Work loss days", US_national_yearly!$D:$AM, 35, FALSE) / VLOOKUP("electricity|PM25|Work loss days", US_national_yearly!$D:$AM, 10, FALSE), 1)</f>
        <v>1.6634641863291943</v>
      </c>
      <c r="AB15" s="7">
        <f>$B15 * IFERROR(VLOOKUP("electricity|PM25|Work loss days", US_national_yearly!$D:$AM, 36, FALSE) / VLOOKUP("electricity|PM25|Work loss days", US_national_yearly!$D:$AM, 10, FALSE), 1)</f>
        <v>1.6736448905194825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2.5748315129262484E-3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2.6512394041899611E-3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2.7276472954536738E-3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2.8040551867173865E-3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2.8804630779810996E-3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2.954158370566346E-3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3.0278536631515923E-3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3.0916943825909293E-3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3.1555351020302667E-3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3.2193758214696037E-3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3.2832165409089407E-3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3.3470572603482777E-3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3.3899724552289524E-3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3.4328876501096262E-3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3.4758028449903E-3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3.5187180398709747E-3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3.5616332347516489E-3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3.5853181880902375E-3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3.6090031414288248E-3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3.6326880947674133E-3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3.656373048106001E-3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3.6800580014445892E-3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3.6965819075620307E-3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3.7131058136794714E-3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3.729629719796913E-3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3.746153625914355E-3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3.7626775320317961E-3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3.7616444309067083E-4</v>
      </c>
      <c r="C2" s="7">
        <f>$B2 * IFERROR(VLOOKUP("electricity|NOx|Premature mortality", US_national_yearly!$D:$AM, 11, FALSE) / VLOOKUP("electricity|NOx|Premature mortality", US_national_yearly!$D:$AM, 10, FALSE), 1)</f>
        <v>3.8185604949286214E-4</v>
      </c>
      <c r="D2" s="7">
        <f>$B2 * IFERROR(VLOOKUP("electricity|NOx|Premature mortality", US_national_yearly!$D:$AM, 12, FALSE) / VLOOKUP("electricity|NOx|Premature mortality", US_national_yearly!$D:$AM, 10, FALSE), 1)</f>
        <v>3.8754765589505351E-4</v>
      </c>
      <c r="E2" s="7">
        <f>$B2 * IFERROR(VLOOKUP("electricity|NOx|Premature mortality", US_national_yearly!$D:$AM, 13, FALSE) / VLOOKUP("electricity|NOx|Premature mortality", US_national_yearly!$D:$AM, 10, FALSE), 1)</f>
        <v>3.9323926229724483E-4</v>
      </c>
      <c r="F2" s="7">
        <f>$B2 * IFERROR(VLOOKUP("electricity|NOx|Premature mortality", US_national_yearly!$D:$AM, 14, FALSE) / VLOOKUP("electricity|NOx|Premature mortality", US_national_yearly!$D:$AM, 10, FALSE), 1)</f>
        <v>3.9893086869943609E-4</v>
      </c>
      <c r="G2" s="7">
        <f>$B2 * IFERROR(VLOOKUP("electricity|NOx|Premature mortality", US_national_yearly!$D:$AM, 15, FALSE) / VLOOKUP("electricity|NOx|Premature mortality", US_national_yearly!$D:$AM, 10, FALSE), 1)</f>
        <v>4.0909817390364663E-4</v>
      </c>
      <c r="H2" s="7">
        <f>$B2 * IFERROR(VLOOKUP("electricity|NOx|Premature mortality", US_national_yearly!$D:$AM, 16, FALSE) / VLOOKUP("electricity|NOx|Premature mortality", US_national_yearly!$D:$AM, 10, FALSE), 1)</f>
        <v>4.1926547910785706E-4</v>
      </c>
      <c r="I2" s="7">
        <f>$B2 * IFERROR(VLOOKUP("electricity|NOx|Premature mortality", US_national_yearly!$D:$AM, 17, FALSE) / VLOOKUP("electricity|NOx|Premature mortality", US_national_yearly!$D:$AM, 10, FALSE), 1)</f>
        <v>4.2602207103610736E-4</v>
      </c>
      <c r="J2" s="7">
        <f>$B2 * IFERROR(VLOOKUP("electricity|NOx|Premature mortality", US_national_yearly!$D:$AM, 18, FALSE) / VLOOKUP("electricity|NOx|Premature mortality", US_national_yearly!$D:$AM, 10, FALSE), 1)</f>
        <v>4.3277866296435771E-4</v>
      </c>
      <c r="K2" s="7">
        <f>$B2 * IFERROR(VLOOKUP("electricity|NOx|Premature mortality", US_national_yearly!$D:$AM, 19, FALSE) / VLOOKUP("electricity|NOx|Premature mortality", US_national_yearly!$D:$AM, 10, FALSE), 1)</f>
        <v>4.3953525489260801E-4</v>
      </c>
      <c r="L2" s="7">
        <f>$B2 * IFERROR(VLOOKUP("electricity|NOx|Premature mortality", US_national_yearly!$D:$AM, 20, FALSE) / VLOOKUP("electricity|NOx|Premature mortality", US_national_yearly!$D:$AM, 10, FALSE), 1)</f>
        <v>4.4629184682085831E-4</v>
      </c>
      <c r="M2" s="7">
        <f>$B2 * IFERROR(VLOOKUP("electricity|NOx|Premature mortality", US_national_yearly!$D:$AM, 21, FALSE) / VLOOKUP("electricity|NOx|Premature mortality", US_national_yearly!$D:$AM, 10, FALSE), 1)</f>
        <v>4.5304843874910861E-4</v>
      </c>
      <c r="N2" s="7">
        <f>$B2 * IFERROR(VLOOKUP("electricity|NOx|Premature mortality", US_national_yearly!$D:$AM, 22, FALSE) / VLOOKUP("electricity|NOx|Premature mortality", US_national_yearly!$D:$AM, 10, FALSE), 1)</f>
        <v>4.5826193051679291E-4</v>
      </c>
      <c r="O2" s="7">
        <f>$B2 * IFERROR(VLOOKUP("electricity|NOx|Premature mortality", US_national_yearly!$D:$AM, 23, FALSE) / VLOOKUP("electricity|NOx|Premature mortality", US_national_yearly!$D:$AM, 10, FALSE), 1)</f>
        <v>4.6347542228447744E-4</v>
      </c>
      <c r="P2" s="7">
        <f>$B2 * IFERROR(VLOOKUP("electricity|NOx|Premature mortality", US_national_yearly!$D:$AM, 24, FALSE) / VLOOKUP("electricity|NOx|Premature mortality", US_national_yearly!$D:$AM, 10, FALSE), 1)</f>
        <v>4.686889140521618E-4</v>
      </c>
      <c r="Q2" s="7">
        <f>$B2 * IFERROR(VLOOKUP("electricity|NOx|Premature mortality", US_national_yearly!$D:$AM, 25, FALSE) / VLOOKUP("electricity|NOx|Premature mortality", US_national_yearly!$D:$AM, 10, FALSE), 1)</f>
        <v>4.7390240581984626E-4</v>
      </c>
      <c r="R2" s="7">
        <f>$B2 * IFERROR(VLOOKUP("electricity|NOx|Premature mortality", US_national_yearly!$D:$AM, 26, FALSE) / VLOOKUP("electricity|NOx|Premature mortality", US_national_yearly!$D:$AM, 10, FALSE), 1)</f>
        <v>4.7911589758753062E-4</v>
      </c>
      <c r="S2" s="7">
        <f>$B2 * IFERROR(VLOOKUP("electricity|NOx|Premature mortality", US_national_yearly!$D:$AM, 27, FALSE) / VLOOKUP("electricity|NOx|Premature mortality", US_national_yearly!$D:$AM, 10, FALSE), 1)</f>
        <v>4.818099270764708E-4</v>
      </c>
      <c r="T2" s="7">
        <f>$B2 * IFERROR(VLOOKUP("electricity|NOx|Premature mortality", US_national_yearly!$D:$AM, 28, FALSE) / VLOOKUP("electricity|NOx|Premature mortality", US_national_yearly!$D:$AM, 10, FALSE), 1)</f>
        <v>4.8450395656541098E-4</v>
      </c>
      <c r="U2" s="7">
        <f>$B2 * IFERROR(VLOOKUP("electricity|NOx|Premature mortality", US_national_yearly!$D:$AM, 29, FALSE) / VLOOKUP("electricity|NOx|Premature mortality", US_national_yearly!$D:$AM, 10, FALSE), 1)</f>
        <v>4.8719798605435132E-4</v>
      </c>
      <c r="V2" s="7">
        <f>$B2 * IFERROR(VLOOKUP("electricity|NOx|Premature mortality", US_national_yearly!$D:$AM, 30, FALSE) / VLOOKUP("electricity|NOx|Premature mortality", US_national_yearly!$D:$AM, 10, FALSE), 1)</f>
        <v>4.898920155432915E-4</v>
      </c>
      <c r="W2" s="7">
        <f>$B2 * IFERROR(VLOOKUP("electricity|NOx|Premature mortality", US_national_yearly!$D:$AM, 31, FALSE) / VLOOKUP("electricity|NOx|Premature mortality", US_national_yearly!$D:$AM, 10, FALSE), 1)</f>
        <v>4.9258604503223168E-4</v>
      </c>
      <c r="X2" s="7">
        <f>$B2 * IFERROR(VLOOKUP("electricity|NOx|Premature mortality", US_national_yearly!$D:$AM, 32, FALSE) / VLOOKUP("electricity|NOx|Premature mortality", US_national_yearly!$D:$AM, 10, FALSE), 1)</f>
        <v>4.9319551819604454E-4</v>
      </c>
      <c r="Y2" s="7">
        <f>$B2 * IFERROR(VLOOKUP("electricity|NOx|Premature mortality", US_national_yearly!$D:$AM, 33, FALSE) / VLOOKUP("electricity|NOx|Premature mortality", US_national_yearly!$D:$AM, 10, FALSE), 1)</f>
        <v>4.9380499135985741E-4</v>
      </c>
      <c r="Z2" s="7">
        <f>$B2 * IFERROR(VLOOKUP("electricity|NOx|Premature mortality", US_national_yearly!$D:$AM, 34, FALSE) / VLOOKUP("electricity|NOx|Premature mortality", US_national_yearly!$D:$AM, 10, FALSE), 1)</f>
        <v>4.9441446452367028E-4</v>
      </c>
      <c r="AA2" s="7">
        <f>$B2 * IFERROR(VLOOKUP("electricity|NOx|Premature mortality", US_national_yearly!$D:$AM, 35, FALSE) / VLOOKUP("electricity|NOx|Premature mortality", US_national_yearly!$D:$AM, 10, FALSE), 1)</f>
        <v>4.9502393768748303E-4</v>
      </c>
      <c r="AB2" s="7">
        <f>$B2 * IFERROR(VLOOKUP("electricity|NOx|Premature mortality", US_national_yearly!$D:$AM, 36, FALSE) / VLOOKUP("electricity|NOx|Premature mortality", US_national_yearly!$D:$AM, 10, FALSE), 1)</f>
        <v>4.956334108512959E-4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6.7975438742344751E-7</v>
      </c>
      <c r="C3" s="7">
        <f>$B3 * IFERROR(VLOOKUP("electricity|NOx|Infant mortality", US_national_yearly!$D:$AM, 11, FALSE) / VLOOKUP("electricity|NOx|Infant mortality", US_national_yearly!$D:$AM, 10, FALSE), 1)</f>
        <v>6.7339489675040935E-7</v>
      </c>
      <c r="D3" s="7">
        <f>$B3 * IFERROR(VLOOKUP("electricity|NOx|Infant mortality", US_national_yearly!$D:$AM, 12, FALSE) / VLOOKUP("electricity|NOx|Infant mortality", US_national_yearly!$D:$AM, 10, FALSE), 1)</f>
        <v>6.6703540607737099E-7</v>
      </c>
      <c r="E3" s="7">
        <f>$B3 * IFERROR(VLOOKUP("electricity|NOx|Infant mortality", US_national_yearly!$D:$AM, 13, FALSE) / VLOOKUP("electricity|NOx|Infant mortality", US_national_yearly!$D:$AM, 10, FALSE), 1)</f>
        <v>6.6067591540433283E-7</v>
      </c>
      <c r="F3" s="7">
        <f>$B3 * IFERROR(VLOOKUP("electricity|NOx|Infant mortality", US_national_yearly!$D:$AM, 14, FALSE) / VLOOKUP("electricity|NOx|Infant mortality", US_national_yearly!$D:$AM, 10, FALSE), 1)</f>
        <v>6.5431642473129447E-7</v>
      </c>
      <c r="G3" s="7">
        <f>$B3 * IFERROR(VLOOKUP("electricity|NOx|Infant mortality", US_national_yearly!$D:$AM, 15, FALSE) / VLOOKUP("electricity|NOx|Infant mortality", US_national_yearly!$D:$AM, 10, FALSE), 1)</f>
        <v>4.3351704858527607E-7</v>
      </c>
      <c r="H3" s="7">
        <f>$B3 * IFERROR(VLOOKUP("electricity|NOx|Infant mortality", US_national_yearly!$D:$AM, 16, FALSE) / VLOOKUP("electricity|NOx|Infant mortality", US_national_yearly!$D:$AM, 10, FALSE), 1)</f>
        <v>2.1271767243925769E-7</v>
      </c>
      <c r="I3" s="7">
        <f>$B3 * IFERROR(VLOOKUP("electricity|NOx|Infant mortality", US_national_yearly!$D:$AM, 17, FALSE) / VLOOKUP("electricity|NOx|Infant mortality", US_national_yearly!$D:$AM, 10, FALSE), 1)</f>
        <v>2.1117067328396534E-7</v>
      </c>
      <c r="J3" s="7">
        <f>$B3 * IFERROR(VLOOKUP("electricity|NOx|Infant mortality", US_national_yearly!$D:$AM, 18, FALSE) / VLOOKUP("electricity|NOx|Infant mortality", US_national_yearly!$D:$AM, 10, FALSE), 1)</f>
        <v>2.0962367412867299E-7</v>
      </c>
      <c r="K3" s="7">
        <f>$B3 * IFERROR(VLOOKUP("electricity|NOx|Infant mortality", US_national_yearly!$D:$AM, 19, FALSE) / VLOOKUP("electricity|NOx|Infant mortality", US_national_yearly!$D:$AM, 10, FALSE), 1)</f>
        <v>2.0807667497338062E-7</v>
      </c>
      <c r="L3" s="7">
        <f>$B3 * IFERROR(VLOOKUP("electricity|NOx|Infant mortality", US_national_yearly!$D:$AM, 20, FALSE) / VLOOKUP("electricity|NOx|Infant mortality", US_national_yearly!$D:$AM, 10, FALSE), 1)</f>
        <v>2.0652967581808827E-7</v>
      </c>
      <c r="M3" s="7">
        <f>$B3 * IFERROR(VLOOKUP("electricity|NOx|Infant mortality", US_national_yearly!$D:$AM, 21, FALSE) / VLOOKUP("electricity|NOx|Infant mortality", US_national_yearly!$D:$AM, 10, FALSE), 1)</f>
        <v>2.0498267666279589E-7</v>
      </c>
      <c r="N3" s="7">
        <f>$B3 * IFERROR(VLOOKUP("electricity|NOx|Infant mortality", US_national_yearly!$D:$AM, 22, FALSE) / VLOOKUP("electricity|NOx|Infant mortality", US_national_yearly!$D:$AM, 10, FALSE), 1)</f>
        <v>2.0394385561728854E-7</v>
      </c>
      <c r="O3" s="7">
        <f>$B3 * IFERROR(VLOOKUP("electricity|NOx|Infant mortality", US_national_yearly!$D:$AM, 23, FALSE) / VLOOKUP("electricity|NOx|Infant mortality", US_national_yearly!$D:$AM, 10, FALSE), 1)</f>
        <v>2.0290503457178117E-7</v>
      </c>
      <c r="P3" s="7">
        <f>$B3 * IFERROR(VLOOKUP("electricity|NOx|Infant mortality", US_national_yearly!$D:$AM, 24, FALSE) / VLOOKUP("electricity|NOx|Infant mortality", US_national_yearly!$D:$AM, 10, FALSE), 1)</f>
        <v>2.0186621352627377E-7</v>
      </c>
      <c r="Q3" s="7">
        <f>$B3 * IFERROR(VLOOKUP("electricity|NOx|Infant mortality", US_national_yearly!$D:$AM, 25, FALSE) / VLOOKUP("electricity|NOx|Infant mortality", US_national_yearly!$D:$AM, 10, FALSE), 1)</f>
        <v>2.0082739248076639E-7</v>
      </c>
      <c r="R3" s="7">
        <f>$B3 * IFERROR(VLOOKUP("electricity|NOx|Infant mortality", US_national_yearly!$D:$AM, 26, FALSE) / VLOOKUP("electricity|NOx|Infant mortality", US_national_yearly!$D:$AM, 10, FALSE), 1)</f>
        <v>1.9978857143525905E-7</v>
      </c>
      <c r="S3" s="7">
        <f>$B3 * IFERROR(VLOOKUP("electricity|NOx|Infant mortality", US_national_yearly!$D:$AM, 27, FALSE) / VLOOKUP("electricity|NOx|Infant mortality", US_national_yearly!$D:$AM, 10, FALSE), 1)</f>
        <v>1.9855530994929929E-7</v>
      </c>
      <c r="T3" s="7">
        <f>$B3 * IFERROR(VLOOKUP("electricity|NOx|Infant mortality", US_national_yearly!$D:$AM, 28, FALSE) / VLOOKUP("electricity|NOx|Infant mortality", US_national_yearly!$D:$AM, 10, FALSE), 1)</f>
        <v>1.973220484633395E-7</v>
      </c>
      <c r="U3" s="7">
        <f>$B3 * IFERROR(VLOOKUP("electricity|NOx|Infant mortality", US_national_yearly!$D:$AM, 29, FALSE) / VLOOKUP("electricity|NOx|Infant mortality", US_national_yearly!$D:$AM, 10, FALSE), 1)</f>
        <v>1.9608878697737977E-7</v>
      </c>
      <c r="V3" s="7">
        <f>$B3 * IFERROR(VLOOKUP("electricity|NOx|Infant mortality", US_national_yearly!$D:$AM, 30, FALSE) / VLOOKUP("electricity|NOx|Infant mortality", US_national_yearly!$D:$AM, 10, FALSE), 1)</f>
        <v>1.9485552549142001E-7</v>
      </c>
      <c r="W3" s="7">
        <f>$B3 * IFERROR(VLOOKUP("electricity|NOx|Infant mortality", US_national_yearly!$D:$AM, 31, FALSE) / VLOOKUP("electricity|NOx|Infant mortality", US_national_yearly!$D:$AM, 10, FALSE), 1)</f>
        <v>1.9362226400546026E-7</v>
      </c>
      <c r="X3" s="7">
        <f>$B3 * IFERROR(VLOOKUP("electricity|NOx|Infant mortality", US_national_yearly!$D:$AM, 32, FALSE) / VLOOKUP("electricity|NOx|Infant mortality", US_national_yearly!$D:$AM, 10, FALSE), 1)</f>
        <v>1.9235240625924501E-7</v>
      </c>
      <c r="Y3" s="7">
        <f>$B3 * IFERROR(VLOOKUP("electricity|NOx|Infant mortality", US_national_yearly!$D:$AM, 33, FALSE) / VLOOKUP("electricity|NOx|Infant mortality", US_national_yearly!$D:$AM, 10, FALSE), 1)</f>
        <v>1.9108254851302974E-7</v>
      </c>
      <c r="Z3" s="7">
        <f>$B3 * IFERROR(VLOOKUP("electricity|NOx|Infant mortality", US_national_yearly!$D:$AM, 34, FALSE) / VLOOKUP("electricity|NOx|Infant mortality", US_national_yearly!$D:$AM, 10, FALSE), 1)</f>
        <v>1.898126907668145E-7</v>
      </c>
      <c r="AA3" s="7">
        <f>$B3 * IFERROR(VLOOKUP("electricity|NOx|Infant mortality", US_national_yearly!$D:$AM, 35, FALSE) / VLOOKUP("electricity|NOx|Infant mortality", US_national_yearly!$D:$AM, 10, FALSE), 1)</f>
        <v>1.8854283302059926E-7</v>
      </c>
      <c r="AB3" s="7">
        <f>$B3 * IFERROR(VLOOKUP("electricity|NOx|Infant mortality", US_national_yearly!$D:$AM, 36, FALSE) / VLOOKUP("electricity|NOx|Infant mortality", US_national_yearly!$D:$AM, 10, FALSE), 1)</f>
        <v>1.8727297527438399E-7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8.3558281603587892E-4</v>
      </c>
      <c r="C6" s="7">
        <f>$B6 * IFERROR(VLOOKUP("electricity|NOx|Asthma symptoms cough", US_national_yearly!$D:$AM, 11, FALSE) / VLOOKUP("electricity|NOx|Asthma symptoms cough", US_national_yearly!$D:$AM, 10, FALSE), 1)</f>
        <v>8.4705430770038261E-4</v>
      </c>
      <c r="D6" s="7">
        <f>$B6 * IFERROR(VLOOKUP("electricity|NOx|Asthma symptoms cough", US_national_yearly!$D:$AM, 12, FALSE) / VLOOKUP("electricity|NOx|Asthma symptoms cough", US_national_yearly!$D:$AM, 10, FALSE), 1)</f>
        <v>8.5852579936488652E-4</v>
      </c>
      <c r="E6" s="7">
        <f>$B6 * IFERROR(VLOOKUP("electricity|NOx|Asthma symptoms cough", US_national_yearly!$D:$AM, 13, FALSE) / VLOOKUP("electricity|NOx|Asthma symptoms cough", US_national_yearly!$D:$AM, 10, FALSE), 1)</f>
        <v>8.6999729102939032E-4</v>
      </c>
      <c r="F6" s="7">
        <f>$B6 * IFERROR(VLOOKUP("electricity|NOx|Asthma symptoms cough", US_national_yearly!$D:$AM, 14, FALSE) / VLOOKUP("electricity|NOx|Asthma symptoms cough", US_national_yearly!$D:$AM, 10, FALSE), 1)</f>
        <v>8.8146878269389402E-4</v>
      </c>
      <c r="G6" s="7">
        <f>$B6 * IFERROR(VLOOKUP("electricity|NOx|Asthma symptoms cough", US_national_yearly!$D:$AM, 15, FALSE) / VLOOKUP("electricity|NOx|Asthma symptoms cough", US_national_yearly!$D:$AM, 10, FALSE), 1)</f>
        <v>8.9079571366132621E-4</v>
      </c>
      <c r="H6" s="7">
        <f>$B6 * IFERROR(VLOOKUP("electricity|NOx|Asthma symptoms cough", US_national_yearly!$D:$AM, 16, FALSE) / VLOOKUP("electricity|NOx|Asthma symptoms cough", US_national_yearly!$D:$AM, 10, FALSE), 1)</f>
        <v>9.0012264462875841E-4</v>
      </c>
      <c r="I6" s="7">
        <f>$B6 * IFERROR(VLOOKUP("electricity|NOx|Asthma symptoms cough", US_national_yearly!$D:$AM, 17, FALSE) / VLOOKUP("electricity|NOx|Asthma symptoms cough", US_national_yearly!$D:$AM, 10, FALSE), 1)</f>
        <v>9.0358981968904819E-4</v>
      </c>
      <c r="J6" s="7">
        <f>$B6 * IFERROR(VLOOKUP("electricity|NOx|Asthma symptoms cough", US_national_yearly!$D:$AM, 18, FALSE) / VLOOKUP("electricity|NOx|Asthma symptoms cough", US_national_yearly!$D:$AM, 10, FALSE), 1)</f>
        <v>9.0705699474933786E-4</v>
      </c>
      <c r="K6" s="7">
        <f>$B6 * IFERROR(VLOOKUP("electricity|NOx|Asthma symptoms cough", US_national_yearly!$D:$AM, 19, FALSE) / VLOOKUP("electricity|NOx|Asthma symptoms cough", US_national_yearly!$D:$AM, 10, FALSE), 1)</f>
        <v>9.1052416980962785E-4</v>
      </c>
      <c r="L6" s="7">
        <f>$B6 * IFERROR(VLOOKUP("electricity|NOx|Asthma symptoms cough", US_national_yearly!$D:$AM, 20, FALSE) / VLOOKUP("electricity|NOx|Asthma symptoms cough", US_national_yearly!$D:$AM, 10, FALSE), 1)</f>
        <v>9.1399134486991763E-4</v>
      </c>
      <c r="M6" s="7">
        <f>$B6 * IFERROR(VLOOKUP("electricity|NOx|Asthma symptoms cough", US_national_yearly!$D:$AM, 21, FALSE) / VLOOKUP("electricity|NOx|Asthma symptoms cough", US_national_yearly!$D:$AM, 10, FALSE), 1)</f>
        <v>9.1745851993020751E-4</v>
      </c>
      <c r="N6" s="7">
        <f>$B6 * IFERROR(VLOOKUP("electricity|NOx|Asthma symptoms cough", US_national_yearly!$D:$AM, 22, FALSE) / VLOOKUP("electricity|NOx|Asthma symptoms cough", US_national_yearly!$D:$AM, 10, FALSE), 1)</f>
        <v>9.2130012101708189E-4</v>
      </c>
      <c r="O6" s="7">
        <f>$B6 * IFERROR(VLOOKUP("electricity|NOx|Asthma symptoms cough", US_national_yearly!$D:$AM, 23, FALSE) / VLOOKUP("electricity|NOx|Asthma symptoms cough", US_national_yearly!$D:$AM, 10, FALSE), 1)</f>
        <v>9.2514172210395637E-4</v>
      </c>
      <c r="P6" s="7">
        <f>$B6 * IFERROR(VLOOKUP("electricity|NOx|Asthma symptoms cough", US_national_yearly!$D:$AM, 24, FALSE) / VLOOKUP("electricity|NOx|Asthma symptoms cough", US_national_yearly!$D:$AM, 10, FALSE), 1)</f>
        <v>9.2898332319083074E-4</v>
      </c>
      <c r="Q6" s="7">
        <f>$B6 * IFERROR(VLOOKUP("electricity|NOx|Asthma symptoms cough", US_national_yearly!$D:$AM, 25, FALSE) / VLOOKUP("electricity|NOx|Asthma symptoms cough", US_national_yearly!$D:$AM, 10, FALSE), 1)</f>
        <v>9.3282492427770522E-4</v>
      </c>
      <c r="R6" s="7">
        <f>$B6 * IFERROR(VLOOKUP("electricity|NOx|Asthma symptoms cough", US_national_yearly!$D:$AM, 26, FALSE) / VLOOKUP("electricity|NOx|Asthma symptoms cough", US_national_yearly!$D:$AM, 10, FALSE), 1)</f>
        <v>9.3666652536457959E-4</v>
      </c>
      <c r="S6" s="7">
        <f>$B6 * IFERROR(VLOOKUP("electricity|NOx|Asthma symptoms cough", US_national_yearly!$D:$AM, 27, FALSE) / VLOOKUP("electricity|NOx|Asthma symptoms cough", US_national_yearly!$D:$AM, 10, FALSE), 1)</f>
        <v>9.4145927648543054E-4</v>
      </c>
      <c r="T6" s="7">
        <f>$B6 * IFERROR(VLOOKUP("electricity|NOx|Asthma symptoms cough", US_national_yearly!$D:$AM, 28, FALSE) / VLOOKUP("electricity|NOx|Asthma symptoms cough", US_national_yearly!$D:$AM, 10, FALSE), 1)</f>
        <v>9.4625202760628127E-4</v>
      </c>
      <c r="U6" s="7">
        <f>$B6 * IFERROR(VLOOKUP("electricity|NOx|Asthma symptoms cough", US_national_yearly!$D:$AM, 29, FALSE) / VLOOKUP("electricity|NOx|Asthma symptoms cough", US_national_yearly!$D:$AM, 10, FALSE), 1)</f>
        <v>9.5104477872713243E-4</v>
      </c>
      <c r="V6" s="7">
        <f>$B6 * IFERROR(VLOOKUP("electricity|NOx|Asthma symptoms cough", US_national_yearly!$D:$AM, 30, FALSE) / VLOOKUP("electricity|NOx|Asthma symptoms cough", US_national_yearly!$D:$AM, 10, FALSE), 1)</f>
        <v>9.5583752984798327E-4</v>
      </c>
      <c r="W6" s="7">
        <f>$B6 * IFERROR(VLOOKUP("electricity|NOx|Asthma symptoms cough", US_national_yearly!$D:$AM, 31, FALSE) / VLOOKUP("electricity|NOx|Asthma symptoms cough", US_national_yearly!$D:$AM, 10, FALSE), 1)</f>
        <v>9.6063028096883421E-4</v>
      </c>
      <c r="X6" s="7">
        <f>$B6 * IFERROR(VLOOKUP("electricity|NOx|Asthma symptoms cough", US_national_yearly!$D:$AM, 32, FALSE) / VLOOKUP("electricity|NOx|Asthma symptoms cough", US_national_yearly!$D:$AM, 10, FALSE), 1)</f>
        <v>9.6504587456892519E-4</v>
      </c>
      <c r="Y6" s="7">
        <f>$B6 * IFERROR(VLOOKUP("electricity|NOx|Asthma symptoms cough", US_national_yearly!$D:$AM, 33, FALSE) / VLOOKUP("electricity|NOx|Asthma symptoms cough", US_national_yearly!$D:$AM, 10, FALSE), 1)</f>
        <v>9.6946146816901649E-4</v>
      </c>
      <c r="Z6" s="7">
        <f>$B6 * IFERROR(VLOOKUP("electricity|NOx|Asthma symptoms cough", US_national_yearly!$D:$AM, 34, FALSE) / VLOOKUP("electricity|NOx|Asthma symptoms cough", US_national_yearly!$D:$AM, 10, FALSE), 1)</f>
        <v>9.7387706176910768E-4</v>
      </c>
      <c r="AA6" s="7">
        <f>$B6 * IFERROR(VLOOKUP("electricity|NOx|Asthma symptoms cough", US_national_yearly!$D:$AM, 35, FALSE) / VLOOKUP("electricity|NOx|Asthma symptoms cough", US_national_yearly!$D:$AM, 10, FALSE), 1)</f>
        <v>9.7829265536919854E-4</v>
      </c>
      <c r="AB6" s="7">
        <f>$B6 * IFERROR(VLOOKUP("electricity|NOx|Asthma symptoms cough", US_national_yearly!$D:$AM, 36, FALSE) / VLOOKUP("electricity|NOx|Asthma symptoms cough", US_national_yearly!$D:$AM, 10, FALSE), 1)</f>
        <v>9.8270824896928973E-4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1.1252340668159598E-3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1.140682102541795E-3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1.1561301382676302E-3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1.1715781739934654E-3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1.1870262097193004E-3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1.1995862818378748E-3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1.2121463539564489E-3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1.2168154105495321E-3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1.2214844671426148E-3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1.2261535237356978E-3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1.2308225803287804E-3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1.2354916369218634E-3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1.2406649127456322E-3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1.2458381885694014E-3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1.2510114643931702E-3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1.2561847402169392E-3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1.261358016040708E-3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1.2678121540435426E-3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1.2742662920463769E-3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1.2807204300492115E-3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1.2871745680520458E-3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1.2936287060548804E-3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1.2995749464758087E-3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1.3055211868967373E-3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1.3114674273176654E-3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1.3174136677385937E-3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1.3233599081595221E-3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1.7191649662461046E-3</v>
      </c>
      <c r="C8" s="7">
        <f>$B8 * IFERROR(VLOOKUP("electricity|NOx|Asthma symptoms wheeze", US_national_yearly!$D:$AM, 11, FALSE) / VLOOKUP("electricity|NOx|Asthma symptoms wheeze", US_national_yearly!$D:$AM, 10, FALSE), 1)</f>
        <v>1.7427669195134558E-3</v>
      </c>
      <c r="D8" s="7">
        <f>$B8 * IFERROR(VLOOKUP("electricity|NOx|Asthma symptoms wheeze", US_national_yearly!$D:$AM, 12, FALSE) / VLOOKUP("electricity|NOx|Asthma symptoms wheeze", US_national_yearly!$D:$AM, 10, FALSE), 1)</f>
        <v>1.766368872780807E-3</v>
      </c>
      <c r="E8" s="7">
        <f>$B8 * IFERROR(VLOOKUP("electricity|NOx|Asthma symptoms wheeze", US_national_yearly!$D:$AM, 13, FALSE) / VLOOKUP("electricity|NOx|Asthma symptoms wheeze", US_national_yearly!$D:$AM, 10, FALSE), 1)</f>
        <v>1.7899708260481581E-3</v>
      </c>
      <c r="F8" s="7">
        <f>$B8 * IFERROR(VLOOKUP("electricity|NOx|Asthma symptoms wheeze", US_national_yearly!$D:$AM, 14, FALSE) / VLOOKUP("electricity|NOx|Asthma symptoms wheeze", US_national_yearly!$D:$AM, 10, FALSE), 1)</f>
        <v>1.8135727793155098E-3</v>
      </c>
      <c r="G8" s="7">
        <f>$B8 * IFERROR(VLOOKUP("electricity|NOx|Asthma symptoms wheeze", US_national_yearly!$D:$AM, 15, FALSE) / VLOOKUP("electricity|NOx|Asthma symptoms wheeze", US_national_yearly!$D:$AM, 10, FALSE), 1)</f>
        <v>1.8327624187460499E-3</v>
      </c>
      <c r="H8" s="7">
        <f>$B8 * IFERROR(VLOOKUP("electricity|NOx|Asthma symptoms wheeze", US_national_yearly!$D:$AM, 16, FALSE) / VLOOKUP("electricity|NOx|Asthma symptoms wheeze", US_national_yearly!$D:$AM, 10, FALSE), 1)</f>
        <v>1.8519520581765903E-3</v>
      </c>
      <c r="I8" s="7">
        <f>$B8 * IFERROR(VLOOKUP("electricity|NOx|Asthma symptoms wheeze", US_national_yearly!$D:$AM, 17, FALSE) / VLOOKUP("electricity|NOx|Asthma symptoms wheeze", US_national_yearly!$D:$AM, 10, FALSE), 1)</f>
        <v>1.8590855771648369E-3</v>
      </c>
      <c r="J8" s="7">
        <f>$B8 * IFERROR(VLOOKUP("electricity|NOx|Asthma symptoms wheeze", US_national_yearly!$D:$AM, 18, FALSE) / VLOOKUP("electricity|NOx|Asthma symptoms wheeze", US_national_yearly!$D:$AM, 10, FALSE), 1)</f>
        <v>1.8662190961530837E-3</v>
      </c>
      <c r="K8" s="7">
        <f>$B8 * IFERROR(VLOOKUP("electricity|NOx|Asthma symptoms wheeze", US_national_yearly!$D:$AM, 19, FALSE) / VLOOKUP("electricity|NOx|Asthma symptoms wheeze", US_national_yearly!$D:$AM, 10, FALSE), 1)</f>
        <v>1.8733526151413311E-3</v>
      </c>
      <c r="L8" s="7">
        <f>$B8 * IFERROR(VLOOKUP("electricity|NOx|Asthma symptoms wheeze", US_national_yearly!$D:$AM, 20, FALSE) / VLOOKUP("electricity|NOx|Asthma symptoms wheeze", US_national_yearly!$D:$AM, 10, FALSE), 1)</f>
        <v>1.8804861341295777E-3</v>
      </c>
      <c r="M8" s="7">
        <f>$B8 * IFERROR(VLOOKUP("electricity|NOx|Asthma symptoms wheeze", US_national_yearly!$D:$AM, 21, FALSE) / VLOOKUP("electricity|NOx|Asthma symptoms wheeze", US_national_yearly!$D:$AM, 10, FALSE), 1)</f>
        <v>1.8876196531178245E-3</v>
      </c>
      <c r="N8" s="7">
        <f>$B8 * IFERROR(VLOOKUP("electricity|NOx|Asthma symptoms wheeze", US_national_yearly!$D:$AM, 22, FALSE) / VLOOKUP("electricity|NOx|Asthma symptoms wheeze", US_national_yearly!$D:$AM, 10, FALSE), 1)</f>
        <v>1.8955235327388583E-3</v>
      </c>
      <c r="O8" s="7">
        <f>$B8 * IFERROR(VLOOKUP("electricity|NOx|Asthma symptoms wheeze", US_national_yearly!$D:$AM, 23, FALSE) / VLOOKUP("electricity|NOx|Asthma symptoms wheeze", US_national_yearly!$D:$AM, 10, FALSE), 1)</f>
        <v>1.9034274123598924E-3</v>
      </c>
      <c r="P8" s="7">
        <f>$B8 * IFERROR(VLOOKUP("electricity|NOx|Asthma symptoms wheeze", US_national_yearly!$D:$AM, 24, FALSE) / VLOOKUP("electricity|NOx|Asthma symptoms wheeze", US_national_yearly!$D:$AM, 10, FALSE), 1)</f>
        <v>1.9113312919809267E-3</v>
      </c>
      <c r="Q8" s="7">
        <f>$B8 * IFERROR(VLOOKUP("electricity|NOx|Asthma symptoms wheeze", US_national_yearly!$D:$AM, 25, FALSE) / VLOOKUP("electricity|NOx|Asthma symptoms wheeze", US_national_yearly!$D:$AM, 10, FALSE), 1)</f>
        <v>1.9192351716019603E-3</v>
      </c>
      <c r="R8" s="7">
        <f>$B8 * IFERROR(VLOOKUP("electricity|NOx|Asthma symptoms wheeze", US_national_yearly!$D:$AM, 26, FALSE) / VLOOKUP("electricity|NOx|Asthma symptoms wheeze", US_national_yearly!$D:$AM, 10, FALSE), 1)</f>
        <v>1.9271390512229942E-3</v>
      </c>
      <c r="S8" s="7">
        <f>$B8 * IFERROR(VLOOKUP("electricity|NOx|Asthma symptoms wheeze", US_national_yearly!$D:$AM, 27, FALSE) / VLOOKUP("electricity|NOx|Asthma symptoms wheeze", US_national_yearly!$D:$AM, 10, FALSE), 1)</f>
        <v>1.9369998689048196E-3</v>
      </c>
      <c r="T8" s="7">
        <f>$B8 * IFERROR(VLOOKUP("electricity|NOx|Asthma symptoms wheeze", US_national_yearly!$D:$AM, 28, FALSE) / VLOOKUP("electricity|NOx|Asthma symptoms wheeze", US_national_yearly!$D:$AM, 10, FALSE), 1)</f>
        <v>1.9468606865866449E-3</v>
      </c>
      <c r="U8" s="7">
        <f>$B8 * IFERROR(VLOOKUP("electricity|NOx|Asthma symptoms wheeze", US_national_yearly!$D:$AM, 29, FALSE) / VLOOKUP("electricity|NOx|Asthma symptoms wheeze", US_national_yearly!$D:$AM, 10, FALSE), 1)</f>
        <v>1.9567215042684701E-3</v>
      </c>
      <c r="V8" s="7">
        <f>$B8 * IFERROR(VLOOKUP("electricity|NOx|Asthma symptoms wheeze", US_national_yearly!$D:$AM, 30, FALSE) / VLOOKUP("electricity|NOx|Asthma symptoms wheeze", US_national_yearly!$D:$AM, 10, FALSE), 1)</f>
        <v>1.9665823219502951E-3</v>
      </c>
      <c r="W8" s="7">
        <f>$B8 * IFERROR(VLOOKUP("electricity|NOx|Asthma symptoms wheeze", US_national_yearly!$D:$AM, 31, FALSE) / VLOOKUP("electricity|NOx|Asthma symptoms wheeze", US_national_yearly!$D:$AM, 10, FALSE), 1)</f>
        <v>1.9764431396321206E-3</v>
      </c>
      <c r="X8" s="7">
        <f>$B8 * IFERROR(VLOOKUP("electricity|NOx|Asthma symptoms wheeze", US_national_yearly!$D:$AM, 32, FALSE) / VLOOKUP("electricity|NOx|Asthma symptoms wheeze", US_national_yearly!$D:$AM, 10, FALSE), 1)</f>
        <v>1.9855279767835607E-3</v>
      </c>
      <c r="Y8" s="7">
        <f>$B8 * IFERROR(VLOOKUP("electricity|NOx|Asthma symptoms wheeze", US_national_yearly!$D:$AM, 33, FALSE) / VLOOKUP("electricity|NOx|Asthma symptoms wheeze", US_national_yearly!$D:$AM, 10, FALSE), 1)</f>
        <v>1.9946128139350012E-3</v>
      </c>
      <c r="Z8" s="7">
        <f>$B8 * IFERROR(VLOOKUP("electricity|NOx|Asthma symptoms wheeze", US_national_yearly!$D:$AM, 34, FALSE) / VLOOKUP("electricity|NOx|Asthma symptoms wheeze", US_national_yearly!$D:$AM, 10, FALSE), 1)</f>
        <v>2.0036976510864409E-3</v>
      </c>
      <c r="AA8" s="7">
        <f>$B8 * IFERROR(VLOOKUP("electricity|NOx|Asthma symptoms wheeze", US_national_yearly!$D:$AM, 35, FALSE) / VLOOKUP("electricity|NOx|Asthma symptoms wheeze", US_national_yearly!$D:$AM, 10, FALSE), 1)</f>
        <v>2.0127824882378818E-3</v>
      </c>
      <c r="AB8" s="7">
        <f>$B8 * IFERROR(VLOOKUP("electricity|NOx|Asthma symptoms wheeze", US_national_yearly!$D:$AM, 36, FALSE) / VLOOKUP("electricity|NOx|Asthma symptoms wheeze", US_national_yearly!$D:$AM, 10, FALSE), 1)</f>
        <v>2.0218673253893219E-3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2.6773748050270567E-5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2.7459468456347179E-5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2.8145188862423793E-5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2.8830909268500405E-5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2.9516629674577006E-5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3.0176741361722599E-5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3.0836853048868198E-5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3.1404494793494581E-5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3.197213653812097E-5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3.2539778282747373E-5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3.3107420027373763E-5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3.3675061772000152E-5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3.4064073787522036E-5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3.4453085803043914E-5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3.4842097818565798E-5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3.5231109834087682E-5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3.5620121849609559E-5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3.5841676603173788E-5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3.6063231356738018E-5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3.628478611030224E-5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3.6506340863866462E-5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3.6727895617430692E-5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3.6889042490959819E-5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3.7050189364488946E-5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3.721133623801808E-5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3.7372483111547214E-5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3.7533629985076335E-5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1.5643565310157663E-4</v>
      </c>
      <c r="C13" s="7">
        <f>$B13 * IFERROR(VLOOKUP("electricity|NOx|Non-fatal heart attacks", US_national_yearly!$D:$AM, 11, FALSE) / VLOOKUP("electricity|NOx|Non-fatal heart attacks", US_national_yearly!$D:$AM, 10, FALSE), 1)</f>
        <v>1.6092492537327338E-4</v>
      </c>
      <c r="D13" s="7">
        <f>$B13 * IFERROR(VLOOKUP("electricity|NOx|Non-fatal heart attacks", US_national_yearly!$D:$AM, 12, FALSE) / VLOOKUP("electricity|NOx|Non-fatal heart attacks", US_national_yearly!$D:$AM, 10, FALSE), 1)</f>
        <v>1.6541419764497009E-4</v>
      </c>
      <c r="E13" s="7">
        <f>$B13 * IFERROR(VLOOKUP("electricity|NOx|Non-fatal heart attacks", US_national_yearly!$D:$AM, 13, FALSE) / VLOOKUP("electricity|NOx|Non-fatal heart attacks", US_national_yearly!$D:$AM, 10, FALSE), 1)</f>
        <v>1.6990346991666683E-4</v>
      </c>
      <c r="F13" s="7">
        <f>$B13 * IFERROR(VLOOKUP("electricity|NOx|Non-fatal heart attacks", US_national_yearly!$D:$AM, 14, FALSE) / VLOOKUP("electricity|NOx|Non-fatal heart attacks", US_national_yearly!$D:$AM, 10, FALSE), 1)</f>
        <v>1.743927421883636E-4</v>
      </c>
      <c r="G13" s="7">
        <f>$B13 * IFERROR(VLOOKUP("electricity|NOx|Non-fatal heart attacks", US_national_yearly!$D:$AM, 15, FALSE) / VLOOKUP("electricity|NOx|Non-fatal heart attacks", US_national_yearly!$D:$AM, 10, FALSE), 1)</f>
        <v>1.7862180891425254E-4</v>
      </c>
      <c r="H13" s="7">
        <f>$B13 * IFERROR(VLOOKUP("electricity|NOx|Non-fatal heart attacks", US_national_yearly!$D:$AM, 16, FALSE) / VLOOKUP("electricity|NOx|Non-fatal heart attacks", US_national_yearly!$D:$AM, 10, FALSE), 1)</f>
        <v>1.8285087564014148E-4</v>
      </c>
      <c r="I13" s="7">
        <f>$B13 * IFERROR(VLOOKUP("electricity|NOx|Non-fatal heart attacks", US_national_yearly!$D:$AM, 17, FALSE) / VLOOKUP("electricity|NOx|Non-fatal heart attacks", US_national_yearly!$D:$AM, 10, FALSE), 1)</f>
        <v>1.8624215930252046E-4</v>
      </c>
      <c r="J13" s="7">
        <f>$B13 * IFERROR(VLOOKUP("electricity|NOx|Non-fatal heart attacks", US_national_yearly!$D:$AM, 18, FALSE) / VLOOKUP("electricity|NOx|Non-fatal heart attacks", US_national_yearly!$D:$AM, 10, FALSE), 1)</f>
        <v>1.8963344296489944E-4</v>
      </c>
      <c r="K13" s="7">
        <f>$B13 * IFERROR(VLOOKUP("electricity|NOx|Non-fatal heart attacks", US_national_yearly!$D:$AM, 19, FALSE) / VLOOKUP("electricity|NOx|Non-fatal heart attacks", US_national_yearly!$D:$AM, 10, FALSE), 1)</f>
        <v>1.9302472662727823E-4</v>
      </c>
      <c r="L13" s="7">
        <f>$B13 * IFERROR(VLOOKUP("electricity|NOx|Non-fatal heart attacks", US_national_yearly!$D:$AM, 20, FALSE) / VLOOKUP("electricity|NOx|Non-fatal heart attacks", US_national_yearly!$D:$AM, 10, FALSE), 1)</f>
        <v>1.9641601028965721E-4</v>
      </c>
      <c r="M13" s="7">
        <f>$B13 * IFERROR(VLOOKUP("electricity|NOx|Non-fatal heart attacks", US_national_yearly!$D:$AM, 21, FALSE) / VLOOKUP("electricity|NOx|Non-fatal heart attacks", US_national_yearly!$D:$AM, 10, FALSE), 1)</f>
        <v>1.9980729395203622E-4</v>
      </c>
      <c r="N13" s="7">
        <f>$B13 * IFERROR(VLOOKUP("electricity|NOx|Non-fatal heart attacks", US_national_yearly!$D:$AM, 22, FALSE) / VLOOKUP("electricity|NOx|Non-fatal heart attacks", US_national_yearly!$D:$AM, 10, FALSE), 1)</f>
        <v>2.0189876904884742E-4</v>
      </c>
      <c r="O13" s="7">
        <f>$B13 * IFERROR(VLOOKUP("electricity|NOx|Non-fatal heart attacks", US_national_yearly!$D:$AM, 23, FALSE) / VLOOKUP("electricity|NOx|Non-fatal heart attacks", US_national_yearly!$D:$AM, 10, FALSE), 1)</f>
        <v>2.0399024414565864E-4</v>
      </c>
      <c r="P13" s="7">
        <f>$B13 * IFERROR(VLOOKUP("electricity|NOx|Non-fatal heart attacks", US_national_yearly!$D:$AM, 24, FALSE) / VLOOKUP("electricity|NOx|Non-fatal heart attacks", US_national_yearly!$D:$AM, 10, FALSE), 1)</f>
        <v>2.0608171924246986E-4</v>
      </c>
      <c r="Q13" s="7">
        <f>$B13 * IFERROR(VLOOKUP("electricity|NOx|Non-fatal heart attacks", US_national_yearly!$D:$AM, 25, FALSE) / VLOOKUP("electricity|NOx|Non-fatal heart attacks", US_national_yearly!$D:$AM, 10, FALSE), 1)</f>
        <v>2.0817319433928108E-4</v>
      </c>
      <c r="R13" s="7">
        <f>$B13 * IFERROR(VLOOKUP("electricity|NOx|Non-fatal heart attacks", US_national_yearly!$D:$AM, 26, FALSE) / VLOOKUP("electricity|NOx|Non-fatal heart attacks", US_national_yearly!$D:$AM, 10, FALSE), 1)</f>
        <v>2.1026466943609227E-4</v>
      </c>
      <c r="S13" s="7">
        <f>$B13 * IFERROR(VLOOKUP("electricity|NOx|Non-fatal heart attacks", US_national_yearly!$D:$AM, 27, FALSE) / VLOOKUP("electricity|NOx|Non-fatal heart attacks", US_national_yearly!$D:$AM, 10, FALSE), 1)</f>
        <v>2.112865572006092E-4</v>
      </c>
      <c r="T13" s="7">
        <f>$B13 * IFERROR(VLOOKUP("electricity|NOx|Non-fatal heart attacks", US_national_yearly!$D:$AM, 28, FALSE) / VLOOKUP("electricity|NOx|Non-fatal heart attacks", US_national_yearly!$D:$AM, 10, FALSE), 1)</f>
        <v>2.1230844496512611E-4</v>
      </c>
      <c r="U13" s="7">
        <f>$B13 * IFERROR(VLOOKUP("electricity|NOx|Non-fatal heart attacks", US_national_yearly!$D:$AM, 29, FALSE) / VLOOKUP("electricity|NOx|Non-fatal heart attacks", US_national_yearly!$D:$AM, 10, FALSE), 1)</f>
        <v>2.1333033272964306E-4</v>
      </c>
      <c r="V13" s="7">
        <f>$B13 * IFERROR(VLOOKUP("electricity|NOx|Non-fatal heart attacks", US_national_yearly!$D:$AM, 30, FALSE) / VLOOKUP("electricity|NOx|Non-fatal heart attacks", US_national_yearly!$D:$AM, 10, FALSE), 1)</f>
        <v>2.1435222049415994E-4</v>
      </c>
      <c r="W13" s="7">
        <f>$B13 * IFERROR(VLOOKUP("electricity|NOx|Non-fatal heart attacks", US_national_yearly!$D:$AM, 31, FALSE) / VLOOKUP("electricity|NOx|Non-fatal heart attacks", US_national_yearly!$D:$AM, 10, FALSE), 1)</f>
        <v>2.153741082586769E-4</v>
      </c>
      <c r="X13" s="7">
        <f>$B13 * IFERROR(VLOOKUP("electricity|NOx|Non-fatal heart attacks", US_national_yearly!$D:$AM, 32, FALSE) / VLOOKUP("electricity|NOx|Non-fatal heart attacks", US_national_yearly!$D:$AM, 10, FALSE), 1)</f>
        <v>2.1608735876151272E-4</v>
      </c>
      <c r="Y13" s="7">
        <f>$B13 * IFERROR(VLOOKUP("electricity|NOx|Non-fatal heart attacks", US_national_yearly!$D:$AM, 33, FALSE) / VLOOKUP("electricity|NOx|Non-fatal heart attacks", US_national_yearly!$D:$AM, 10, FALSE), 1)</f>
        <v>2.1680060926434862E-4</v>
      </c>
      <c r="Z13" s="7">
        <f>$B13 * IFERROR(VLOOKUP("electricity|NOx|Non-fatal heart attacks", US_national_yearly!$D:$AM, 34, FALSE) / VLOOKUP("electricity|NOx|Non-fatal heart attacks", US_national_yearly!$D:$AM, 10, FALSE), 1)</f>
        <v>2.1751385976718444E-4</v>
      </c>
      <c r="AA13" s="7">
        <f>$B13 * IFERROR(VLOOKUP("electricity|NOx|Non-fatal heart attacks", US_national_yearly!$D:$AM, 35, FALSE) / VLOOKUP("electricity|NOx|Non-fatal heart attacks", US_national_yearly!$D:$AM, 10, FALSE), 1)</f>
        <v>2.1822711027002026E-4</v>
      </c>
      <c r="AB13" s="7">
        <f>$B13 * IFERROR(VLOOKUP("electricity|NOx|Non-fatal heart attacks", US_national_yearly!$D:$AM, 36, FALSE) / VLOOKUP("electricity|NOx|Non-fatal heart attacks", US_national_yearly!$D:$AM, 10, FALSE), 1)</f>
        <v>2.1894036077285616E-4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0.11353238333816988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0.11370645327052832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0.11388052320288676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0.1140545931352452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0.11422866306760365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0.11453230185970741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0.11483594065181112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0.11543668794570119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0.11603743523959122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0.11663818253348129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0.11723892982737133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0.11783967712126141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0.1187084081832263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0.11957713924519117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0.12044587030715605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0.12131460136912095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0.12218333243108584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0.12305863311742983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0.12393393380377381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0.12480923449011781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0.1256845351764618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0.12655983586280578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0.12730008084624123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0.12804032582967659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0.12878057081311214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0.12952081579654756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0.13026106077998298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1.9153828430906569E-2</v>
      </c>
      <c r="C15" s="7">
        <f>$B15 * IFERROR(VLOOKUP("electricity|NOx|Work loss days", US_national_yearly!$D:$AM, 11, FALSE) / VLOOKUP("electricity|NOx|Work loss days", US_national_yearly!$D:$AM, 10, FALSE), 1)</f>
        <v>1.9196548313892708E-2</v>
      </c>
      <c r="D15" s="7">
        <f>$B15 * IFERROR(VLOOKUP("electricity|NOx|Work loss days", US_national_yearly!$D:$AM, 12, FALSE) / VLOOKUP("electricity|NOx|Work loss days", US_national_yearly!$D:$AM, 10, FALSE), 1)</f>
        <v>1.9239268196878847E-2</v>
      </c>
      <c r="E15" s="7">
        <f>$B15 * IFERROR(VLOOKUP("electricity|NOx|Work loss days", US_national_yearly!$D:$AM, 13, FALSE) / VLOOKUP("electricity|NOx|Work loss days", US_national_yearly!$D:$AM, 10, FALSE), 1)</f>
        <v>1.9281988079864986E-2</v>
      </c>
      <c r="F15" s="7">
        <f>$B15 * IFERROR(VLOOKUP("electricity|NOx|Work loss days", US_national_yearly!$D:$AM, 14, FALSE) / VLOOKUP("electricity|NOx|Work loss days", US_national_yearly!$D:$AM, 10, FALSE), 1)</f>
        <v>1.9324707962851125E-2</v>
      </c>
      <c r="G15" s="7">
        <f>$B15 * IFERROR(VLOOKUP("electricity|NOx|Work loss days", US_national_yearly!$D:$AM, 15, FALSE) / VLOOKUP("electricity|NOx|Work loss days", US_national_yearly!$D:$AM, 10, FALSE), 1)</f>
        <v>1.938493320467741E-2</v>
      </c>
      <c r="H15" s="7">
        <f>$B15 * IFERROR(VLOOKUP("electricity|NOx|Work loss days", US_national_yearly!$D:$AM, 16, FALSE) / VLOOKUP("electricity|NOx|Work loss days", US_national_yearly!$D:$AM, 10, FALSE), 1)</f>
        <v>1.9445158446503692E-2</v>
      </c>
      <c r="I15" s="7">
        <f>$B15 * IFERROR(VLOOKUP("electricity|NOx|Work loss days", US_national_yearly!$D:$AM, 17, FALSE) / VLOOKUP("electricity|NOx|Work loss days", US_national_yearly!$D:$AM, 10, FALSE), 1)</f>
        <v>1.9542948071911728E-2</v>
      </c>
      <c r="J15" s="7">
        <f>$B15 * IFERROR(VLOOKUP("electricity|NOx|Work loss days", US_national_yearly!$D:$AM, 18, FALSE) / VLOOKUP("electricity|NOx|Work loss days", US_national_yearly!$D:$AM, 10, FALSE), 1)</f>
        <v>1.9640737697319766E-2</v>
      </c>
      <c r="K15" s="7">
        <f>$B15 * IFERROR(VLOOKUP("electricity|NOx|Work loss days", US_national_yearly!$D:$AM, 19, FALSE) / VLOOKUP("electricity|NOx|Work loss days", US_national_yearly!$D:$AM, 10, FALSE), 1)</f>
        <v>1.9738527322727798E-2</v>
      </c>
      <c r="L15" s="7">
        <f>$B15 * IFERROR(VLOOKUP("electricity|NOx|Work loss days", US_national_yearly!$D:$AM, 20, FALSE) / VLOOKUP("electricity|NOx|Work loss days", US_national_yearly!$D:$AM, 10, FALSE), 1)</f>
        <v>1.983631694813583E-2</v>
      </c>
      <c r="M15" s="7">
        <f>$B15 * IFERROR(VLOOKUP("electricity|NOx|Work loss days", US_national_yearly!$D:$AM, 21, FALSE) / VLOOKUP("electricity|NOx|Work loss days", US_national_yearly!$D:$AM, 10, FALSE), 1)</f>
        <v>1.9934106573543865E-2</v>
      </c>
      <c r="N15" s="7">
        <f>$B15 * IFERROR(VLOOKUP("electricity|NOx|Work loss days", US_national_yearly!$D:$AM, 22, FALSE) / VLOOKUP("electricity|NOx|Work loss days", US_national_yearly!$D:$AM, 10, FALSE), 1)</f>
        <v>2.0063127179948015E-2</v>
      </c>
      <c r="O15" s="7">
        <f>$B15 * IFERROR(VLOOKUP("electricity|NOx|Work loss days", US_national_yearly!$D:$AM, 23, FALSE) / VLOOKUP("electricity|NOx|Work loss days", US_national_yearly!$D:$AM, 10, FALSE), 1)</f>
        <v>2.0192147786352161E-2</v>
      </c>
      <c r="P15" s="7">
        <f>$B15 * IFERROR(VLOOKUP("electricity|NOx|Work loss days", US_national_yearly!$D:$AM, 24, FALSE) / VLOOKUP("electricity|NOx|Work loss days", US_national_yearly!$D:$AM, 10, FALSE), 1)</f>
        <v>2.0321168392756311E-2</v>
      </c>
      <c r="Q15" s="7">
        <f>$B15 * IFERROR(VLOOKUP("electricity|NOx|Work loss days", US_national_yearly!$D:$AM, 25, FALSE) / VLOOKUP("electricity|NOx|Work loss days", US_national_yearly!$D:$AM, 10, FALSE), 1)</f>
        <v>2.045018899916046E-2</v>
      </c>
      <c r="R15" s="7">
        <f>$B15 * IFERROR(VLOOKUP("electricity|NOx|Work loss days", US_national_yearly!$D:$AM, 26, FALSE) / VLOOKUP("electricity|NOx|Work loss days", US_national_yearly!$D:$AM, 10, FALSE), 1)</f>
        <v>2.0579209605564603E-2</v>
      </c>
      <c r="S15" s="7">
        <f>$B15 * IFERROR(VLOOKUP("electricity|NOx|Work loss days", US_national_yearly!$D:$AM, 27, FALSE) / VLOOKUP("electricity|NOx|Work loss days", US_national_yearly!$D:$AM, 10, FALSE), 1)</f>
        <v>2.0723793624542571E-2</v>
      </c>
      <c r="T15" s="7">
        <f>$B15 * IFERROR(VLOOKUP("electricity|NOx|Work loss days", US_national_yearly!$D:$AM, 28, FALSE) / VLOOKUP("electricity|NOx|Work loss days", US_national_yearly!$D:$AM, 10, FALSE), 1)</f>
        <v>2.0868377643520536E-2</v>
      </c>
      <c r="U15" s="7">
        <f>$B15 * IFERROR(VLOOKUP("electricity|NOx|Work loss days", US_national_yearly!$D:$AM, 29, FALSE) / VLOOKUP("electricity|NOx|Work loss days", US_national_yearly!$D:$AM, 10, FALSE), 1)</f>
        <v>2.1012961662498501E-2</v>
      </c>
      <c r="V15" s="7">
        <f>$B15 * IFERROR(VLOOKUP("electricity|NOx|Work loss days", US_national_yearly!$D:$AM, 30, FALSE) / VLOOKUP("electricity|NOx|Work loss days", US_national_yearly!$D:$AM, 10, FALSE), 1)</f>
        <v>2.1157545681476465E-2</v>
      </c>
      <c r="W15" s="7">
        <f>$B15 * IFERROR(VLOOKUP("electricity|NOx|Work loss days", US_national_yearly!$D:$AM, 31, FALSE) / VLOOKUP("electricity|NOx|Work loss days", US_national_yearly!$D:$AM, 10, FALSE), 1)</f>
        <v>2.1302129700454434E-2</v>
      </c>
      <c r="X15" s="7">
        <f>$B15 * IFERROR(VLOOKUP("electricity|NOx|Work loss days", US_national_yearly!$D:$AM, 32, FALSE) / VLOOKUP("electricity|NOx|Work loss days", US_national_yearly!$D:$AM, 10, FALSE), 1)</f>
        <v>2.1428164215795603E-2</v>
      </c>
      <c r="Y15" s="7">
        <f>$B15 * IFERROR(VLOOKUP("electricity|NOx|Work loss days", US_national_yearly!$D:$AM, 33, FALSE) / VLOOKUP("electricity|NOx|Work loss days", US_national_yearly!$D:$AM, 10, FALSE), 1)</f>
        <v>2.1554198731136773E-2</v>
      </c>
      <c r="Z15" s="7">
        <f>$B15 * IFERROR(VLOOKUP("electricity|NOx|Work loss days", US_national_yearly!$D:$AM, 34, FALSE) / VLOOKUP("electricity|NOx|Work loss days", US_national_yearly!$D:$AM, 10, FALSE), 1)</f>
        <v>2.1680233246477939E-2</v>
      </c>
      <c r="AA15" s="7">
        <f>$B15 * IFERROR(VLOOKUP("electricity|NOx|Work loss days", US_national_yearly!$D:$AM, 35, FALSE) / VLOOKUP("electricity|NOx|Work loss days", US_national_yearly!$D:$AM, 10, FALSE), 1)</f>
        <v>2.1806267761819112E-2</v>
      </c>
      <c r="AB15" s="7">
        <f>$B15 * IFERROR(VLOOKUP("electricity|NOx|Work loss days", US_national_yearly!$D:$AM, 36, FALSE) / VLOOKUP("electricity|NOx|Work loss days", US_national_yearly!$D:$AM, 10, FALSE), 1)</f>
        <v>2.1932302277160282E-2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3.8984923774808775E-5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4.0133288382853943E-5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4.1281652990899125E-5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4.2430017598944294E-5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4.3578382206989475E-5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4.4678030482109798E-5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4.5777678757230121E-5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4.6716285010210038E-5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4.7654891263189968E-5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4.8593497516169898E-5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4.9532103769149828E-5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5.0470710022129744E-5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5.1073081350508731E-5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5.1675452678887711E-5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5.2277824007266697E-5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5.2880195335645677E-5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5.3482566664024664E-5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5.3779004210427235E-5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5.4075441756829806E-5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5.4371879303232377E-5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5.4668316849634955E-5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5.4964754396037532E-5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5.5142420677370849E-5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5.5320086958704173E-5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5.5497753240037489E-5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5.5675419521370813E-5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5.5853085802704137E-5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1.2915036612742785E-2</v>
      </c>
      <c r="C2" s="7">
        <f>$B2 * IFERROR(VLOOKUP("electricity|SO2|Premature mortality", US_national_yearly!$D:$AM, 11, FALSE) / VLOOKUP("electricity|SO2|Premature mortality", US_national_yearly!$D:$AM, 10, FALSE), 1)</f>
        <v>1.3080610361701196E-2</v>
      </c>
      <c r="D2" s="7">
        <f>$B2 * IFERROR(VLOOKUP("electricity|SO2|Premature mortality", US_national_yearly!$D:$AM, 12, FALSE) / VLOOKUP("electricity|SO2|Premature mortality", US_national_yearly!$D:$AM, 10, FALSE), 1)</f>
        <v>1.3246184110659604E-2</v>
      </c>
      <c r="E2" s="7">
        <f>$B2 * IFERROR(VLOOKUP("electricity|SO2|Premature mortality", US_national_yearly!$D:$AM, 13, FALSE) / VLOOKUP("electricity|SO2|Premature mortality", US_national_yearly!$D:$AM, 10, FALSE), 1)</f>
        <v>1.3411757859618016E-2</v>
      </c>
      <c r="F2" s="7">
        <f>$B2 * IFERROR(VLOOKUP("electricity|SO2|Premature mortality", US_national_yearly!$D:$AM, 14, FALSE) / VLOOKUP("electricity|SO2|Premature mortality", US_national_yearly!$D:$AM, 10, FALSE), 1)</f>
        <v>1.3577331608576423E-2</v>
      </c>
      <c r="G2" s="7">
        <f>$B2 * IFERROR(VLOOKUP("electricity|SO2|Premature mortality", US_national_yearly!$D:$AM, 15, FALSE) / VLOOKUP("electricity|SO2|Premature mortality", US_national_yearly!$D:$AM, 10, FALSE), 1)</f>
        <v>1.3896293059974906E-2</v>
      </c>
      <c r="H2" s="7">
        <f>$B2 * IFERROR(VLOOKUP("electricity|SO2|Premature mortality", US_national_yearly!$D:$AM, 16, FALSE) / VLOOKUP("electricity|SO2|Premature mortality", US_national_yearly!$D:$AM, 10, FALSE), 1)</f>
        <v>1.4215254511373386E-2</v>
      </c>
      <c r="I2" s="7">
        <f>$B2 * IFERROR(VLOOKUP("electricity|SO2|Premature mortality", US_national_yearly!$D:$AM, 17, FALSE) / VLOOKUP("electricity|SO2|Premature mortality", US_national_yearly!$D:$AM, 10, FALSE), 1)</f>
        <v>1.4429959621983483E-2</v>
      </c>
      <c r="J2" s="7">
        <f>$B2 * IFERROR(VLOOKUP("electricity|SO2|Premature mortality", US_national_yearly!$D:$AM, 18, FALSE) / VLOOKUP("electricity|SO2|Premature mortality", US_national_yearly!$D:$AM, 10, FALSE), 1)</f>
        <v>1.4644664732593579E-2</v>
      </c>
      <c r="K2" s="7">
        <f>$B2 * IFERROR(VLOOKUP("electricity|SO2|Premature mortality", US_national_yearly!$D:$AM, 19, FALSE) / VLOOKUP("electricity|SO2|Premature mortality", US_national_yearly!$D:$AM, 10, FALSE), 1)</f>
        <v>1.4859369843203673E-2</v>
      </c>
      <c r="L2" s="7">
        <f>$B2 * IFERROR(VLOOKUP("electricity|SO2|Premature mortality", US_national_yearly!$D:$AM, 20, FALSE) / VLOOKUP("electricity|SO2|Premature mortality", US_national_yearly!$D:$AM, 10, FALSE), 1)</f>
        <v>1.5074074953813773E-2</v>
      </c>
      <c r="M2" s="7">
        <f>$B2 * IFERROR(VLOOKUP("electricity|SO2|Premature mortality", US_national_yearly!$D:$AM, 21, FALSE) / VLOOKUP("electricity|SO2|Premature mortality", US_national_yearly!$D:$AM, 10, FALSE), 1)</f>
        <v>1.5288780064423867E-2</v>
      </c>
      <c r="N2" s="7">
        <f>$B2 * IFERROR(VLOOKUP("electricity|SO2|Premature mortality", US_national_yearly!$D:$AM, 22, FALSE) / VLOOKUP("electricity|SO2|Premature mortality", US_national_yearly!$D:$AM, 10, FALSE), 1)</f>
        <v>1.5460849097644475E-2</v>
      </c>
      <c r="O2" s="7">
        <f>$B2 * IFERROR(VLOOKUP("electricity|SO2|Premature mortality", US_national_yearly!$D:$AM, 23, FALSE) / VLOOKUP("electricity|SO2|Premature mortality", US_national_yearly!$D:$AM, 10, FALSE), 1)</f>
        <v>1.5632918130865085E-2</v>
      </c>
      <c r="P2" s="7">
        <f>$B2 * IFERROR(VLOOKUP("electricity|SO2|Premature mortality", US_national_yearly!$D:$AM, 24, FALSE) / VLOOKUP("electricity|SO2|Premature mortality", US_national_yearly!$D:$AM, 10, FALSE), 1)</f>
        <v>1.5804987164085689E-2</v>
      </c>
      <c r="Q2" s="7">
        <f>$B2 * IFERROR(VLOOKUP("electricity|SO2|Premature mortality", US_national_yearly!$D:$AM, 25, FALSE) / VLOOKUP("electricity|SO2|Premature mortality", US_national_yearly!$D:$AM, 10, FALSE), 1)</f>
        <v>1.5977056197306296E-2</v>
      </c>
      <c r="R2" s="7">
        <f>$B2 * IFERROR(VLOOKUP("electricity|SO2|Premature mortality", US_national_yearly!$D:$AM, 26, FALSE) / VLOOKUP("electricity|SO2|Premature mortality", US_national_yearly!$D:$AM, 10, FALSE), 1)</f>
        <v>1.6149125230526907E-2</v>
      </c>
      <c r="S2" s="7">
        <f>$B2 * IFERROR(VLOOKUP("electricity|SO2|Premature mortality", US_national_yearly!$D:$AM, 27, FALSE) / VLOOKUP("electricity|SO2|Premature mortality", US_national_yearly!$D:$AM, 10, FALSE), 1)</f>
        <v>1.6247777433330543E-2</v>
      </c>
      <c r="T2" s="7">
        <f>$B2 * IFERROR(VLOOKUP("electricity|SO2|Premature mortality", US_national_yearly!$D:$AM, 28, FALSE) / VLOOKUP("electricity|SO2|Premature mortality", US_national_yearly!$D:$AM, 10, FALSE), 1)</f>
        <v>1.6346429636134183E-2</v>
      </c>
      <c r="U2" s="7">
        <f>$B2 * IFERROR(VLOOKUP("electricity|SO2|Premature mortality", US_national_yearly!$D:$AM, 29, FALSE) / VLOOKUP("electricity|SO2|Premature mortality", US_national_yearly!$D:$AM, 10, FALSE), 1)</f>
        <v>1.6445081838937822E-2</v>
      </c>
      <c r="V2" s="7">
        <f>$B2 * IFERROR(VLOOKUP("electricity|SO2|Premature mortality", US_national_yearly!$D:$AM, 30, FALSE) / VLOOKUP("electricity|SO2|Premature mortality", US_national_yearly!$D:$AM, 10, FALSE), 1)</f>
        <v>1.6543734041741462E-2</v>
      </c>
      <c r="W2" s="7">
        <f>$B2 * IFERROR(VLOOKUP("electricity|SO2|Premature mortality", US_national_yearly!$D:$AM, 31, FALSE) / VLOOKUP("electricity|SO2|Premature mortality", US_national_yearly!$D:$AM, 10, FALSE), 1)</f>
        <v>1.6642386244545102E-2</v>
      </c>
      <c r="X2" s="7">
        <f>$B2 * IFERROR(VLOOKUP("electricity|SO2|Premature mortality", US_national_yearly!$D:$AM, 32, FALSE) / VLOOKUP("electricity|SO2|Premature mortality", US_national_yearly!$D:$AM, 10, FALSE), 1)</f>
        <v>1.6671453688775147E-2</v>
      </c>
      <c r="Y2" s="7">
        <f>$B2 * IFERROR(VLOOKUP("electricity|SO2|Premature mortality", US_national_yearly!$D:$AM, 33, FALSE) / VLOOKUP("electricity|SO2|Premature mortality", US_national_yearly!$D:$AM, 10, FALSE), 1)</f>
        <v>1.6700521133005193E-2</v>
      </c>
      <c r="Z2" s="7">
        <f>$B2 * IFERROR(VLOOKUP("electricity|SO2|Premature mortality", US_national_yearly!$D:$AM, 34, FALSE) / VLOOKUP("electricity|SO2|Premature mortality", US_national_yearly!$D:$AM, 10, FALSE), 1)</f>
        <v>1.6729588577235239E-2</v>
      </c>
      <c r="AA2" s="7">
        <f>$B2 * IFERROR(VLOOKUP("electricity|SO2|Premature mortality", US_national_yearly!$D:$AM, 35, FALSE) / VLOOKUP("electricity|SO2|Premature mortality", US_national_yearly!$D:$AM, 10, FALSE), 1)</f>
        <v>1.6758656021465288E-2</v>
      </c>
      <c r="AB2" s="7">
        <f>$B2 * IFERROR(VLOOKUP("electricity|SO2|Premature mortality", US_national_yearly!$D:$AM, 36, FALSE) / VLOOKUP("electricity|SO2|Premature mortality", US_national_yearly!$D:$AM, 10, FALSE), 1)</f>
        <v>1.6787723465695334E-2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2.3118688717573113E-5</v>
      </c>
      <c r="C3" s="7">
        <f>$B3 * IFERROR(VLOOKUP("electricity|SO2|Infant mortality", US_national_yearly!$D:$AM, 11, FALSE) / VLOOKUP("electricity|SO2|Infant mortality", US_national_yearly!$D:$AM, 10, FALSE), 1)</f>
        <v>2.2923379754982815E-5</v>
      </c>
      <c r="D3" s="7">
        <f>$B3 * IFERROR(VLOOKUP("electricity|SO2|Infant mortality", US_national_yearly!$D:$AM, 12, FALSE) / VLOOKUP("electricity|SO2|Infant mortality", US_national_yearly!$D:$AM, 10, FALSE), 1)</f>
        <v>2.2728070792392513E-5</v>
      </c>
      <c r="E3" s="7">
        <f>$B3 * IFERROR(VLOOKUP("electricity|SO2|Infant mortality", US_national_yearly!$D:$AM, 13, FALSE) / VLOOKUP("electricity|SO2|Infant mortality", US_national_yearly!$D:$AM, 10, FALSE), 1)</f>
        <v>2.2532761829802216E-5</v>
      </c>
      <c r="F3" s="7">
        <f>$B3 * IFERROR(VLOOKUP("electricity|SO2|Infant mortality", US_national_yearly!$D:$AM, 14, FALSE) / VLOOKUP("electricity|SO2|Infant mortality", US_national_yearly!$D:$AM, 10, FALSE), 1)</f>
        <v>2.2337452867211918E-5</v>
      </c>
      <c r="G3" s="7">
        <f>$B3 * IFERROR(VLOOKUP("electricity|SO2|Infant mortality", US_national_yearly!$D:$AM, 15, FALSE) / VLOOKUP("electricity|SO2|Infant mortality", US_national_yearly!$D:$AM, 10, FALSE), 1)</f>
        <v>1.4855563265050813E-5</v>
      </c>
      <c r="H3" s="7">
        <f>$B3 * IFERROR(VLOOKUP("electricity|SO2|Infant mortality", US_national_yearly!$D:$AM, 16, FALSE) / VLOOKUP("electricity|SO2|Infant mortality", US_national_yearly!$D:$AM, 10, FALSE), 1)</f>
        <v>7.3736736628897079E-6</v>
      </c>
      <c r="I3" s="7">
        <f>$B3 * IFERROR(VLOOKUP("electricity|SO2|Infant mortality", US_national_yearly!$D:$AM, 17, FALSE) / VLOOKUP("electricity|SO2|Infant mortality", US_national_yearly!$D:$AM, 10, FALSE), 1)</f>
        <v>7.3265007283889458E-6</v>
      </c>
      <c r="J3" s="7">
        <f>$B3 * IFERROR(VLOOKUP("electricity|SO2|Infant mortality", US_national_yearly!$D:$AM, 18, FALSE) / VLOOKUP("electricity|SO2|Infant mortality", US_national_yearly!$D:$AM, 10, FALSE), 1)</f>
        <v>7.2793277938881821E-6</v>
      </c>
      <c r="K3" s="7">
        <f>$B3 * IFERROR(VLOOKUP("electricity|SO2|Infant mortality", US_national_yearly!$D:$AM, 19, FALSE) / VLOOKUP("electricity|SO2|Infant mortality", US_national_yearly!$D:$AM, 10, FALSE), 1)</f>
        <v>7.2321548593874208E-6</v>
      </c>
      <c r="L3" s="7">
        <f>$B3 * IFERROR(VLOOKUP("electricity|SO2|Infant mortality", US_national_yearly!$D:$AM, 20, FALSE) / VLOOKUP("electricity|SO2|Infant mortality", US_national_yearly!$D:$AM, 10, FALSE), 1)</f>
        <v>7.184981924886657E-6</v>
      </c>
      <c r="M3" s="7">
        <f>$B3 * IFERROR(VLOOKUP("electricity|SO2|Infant mortality", US_national_yearly!$D:$AM, 21, FALSE) / VLOOKUP("electricity|SO2|Infant mortality", US_national_yearly!$D:$AM, 10, FALSE), 1)</f>
        <v>7.1378089903858941E-6</v>
      </c>
      <c r="N3" s="7">
        <f>$B3 * IFERROR(VLOOKUP("electricity|SO2|Infant mortality", US_national_yearly!$D:$AM, 22, FALSE) / VLOOKUP("electricity|SO2|Infant mortality", US_national_yearly!$D:$AM, 10, FALSE), 1)</f>
        <v>7.1079181287105682E-6</v>
      </c>
      <c r="O3" s="7">
        <f>$B3 * IFERROR(VLOOKUP("electricity|SO2|Infant mortality", US_national_yearly!$D:$AM, 23, FALSE) / VLOOKUP("electricity|SO2|Infant mortality", US_national_yearly!$D:$AM, 10, FALSE), 1)</f>
        <v>7.0780272670352405E-6</v>
      </c>
      <c r="P3" s="7">
        <f>$B3 * IFERROR(VLOOKUP("electricity|SO2|Infant mortality", US_national_yearly!$D:$AM, 24, FALSE) / VLOOKUP("electricity|SO2|Infant mortality", US_national_yearly!$D:$AM, 10, FALSE), 1)</f>
        <v>7.0481364053599129E-6</v>
      </c>
      <c r="Q3" s="7">
        <f>$B3 * IFERROR(VLOOKUP("electricity|SO2|Infant mortality", US_national_yearly!$D:$AM, 25, FALSE) / VLOOKUP("electricity|SO2|Infant mortality", US_national_yearly!$D:$AM, 10, FALSE), 1)</f>
        <v>7.018245543684587E-6</v>
      </c>
      <c r="R3" s="7">
        <f>$B3 * IFERROR(VLOOKUP("electricity|SO2|Infant mortality", US_national_yearly!$D:$AM, 26, FALSE) / VLOOKUP("electricity|SO2|Infant mortality", US_national_yearly!$D:$AM, 10, FALSE), 1)</f>
        <v>6.9883546820092611E-6</v>
      </c>
      <c r="S3" s="7">
        <f>$B3 * IFERROR(VLOOKUP("electricity|SO2|Infant mortality", US_national_yearly!$D:$AM, 27, FALSE) / VLOOKUP("electricity|SO2|Infant mortality", US_national_yearly!$D:$AM, 10, FALSE), 1)</f>
        <v>6.9510995104264806E-6</v>
      </c>
      <c r="T3" s="7">
        <f>$B3 * IFERROR(VLOOKUP("electricity|SO2|Infant mortality", US_national_yearly!$D:$AM, 28, FALSE) / VLOOKUP("electricity|SO2|Infant mortality", US_national_yearly!$D:$AM, 10, FALSE), 1)</f>
        <v>6.9138443388437019E-6</v>
      </c>
      <c r="U3" s="7">
        <f>$B3 * IFERROR(VLOOKUP("electricity|SO2|Infant mortality", US_national_yearly!$D:$AM, 29, FALSE) / VLOOKUP("electricity|SO2|Infant mortality", US_national_yearly!$D:$AM, 10, FALSE), 1)</f>
        <v>6.8765891672609231E-6</v>
      </c>
      <c r="V3" s="7">
        <f>$B3 * IFERROR(VLOOKUP("electricity|SO2|Infant mortality", US_national_yearly!$D:$AM, 30, FALSE) / VLOOKUP("electricity|SO2|Infant mortality", US_national_yearly!$D:$AM, 10, FALSE), 1)</f>
        <v>6.8393339956781435E-6</v>
      </c>
      <c r="W3" s="7">
        <f>$B3 * IFERROR(VLOOKUP("electricity|SO2|Infant mortality", US_national_yearly!$D:$AM, 31, FALSE) / VLOOKUP("electricity|SO2|Infant mortality", US_national_yearly!$D:$AM, 10, FALSE), 1)</f>
        <v>6.8020788240953631E-6</v>
      </c>
      <c r="X3" s="7">
        <f>$B3 * IFERROR(VLOOKUP("electricity|SO2|Infant mortality", US_national_yearly!$D:$AM, 32, FALSE) / VLOOKUP("electricity|SO2|Infant mortality", US_national_yearly!$D:$AM, 10, FALSE), 1)</f>
        <v>6.7623286469938868E-6</v>
      </c>
      <c r="Y3" s="7">
        <f>$B3 * IFERROR(VLOOKUP("electricity|SO2|Infant mortality", US_national_yearly!$D:$AM, 33, FALSE) / VLOOKUP("electricity|SO2|Infant mortality", US_national_yearly!$D:$AM, 10, FALSE), 1)</f>
        <v>6.7225784698924089E-6</v>
      </c>
      <c r="Z3" s="7">
        <f>$B3 * IFERROR(VLOOKUP("electricity|SO2|Infant mortality", US_national_yearly!$D:$AM, 34, FALSE) / VLOOKUP("electricity|SO2|Infant mortality", US_national_yearly!$D:$AM, 10, FALSE), 1)</f>
        <v>6.6828282927909326E-6</v>
      </c>
      <c r="AA3" s="7">
        <f>$B3 * IFERROR(VLOOKUP("electricity|SO2|Infant mortality", US_national_yearly!$D:$AM, 35, FALSE) / VLOOKUP("electricity|SO2|Infant mortality", US_national_yearly!$D:$AM, 10, FALSE), 1)</f>
        <v>6.6430781156894563E-6</v>
      </c>
      <c r="AB3" s="7">
        <f>$B3 * IFERROR(VLOOKUP("electricity|SO2|Infant mortality", US_national_yearly!$D:$AM, 36, FALSE) / VLOOKUP("electricity|SO2|Infant mortality", US_national_yearly!$D:$AM, 10, FALSE), 1)</f>
        <v>6.6033279385879784E-6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2.9038268617702288E-2</v>
      </c>
      <c r="C6" s="7">
        <f>$B6 * IFERROR(VLOOKUP("electricity|SO2|Asthma symptoms cough", US_national_yearly!$D:$AM, 11, FALSE) / VLOOKUP("electricity|SO2|Asthma symptoms cough", US_national_yearly!$D:$AM, 10, FALSE), 1)</f>
        <v>2.9038268617702288E-2</v>
      </c>
      <c r="D6" s="7">
        <f>$B6 * IFERROR(VLOOKUP("electricity|SO2|Asthma symptoms cough", US_national_yearly!$D:$AM, 12, FALSE) / VLOOKUP("electricity|SO2|Asthma symptoms cough", US_national_yearly!$D:$AM, 10, FALSE), 1)</f>
        <v>2.9038268617702288E-2</v>
      </c>
      <c r="E6" s="7">
        <f>$B6 * IFERROR(VLOOKUP("electricity|SO2|Asthma symptoms cough", US_national_yearly!$D:$AM, 13, FALSE) / VLOOKUP("electricity|SO2|Asthma symptoms cough", US_national_yearly!$D:$AM, 10, FALSE), 1)</f>
        <v>2.9038268617702288E-2</v>
      </c>
      <c r="F6" s="7">
        <f>$B6 * IFERROR(VLOOKUP("electricity|SO2|Asthma symptoms cough", US_national_yearly!$D:$AM, 14, FALSE) / VLOOKUP("electricity|SO2|Asthma symptoms cough", US_national_yearly!$D:$AM, 10, FALSE), 1)</f>
        <v>2.9038268617702288E-2</v>
      </c>
      <c r="G6" s="7">
        <f>$B6 * IFERROR(VLOOKUP("electricity|SO2|Asthma symptoms cough", US_national_yearly!$D:$AM, 15, FALSE) / VLOOKUP("electricity|SO2|Asthma symptoms cough", US_national_yearly!$D:$AM, 10, FALSE), 1)</f>
        <v>2.9038268617702288E-2</v>
      </c>
      <c r="H6" s="7">
        <f>$B6 * IFERROR(VLOOKUP("electricity|SO2|Asthma symptoms cough", US_national_yearly!$D:$AM, 16, FALSE) / VLOOKUP("electricity|SO2|Asthma symptoms cough", US_national_yearly!$D:$AM, 10, FALSE), 1)</f>
        <v>2.9038268617702288E-2</v>
      </c>
      <c r="I6" s="7">
        <f>$B6 * IFERROR(VLOOKUP("electricity|SO2|Asthma symptoms cough", US_national_yearly!$D:$AM, 17, FALSE) / VLOOKUP("electricity|SO2|Asthma symptoms cough", US_national_yearly!$D:$AM, 10, FALSE), 1)</f>
        <v>2.9038268617702288E-2</v>
      </c>
      <c r="J6" s="7">
        <f>$B6 * IFERROR(VLOOKUP("electricity|SO2|Asthma symptoms cough", US_national_yearly!$D:$AM, 18, FALSE) / VLOOKUP("electricity|SO2|Asthma symptoms cough", US_national_yearly!$D:$AM, 10, FALSE), 1)</f>
        <v>2.9038268617702288E-2</v>
      </c>
      <c r="K6" s="7">
        <f>$B6 * IFERROR(VLOOKUP("electricity|SO2|Asthma symptoms cough", US_national_yearly!$D:$AM, 19, FALSE) / VLOOKUP("electricity|SO2|Asthma symptoms cough", US_national_yearly!$D:$AM, 10, FALSE), 1)</f>
        <v>2.9038268617702288E-2</v>
      </c>
      <c r="L6" s="7">
        <f>$B6 * IFERROR(VLOOKUP("electricity|SO2|Asthma symptoms cough", US_national_yearly!$D:$AM, 20, FALSE) / VLOOKUP("electricity|SO2|Asthma symptoms cough", US_national_yearly!$D:$AM, 10, FALSE), 1)</f>
        <v>2.9038268617702288E-2</v>
      </c>
      <c r="M6" s="7">
        <f>$B6 * IFERROR(VLOOKUP("electricity|SO2|Asthma symptoms cough", US_national_yearly!$D:$AM, 21, FALSE) / VLOOKUP("electricity|SO2|Asthma symptoms cough", US_national_yearly!$D:$AM, 10, FALSE), 1)</f>
        <v>2.9038268617702288E-2</v>
      </c>
      <c r="N6" s="7">
        <f>$B6 * IFERROR(VLOOKUP("electricity|SO2|Asthma symptoms cough", US_national_yearly!$D:$AM, 22, FALSE) / VLOOKUP("electricity|SO2|Asthma symptoms cough", US_national_yearly!$D:$AM, 10, FALSE), 1)</f>
        <v>2.9038268617702288E-2</v>
      </c>
      <c r="O6" s="7">
        <f>$B6 * IFERROR(VLOOKUP("electricity|SO2|Asthma symptoms cough", US_national_yearly!$D:$AM, 23, FALSE) / VLOOKUP("electricity|SO2|Asthma symptoms cough", US_national_yearly!$D:$AM, 10, FALSE), 1)</f>
        <v>2.9038268617702288E-2</v>
      </c>
      <c r="P6" s="7">
        <f>$B6 * IFERROR(VLOOKUP("electricity|SO2|Asthma symptoms cough", US_national_yearly!$D:$AM, 24, FALSE) / VLOOKUP("electricity|SO2|Asthma symptoms cough", US_national_yearly!$D:$AM, 10, FALSE), 1)</f>
        <v>2.9038268617702288E-2</v>
      </c>
      <c r="Q6" s="7">
        <f>$B6 * IFERROR(VLOOKUP("electricity|SO2|Asthma symptoms cough", US_national_yearly!$D:$AM, 25, FALSE) / VLOOKUP("electricity|SO2|Asthma symptoms cough", US_national_yearly!$D:$AM, 10, FALSE), 1)</f>
        <v>2.9038268617702288E-2</v>
      </c>
      <c r="R6" s="7">
        <f>$B6 * IFERROR(VLOOKUP("electricity|SO2|Asthma symptoms cough", US_national_yearly!$D:$AM, 26, FALSE) / VLOOKUP("electricity|SO2|Asthma symptoms cough", US_national_yearly!$D:$AM, 10, FALSE), 1)</f>
        <v>2.9038268617702288E-2</v>
      </c>
      <c r="S6" s="7">
        <f>$B6 * IFERROR(VLOOKUP("electricity|SO2|Asthma symptoms cough", US_national_yearly!$D:$AM, 27, FALSE) / VLOOKUP("electricity|SO2|Asthma symptoms cough", US_national_yearly!$D:$AM, 10, FALSE), 1)</f>
        <v>2.9038268617702288E-2</v>
      </c>
      <c r="T6" s="7">
        <f>$B6 * IFERROR(VLOOKUP("electricity|SO2|Asthma symptoms cough", US_national_yearly!$D:$AM, 28, FALSE) / VLOOKUP("electricity|SO2|Asthma symptoms cough", US_national_yearly!$D:$AM, 10, FALSE), 1)</f>
        <v>2.9038268617702288E-2</v>
      </c>
      <c r="U6" s="7">
        <f>$B6 * IFERROR(VLOOKUP("electricity|SO2|Asthma symptoms cough", US_national_yearly!$D:$AM, 29, FALSE) / VLOOKUP("electricity|SO2|Asthma symptoms cough", US_national_yearly!$D:$AM, 10, FALSE), 1)</f>
        <v>2.9038268617702288E-2</v>
      </c>
      <c r="V6" s="7">
        <f>$B6 * IFERROR(VLOOKUP("electricity|SO2|Asthma symptoms cough", US_national_yearly!$D:$AM, 30, FALSE) / VLOOKUP("electricity|SO2|Asthma symptoms cough", US_national_yearly!$D:$AM, 10, FALSE), 1)</f>
        <v>2.9038268617702288E-2</v>
      </c>
      <c r="W6" s="7">
        <f>$B6 * IFERROR(VLOOKUP("electricity|SO2|Asthma symptoms cough", US_national_yearly!$D:$AM, 31, FALSE) / VLOOKUP("electricity|SO2|Asthma symptoms cough", US_national_yearly!$D:$AM, 10, FALSE), 1)</f>
        <v>2.9038268617702288E-2</v>
      </c>
      <c r="X6" s="7">
        <f>$B6 * IFERROR(VLOOKUP("electricity|SO2|Asthma symptoms cough", US_national_yearly!$D:$AM, 32, FALSE) / VLOOKUP("electricity|SO2|Asthma symptoms cough", US_national_yearly!$D:$AM, 10, FALSE), 1)</f>
        <v>2.9038268617702288E-2</v>
      </c>
      <c r="Y6" s="7">
        <f>$B6 * IFERROR(VLOOKUP("electricity|SO2|Asthma symptoms cough", US_national_yearly!$D:$AM, 33, FALSE) / VLOOKUP("electricity|SO2|Asthma symptoms cough", US_national_yearly!$D:$AM, 10, FALSE), 1)</f>
        <v>2.9038268617702288E-2</v>
      </c>
      <c r="Z6" s="7">
        <f>$B6 * IFERROR(VLOOKUP("electricity|SO2|Asthma symptoms cough", US_national_yearly!$D:$AM, 34, FALSE) / VLOOKUP("electricity|SO2|Asthma symptoms cough", US_national_yearly!$D:$AM, 10, FALSE), 1)</f>
        <v>2.9038268617702288E-2</v>
      </c>
      <c r="AA6" s="7">
        <f>$B6 * IFERROR(VLOOKUP("electricity|SO2|Asthma symptoms cough", US_national_yearly!$D:$AM, 35, FALSE) / VLOOKUP("electricity|SO2|Asthma symptoms cough", US_national_yearly!$D:$AM, 10, FALSE), 1)</f>
        <v>2.9038268617702288E-2</v>
      </c>
      <c r="AB6" s="7">
        <f>$B6 * IFERROR(VLOOKUP("electricity|SO2|Asthma symptoms cough", US_national_yearly!$D:$AM, 36, FALSE) / VLOOKUP("electricity|SO2|Asthma symptoms cough", US_national_yearly!$D:$AM, 10, FALSE), 1)</f>
        <v>2.9038268617702288E-2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3.9104226837457047E-2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3.9104226837457047E-2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3.9104226837457047E-2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3.9104226837457047E-2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3.9104226837457047E-2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3.9104226837457047E-2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3.9104226837457047E-2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3.9104226837457047E-2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3.9104226837457047E-2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3.9104226837457047E-2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3.9104226837457047E-2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3.9104226837457047E-2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3.9104226837457047E-2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3.9104226837457047E-2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3.9104226837457047E-2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3.9104226837457047E-2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3.9104226837457047E-2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3.9104226837457047E-2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3.9104226837457047E-2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3.9104226837457047E-2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3.9104226837457047E-2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3.9104226837457047E-2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3.9104226837457047E-2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3.9104226837457047E-2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3.9104226837457047E-2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3.9104226837457047E-2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3.9104226837457047E-2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5.9744686455518378E-2</v>
      </c>
      <c r="C8" s="7">
        <f>$B8 * IFERROR(VLOOKUP("electricity|SO2|Asthma symptoms wheeze", US_national_yearly!$D:$AM, 11, FALSE) / VLOOKUP("electricity|SO2|Asthma symptoms wheeze", US_national_yearly!$D:$AM, 10, FALSE), 1)</f>
        <v>5.9744686455518378E-2</v>
      </c>
      <c r="D8" s="7">
        <f>$B8 * IFERROR(VLOOKUP("electricity|SO2|Asthma symptoms wheeze", US_national_yearly!$D:$AM, 12, FALSE) / VLOOKUP("electricity|SO2|Asthma symptoms wheeze", US_national_yearly!$D:$AM, 10, FALSE), 1)</f>
        <v>5.9744686455518378E-2</v>
      </c>
      <c r="E8" s="7">
        <f>$B8 * IFERROR(VLOOKUP("electricity|SO2|Asthma symptoms wheeze", US_national_yearly!$D:$AM, 13, FALSE) / VLOOKUP("electricity|SO2|Asthma symptoms wheeze", US_national_yearly!$D:$AM, 10, FALSE), 1)</f>
        <v>5.9744686455518378E-2</v>
      </c>
      <c r="F8" s="7">
        <f>$B8 * IFERROR(VLOOKUP("electricity|SO2|Asthma symptoms wheeze", US_national_yearly!$D:$AM, 14, FALSE) / VLOOKUP("electricity|SO2|Asthma symptoms wheeze", US_national_yearly!$D:$AM, 10, FALSE), 1)</f>
        <v>5.9744686455518378E-2</v>
      </c>
      <c r="G8" s="7">
        <f>$B8 * IFERROR(VLOOKUP("electricity|SO2|Asthma symptoms wheeze", US_national_yearly!$D:$AM, 15, FALSE) / VLOOKUP("electricity|SO2|Asthma symptoms wheeze", US_national_yearly!$D:$AM, 10, FALSE), 1)</f>
        <v>5.9744686455518378E-2</v>
      </c>
      <c r="H8" s="7">
        <f>$B8 * IFERROR(VLOOKUP("electricity|SO2|Asthma symptoms wheeze", US_national_yearly!$D:$AM, 16, FALSE) / VLOOKUP("electricity|SO2|Asthma symptoms wheeze", US_national_yearly!$D:$AM, 10, FALSE), 1)</f>
        <v>5.9744686455518378E-2</v>
      </c>
      <c r="I8" s="7">
        <f>$B8 * IFERROR(VLOOKUP("electricity|SO2|Asthma symptoms wheeze", US_national_yearly!$D:$AM, 17, FALSE) / VLOOKUP("electricity|SO2|Asthma symptoms wheeze", US_national_yearly!$D:$AM, 10, FALSE), 1)</f>
        <v>5.9744686455518378E-2</v>
      </c>
      <c r="J8" s="7">
        <f>$B8 * IFERROR(VLOOKUP("electricity|SO2|Asthma symptoms wheeze", US_national_yearly!$D:$AM, 18, FALSE) / VLOOKUP("electricity|SO2|Asthma symptoms wheeze", US_national_yearly!$D:$AM, 10, FALSE), 1)</f>
        <v>5.9744686455518378E-2</v>
      </c>
      <c r="K8" s="7">
        <f>$B8 * IFERROR(VLOOKUP("electricity|SO2|Asthma symptoms wheeze", US_national_yearly!$D:$AM, 19, FALSE) / VLOOKUP("electricity|SO2|Asthma symptoms wheeze", US_national_yearly!$D:$AM, 10, FALSE), 1)</f>
        <v>5.9744686455518378E-2</v>
      </c>
      <c r="L8" s="7">
        <f>$B8 * IFERROR(VLOOKUP("electricity|SO2|Asthma symptoms wheeze", US_national_yearly!$D:$AM, 20, FALSE) / VLOOKUP("electricity|SO2|Asthma symptoms wheeze", US_national_yearly!$D:$AM, 10, FALSE), 1)</f>
        <v>5.9744686455518378E-2</v>
      </c>
      <c r="M8" s="7">
        <f>$B8 * IFERROR(VLOOKUP("electricity|SO2|Asthma symptoms wheeze", US_national_yearly!$D:$AM, 21, FALSE) / VLOOKUP("electricity|SO2|Asthma symptoms wheeze", US_national_yearly!$D:$AM, 10, FALSE), 1)</f>
        <v>5.9744686455518378E-2</v>
      </c>
      <c r="N8" s="7">
        <f>$B8 * IFERROR(VLOOKUP("electricity|SO2|Asthma symptoms wheeze", US_national_yearly!$D:$AM, 22, FALSE) / VLOOKUP("electricity|SO2|Asthma symptoms wheeze", US_national_yearly!$D:$AM, 10, FALSE), 1)</f>
        <v>5.9744686455518378E-2</v>
      </c>
      <c r="O8" s="7">
        <f>$B8 * IFERROR(VLOOKUP("electricity|SO2|Asthma symptoms wheeze", US_national_yearly!$D:$AM, 23, FALSE) / VLOOKUP("electricity|SO2|Asthma symptoms wheeze", US_national_yearly!$D:$AM, 10, FALSE), 1)</f>
        <v>5.9744686455518378E-2</v>
      </c>
      <c r="P8" s="7">
        <f>$B8 * IFERROR(VLOOKUP("electricity|SO2|Asthma symptoms wheeze", US_national_yearly!$D:$AM, 24, FALSE) / VLOOKUP("electricity|SO2|Asthma symptoms wheeze", US_national_yearly!$D:$AM, 10, FALSE), 1)</f>
        <v>5.9744686455518378E-2</v>
      </c>
      <c r="Q8" s="7">
        <f>$B8 * IFERROR(VLOOKUP("electricity|SO2|Asthma symptoms wheeze", US_national_yearly!$D:$AM, 25, FALSE) / VLOOKUP("electricity|SO2|Asthma symptoms wheeze", US_national_yearly!$D:$AM, 10, FALSE), 1)</f>
        <v>5.9744686455518378E-2</v>
      </c>
      <c r="R8" s="7">
        <f>$B8 * IFERROR(VLOOKUP("electricity|SO2|Asthma symptoms wheeze", US_national_yearly!$D:$AM, 26, FALSE) / VLOOKUP("electricity|SO2|Asthma symptoms wheeze", US_national_yearly!$D:$AM, 10, FALSE), 1)</f>
        <v>5.9744686455518378E-2</v>
      </c>
      <c r="S8" s="7">
        <f>$B8 * IFERROR(VLOOKUP("electricity|SO2|Asthma symptoms wheeze", US_national_yearly!$D:$AM, 27, FALSE) / VLOOKUP("electricity|SO2|Asthma symptoms wheeze", US_national_yearly!$D:$AM, 10, FALSE), 1)</f>
        <v>5.9744686455518378E-2</v>
      </c>
      <c r="T8" s="7">
        <f>$B8 * IFERROR(VLOOKUP("electricity|SO2|Asthma symptoms wheeze", US_national_yearly!$D:$AM, 28, FALSE) / VLOOKUP("electricity|SO2|Asthma symptoms wheeze", US_national_yearly!$D:$AM, 10, FALSE), 1)</f>
        <v>5.9744686455518378E-2</v>
      </c>
      <c r="U8" s="7">
        <f>$B8 * IFERROR(VLOOKUP("electricity|SO2|Asthma symptoms wheeze", US_national_yearly!$D:$AM, 29, FALSE) / VLOOKUP("electricity|SO2|Asthma symptoms wheeze", US_national_yearly!$D:$AM, 10, FALSE), 1)</f>
        <v>5.9744686455518378E-2</v>
      </c>
      <c r="V8" s="7">
        <f>$B8 * IFERROR(VLOOKUP("electricity|SO2|Asthma symptoms wheeze", US_national_yearly!$D:$AM, 30, FALSE) / VLOOKUP("electricity|SO2|Asthma symptoms wheeze", US_national_yearly!$D:$AM, 10, FALSE), 1)</f>
        <v>5.9744686455518378E-2</v>
      </c>
      <c r="W8" s="7">
        <f>$B8 * IFERROR(VLOOKUP("electricity|SO2|Asthma symptoms wheeze", US_national_yearly!$D:$AM, 31, FALSE) / VLOOKUP("electricity|SO2|Asthma symptoms wheeze", US_national_yearly!$D:$AM, 10, FALSE), 1)</f>
        <v>5.9744686455518378E-2</v>
      </c>
      <c r="X8" s="7">
        <f>$B8 * IFERROR(VLOOKUP("electricity|SO2|Asthma symptoms wheeze", US_national_yearly!$D:$AM, 32, FALSE) / VLOOKUP("electricity|SO2|Asthma symptoms wheeze", US_national_yearly!$D:$AM, 10, FALSE), 1)</f>
        <v>5.9744686455518378E-2</v>
      </c>
      <c r="Y8" s="7">
        <f>$B8 * IFERROR(VLOOKUP("electricity|SO2|Asthma symptoms wheeze", US_national_yearly!$D:$AM, 33, FALSE) / VLOOKUP("electricity|SO2|Asthma symptoms wheeze", US_national_yearly!$D:$AM, 10, FALSE), 1)</f>
        <v>5.9744686455518378E-2</v>
      </c>
      <c r="Z8" s="7">
        <f>$B8 * IFERROR(VLOOKUP("electricity|SO2|Asthma symptoms wheeze", US_national_yearly!$D:$AM, 34, FALSE) / VLOOKUP("electricity|SO2|Asthma symptoms wheeze", US_national_yearly!$D:$AM, 10, FALSE), 1)</f>
        <v>5.9744686455518378E-2</v>
      </c>
      <c r="AA8" s="7">
        <f>$B8 * IFERROR(VLOOKUP("electricity|SO2|Asthma symptoms wheeze", US_national_yearly!$D:$AM, 35, FALSE) / VLOOKUP("electricity|SO2|Asthma symptoms wheeze", US_national_yearly!$D:$AM, 10, FALSE), 1)</f>
        <v>5.9744686455518378E-2</v>
      </c>
      <c r="AB8" s="7">
        <f>$B8 * IFERROR(VLOOKUP("electricity|SO2|Asthma symptoms wheeze", US_national_yearly!$D:$AM, 36, FALSE) / VLOOKUP("electricity|SO2|Asthma symptoms wheeze", US_national_yearly!$D:$AM, 10, FALSE), 1)</f>
        <v>5.9744686455518378E-2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9.3201847446442853E-4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9.3750771928713329E-4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9.4299696410983839E-4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9.4848620893254315E-4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9.5397545375524825E-4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9.5995705948466654E-4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9.6593866521408505E-4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9.7169305734225522E-4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9.7744744947042572E-4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9.832018415985961E-4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9.8895623372676628E-4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9.9471062585493645E-4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9.9883802346675712E-4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1.0029654210785778E-3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1.0070928186903983E-3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1.0112202163022187E-3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1.0153476139140394E-3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1.0192432697101075E-3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1.0231389255061759E-3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1.0270345813022442E-3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1.0309302370983126E-3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1.0348258928943811E-3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1.0385631004518879E-3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1.042300308009395E-3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1.0460375155669022E-3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1.0497747231244092E-3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1.0535119306819163E-3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5.3371455014458186E-3</v>
      </c>
      <c r="C13" s="7">
        <f>$B13 * IFERROR(VLOOKUP("electricity|SO2|Non-fatal heart attacks", US_national_yearly!$D:$AM, 11, FALSE) / VLOOKUP("electricity|SO2|Non-fatal heart attacks", US_national_yearly!$D:$AM, 10, FALSE), 1)</f>
        <v>5.4943541617877446E-3</v>
      </c>
      <c r="D13" s="7">
        <f>$B13 * IFERROR(VLOOKUP("electricity|SO2|Non-fatal heart attacks", US_national_yearly!$D:$AM, 12, FALSE) / VLOOKUP("electricity|SO2|Non-fatal heart attacks", US_national_yearly!$D:$AM, 10, FALSE), 1)</f>
        <v>5.6515628221296679E-3</v>
      </c>
      <c r="E13" s="7">
        <f>$B13 * IFERROR(VLOOKUP("electricity|SO2|Non-fatal heart attacks", US_national_yearly!$D:$AM, 13, FALSE) / VLOOKUP("electricity|SO2|Non-fatal heart attacks", US_national_yearly!$D:$AM, 10, FALSE), 1)</f>
        <v>5.808771482471593E-3</v>
      </c>
      <c r="F13" s="7">
        <f>$B13 * IFERROR(VLOOKUP("electricity|SO2|Non-fatal heart attacks", US_national_yearly!$D:$AM, 14, FALSE) / VLOOKUP("electricity|SO2|Non-fatal heart attacks", US_national_yearly!$D:$AM, 10, FALSE), 1)</f>
        <v>5.965980142813518E-3</v>
      </c>
      <c r="G13" s="7">
        <f>$B13 * IFERROR(VLOOKUP("electricity|SO2|Non-fatal heart attacks", US_national_yearly!$D:$AM, 15, FALSE) / VLOOKUP("electricity|SO2|Non-fatal heart attacks", US_national_yearly!$D:$AM, 10, FALSE), 1)</f>
        <v>6.1151758782194516E-3</v>
      </c>
      <c r="H13" s="7">
        <f>$B13 * IFERROR(VLOOKUP("electricity|SO2|Non-fatal heart attacks", US_national_yearly!$D:$AM, 16, FALSE) / VLOOKUP("electricity|SO2|Non-fatal heart attacks", US_national_yearly!$D:$AM, 10, FALSE), 1)</f>
        <v>6.264371613625387E-3</v>
      </c>
      <c r="I13" s="7">
        <f>$B13 * IFERROR(VLOOKUP("electricity|SO2|Non-fatal heart attacks", US_national_yearly!$D:$AM, 17, FALSE) / VLOOKUP("electricity|SO2|Non-fatal heart attacks", US_national_yearly!$D:$AM, 10, FALSE), 1)</f>
        <v>6.3858744629052312E-3</v>
      </c>
      <c r="J13" s="7">
        <f>$B13 * IFERROR(VLOOKUP("electricity|SO2|Non-fatal heart attacks", US_national_yearly!$D:$AM, 18, FALSE) / VLOOKUP("electricity|SO2|Non-fatal heart attacks", US_national_yearly!$D:$AM, 10, FALSE), 1)</f>
        <v>6.5073773121850755E-3</v>
      </c>
      <c r="K13" s="7">
        <f>$B13 * IFERROR(VLOOKUP("electricity|SO2|Non-fatal heart attacks", US_national_yearly!$D:$AM, 19, FALSE) / VLOOKUP("electricity|SO2|Non-fatal heart attacks", US_national_yearly!$D:$AM, 10, FALSE), 1)</f>
        <v>6.6288801614649206E-3</v>
      </c>
      <c r="L13" s="7">
        <f>$B13 * IFERROR(VLOOKUP("electricity|SO2|Non-fatal heart attacks", US_national_yearly!$D:$AM, 20, FALSE) / VLOOKUP("electricity|SO2|Non-fatal heart attacks", US_national_yearly!$D:$AM, 10, FALSE), 1)</f>
        <v>6.750383010744764E-3</v>
      </c>
      <c r="M13" s="7">
        <f>$B13 * IFERROR(VLOOKUP("electricity|SO2|Non-fatal heart attacks", US_national_yearly!$D:$AM, 21, FALSE) / VLOOKUP("electricity|SO2|Non-fatal heart attacks", US_national_yearly!$D:$AM, 10, FALSE), 1)</f>
        <v>6.8718858600246091E-3</v>
      </c>
      <c r="N13" s="7">
        <f>$B13 * IFERROR(VLOOKUP("electricity|SO2|Non-fatal heart attacks", US_national_yearly!$D:$AM, 22, FALSE) / VLOOKUP("electricity|SO2|Non-fatal heart attacks", US_national_yearly!$D:$AM, 10, FALSE), 1)</f>
        <v>6.9520112689592777E-3</v>
      </c>
      <c r="O13" s="7">
        <f>$B13 * IFERROR(VLOOKUP("electricity|SO2|Non-fatal heart attacks", US_national_yearly!$D:$AM, 23, FALSE) / VLOOKUP("electricity|SO2|Non-fatal heart attacks", US_national_yearly!$D:$AM, 10, FALSE), 1)</f>
        <v>7.0321366778939446E-3</v>
      </c>
      <c r="P13" s="7">
        <f>$B13 * IFERROR(VLOOKUP("electricity|SO2|Non-fatal heart attacks", US_national_yearly!$D:$AM, 24, FALSE) / VLOOKUP("electricity|SO2|Non-fatal heart attacks", US_national_yearly!$D:$AM, 10, FALSE), 1)</f>
        <v>7.1122620868286131E-3</v>
      </c>
      <c r="Q13" s="7">
        <f>$B13 * IFERROR(VLOOKUP("electricity|SO2|Non-fatal heart attacks", US_national_yearly!$D:$AM, 25, FALSE) / VLOOKUP("electricity|SO2|Non-fatal heart attacks", US_national_yearly!$D:$AM, 10, FALSE), 1)</f>
        <v>7.1923874957632817E-3</v>
      </c>
      <c r="R13" s="7">
        <f>$B13 * IFERROR(VLOOKUP("electricity|SO2|Non-fatal heart attacks", US_national_yearly!$D:$AM, 26, FALSE) / VLOOKUP("electricity|SO2|Non-fatal heart attacks", US_national_yearly!$D:$AM, 10, FALSE), 1)</f>
        <v>7.2725129046979503E-3</v>
      </c>
      <c r="S13" s="7">
        <f>$B13 * IFERROR(VLOOKUP("electricity|SO2|Non-fatal heart attacks", US_national_yearly!$D:$AM, 27, FALSE) / VLOOKUP("electricity|SO2|Non-fatal heart attacks", US_national_yearly!$D:$AM, 10, FALSE), 1)</f>
        <v>7.3161152454938316E-3</v>
      </c>
      <c r="T13" s="7">
        <f>$B13 * IFERROR(VLOOKUP("electricity|SO2|Non-fatal heart attacks", US_national_yearly!$D:$AM, 28, FALSE) / VLOOKUP("electricity|SO2|Non-fatal heart attacks", US_national_yearly!$D:$AM, 10, FALSE), 1)</f>
        <v>7.359717586289713E-3</v>
      </c>
      <c r="U13" s="7">
        <f>$B13 * IFERROR(VLOOKUP("electricity|SO2|Non-fatal heart attacks", US_national_yearly!$D:$AM, 29, FALSE) / VLOOKUP("electricity|SO2|Non-fatal heart attacks", US_national_yearly!$D:$AM, 10, FALSE), 1)</f>
        <v>7.4033199270855943E-3</v>
      </c>
      <c r="V13" s="7">
        <f>$B13 * IFERROR(VLOOKUP("electricity|SO2|Non-fatal heart attacks", US_national_yearly!$D:$AM, 30, FALSE) / VLOOKUP("electricity|SO2|Non-fatal heart attacks", US_national_yearly!$D:$AM, 10, FALSE), 1)</f>
        <v>7.4469222678814739E-3</v>
      </c>
      <c r="W13" s="7">
        <f>$B13 * IFERROR(VLOOKUP("electricity|SO2|Non-fatal heart attacks", US_national_yearly!$D:$AM, 31, FALSE) / VLOOKUP("electricity|SO2|Non-fatal heart attacks", US_national_yearly!$D:$AM, 10, FALSE), 1)</f>
        <v>7.4905246086773552E-3</v>
      </c>
      <c r="X13" s="7">
        <f>$B13 * IFERROR(VLOOKUP("electricity|SO2|Non-fatal heart attacks", US_national_yearly!$D:$AM, 32, FALSE) / VLOOKUP("electricity|SO2|Non-fatal heart attacks", US_national_yearly!$D:$AM, 10, FALSE), 1)</f>
        <v>7.5240184856414545E-3</v>
      </c>
      <c r="Y13" s="7">
        <f>$B13 * IFERROR(VLOOKUP("electricity|SO2|Non-fatal heart attacks", US_national_yearly!$D:$AM, 33, FALSE) / VLOOKUP("electricity|SO2|Non-fatal heart attacks", US_national_yearly!$D:$AM, 10, FALSE), 1)</f>
        <v>7.5575123626055547E-3</v>
      </c>
      <c r="Z13" s="7">
        <f>$B13 * IFERROR(VLOOKUP("electricity|SO2|Non-fatal heart attacks", US_national_yearly!$D:$AM, 34, FALSE) / VLOOKUP("electricity|SO2|Non-fatal heart attacks", US_national_yearly!$D:$AM, 10, FALSE), 1)</f>
        <v>7.5910062395696523E-3</v>
      </c>
      <c r="AA13" s="7">
        <f>$B13 * IFERROR(VLOOKUP("electricity|SO2|Non-fatal heart attacks", US_national_yearly!$D:$AM, 35, FALSE) / VLOOKUP("electricity|SO2|Non-fatal heart attacks", US_national_yearly!$D:$AM, 10, FALSE), 1)</f>
        <v>7.6245001165337507E-3</v>
      </c>
      <c r="AB13" s="7">
        <f>$B13 * IFERROR(VLOOKUP("electricity|SO2|Non-fatal heart attacks", US_national_yearly!$D:$AM, 36, FALSE) / VLOOKUP("electricity|SO2|Non-fatal heart attacks", US_national_yearly!$D:$AM, 10, FALSE), 1)</f>
        <v>7.6579939934978492E-3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3.9538765784221708</v>
      </c>
      <c r="C14" s="7">
        <f>$B14 * IFERROR(VLOOKUP("electricity|SO2|Minor restricted activity days", US_national_yearly!$D:$AM, 11, FALSE) / VLOOKUP("electricity|SO2|Minor restricted activity days", US_national_yearly!$D:$AM, 10, FALSE), 1)</f>
        <v>3.9638124811203235</v>
      </c>
      <c r="D14" s="7">
        <f>$B14 * IFERROR(VLOOKUP("electricity|SO2|Minor restricted activity days", US_national_yearly!$D:$AM, 12, FALSE) / VLOOKUP("electricity|SO2|Minor restricted activity days", US_national_yearly!$D:$AM, 10, FALSE), 1)</f>
        <v>3.9737483838184757</v>
      </c>
      <c r="E14" s="7">
        <f>$B14 * IFERROR(VLOOKUP("electricity|SO2|Minor restricted activity days", US_national_yearly!$D:$AM, 13, FALSE) / VLOOKUP("electricity|SO2|Minor restricted activity days", US_national_yearly!$D:$AM, 10, FALSE), 1)</f>
        <v>3.9836842865166293</v>
      </c>
      <c r="F14" s="7">
        <f>$B14 * IFERROR(VLOOKUP("electricity|SO2|Minor restricted activity days", US_national_yearly!$D:$AM, 14, FALSE) / VLOOKUP("electricity|SO2|Minor restricted activity days", US_national_yearly!$D:$AM, 10, FALSE), 1)</f>
        <v>3.9936201892147811</v>
      </c>
      <c r="G14" s="7">
        <f>$B14 * IFERROR(VLOOKUP("electricity|SO2|Minor restricted activity days", US_national_yearly!$D:$AM, 15, FALSE) / VLOOKUP("electricity|SO2|Minor restricted activity days", US_national_yearly!$D:$AM, 10, FALSE), 1)</f>
        <v>4.0079754205363658</v>
      </c>
      <c r="H14" s="7">
        <f>$B14 * IFERROR(VLOOKUP("electricity|SO2|Minor restricted activity days", US_national_yearly!$D:$AM, 16, FALSE) / VLOOKUP("electricity|SO2|Minor restricted activity days", US_national_yearly!$D:$AM, 10, FALSE), 1)</f>
        <v>4.0223306518579509</v>
      </c>
      <c r="I14" s="7">
        <f>$B14 * IFERROR(VLOOKUP("electricity|SO2|Minor restricted activity days", US_national_yearly!$D:$AM, 17, FALSE) / VLOOKUP("electricity|SO2|Minor restricted activity days", US_national_yearly!$D:$AM, 10, FALSE), 1)</f>
        <v>4.0469509788007496</v>
      </c>
      <c r="J14" s="7">
        <f>$B14 * IFERROR(VLOOKUP("electricity|SO2|Minor restricted activity days", US_national_yearly!$D:$AM, 18, FALSE) / VLOOKUP("electricity|SO2|Minor restricted activity days", US_national_yearly!$D:$AM, 10, FALSE), 1)</f>
        <v>4.0715713057435492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4.0961916326863479</v>
      </c>
      <c r="L14" s="7">
        <f>$B14 * IFERROR(VLOOKUP("electricity|SO2|Minor restricted activity days", US_national_yearly!$D:$AM, 20, FALSE) / VLOOKUP("electricity|SO2|Minor restricted activity days", US_national_yearly!$D:$AM, 10, FALSE), 1)</f>
        <v>4.1208119596291484</v>
      </c>
      <c r="M14" s="7">
        <f>$B14 * IFERROR(VLOOKUP("electricity|SO2|Minor restricted activity days", US_national_yearly!$D:$AM, 21, FALSE) / VLOOKUP("electricity|SO2|Minor restricted activity days", US_national_yearly!$D:$AM, 10, FALSE), 1)</f>
        <v>4.1454322865719471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4.1793380331154726</v>
      </c>
      <c r="O14" s="7">
        <f>$B14 * IFERROR(VLOOKUP("electricity|SO2|Minor restricted activity days", US_national_yearly!$D:$AM, 23, FALSE) / VLOOKUP("electricity|SO2|Minor restricted activity days", US_national_yearly!$D:$AM, 10, FALSE), 1)</f>
        <v>4.2132437796589981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4.2471495262025227</v>
      </c>
      <c r="Q14" s="7">
        <f>$B14 * IFERROR(VLOOKUP("electricity|SO2|Minor restricted activity days", US_national_yearly!$D:$AM, 25, FALSE) / VLOOKUP("electricity|SO2|Minor restricted activity days", US_national_yearly!$D:$AM, 10, FALSE), 1)</f>
        <v>4.2810552727460482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4.3149610192895738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4.349719755029291</v>
      </c>
      <c r="T14" s="7">
        <f>$B14 * IFERROR(VLOOKUP("electricity|SO2|Minor restricted activity days", US_national_yearly!$D:$AM, 28, FALSE) / VLOOKUP("electricity|SO2|Minor restricted activity days", US_national_yearly!$D:$AM, 10, FALSE), 1)</f>
        <v>4.3844784907690091</v>
      </c>
      <c r="U14" s="7">
        <f>$B14 * IFERROR(VLOOKUP("electricity|SO2|Minor restricted activity days", US_national_yearly!$D:$AM, 29, FALSE) / VLOOKUP("electricity|SO2|Minor restricted activity days", US_national_yearly!$D:$AM, 10, FALSE), 1)</f>
        <v>4.4192372265087263</v>
      </c>
      <c r="V14" s="7">
        <f>$B14 * IFERROR(VLOOKUP("electricity|SO2|Minor restricted activity days", US_national_yearly!$D:$AM, 30, FALSE) / VLOOKUP("electricity|SO2|Minor restricted activity days", US_national_yearly!$D:$AM, 10, FALSE), 1)</f>
        <v>4.4539959622484435</v>
      </c>
      <c r="W14" s="7">
        <f>$B14 * IFERROR(VLOOKUP("electricity|SO2|Minor restricted activity days", US_national_yearly!$D:$AM, 31, FALSE) / VLOOKUP("electricity|SO2|Minor restricted activity days", US_national_yearly!$D:$AM, 10, FALSE), 1)</f>
        <v>4.4887546979881616</v>
      </c>
      <c r="X14" s="7">
        <f>$B14 * IFERROR(VLOOKUP("electricity|SO2|Minor restricted activity days", US_national_yearly!$D:$AM, 32, FALSE) / VLOOKUP("electricity|SO2|Minor restricted activity days", US_national_yearly!$D:$AM, 10, FALSE), 1)</f>
        <v>4.5193385759706288</v>
      </c>
      <c r="Y14" s="7">
        <f>$B14 * IFERROR(VLOOKUP("electricity|SO2|Minor restricted activity days", US_national_yearly!$D:$AM, 33, FALSE) / VLOOKUP("electricity|SO2|Minor restricted activity days", US_national_yearly!$D:$AM, 10, FALSE), 1)</f>
        <v>4.549922453953096</v>
      </c>
      <c r="Z14" s="7">
        <f>$B14 * IFERROR(VLOOKUP("electricity|SO2|Minor restricted activity days", US_national_yearly!$D:$AM, 34, FALSE) / VLOOKUP("electricity|SO2|Minor restricted activity days", US_national_yearly!$D:$AM, 10, FALSE), 1)</f>
        <v>4.5805063319355632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4.6110902099180304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4.6416740879004976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0.66694890165077891</v>
      </c>
      <c r="C15" s="7">
        <f>$B15 * IFERROR(VLOOKUP("electricity|SO2|Work loss days", US_national_yearly!$D:$AM, 11, FALSE) / VLOOKUP("electricity|SO2|Work loss days", US_national_yearly!$D:$AM, 10, FALSE), 1)</f>
        <v>0.66910850236497454</v>
      </c>
      <c r="D15" s="7">
        <f>$B15 * IFERROR(VLOOKUP("electricity|SO2|Work loss days", US_national_yearly!$D:$AM, 12, FALSE) / VLOOKUP("electricity|SO2|Work loss days", US_national_yearly!$D:$AM, 10, FALSE), 1)</f>
        <v>0.67126810307917006</v>
      </c>
      <c r="E15" s="7">
        <f>$B15 * IFERROR(VLOOKUP("electricity|SO2|Work loss days", US_national_yearly!$D:$AM, 13, FALSE) / VLOOKUP("electricity|SO2|Work loss days", US_national_yearly!$D:$AM, 10, FALSE), 1)</f>
        <v>0.67342770379336581</v>
      </c>
      <c r="F15" s="7">
        <f>$B15 * IFERROR(VLOOKUP("electricity|SO2|Work loss days", US_national_yearly!$D:$AM, 14, FALSE) / VLOOKUP("electricity|SO2|Work loss days", US_national_yearly!$D:$AM, 10, FALSE), 1)</f>
        <v>0.67558730450756144</v>
      </c>
      <c r="G15" s="7">
        <f>$B15 * IFERROR(VLOOKUP("electricity|SO2|Work loss days", US_national_yearly!$D:$AM, 15, FALSE) / VLOOKUP("electricity|SO2|Work loss days", US_national_yearly!$D:$AM, 10, FALSE), 1)</f>
        <v>0.67835388683983344</v>
      </c>
      <c r="H15" s="7">
        <f>$B15 * IFERROR(VLOOKUP("electricity|SO2|Work loss days", US_national_yearly!$D:$AM, 16, FALSE) / VLOOKUP("electricity|SO2|Work loss days", US_national_yearly!$D:$AM, 10, FALSE), 1)</f>
        <v>0.68112046917210534</v>
      </c>
      <c r="I15" s="7">
        <f>$B15 * IFERROR(VLOOKUP("electricity|SO2|Work loss days", US_national_yearly!$D:$AM, 17, FALSE) / VLOOKUP("electricity|SO2|Work loss days", US_national_yearly!$D:$AM, 10, FALSE), 1)</f>
        <v>0.68516830455469524</v>
      </c>
      <c r="J15" s="7">
        <f>$B15 * IFERROR(VLOOKUP("electricity|SO2|Work loss days", US_national_yearly!$D:$AM, 18, FALSE) / VLOOKUP("electricity|SO2|Work loss days", US_national_yearly!$D:$AM, 10, FALSE), 1)</f>
        <v>0.68921613993728492</v>
      </c>
      <c r="K15" s="7">
        <f>$B15 * IFERROR(VLOOKUP("electricity|SO2|Work loss days", US_national_yearly!$D:$AM, 19, FALSE) / VLOOKUP("electricity|SO2|Work loss days", US_national_yearly!$D:$AM, 10, FALSE), 1)</f>
        <v>0.69326397531987494</v>
      </c>
      <c r="L15" s="7">
        <f>$B15 * IFERROR(VLOOKUP("electricity|SO2|Work loss days", US_national_yearly!$D:$AM, 20, FALSE) / VLOOKUP("electricity|SO2|Work loss days", US_national_yearly!$D:$AM, 10, FALSE), 1)</f>
        <v>0.69731181070246462</v>
      </c>
      <c r="M15" s="7">
        <f>$B15 * IFERROR(VLOOKUP("electricity|SO2|Work loss days", US_national_yearly!$D:$AM, 21, FALSE) / VLOOKUP("electricity|SO2|Work loss days", US_national_yearly!$D:$AM, 10, FALSE), 1)</f>
        <v>0.70135964608505463</v>
      </c>
      <c r="N15" s="7">
        <f>$B15 * IFERROR(VLOOKUP("electricity|SO2|Work loss days", US_national_yearly!$D:$AM, 22, FALSE) / VLOOKUP("electricity|SO2|Work loss days", US_national_yearly!$D:$AM, 10, FALSE), 1)</f>
        <v>0.70648116451737875</v>
      </c>
      <c r="O15" s="7">
        <f>$B15 * IFERROR(VLOOKUP("electricity|SO2|Work loss days", US_national_yearly!$D:$AM, 23, FALSE) / VLOOKUP("electricity|SO2|Work loss days", US_national_yearly!$D:$AM, 10, FALSE), 1)</f>
        <v>0.71160268294970308</v>
      </c>
      <c r="P15" s="7">
        <f>$B15 * IFERROR(VLOOKUP("electricity|SO2|Work loss days", US_national_yearly!$D:$AM, 24, FALSE) / VLOOKUP("electricity|SO2|Work loss days", US_national_yearly!$D:$AM, 10, FALSE), 1)</f>
        <v>0.71672420138202741</v>
      </c>
      <c r="Q15" s="7">
        <f>$B15 * IFERROR(VLOOKUP("electricity|SO2|Work loss days", US_national_yearly!$D:$AM, 25, FALSE) / VLOOKUP("electricity|SO2|Work loss days", US_national_yearly!$D:$AM, 10, FALSE), 1)</f>
        <v>0.72184571981435153</v>
      </c>
      <c r="R15" s="7">
        <f>$B15 * IFERROR(VLOOKUP("electricity|SO2|Work loss days", US_national_yearly!$D:$AM, 26, FALSE) / VLOOKUP("electricity|SO2|Work loss days", US_national_yearly!$D:$AM, 10, FALSE), 1)</f>
        <v>0.72696723824667586</v>
      </c>
      <c r="S15" s="7">
        <f>$B15 * IFERROR(VLOOKUP("electricity|SO2|Work loss days", US_national_yearly!$D:$AM, 27, FALSE) / VLOOKUP("electricity|SO2|Work loss days", US_national_yearly!$D:$AM, 10, FALSE), 1)</f>
        <v>0.73270893833437101</v>
      </c>
      <c r="T15" s="7">
        <f>$B15 * IFERROR(VLOOKUP("electricity|SO2|Work loss days", US_national_yearly!$D:$AM, 28, FALSE) / VLOOKUP("electricity|SO2|Work loss days", US_national_yearly!$D:$AM, 10, FALSE), 1)</f>
        <v>0.73845063842206637</v>
      </c>
      <c r="U15" s="7">
        <f>$B15 * IFERROR(VLOOKUP("electricity|SO2|Work loss days", US_national_yearly!$D:$AM, 29, FALSE) / VLOOKUP("electricity|SO2|Work loss days", US_national_yearly!$D:$AM, 10, FALSE), 1)</f>
        <v>0.74419233850976174</v>
      </c>
      <c r="V15" s="7">
        <f>$B15 * IFERROR(VLOOKUP("electricity|SO2|Work loss days", US_national_yearly!$D:$AM, 30, FALSE) / VLOOKUP("electricity|SO2|Work loss days", US_national_yearly!$D:$AM, 10, FALSE), 1)</f>
        <v>0.74993403859745711</v>
      </c>
      <c r="W15" s="7">
        <f>$B15 * IFERROR(VLOOKUP("electricity|SO2|Work loss days", US_national_yearly!$D:$AM, 31, FALSE) / VLOOKUP("electricity|SO2|Work loss days", US_national_yearly!$D:$AM, 10, FALSE), 1)</f>
        <v>0.75567573868515248</v>
      </c>
      <c r="X15" s="7">
        <f>$B15 * IFERROR(VLOOKUP("electricity|SO2|Work loss days", US_national_yearly!$D:$AM, 32, FALSE) / VLOOKUP("electricity|SO2|Work loss days", US_national_yearly!$D:$AM, 10, FALSE), 1)</f>
        <v>0.76084844257630235</v>
      </c>
      <c r="Y15" s="7">
        <f>$B15 * IFERROR(VLOOKUP("electricity|SO2|Work loss days", US_national_yearly!$D:$AM, 33, FALSE) / VLOOKUP("electricity|SO2|Work loss days", US_national_yearly!$D:$AM, 10, FALSE), 1)</f>
        <v>0.76602114646745234</v>
      </c>
      <c r="Z15" s="7">
        <f>$B15 * IFERROR(VLOOKUP("electricity|SO2|Work loss days", US_national_yearly!$D:$AM, 34, FALSE) / VLOOKUP("electricity|SO2|Work loss days", US_national_yearly!$D:$AM, 10, FALSE), 1)</f>
        <v>0.77119385035860211</v>
      </c>
      <c r="AA15" s="7">
        <f>$B15 * IFERROR(VLOOKUP("electricity|SO2|Work loss days", US_national_yearly!$D:$AM, 35, FALSE) / VLOOKUP("electricity|SO2|Work loss days", US_national_yearly!$D:$AM, 10, FALSE), 1)</f>
        <v>0.77636655424975209</v>
      </c>
      <c r="AB15" s="7">
        <f>$B15 * IFERROR(VLOOKUP("electricity|SO2|Work loss days", US_national_yearly!$D:$AM, 36, FALSE) / VLOOKUP("electricity|SO2|Work loss days", US_national_yearly!$D:$AM, 10, FALSE), 1)</f>
        <v>0.78153925814090208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1.3093714292136051E-3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1.3490490233382887E-3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1.3887266174629723E-3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1.4284042115876563E-3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1.4680818057123399E-3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1.5063284781307495E-3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1.5445751505491594E-3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1.5776868453816356E-3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1.6107985402141116E-3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1.6439102350465876E-3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1.6770219298790634E-3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1.7101336247115396E-3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1.7327322681550726E-3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1.7553309115986057E-3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1.7779295550421393E-3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1.8005281984856721E-3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1.8231268419292054E-3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1.8355158322578096E-3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1.8479048225864137E-3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1.8602938129150181E-3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1.8726828032436221E-3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1.8850717935722263E-3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1.8936237627106712E-3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1.9021757318491155E-3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1.91072770098756E-3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1.9192796701260047E-3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1.9278316392644492E-3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3.5098866453285742E-2</v>
      </c>
      <c r="C2" s="7">
        <f>$B2 * IFERROR(VLOOKUP("buildings|PM25|Premature mortality", US_national_yearly!$D:$AM, 11, FALSE) / VLOOKUP("buildings|PM25|Premature mortality", US_national_yearly!$D:$AM, 10, FALSE), 1)</f>
        <v>3.5534330662995862E-2</v>
      </c>
      <c r="D2" s="7">
        <f>$B2 * IFERROR(VLOOKUP("buildings|PM25|Premature mortality", US_national_yearly!$D:$AM, 12, FALSE) / VLOOKUP("buildings|PM25|Premature mortality", US_national_yearly!$D:$AM, 10, FALSE), 1)</f>
        <v>3.596979487270599E-2</v>
      </c>
      <c r="E2" s="7">
        <f>$B2 * IFERROR(VLOOKUP("buildings|PM25|Premature mortality", US_national_yearly!$D:$AM, 13, FALSE) / VLOOKUP("buildings|PM25|Premature mortality", US_national_yearly!$D:$AM, 10, FALSE), 1)</f>
        <v>3.6405259082416111E-2</v>
      </c>
      <c r="F2" s="7">
        <f>$B2 * IFERROR(VLOOKUP("buildings|PM25|Premature mortality", US_national_yearly!$D:$AM, 14, FALSE) / VLOOKUP("buildings|PM25|Premature mortality", US_national_yearly!$D:$AM, 10, FALSE), 1)</f>
        <v>3.6840723292126239E-2</v>
      </c>
      <c r="G2" s="7">
        <f>$B2 * IFERROR(VLOOKUP("buildings|PM25|Premature mortality", US_national_yearly!$D:$AM, 15, FALSE) / VLOOKUP("buildings|PM25|Premature mortality", US_national_yearly!$D:$AM, 10, FALSE), 1)</f>
        <v>3.7688661409546277E-2</v>
      </c>
      <c r="H2" s="7">
        <f>$B2 * IFERROR(VLOOKUP("buildings|PM25|Premature mortality", US_national_yearly!$D:$AM, 16, FALSE) / VLOOKUP("buildings|PM25|Premature mortality", US_national_yearly!$D:$AM, 10, FALSE), 1)</f>
        <v>3.8536599526966323E-2</v>
      </c>
      <c r="I2" s="7">
        <f>$B2 * IFERROR(VLOOKUP("buildings|PM25|Premature mortality", US_national_yearly!$D:$AM, 17, FALSE) / VLOOKUP("buildings|PM25|Premature mortality", US_national_yearly!$D:$AM, 10, FALSE), 1)</f>
        <v>3.9094273821877218E-2</v>
      </c>
      <c r="J2" s="7">
        <f>$B2 * IFERROR(VLOOKUP("buildings|PM25|Premature mortality", US_national_yearly!$D:$AM, 18, FALSE) / VLOOKUP("buildings|PM25|Premature mortality", US_national_yearly!$D:$AM, 10, FALSE), 1)</f>
        <v>3.9651948116788113E-2</v>
      </c>
      <c r="K2" s="7">
        <f>$B2 * IFERROR(VLOOKUP("buildings|PM25|Premature mortality", US_national_yearly!$D:$AM, 19, FALSE) / VLOOKUP("buildings|PM25|Premature mortality", US_national_yearly!$D:$AM, 10, FALSE), 1)</f>
        <v>4.0209622411699002E-2</v>
      </c>
      <c r="L2" s="7">
        <f>$B2 * IFERROR(VLOOKUP("buildings|PM25|Premature mortality", US_national_yearly!$D:$AM, 20, FALSE) / VLOOKUP("buildings|PM25|Premature mortality", US_national_yearly!$D:$AM, 10, FALSE), 1)</f>
        <v>4.0767296706609897E-2</v>
      </c>
      <c r="M2" s="7">
        <f>$B2 * IFERROR(VLOOKUP("buildings|PM25|Premature mortality", US_national_yearly!$D:$AM, 21, FALSE) / VLOOKUP("buildings|PM25|Premature mortality", US_national_yearly!$D:$AM, 10, FALSE), 1)</f>
        <v>4.1324971001520792E-2</v>
      </c>
      <c r="N2" s="7">
        <f>$B2 * IFERROR(VLOOKUP("buildings|PM25|Premature mortality", US_national_yearly!$D:$AM, 22, FALSE) / VLOOKUP("buildings|PM25|Premature mortality", US_national_yearly!$D:$AM, 10, FALSE), 1)</f>
        <v>4.1758624746745757E-2</v>
      </c>
      <c r="O2" s="7">
        <f>$B2 * IFERROR(VLOOKUP("buildings|PM25|Premature mortality", US_national_yearly!$D:$AM, 23, FALSE) / VLOOKUP("buildings|PM25|Premature mortality", US_national_yearly!$D:$AM, 10, FALSE), 1)</f>
        <v>4.2192278491970728E-2</v>
      </c>
      <c r="P2" s="7">
        <f>$B2 * IFERROR(VLOOKUP("buildings|PM25|Premature mortality", US_national_yearly!$D:$AM, 24, FALSE) / VLOOKUP("buildings|PM25|Premature mortality", US_national_yearly!$D:$AM, 10, FALSE), 1)</f>
        <v>4.2625932237195685E-2</v>
      </c>
      <c r="Q2" s="7">
        <f>$B2 * IFERROR(VLOOKUP("buildings|PM25|Premature mortality", US_national_yearly!$D:$AM, 25, FALSE) / VLOOKUP("buildings|PM25|Premature mortality", US_national_yearly!$D:$AM, 10, FALSE), 1)</f>
        <v>4.3059585982420663E-2</v>
      </c>
      <c r="R2" s="7">
        <f>$B2 * IFERROR(VLOOKUP("buildings|PM25|Premature mortality", US_national_yearly!$D:$AM, 26, FALSE) / VLOOKUP("buildings|PM25|Premature mortality", US_national_yearly!$D:$AM, 10, FALSE), 1)</f>
        <v>4.3493239727645627E-2</v>
      </c>
      <c r="S2" s="7">
        <f>$B2 * IFERROR(VLOOKUP("buildings|PM25|Premature mortality", US_national_yearly!$D:$AM, 27, FALSE) / VLOOKUP("buildings|PM25|Premature mortality", US_national_yearly!$D:$AM, 10, FALSE), 1)</f>
        <v>4.372373100066234E-2</v>
      </c>
      <c r="T2" s="7">
        <f>$B2 * IFERROR(VLOOKUP("buildings|PM25|Premature mortality", US_national_yearly!$D:$AM, 28, FALSE) / VLOOKUP("buildings|PM25|Premature mortality", US_national_yearly!$D:$AM, 10, FALSE), 1)</f>
        <v>4.395422227367906E-2</v>
      </c>
      <c r="U2" s="7">
        <f>$B2 * IFERROR(VLOOKUP("buildings|PM25|Premature mortality", US_national_yearly!$D:$AM, 29, FALSE) / VLOOKUP("buildings|PM25|Premature mortality", US_national_yearly!$D:$AM, 10, FALSE), 1)</f>
        <v>4.4184713546695772E-2</v>
      </c>
      <c r="V2" s="7">
        <f>$B2 * IFERROR(VLOOKUP("buildings|PM25|Premature mortality", US_national_yearly!$D:$AM, 30, FALSE) / VLOOKUP("buildings|PM25|Premature mortality", US_national_yearly!$D:$AM, 10, FALSE), 1)</f>
        <v>4.4415204819712492E-2</v>
      </c>
      <c r="W2" s="7">
        <f>$B2 * IFERROR(VLOOKUP("buildings|PM25|Premature mortality", US_national_yearly!$D:$AM, 31, FALSE) / VLOOKUP("buildings|PM25|Premature mortality", US_national_yearly!$D:$AM, 10, FALSE), 1)</f>
        <v>4.4645696092729205E-2</v>
      </c>
      <c r="X2" s="7">
        <f>$B2 * IFERROR(VLOOKUP("buildings|PM25|Premature mortality", US_national_yearly!$D:$AM, 32, FALSE) / VLOOKUP("buildings|PM25|Premature mortality", US_national_yearly!$D:$AM, 10, FALSE), 1)</f>
        <v>4.4687067425813666E-2</v>
      </c>
      <c r="Y2" s="7">
        <f>$B2 * IFERROR(VLOOKUP("buildings|PM25|Premature mortality", US_national_yearly!$D:$AM, 33, FALSE) / VLOOKUP("buildings|PM25|Premature mortality", US_national_yearly!$D:$AM, 10, FALSE), 1)</f>
        <v>4.4728438758898113E-2</v>
      </c>
      <c r="Z2" s="7">
        <f>$B2 * IFERROR(VLOOKUP("buildings|PM25|Premature mortality", US_national_yearly!$D:$AM, 34, FALSE) / VLOOKUP("buildings|PM25|Premature mortality", US_national_yearly!$D:$AM, 10, FALSE), 1)</f>
        <v>4.4769810091982574E-2</v>
      </c>
      <c r="AA2" s="7">
        <f>$B2 * IFERROR(VLOOKUP("buildings|PM25|Premature mortality", US_national_yearly!$D:$AM, 35, FALSE) / VLOOKUP("buildings|PM25|Premature mortality", US_national_yearly!$D:$AM, 10, FALSE), 1)</f>
        <v>4.4811181425067036E-2</v>
      </c>
      <c r="AB2" s="7">
        <f>$B2 * IFERROR(VLOOKUP("buildings|PM25|Premature mortality", US_national_yearly!$D:$AM, 36, FALSE) / VLOOKUP("buildings|PM25|Premature mortality", US_national_yearly!$D:$AM, 10, FALSE), 1)</f>
        <v>4.485255275815149E-2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6.0088281411073715E-5</v>
      </c>
      <c r="C3" s="7">
        <f>$B3 * IFERROR(VLOOKUP("buildings|PM25|Infant mortality", US_national_yearly!$D:$AM, 11, FALSE) / VLOOKUP("buildings|PM25|Infant mortality", US_national_yearly!$D:$AM, 10, FALSE), 1)</f>
        <v>5.95678196921389E-5</v>
      </c>
      <c r="D3" s="7">
        <f>$B3 * IFERROR(VLOOKUP("buildings|PM25|Infant mortality", US_national_yearly!$D:$AM, 12, FALSE) / VLOOKUP("buildings|PM25|Infant mortality", US_national_yearly!$D:$AM, 10, FALSE), 1)</f>
        <v>5.9047357973204077E-5</v>
      </c>
      <c r="E3" s="7">
        <f>$B3 * IFERROR(VLOOKUP("buildings|PM25|Infant mortality", US_national_yearly!$D:$AM, 13, FALSE) / VLOOKUP("buildings|PM25|Infant mortality", US_national_yearly!$D:$AM, 10, FALSE), 1)</f>
        <v>5.8526896254269261E-5</v>
      </c>
      <c r="F3" s="7">
        <f>$B3 * IFERROR(VLOOKUP("buildings|PM25|Infant mortality", US_national_yearly!$D:$AM, 14, FALSE) / VLOOKUP("buildings|PM25|Infant mortality", US_national_yearly!$D:$AM, 10, FALSE), 1)</f>
        <v>5.8006434535334452E-5</v>
      </c>
      <c r="G3" s="7">
        <f>$B3 * IFERROR(VLOOKUP("buildings|PM25|Infant mortality", US_national_yearly!$D:$AM, 15, FALSE) / VLOOKUP("buildings|PM25|Infant mortality", US_national_yearly!$D:$AM, 10, FALSE), 1)</f>
        <v>3.8572174540394889E-5</v>
      </c>
      <c r="H3" s="7">
        <f>$B3 * IFERROR(VLOOKUP("buildings|PM25|Infant mortality", US_national_yearly!$D:$AM, 16, FALSE) / VLOOKUP("buildings|PM25|Infant mortality", US_national_yearly!$D:$AM, 10, FALSE), 1)</f>
        <v>1.9137914545455333E-5</v>
      </c>
      <c r="I3" s="7">
        <f>$B3 * IFERROR(VLOOKUP("buildings|PM25|Infant mortality", US_national_yearly!$D:$AM, 17, FALSE) / VLOOKUP("buildings|PM25|Infant mortality", US_national_yearly!$D:$AM, 10, FALSE), 1)</f>
        <v>1.9013204131348864E-5</v>
      </c>
      <c r="J3" s="7">
        <f>$B3 * IFERROR(VLOOKUP("buildings|PM25|Infant mortality", US_national_yearly!$D:$AM, 18, FALSE) / VLOOKUP("buildings|PM25|Infant mortality", US_national_yearly!$D:$AM, 10, FALSE), 1)</f>
        <v>1.8888493717242392E-5</v>
      </c>
      <c r="K3" s="7">
        <f>$B3 * IFERROR(VLOOKUP("buildings|PM25|Infant mortality", US_national_yearly!$D:$AM, 19, FALSE) / VLOOKUP("buildings|PM25|Infant mortality", US_national_yearly!$D:$AM, 10, FALSE), 1)</f>
        <v>1.8763783303135922E-5</v>
      </c>
      <c r="L3" s="7">
        <f>$B3 * IFERROR(VLOOKUP("buildings|PM25|Infant mortality", US_national_yearly!$D:$AM, 20, FALSE) / VLOOKUP("buildings|PM25|Infant mortality", US_national_yearly!$D:$AM, 10, FALSE), 1)</f>
        <v>1.863907288902945E-5</v>
      </c>
      <c r="M3" s="7">
        <f>$B3 * IFERROR(VLOOKUP("buildings|PM25|Infant mortality", US_national_yearly!$D:$AM, 21, FALSE) / VLOOKUP("buildings|PM25|Infant mortality", US_national_yearly!$D:$AM, 10, FALSE), 1)</f>
        <v>1.8514362474922981E-5</v>
      </c>
      <c r="N3" s="7">
        <f>$B3 * IFERROR(VLOOKUP("buildings|PM25|Infant mortality", US_national_yearly!$D:$AM, 22, FALSE) / VLOOKUP("buildings|PM25|Infant mortality", US_national_yearly!$D:$AM, 10, FALSE), 1)</f>
        <v>1.843633170402728E-5</v>
      </c>
      <c r="O3" s="7">
        <f>$B3 * IFERROR(VLOOKUP("buildings|PM25|Infant mortality", US_national_yearly!$D:$AM, 23, FALSE) / VLOOKUP("buildings|PM25|Infant mortality", US_national_yearly!$D:$AM, 10, FALSE), 1)</f>
        <v>1.835830093313158E-5</v>
      </c>
      <c r="P3" s="7">
        <f>$B3 * IFERROR(VLOOKUP("buildings|PM25|Infant mortality", US_national_yearly!$D:$AM, 24, FALSE) / VLOOKUP("buildings|PM25|Infant mortality", US_national_yearly!$D:$AM, 10, FALSE), 1)</f>
        <v>1.8280270162235879E-5</v>
      </c>
      <c r="Q3" s="7">
        <f>$B3 * IFERROR(VLOOKUP("buildings|PM25|Infant mortality", US_national_yearly!$D:$AM, 25, FALSE) / VLOOKUP("buildings|PM25|Infant mortality", US_national_yearly!$D:$AM, 10, FALSE), 1)</f>
        <v>1.8202239391340179E-5</v>
      </c>
      <c r="R3" s="7">
        <f>$B3 * IFERROR(VLOOKUP("buildings|PM25|Infant mortality", US_national_yearly!$D:$AM, 26, FALSE) / VLOOKUP("buildings|PM25|Infant mortality", US_national_yearly!$D:$AM, 10, FALSE), 1)</f>
        <v>1.8124208620444482E-5</v>
      </c>
      <c r="S3" s="7">
        <f>$B3 * IFERROR(VLOOKUP("buildings|PM25|Infant mortality", US_national_yearly!$D:$AM, 27, FALSE) / VLOOKUP("buildings|PM25|Infant mortality", US_national_yearly!$D:$AM, 10, FALSE), 1)</f>
        <v>1.8026781837383927E-5</v>
      </c>
      <c r="T3" s="7">
        <f>$B3 * IFERROR(VLOOKUP("buildings|PM25|Infant mortality", US_national_yearly!$D:$AM, 28, FALSE) / VLOOKUP("buildings|PM25|Infant mortality", US_national_yearly!$D:$AM, 10, FALSE), 1)</f>
        <v>1.7929355054323379E-5</v>
      </c>
      <c r="U3" s="7">
        <f>$B3 * IFERROR(VLOOKUP("buildings|PM25|Infant mortality", US_national_yearly!$D:$AM, 29, FALSE) / VLOOKUP("buildings|PM25|Infant mortality", US_national_yearly!$D:$AM, 10, FALSE), 1)</f>
        <v>1.7831928271262824E-5</v>
      </c>
      <c r="V3" s="7">
        <f>$B3 * IFERROR(VLOOKUP("buildings|PM25|Infant mortality", US_national_yearly!$D:$AM, 30, FALSE) / VLOOKUP("buildings|PM25|Infant mortality", US_national_yearly!$D:$AM, 10, FALSE), 1)</f>
        <v>1.7734501488202276E-5</v>
      </c>
      <c r="W3" s="7">
        <f>$B3 * IFERROR(VLOOKUP("buildings|PM25|Infant mortality", US_national_yearly!$D:$AM, 31, FALSE) / VLOOKUP("buildings|PM25|Infant mortality", US_national_yearly!$D:$AM, 10, FALSE), 1)</f>
        <v>1.7637074705141721E-5</v>
      </c>
      <c r="X3" s="7">
        <f>$B3 * IFERROR(VLOOKUP("buildings|PM25|Infant mortality", US_national_yearly!$D:$AM, 32, FALSE) / VLOOKUP("buildings|PM25|Infant mortality", US_national_yearly!$D:$AM, 10, FALSE), 1)</f>
        <v>1.7532182229105274E-5</v>
      </c>
      <c r="Y3" s="7">
        <f>$B3 * IFERROR(VLOOKUP("buildings|PM25|Infant mortality", US_national_yearly!$D:$AM, 33, FALSE) / VLOOKUP("buildings|PM25|Infant mortality", US_national_yearly!$D:$AM, 10, FALSE), 1)</f>
        <v>1.7427289753068826E-5</v>
      </c>
      <c r="Z3" s="7">
        <f>$B3 * IFERROR(VLOOKUP("buildings|PM25|Infant mortality", US_national_yearly!$D:$AM, 34, FALSE) / VLOOKUP("buildings|PM25|Infant mortality", US_national_yearly!$D:$AM, 10, FALSE), 1)</f>
        <v>1.7322397277032378E-5</v>
      </c>
      <c r="AA3" s="7">
        <f>$B3 * IFERROR(VLOOKUP("buildings|PM25|Infant mortality", US_national_yearly!$D:$AM, 35, FALSE) / VLOOKUP("buildings|PM25|Infant mortality", US_national_yearly!$D:$AM, 10, FALSE), 1)</f>
        <v>1.7217504800995927E-5</v>
      </c>
      <c r="AB3" s="7">
        <f>$B3 * IFERROR(VLOOKUP("buildings|PM25|Infant mortality", US_national_yearly!$D:$AM, 36, FALSE) / VLOOKUP("buildings|PM25|Infant mortality", US_national_yearly!$D:$AM, 10, FALSE), 1)</f>
        <v>1.7112612324959483E-5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8.1101552129854176E-2</v>
      </c>
      <c r="C6" s="7">
        <f>$B6 * IFERROR(VLOOKUP("buildings|PM25|Asthma symptoms cough", US_national_yearly!$D:$AM, 11, FALSE) / VLOOKUP("buildings|PM25|Asthma symptoms cough", US_national_yearly!$D:$AM, 10, FALSE), 1)</f>
        <v>8.1101552129854176E-2</v>
      </c>
      <c r="D6" s="7">
        <f>$B6 * IFERROR(VLOOKUP("buildings|PM25|Asthma symptoms cough", US_national_yearly!$D:$AM, 12, FALSE) / VLOOKUP("buildings|PM25|Asthma symptoms cough", US_national_yearly!$D:$AM, 10, FALSE), 1)</f>
        <v>8.1101552129854176E-2</v>
      </c>
      <c r="E6" s="7">
        <f>$B6 * IFERROR(VLOOKUP("buildings|PM25|Asthma symptoms cough", US_national_yearly!$D:$AM, 13, FALSE) / VLOOKUP("buildings|PM25|Asthma symptoms cough", US_national_yearly!$D:$AM, 10, FALSE), 1)</f>
        <v>8.1101552129854176E-2</v>
      </c>
      <c r="F6" s="7">
        <f>$B6 * IFERROR(VLOOKUP("buildings|PM25|Asthma symptoms cough", US_national_yearly!$D:$AM, 14, FALSE) / VLOOKUP("buildings|PM25|Asthma symptoms cough", US_national_yearly!$D:$AM, 10, FALSE), 1)</f>
        <v>8.1101552129854176E-2</v>
      </c>
      <c r="G6" s="7">
        <f>$B6 * IFERROR(VLOOKUP("buildings|PM25|Asthma symptoms cough", US_national_yearly!$D:$AM, 15, FALSE) / VLOOKUP("buildings|PM25|Asthma symptoms cough", US_national_yearly!$D:$AM, 10, FALSE), 1)</f>
        <v>8.1101552129854176E-2</v>
      </c>
      <c r="H6" s="7">
        <f>$B6 * IFERROR(VLOOKUP("buildings|PM25|Asthma symptoms cough", US_national_yearly!$D:$AM, 16, FALSE) / VLOOKUP("buildings|PM25|Asthma symptoms cough", US_national_yearly!$D:$AM, 10, FALSE), 1)</f>
        <v>8.1101552129854176E-2</v>
      </c>
      <c r="I6" s="7">
        <f>$B6 * IFERROR(VLOOKUP("buildings|PM25|Asthma symptoms cough", US_national_yearly!$D:$AM, 17, FALSE) / VLOOKUP("buildings|PM25|Asthma symptoms cough", US_national_yearly!$D:$AM, 10, FALSE), 1)</f>
        <v>8.1101552129854176E-2</v>
      </c>
      <c r="J6" s="7">
        <f>$B6 * IFERROR(VLOOKUP("buildings|PM25|Asthma symptoms cough", US_national_yearly!$D:$AM, 18, FALSE) / VLOOKUP("buildings|PM25|Asthma symptoms cough", US_national_yearly!$D:$AM, 10, FALSE), 1)</f>
        <v>8.1101552129854176E-2</v>
      </c>
      <c r="K6" s="7">
        <f>$B6 * IFERROR(VLOOKUP("buildings|PM25|Asthma symptoms cough", US_national_yearly!$D:$AM, 19, FALSE) / VLOOKUP("buildings|PM25|Asthma symptoms cough", US_national_yearly!$D:$AM, 10, FALSE), 1)</f>
        <v>8.1101552129854176E-2</v>
      </c>
      <c r="L6" s="7">
        <f>$B6 * IFERROR(VLOOKUP("buildings|PM25|Asthma symptoms cough", US_national_yearly!$D:$AM, 20, FALSE) / VLOOKUP("buildings|PM25|Asthma symptoms cough", US_national_yearly!$D:$AM, 10, FALSE), 1)</f>
        <v>8.1101552129854176E-2</v>
      </c>
      <c r="M6" s="7">
        <f>$B6 * IFERROR(VLOOKUP("buildings|PM25|Asthma symptoms cough", US_national_yearly!$D:$AM, 21, FALSE) / VLOOKUP("buildings|PM25|Asthma symptoms cough", US_national_yearly!$D:$AM, 10, FALSE), 1)</f>
        <v>8.1101552129854176E-2</v>
      </c>
      <c r="N6" s="7">
        <f>$B6 * IFERROR(VLOOKUP("buildings|PM25|Asthma symptoms cough", US_national_yearly!$D:$AM, 22, FALSE) / VLOOKUP("buildings|PM25|Asthma symptoms cough", US_national_yearly!$D:$AM, 10, FALSE), 1)</f>
        <v>8.1101552129854176E-2</v>
      </c>
      <c r="O6" s="7">
        <f>$B6 * IFERROR(VLOOKUP("buildings|PM25|Asthma symptoms cough", US_national_yearly!$D:$AM, 23, FALSE) / VLOOKUP("buildings|PM25|Asthma symptoms cough", US_national_yearly!$D:$AM, 10, FALSE), 1)</f>
        <v>8.1101552129854176E-2</v>
      </c>
      <c r="P6" s="7">
        <f>$B6 * IFERROR(VLOOKUP("buildings|PM25|Asthma symptoms cough", US_national_yearly!$D:$AM, 24, FALSE) / VLOOKUP("buildings|PM25|Asthma symptoms cough", US_national_yearly!$D:$AM, 10, FALSE), 1)</f>
        <v>8.1101552129854176E-2</v>
      </c>
      <c r="Q6" s="7">
        <f>$B6 * IFERROR(VLOOKUP("buildings|PM25|Asthma symptoms cough", US_national_yearly!$D:$AM, 25, FALSE) / VLOOKUP("buildings|PM25|Asthma symptoms cough", US_national_yearly!$D:$AM, 10, FALSE), 1)</f>
        <v>8.1101552129854176E-2</v>
      </c>
      <c r="R6" s="7">
        <f>$B6 * IFERROR(VLOOKUP("buildings|PM25|Asthma symptoms cough", US_national_yearly!$D:$AM, 26, FALSE) / VLOOKUP("buildings|PM25|Asthma symptoms cough", US_national_yearly!$D:$AM, 10, FALSE), 1)</f>
        <v>8.1101552129854176E-2</v>
      </c>
      <c r="S6" s="7">
        <f>$B6 * IFERROR(VLOOKUP("buildings|PM25|Asthma symptoms cough", US_national_yearly!$D:$AM, 27, FALSE) / VLOOKUP("buildings|PM25|Asthma symptoms cough", US_national_yearly!$D:$AM, 10, FALSE), 1)</f>
        <v>8.1101552129854176E-2</v>
      </c>
      <c r="T6" s="7">
        <f>$B6 * IFERROR(VLOOKUP("buildings|PM25|Asthma symptoms cough", US_national_yearly!$D:$AM, 28, FALSE) / VLOOKUP("buildings|PM25|Asthma symptoms cough", US_national_yearly!$D:$AM, 10, FALSE), 1)</f>
        <v>8.1101552129854176E-2</v>
      </c>
      <c r="U6" s="7">
        <f>$B6 * IFERROR(VLOOKUP("buildings|PM25|Asthma symptoms cough", US_national_yearly!$D:$AM, 29, FALSE) / VLOOKUP("buildings|PM25|Asthma symptoms cough", US_national_yearly!$D:$AM, 10, FALSE), 1)</f>
        <v>8.1101552129854176E-2</v>
      </c>
      <c r="V6" s="7">
        <f>$B6 * IFERROR(VLOOKUP("buildings|PM25|Asthma symptoms cough", US_national_yearly!$D:$AM, 30, FALSE) / VLOOKUP("buildings|PM25|Asthma symptoms cough", US_national_yearly!$D:$AM, 10, FALSE), 1)</f>
        <v>8.1101552129854176E-2</v>
      </c>
      <c r="W6" s="7">
        <f>$B6 * IFERROR(VLOOKUP("buildings|PM25|Asthma symptoms cough", US_national_yearly!$D:$AM, 31, FALSE) / VLOOKUP("buildings|PM25|Asthma symptoms cough", US_national_yearly!$D:$AM, 10, FALSE), 1)</f>
        <v>8.1101552129854176E-2</v>
      </c>
      <c r="X6" s="7">
        <f>$B6 * IFERROR(VLOOKUP("buildings|PM25|Asthma symptoms cough", US_national_yearly!$D:$AM, 32, FALSE) / VLOOKUP("buildings|PM25|Asthma symptoms cough", US_national_yearly!$D:$AM, 10, FALSE), 1)</f>
        <v>8.1101552129854176E-2</v>
      </c>
      <c r="Y6" s="7">
        <f>$B6 * IFERROR(VLOOKUP("buildings|PM25|Asthma symptoms cough", US_national_yearly!$D:$AM, 33, FALSE) / VLOOKUP("buildings|PM25|Asthma symptoms cough", US_national_yearly!$D:$AM, 10, FALSE), 1)</f>
        <v>8.1101552129854176E-2</v>
      </c>
      <c r="Z6" s="7">
        <f>$B6 * IFERROR(VLOOKUP("buildings|PM25|Asthma symptoms cough", US_national_yearly!$D:$AM, 34, FALSE) / VLOOKUP("buildings|PM25|Asthma symptoms cough", US_national_yearly!$D:$AM, 10, FALSE), 1)</f>
        <v>8.1101552129854176E-2</v>
      </c>
      <c r="AA6" s="7">
        <f>$B6 * IFERROR(VLOOKUP("buildings|PM25|Asthma symptoms cough", US_national_yearly!$D:$AM, 35, FALSE) / VLOOKUP("buildings|PM25|Asthma symptoms cough", US_national_yearly!$D:$AM, 10, FALSE), 1)</f>
        <v>8.1101552129854176E-2</v>
      </c>
      <c r="AB6" s="7">
        <f>$B6 * IFERROR(VLOOKUP("buildings|PM25|Asthma symptoms cough", US_national_yearly!$D:$AM, 36, FALSE) / VLOOKUP("buildings|PM25|Asthma symptoms cough", US_national_yearly!$D:$AM, 10, FALSE), 1)</f>
        <v>8.1101552129854176E-2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0.10921466723614308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0.10921466723614308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0.10921466723614308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0.10921466723614308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0.10921466723614308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0.10921466723614308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0.10921466723614308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0.10921466723614308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0.10921466723614308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0.10921466723614308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0.10921466723614308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0.10921466723614308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0.10921466723614308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0.10921466723614308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0.10921466723614308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0.10921466723614308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0.10921466723614308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0.10921466723614308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0.10921466723614308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0.10921466723614308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0.10921466723614308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0.10921466723614308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0.10921466723614308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0.10921466723614308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0.10921466723614308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0.10921466723614308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0.10921466723614308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0.16686271825489013</v>
      </c>
      <c r="C8" s="7">
        <f>$B8 * IFERROR(VLOOKUP("buildings|PM25|Asthma symptoms wheeze", US_national_yearly!$D:$AM, 11, FALSE) / VLOOKUP("buildings|PM25|Asthma symptoms wheeze", US_national_yearly!$D:$AM, 10, FALSE), 1)</f>
        <v>0.16686271825489013</v>
      </c>
      <c r="D8" s="7">
        <f>$B8 * IFERROR(VLOOKUP("buildings|PM25|Asthma symptoms wheeze", US_national_yearly!$D:$AM, 12, FALSE) / VLOOKUP("buildings|PM25|Asthma symptoms wheeze", US_national_yearly!$D:$AM, 10, FALSE), 1)</f>
        <v>0.16686271825489013</v>
      </c>
      <c r="E8" s="7">
        <f>$B8 * IFERROR(VLOOKUP("buildings|PM25|Asthma symptoms wheeze", US_national_yearly!$D:$AM, 13, FALSE) / VLOOKUP("buildings|PM25|Asthma symptoms wheeze", US_national_yearly!$D:$AM, 10, FALSE), 1)</f>
        <v>0.16686271825489013</v>
      </c>
      <c r="F8" s="7">
        <f>$B8 * IFERROR(VLOOKUP("buildings|PM25|Asthma symptoms wheeze", US_national_yearly!$D:$AM, 14, FALSE) / VLOOKUP("buildings|PM25|Asthma symptoms wheeze", US_national_yearly!$D:$AM, 10, FALSE), 1)</f>
        <v>0.16686271825489013</v>
      </c>
      <c r="G8" s="7">
        <f>$B8 * IFERROR(VLOOKUP("buildings|PM25|Asthma symptoms wheeze", US_national_yearly!$D:$AM, 15, FALSE) / VLOOKUP("buildings|PM25|Asthma symptoms wheeze", US_national_yearly!$D:$AM, 10, FALSE), 1)</f>
        <v>0.16686271825489013</v>
      </c>
      <c r="H8" s="7">
        <f>$B8 * IFERROR(VLOOKUP("buildings|PM25|Asthma symptoms wheeze", US_national_yearly!$D:$AM, 16, FALSE) / VLOOKUP("buildings|PM25|Asthma symptoms wheeze", US_national_yearly!$D:$AM, 10, FALSE), 1)</f>
        <v>0.16686271825489013</v>
      </c>
      <c r="I8" s="7">
        <f>$B8 * IFERROR(VLOOKUP("buildings|PM25|Asthma symptoms wheeze", US_national_yearly!$D:$AM, 17, FALSE) / VLOOKUP("buildings|PM25|Asthma symptoms wheeze", US_national_yearly!$D:$AM, 10, FALSE), 1)</f>
        <v>0.16686271825489013</v>
      </c>
      <c r="J8" s="7">
        <f>$B8 * IFERROR(VLOOKUP("buildings|PM25|Asthma symptoms wheeze", US_national_yearly!$D:$AM, 18, FALSE) / VLOOKUP("buildings|PM25|Asthma symptoms wheeze", US_national_yearly!$D:$AM, 10, FALSE), 1)</f>
        <v>0.16686271825489013</v>
      </c>
      <c r="K8" s="7">
        <f>$B8 * IFERROR(VLOOKUP("buildings|PM25|Asthma symptoms wheeze", US_national_yearly!$D:$AM, 19, FALSE) / VLOOKUP("buildings|PM25|Asthma symptoms wheeze", US_national_yearly!$D:$AM, 10, FALSE), 1)</f>
        <v>0.16686271825489013</v>
      </c>
      <c r="L8" s="7">
        <f>$B8 * IFERROR(VLOOKUP("buildings|PM25|Asthma symptoms wheeze", US_national_yearly!$D:$AM, 20, FALSE) / VLOOKUP("buildings|PM25|Asthma symptoms wheeze", US_national_yearly!$D:$AM, 10, FALSE), 1)</f>
        <v>0.16686271825489013</v>
      </c>
      <c r="M8" s="7">
        <f>$B8 * IFERROR(VLOOKUP("buildings|PM25|Asthma symptoms wheeze", US_national_yearly!$D:$AM, 21, FALSE) / VLOOKUP("buildings|PM25|Asthma symptoms wheeze", US_national_yearly!$D:$AM, 10, FALSE), 1)</f>
        <v>0.16686271825489013</v>
      </c>
      <c r="N8" s="7">
        <f>$B8 * IFERROR(VLOOKUP("buildings|PM25|Asthma symptoms wheeze", US_national_yearly!$D:$AM, 22, FALSE) / VLOOKUP("buildings|PM25|Asthma symptoms wheeze", US_national_yearly!$D:$AM, 10, FALSE), 1)</f>
        <v>0.16686271825489013</v>
      </c>
      <c r="O8" s="7">
        <f>$B8 * IFERROR(VLOOKUP("buildings|PM25|Asthma symptoms wheeze", US_national_yearly!$D:$AM, 23, FALSE) / VLOOKUP("buildings|PM25|Asthma symptoms wheeze", US_national_yearly!$D:$AM, 10, FALSE), 1)</f>
        <v>0.16686271825489013</v>
      </c>
      <c r="P8" s="7">
        <f>$B8 * IFERROR(VLOOKUP("buildings|PM25|Asthma symptoms wheeze", US_national_yearly!$D:$AM, 24, FALSE) / VLOOKUP("buildings|PM25|Asthma symptoms wheeze", US_national_yearly!$D:$AM, 10, FALSE), 1)</f>
        <v>0.16686271825489013</v>
      </c>
      <c r="Q8" s="7">
        <f>$B8 * IFERROR(VLOOKUP("buildings|PM25|Asthma symptoms wheeze", US_national_yearly!$D:$AM, 25, FALSE) / VLOOKUP("buildings|PM25|Asthma symptoms wheeze", US_national_yearly!$D:$AM, 10, FALSE), 1)</f>
        <v>0.16686271825489013</v>
      </c>
      <c r="R8" s="7">
        <f>$B8 * IFERROR(VLOOKUP("buildings|PM25|Asthma symptoms wheeze", US_national_yearly!$D:$AM, 26, FALSE) / VLOOKUP("buildings|PM25|Asthma symptoms wheeze", US_national_yearly!$D:$AM, 10, FALSE), 1)</f>
        <v>0.16686271825489013</v>
      </c>
      <c r="S8" s="7">
        <f>$B8 * IFERROR(VLOOKUP("buildings|PM25|Asthma symptoms wheeze", US_national_yearly!$D:$AM, 27, FALSE) / VLOOKUP("buildings|PM25|Asthma symptoms wheeze", US_national_yearly!$D:$AM, 10, FALSE), 1)</f>
        <v>0.16686271825489013</v>
      </c>
      <c r="T8" s="7">
        <f>$B8 * IFERROR(VLOOKUP("buildings|PM25|Asthma symptoms wheeze", US_national_yearly!$D:$AM, 28, FALSE) / VLOOKUP("buildings|PM25|Asthma symptoms wheeze", US_national_yearly!$D:$AM, 10, FALSE), 1)</f>
        <v>0.16686271825489013</v>
      </c>
      <c r="U8" s="7">
        <f>$B8 * IFERROR(VLOOKUP("buildings|PM25|Asthma symptoms wheeze", US_national_yearly!$D:$AM, 29, FALSE) / VLOOKUP("buildings|PM25|Asthma symptoms wheeze", US_national_yearly!$D:$AM, 10, FALSE), 1)</f>
        <v>0.16686271825489013</v>
      </c>
      <c r="V8" s="7">
        <f>$B8 * IFERROR(VLOOKUP("buildings|PM25|Asthma symptoms wheeze", US_national_yearly!$D:$AM, 30, FALSE) / VLOOKUP("buildings|PM25|Asthma symptoms wheeze", US_national_yearly!$D:$AM, 10, FALSE), 1)</f>
        <v>0.16686271825489013</v>
      </c>
      <c r="W8" s="7">
        <f>$B8 * IFERROR(VLOOKUP("buildings|PM25|Asthma symptoms wheeze", US_national_yearly!$D:$AM, 31, FALSE) / VLOOKUP("buildings|PM25|Asthma symptoms wheeze", US_national_yearly!$D:$AM, 10, FALSE), 1)</f>
        <v>0.16686271825489013</v>
      </c>
      <c r="X8" s="7">
        <f>$B8 * IFERROR(VLOOKUP("buildings|PM25|Asthma symptoms wheeze", US_national_yearly!$D:$AM, 32, FALSE) / VLOOKUP("buildings|PM25|Asthma symptoms wheeze", US_national_yearly!$D:$AM, 10, FALSE), 1)</f>
        <v>0.16686271825489013</v>
      </c>
      <c r="Y8" s="7">
        <f>$B8 * IFERROR(VLOOKUP("buildings|PM25|Asthma symptoms wheeze", US_national_yearly!$D:$AM, 33, FALSE) / VLOOKUP("buildings|PM25|Asthma symptoms wheeze", US_national_yearly!$D:$AM, 10, FALSE), 1)</f>
        <v>0.16686271825489013</v>
      </c>
      <c r="Z8" s="7">
        <f>$B8 * IFERROR(VLOOKUP("buildings|PM25|Asthma symptoms wheeze", US_national_yearly!$D:$AM, 34, FALSE) / VLOOKUP("buildings|PM25|Asthma symptoms wheeze", US_national_yearly!$D:$AM, 10, FALSE), 1)</f>
        <v>0.16686271825489013</v>
      </c>
      <c r="AA8" s="7">
        <f>$B8 * IFERROR(VLOOKUP("buildings|PM25|Asthma symptoms wheeze", US_national_yearly!$D:$AM, 35, FALSE) / VLOOKUP("buildings|PM25|Asthma symptoms wheeze", US_national_yearly!$D:$AM, 10, FALSE), 1)</f>
        <v>0.16686271825489013</v>
      </c>
      <c r="AB8" s="7">
        <f>$B8 * IFERROR(VLOOKUP("buildings|PM25|Asthma symptoms wheeze", US_national_yearly!$D:$AM, 36, FALSE) / VLOOKUP("buildings|PM25|Asthma symptoms wheeze", US_national_yearly!$D:$AM, 10, FALSE), 1)</f>
        <v>0.16686271825489013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2.6165438606738801E-3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2.631626054532492E-3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2.6467082483911048E-3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2.6617904422497171E-3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2.6768726361083299E-3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2.6931477206218564E-3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2.7094228051353832E-3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2.7249018822356045E-3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2.7403809593358249E-3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2.7558600364360458E-3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2.7713391135362666E-3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2.7868181906364874E-3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2.7979518402783559E-3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2.809085489920224E-3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2.8202191395620925E-3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2.8313527892039601E-3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2.8424864388458286E-3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2.8530942786147927E-3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2.8637021183837586E-3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2.8743099581527228E-3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2.8849177979216874E-3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2.8955256376906528E-3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2.9057711293743356E-3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2.9160166210580184E-3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2.9262621127417012E-3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2.9365076044253844E-3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2.9467530961090668E-3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1.4366125001471929E-2</v>
      </c>
      <c r="C13" s="7">
        <f>$B13 * IFERROR(VLOOKUP("buildings|PM25|Non-fatal heart attacks", US_national_yearly!$D:$AM, 11, FALSE) / VLOOKUP("buildings|PM25|Non-fatal heart attacks", US_national_yearly!$D:$AM, 10, FALSE), 1)</f>
        <v>1.4783984075609409E-2</v>
      </c>
      <c r="D13" s="7">
        <f>$B13 * IFERROR(VLOOKUP("buildings|PM25|Non-fatal heart attacks", US_national_yearly!$D:$AM, 12, FALSE) / VLOOKUP("buildings|PM25|Non-fatal heart attacks", US_national_yearly!$D:$AM, 10, FALSE), 1)</f>
        <v>1.5201843149746886E-2</v>
      </c>
      <c r="E13" s="7">
        <f>$B13 * IFERROR(VLOOKUP("buildings|PM25|Non-fatal heart attacks", US_national_yearly!$D:$AM, 13, FALSE) / VLOOKUP("buildings|PM25|Non-fatal heart attacks", US_national_yearly!$D:$AM, 10, FALSE), 1)</f>
        <v>1.5619702223884365E-2</v>
      </c>
      <c r="F13" s="7">
        <f>$B13 * IFERROR(VLOOKUP("buildings|PM25|Non-fatal heart attacks", US_national_yearly!$D:$AM, 14, FALSE) / VLOOKUP("buildings|PM25|Non-fatal heart attacks", US_national_yearly!$D:$AM, 10, FALSE), 1)</f>
        <v>1.6037561298021846E-2</v>
      </c>
      <c r="G13" s="7">
        <f>$B13 * IFERROR(VLOOKUP("buildings|PM25|Non-fatal heart attacks", US_national_yearly!$D:$AM, 15, FALSE) / VLOOKUP("buildings|PM25|Non-fatal heart attacks", US_national_yearly!$D:$AM, 10, FALSE), 1)</f>
        <v>1.6431835200561785E-2</v>
      </c>
      <c r="H13" s="7">
        <f>$B13 * IFERROR(VLOOKUP("buildings|PM25|Non-fatal heart attacks", US_national_yearly!$D:$AM, 16, FALSE) / VLOOKUP("buildings|PM25|Non-fatal heart attacks", US_national_yearly!$D:$AM, 10, FALSE), 1)</f>
        <v>1.6826109103101717E-2</v>
      </c>
      <c r="I13" s="7">
        <f>$B13 * IFERROR(VLOOKUP("buildings|PM25|Non-fatal heart attacks", US_national_yearly!$D:$AM, 17, FALSE) / VLOOKUP("buildings|PM25|Non-fatal heart attacks", US_national_yearly!$D:$AM, 10, FALSE), 1)</f>
        <v>1.714333308049237E-2</v>
      </c>
      <c r="J13" s="7">
        <f>$B13 * IFERROR(VLOOKUP("buildings|PM25|Non-fatal heart attacks", US_national_yearly!$D:$AM, 18, FALSE) / VLOOKUP("buildings|PM25|Non-fatal heart attacks", US_national_yearly!$D:$AM, 10, FALSE), 1)</f>
        <v>1.7460557057883023E-2</v>
      </c>
      <c r="K13" s="7">
        <f>$B13 * IFERROR(VLOOKUP("buildings|PM25|Non-fatal heart attacks", US_national_yearly!$D:$AM, 19, FALSE) / VLOOKUP("buildings|PM25|Non-fatal heart attacks", US_national_yearly!$D:$AM, 10, FALSE), 1)</f>
        <v>1.7777781035273676E-2</v>
      </c>
      <c r="L13" s="7">
        <f>$B13 * IFERROR(VLOOKUP("buildings|PM25|Non-fatal heart attacks", US_national_yearly!$D:$AM, 20, FALSE) / VLOOKUP("buildings|PM25|Non-fatal heart attacks", US_national_yearly!$D:$AM, 10, FALSE), 1)</f>
        <v>1.8095005012664325E-2</v>
      </c>
      <c r="M13" s="7">
        <f>$B13 * IFERROR(VLOOKUP("buildings|PM25|Non-fatal heart attacks", US_national_yearly!$D:$AM, 21, FALSE) / VLOOKUP("buildings|PM25|Non-fatal heart attacks", US_national_yearly!$D:$AM, 10, FALSE), 1)</f>
        <v>1.8412228990054975E-2</v>
      </c>
      <c r="N13" s="7">
        <f>$B13 * IFERROR(VLOOKUP("buildings|PM25|Non-fatal heart attacks", US_national_yearly!$D:$AM, 22, FALSE) / VLOOKUP("buildings|PM25|Non-fatal heart attacks", US_national_yearly!$D:$AM, 10, FALSE), 1)</f>
        <v>1.8617160635528009E-2</v>
      </c>
      <c r="O13" s="7">
        <f>$B13 * IFERROR(VLOOKUP("buildings|PM25|Non-fatal heart attacks", US_national_yearly!$D:$AM, 23, FALSE) / VLOOKUP("buildings|PM25|Non-fatal heart attacks", US_national_yearly!$D:$AM, 10, FALSE), 1)</f>
        <v>1.8822092281001044E-2</v>
      </c>
      <c r="P13" s="7">
        <f>$B13 * IFERROR(VLOOKUP("buildings|PM25|Non-fatal heart attacks", US_national_yearly!$D:$AM, 24, FALSE) / VLOOKUP("buildings|PM25|Non-fatal heart attacks", US_national_yearly!$D:$AM, 10, FALSE), 1)</f>
        <v>1.9027023926474075E-2</v>
      </c>
      <c r="Q13" s="7">
        <f>$B13 * IFERROR(VLOOKUP("buildings|PM25|Non-fatal heart attacks", US_national_yearly!$D:$AM, 25, FALSE) / VLOOKUP("buildings|PM25|Non-fatal heart attacks", US_national_yearly!$D:$AM, 10, FALSE), 1)</f>
        <v>1.9231955571947113E-2</v>
      </c>
      <c r="R13" s="7">
        <f>$B13 * IFERROR(VLOOKUP("buildings|PM25|Non-fatal heart attacks", US_national_yearly!$D:$AM, 26, FALSE) / VLOOKUP("buildings|PM25|Non-fatal heart attacks", US_national_yearly!$D:$AM, 10, FALSE), 1)</f>
        <v>1.9436887217420144E-2</v>
      </c>
      <c r="S13" s="7">
        <f>$B13 * IFERROR(VLOOKUP("buildings|PM25|Non-fatal heart attacks", US_national_yearly!$D:$AM, 27, FALSE) / VLOOKUP("buildings|PM25|Non-fatal heart attacks", US_national_yearly!$D:$AM, 10, FALSE), 1)</f>
        <v>1.9545277520145846E-2</v>
      </c>
      <c r="T13" s="7">
        <f>$B13 * IFERROR(VLOOKUP("buildings|PM25|Non-fatal heart attacks", US_national_yearly!$D:$AM, 28, FALSE) / VLOOKUP("buildings|PM25|Non-fatal heart attacks", US_national_yearly!$D:$AM, 10, FALSE), 1)</f>
        <v>1.9653667822871548E-2</v>
      </c>
      <c r="U13" s="7">
        <f>$B13 * IFERROR(VLOOKUP("buildings|PM25|Non-fatal heart attacks", US_national_yearly!$D:$AM, 29, FALSE) / VLOOKUP("buildings|PM25|Non-fatal heart attacks", US_national_yearly!$D:$AM, 10, FALSE), 1)</f>
        <v>1.9762058125597254E-2</v>
      </c>
      <c r="V13" s="7">
        <f>$B13 * IFERROR(VLOOKUP("buildings|PM25|Non-fatal heart attacks", US_national_yearly!$D:$AM, 30, FALSE) / VLOOKUP("buildings|PM25|Non-fatal heart attacks", US_national_yearly!$D:$AM, 10, FALSE), 1)</f>
        <v>1.9870448428322952E-2</v>
      </c>
      <c r="W13" s="7">
        <f>$B13 * IFERROR(VLOOKUP("buildings|PM25|Non-fatal heart attacks", US_national_yearly!$D:$AM, 31, FALSE) / VLOOKUP("buildings|PM25|Non-fatal heart attacks", US_national_yearly!$D:$AM, 10, FALSE), 1)</f>
        <v>1.9978838731048658E-2</v>
      </c>
      <c r="X13" s="7">
        <f>$B13 * IFERROR(VLOOKUP("buildings|PM25|Non-fatal heart attacks", US_national_yearly!$D:$AM, 32, FALSE) / VLOOKUP("buildings|PM25|Non-fatal heart attacks", US_national_yearly!$D:$AM, 10, FALSE), 1)</f>
        <v>2.0061331668068831E-2</v>
      </c>
      <c r="Y13" s="7">
        <f>$B13 * IFERROR(VLOOKUP("buildings|PM25|Non-fatal heart attacks", US_national_yearly!$D:$AM, 33, FALSE) / VLOOKUP("buildings|PM25|Non-fatal heart attacks", US_national_yearly!$D:$AM, 10, FALSE), 1)</f>
        <v>2.0143824605089004E-2</v>
      </c>
      <c r="Z13" s="7">
        <f>$B13 * IFERROR(VLOOKUP("buildings|PM25|Non-fatal heart attacks", US_national_yearly!$D:$AM, 34, FALSE) / VLOOKUP("buildings|PM25|Non-fatal heart attacks", US_national_yearly!$D:$AM, 10, FALSE), 1)</f>
        <v>2.0226317542109174E-2</v>
      </c>
      <c r="AA13" s="7">
        <f>$B13 * IFERROR(VLOOKUP("buildings|PM25|Non-fatal heart attacks", US_national_yearly!$D:$AM, 35, FALSE) / VLOOKUP("buildings|PM25|Non-fatal heart attacks", US_national_yearly!$D:$AM, 10, FALSE), 1)</f>
        <v>2.0308810479129347E-2</v>
      </c>
      <c r="AB13" s="7">
        <f>$B13 * IFERROR(VLOOKUP("buildings|PM25|Non-fatal heart attacks", US_national_yearly!$D:$AM, 36, FALSE) / VLOOKUP("buildings|PM25|Non-fatal heart attacks", US_national_yearly!$D:$AM, 10, FALSE), 1)</f>
        <v>2.0391303416149524E-2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11.104768948121858</v>
      </c>
      <c r="C14" s="7">
        <f>$B14 * IFERROR(VLOOKUP("buildings|PM25|Minor restricted activity days", US_national_yearly!$D:$AM, 11, FALSE) / VLOOKUP("buildings|PM25|Minor restricted activity days", US_national_yearly!$D:$AM, 10, FALSE), 1)</f>
        <v>11.132387131056461</v>
      </c>
      <c r="D14" s="7">
        <f>$B14 * IFERROR(VLOOKUP("buildings|PM25|Minor restricted activity days", US_national_yearly!$D:$AM, 12, FALSE) / VLOOKUP("buildings|PM25|Minor restricted activity days", US_national_yearly!$D:$AM, 10, FALSE), 1)</f>
        <v>11.160005313991066</v>
      </c>
      <c r="E14" s="7">
        <f>$B14 * IFERROR(VLOOKUP("buildings|PM25|Minor restricted activity days", US_national_yearly!$D:$AM, 13, FALSE) / VLOOKUP("buildings|PM25|Minor restricted activity days", US_national_yearly!$D:$AM, 10, FALSE), 1)</f>
        <v>11.187623496925669</v>
      </c>
      <c r="F14" s="7">
        <f>$B14 * IFERROR(VLOOKUP("buildings|PM25|Minor restricted activity days", US_national_yearly!$D:$AM, 14, FALSE) / VLOOKUP("buildings|PM25|Minor restricted activity days", US_national_yearly!$D:$AM, 10, FALSE), 1)</f>
        <v>11.21524167986027</v>
      </c>
      <c r="G14" s="7">
        <f>$B14 * IFERROR(VLOOKUP("buildings|PM25|Minor restricted activity days", US_national_yearly!$D:$AM, 15, FALSE) / VLOOKUP("buildings|PM25|Minor restricted activity days", US_national_yearly!$D:$AM, 10, FALSE), 1)</f>
        <v>11.255749168745377</v>
      </c>
      <c r="H14" s="7">
        <f>$B14 * IFERROR(VLOOKUP("buildings|PM25|Minor restricted activity days", US_national_yearly!$D:$AM, 16, FALSE) / VLOOKUP("buildings|PM25|Minor restricted activity days", US_national_yearly!$D:$AM, 10, FALSE), 1)</f>
        <v>11.296256657630476</v>
      </c>
      <c r="I14" s="7">
        <f>$B14 * IFERROR(VLOOKUP("buildings|PM25|Minor restricted activity days", US_national_yearly!$D:$AM, 17, FALSE) / VLOOKUP("buildings|PM25|Minor restricted activity days", US_national_yearly!$D:$AM, 10, FALSE), 1)</f>
        <v>11.365137572594206</v>
      </c>
      <c r="J14" s="7">
        <f>$B14 * IFERROR(VLOOKUP("buildings|PM25|Minor restricted activity days", US_national_yearly!$D:$AM, 18, FALSE) / VLOOKUP("buildings|PM25|Minor restricted activity days", US_national_yearly!$D:$AM, 10, FALSE), 1)</f>
        <v>11.434018487557939</v>
      </c>
      <c r="K14" s="7">
        <f>$B14 * IFERROR(VLOOKUP("buildings|PM25|Minor restricted activity days", US_national_yearly!$D:$AM, 19, FALSE) / VLOOKUP("buildings|PM25|Minor restricted activity days", US_national_yearly!$D:$AM, 10, FALSE), 1)</f>
        <v>11.502899402521663</v>
      </c>
      <c r="L14" s="7">
        <f>$B14 * IFERROR(VLOOKUP("buildings|PM25|Minor restricted activity days", US_national_yearly!$D:$AM, 20, FALSE) / VLOOKUP("buildings|PM25|Minor restricted activity days", US_national_yearly!$D:$AM, 10, FALSE), 1)</f>
        <v>11.571780317485389</v>
      </c>
      <c r="M14" s="7">
        <f>$B14 * IFERROR(VLOOKUP("buildings|PM25|Minor restricted activity days", US_national_yearly!$D:$AM, 21, FALSE) / VLOOKUP("buildings|PM25|Minor restricted activity days", US_national_yearly!$D:$AM, 10, FALSE), 1)</f>
        <v>11.640661232449117</v>
      </c>
      <c r="N14" s="7">
        <f>$B14 * IFERROR(VLOOKUP("buildings|PM25|Minor restricted activity days", US_national_yearly!$D:$AM, 22, FALSE) / VLOOKUP("buildings|PM25|Minor restricted activity days", US_national_yearly!$D:$AM, 10, FALSE), 1)</f>
        <v>11.73425377742076</v>
      </c>
      <c r="O14" s="7">
        <f>$B14 * IFERROR(VLOOKUP("buildings|PM25|Minor restricted activity days", US_national_yearly!$D:$AM, 23, FALSE) / VLOOKUP("buildings|PM25|Minor restricted activity days", US_national_yearly!$D:$AM, 10, FALSE), 1)</f>
        <v>11.8278463223924</v>
      </c>
      <c r="P14" s="7">
        <f>$B14 * IFERROR(VLOOKUP("buildings|PM25|Minor restricted activity days", US_national_yearly!$D:$AM, 24, FALSE) / VLOOKUP("buildings|PM25|Minor restricted activity days", US_national_yearly!$D:$AM, 10, FALSE), 1)</f>
        <v>11.921438867364039</v>
      </c>
      <c r="Q14" s="7">
        <f>$B14 * IFERROR(VLOOKUP("buildings|PM25|Minor restricted activity days", US_national_yearly!$D:$AM, 25, FALSE) / VLOOKUP("buildings|PM25|Minor restricted activity days", US_national_yearly!$D:$AM, 10, FALSE), 1)</f>
        <v>12.015031412335679</v>
      </c>
      <c r="R14" s="7">
        <f>$B14 * IFERROR(VLOOKUP("buildings|PM25|Minor restricted activity days", US_national_yearly!$D:$AM, 26, FALSE) / VLOOKUP("buildings|PM25|Minor restricted activity days", US_national_yearly!$D:$AM, 10, FALSE), 1)</f>
        <v>12.108623957307319</v>
      </c>
      <c r="S14" s="7">
        <f>$B14 * IFERROR(VLOOKUP("buildings|PM25|Minor restricted activity days", US_national_yearly!$D:$AM, 27, FALSE) / VLOOKUP("buildings|PM25|Minor restricted activity days", US_national_yearly!$D:$AM, 10, FALSE), 1)</f>
        <v>12.202796500343057</v>
      </c>
      <c r="T14" s="7">
        <f>$B14 * IFERROR(VLOOKUP("buildings|PM25|Minor restricted activity days", US_national_yearly!$D:$AM, 28, FALSE) / VLOOKUP("buildings|PM25|Minor restricted activity days", US_national_yearly!$D:$AM, 10, FALSE), 1)</f>
        <v>12.296969043378791</v>
      </c>
      <c r="U14" s="7">
        <f>$B14 * IFERROR(VLOOKUP("buildings|PM25|Minor restricted activity days", US_national_yearly!$D:$AM, 29, FALSE) / VLOOKUP("buildings|PM25|Minor restricted activity days", US_national_yearly!$D:$AM, 10, FALSE), 1)</f>
        <v>12.391141586414529</v>
      </c>
      <c r="V14" s="7">
        <f>$B14 * IFERROR(VLOOKUP("buildings|PM25|Minor restricted activity days", US_national_yearly!$D:$AM, 30, FALSE) / VLOOKUP("buildings|PM25|Minor restricted activity days", US_national_yearly!$D:$AM, 10, FALSE), 1)</f>
        <v>12.485314129450263</v>
      </c>
      <c r="W14" s="7">
        <f>$B14 * IFERROR(VLOOKUP("buildings|PM25|Minor restricted activity days", US_national_yearly!$D:$AM, 31, FALSE) / VLOOKUP("buildings|PM25|Minor restricted activity days", US_national_yearly!$D:$AM, 10, FALSE), 1)</f>
        <v>12.579486672486</v>
      </c>
      <c r="X14" s="7">
        <f>$B14 * IFERROR(VLOOKUP("buildings|PM25|Minor restricted activity days", US_national_yearly!$D:$AM, 32, FALSE) / VLOOKUP("buildings|PM25|Minor restricted activity days", US_national_yearly!$D:$AM, 10, FALSE), 1)</f>
        <v>12.661257218062275</v>
      </c>
      <c r="Y14" s="7">
        <f>$B14 * IFERROR(VLOOKUP("buildings|PM25|Minor restricted activity days", US_national_yearly!$D:$AM, 33, FALSE) / VLOOKUP("buildings|PM25|Minor restricted activity days", US_national_yearly!$D:$AM, 10, FALSE), 1)</f>
        <v>12.743027763638546</v>
      </c>
      <c r="Z14" s="7">
        <f>$B14 * IFERROR(VLOOKUP("buildings|PM25|Minor restricted activity days", US_national_yearly!$D:$AM, 34, FALSE) / VLOOKUP("buildings|PM25|Minor restricted activity days", US_national_yearly!$D:$AM, 10, FALSE), 1)</f>
        <v>12.824798309214817</v>
      </c>
      <c r="AA14" s="7">
        <f>$B14 * IFERROR(VLOOKUP("buildings|PM25|Minor restricted activity days", US_national_yearly!$D:$AM, 35, FALSE) / VLOOKUP("buildings|PM25|Minor restricted activity days", US_national_yearly!$D:$AM, 10, FALSE), 1)</f>
        <v>12.906568854791088</v>
      </c>
      <c r="AB14" s="7">
        <f>$B14 * IFERROR(VLOOKUP("buildings|PM25|Minor restricted activity days", US_national_yearly!$D:$AM, 36, FALSE) / VLOOKUP("buildings|PM25|Minor restricted activity days", US_national_yearly!$D:$AM, 10, FALSE), 1)</f>
        <v>12.98833940036736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1.8717680092360509</v>
      </c>
      <c r="C15" s="7">
        <f>$B15 * IFERROR(VLOOKUP("buildings|PM25|Work loss days", US_national_yearly!$D:$AM, 11, FALSE) / VLOOKUP("buildings|PM25|Work loss days", US_national_yearly!$D:$AM, 10, FALSE), 1)</f>
        <v>1.8776420209147449</v>
      </c>
      <c r="D15" s="7">
        <f>$B15 * IFERROR(VLOOKUP("buildings|PM25|Work loss days", US_national_yearly!$D:$AM, 12, FALSE) / VLOOKUP("buildings|PM25|Work loss days", US_national_yearly!$D:$AM, 10, FALSE), 1)</f>
        <v>1.8835160325934381</v>
      </c>
      <c r="E15" s="7">
        <f>$B15 * IFERROR(VLOOKUP("buildings|PM25|Work loss days", US_national_yearly!$D:$AM, 13, FALSE) / VLOOKUP("buildings|PM25|Work loss days", US_national_yearly!$D:$AM, 10, FALSE), 1)</f>
        <v>1.8893900442721316</v>
      </c>
      <c r="F15" s="7">
        <f>$B15 * IFERROR(VLOOKUP("buildings|PM25|Work loss days", US_national_yearly!$D:$AM, 14, FALSE) / VLOOKUP("buildings|PM25|Work loss days", US_national_yearly!$D:$AM, 10, FALSE), 1)</f>
        <v>1.8952640559508251</v>
      </c>
      <c r="G15" s="7">
        <f>$B15 * IFERROR(VLOOKUP("buildings|PM25|Work loss days", US_national_yearly!$D:$AM, 15, FALSE) / VLOOKUP("buildings|PM25|Work loss days", US_national_yearly!$D:$AM, 10, FALSE), 1)</f>
        <v>1.9029419156093683</v>
      </c>
      <c r="H15" s="7">
        <f>$B15 * IFERROR(VLOOKUP("buildings|PM25|Work loss days", US_national_yearly!$D:$AM, 16, FALSE) / VLOOKUP("buildings|PM25|Work loss days", US_national_yearly!$D:$AM, 10, FALSE), 1)</f>
        <v>1.9106197752679115</v>
      </c>
      <c r="I15" s="7">
        <f>$B15 * IFERROR(VLOOKUP("buildings|PM25|Work loss days", US_national_yearly!$D:$AM, 17, FALSE) / VLOOKUP("buildings|PM25|Work loss days", US_national_yearly!$D:$AM, 10, FALSE), 1)</f>
        <v>1.9218959890447473</v>
      </c>
      <c r="J15" s="7">
        <f>$B15 * IFERROR(VLOOKUP("buildings|PM25|Work loss days", US_national_yearly!$D:$AM, 18, FALSE) / VLOOKUP("buildings|PM25|Work loss days", US_national_yearly!$D:$AM, 10, FALSE), 1)</f>
        <v>1.9331722028215832</v>
      </c>
      <c r="K15" s="7">
        <f>$B15 * IFERROR(VLOOKUP("buildings|PM25|Work loss days", US_national_yearly!$D:$AM, 19, FALSE) / VLOOKUP("buildings|PM25|Work loss days", US_national_yearly!$D:$AM, 10, FALSE), 1)</f>
        <v>1.9444484165984188</v>
      </c>
      <c r="L15" s="7">
        <f>$B15 * IFERROR(VLOOKUP("buildings|PM25|Work loss days", US_national_yearly!$D:$AM, 20, FALSE) / VLOOKUP("buildings|PM25|Work loss days", US_national_yearly!$D:$AM, 10, FALSE), 1)</f>
        <v>1.9557246303752547</v>
      </c>
      <c r="M15" s="7">
        <f>$B15 * IFERROR(VLOOKUP("buildings|PM25|Work loss days", US_national_yearly!$D:$AM, 21, FALSE) / VLOOKUP("buildings|PM25|Work loss days", US_national_yearly!$D:$AM, 10, FALSE), 1)</f>
        <v>1.9670008441520908</v>
      </c>
      <c r="N15" s="7">
        <f>$B15 * IFERROR(VLOOKUP("buildings|PM25|Work loss days", US_national_yearly!$D:$AM, 22, FALSE) / VLOOKUP("buildings|PM25|Work loss days", US_national_yearly!$D:$AM, 10, FALSE), 1)</f>
        <v>1.9811780378973591</v>
      </c>
      <c r="O15" s="7">
        <f>$B15 * IFERROR(VLOOKUP("buildings|PM25|Work loss days", US_national_yearly!$D:$AM, 23, FALSE) / VLOOKUP("buildings|PM25|Work loss days", US_national_yearly!$D:$AM, 10, FALSE), 1)</f>
        <v>1.9953552316426277</v>
      </c>
      <c r="P15" s="7">
        <f>$B15 * IFERROR(VLOOKUP("buildings|PM25|Work loss days", US_national_yearly!$D:$AM, 24, FALSE) / VLOOKUP("buildings|PM25|Work loss days", US_national_yearly!$D:$AM, 10, FALSE), 1)</f>
        <v>2.0095324253878961</v>
      </c>
      <c r="Q15" s="7">
        <f>$B15 * IFERROR(VLOOKUP("buildings|PM25|Work loss days", US_national_yearly!$D:$AM, 25, FALSE) / VLOOKUP("buildings|PM25|Work loss days", US_national_yearly!$D:$AM, 10, FALSE), 1)</f>
        <v>2.0237096191331645</v>
      </c>
      <c r="R15" s="7">
        <f>$B15 * IFERROR(VLOOKUP("buildings|PM25|Work loss days", US_national_yearly!$D:$AM, 26, FALSE) / VLOOKUP("buildings|PM25|Work loss days", US_national_yearly!$D:$AM, 10, FALSE), 1)</f>
        <v>2.0378868128784329</v>
      </c>
      <c r="S15" s="7">
        <f>$B15 * IFERROR(VLOOKUP("buildings|PM25|Work loss days", US_national_yearly!$D:$AM, 27, FALSE) / VLOOKUP("buildings|PM25|Work loss days", US_national_yearly!$D:$AM, 10, FALSE), 1)</f>
        <v>2.0535472853600676</v>
      </c>
      <c r="T15" s="7">
        <f>$B15 * IFERROR(VLOOKUP("buildings|PM25|Work loss days", US_national_yearly!$D:$AM, 28, FALSE) / VLOOKUP("buildings|PM25|Work loss days", US_national_yearly!$D:$AM, 10, FALSE), 1)</f>
        <v>2.0692077578417027</v>
      </c>
      <c r="U15" s="7">
        <f>$B15 * IFERROR(VLOOKUP("buildings|PM25|Work loss days", US_national_yearly!$D:$AM, 29, FALSE) / VLOOKUP("buildings|PM25|Work loss days", US_national_yearly!$D:$AM, 10, FALSE), 1)</f>
        <v>2.0848682303233379</v>
      </c>
      <c r="V15" s="7">
        <f>$B15 * IFERROR(VLOOKUP("buildings|PM25|Work loss days", US_national_yearly!$D:$AM, 30, FALSE) / VLOOKUP("buildings|PM25|Work loss days", US_national_yearly!$D:$AM, 10, FALSE), 1)</f>
        <v>2.1005287028049726</v>
      </c>
      <c r="W15" s="7">
        <f>$B15 * IFERROR(VLOOKUP("buildings|PM25|Work loss days", US_national_yearly!$D:$AM, 31, FALSE) / VLOOKUP("buildings|PM25|Work loss days", US_national_yearly!$D:$AM, 10, FALSE), 1)</f>
        <v>2.1161891752866078</v>
      </c>
      <c r="X15" s="7">
        <f>$B15 * IFERROR(VLOOKUP("buildings|PM25|Work loss days", US_national_yearly!$D:$AM, 32, FALSE) / VLOOKUP("buildings|PM25|Work loss days", US_national_yearly!$D:$AM, 10, FALSE), 1)</f>
        <v>2.1300863520236577</v>
      </c>
      <c r="Y15" s="7">
        <f>$B15 * IFERROR(VLOOKUP("buildings|PM25|Work loss days", US_national_yearly!$D:$AM, 33, FALSE) / VLOOKUP("buildings|PM25|Work loss days", US_national_yearly!$D:$AM, 10, FALSE), 1)</f>
        <v>2.1439835287607085</v>
      </c>
      <c r="Z15" s="7">
        <f>$B15 * IFERROR(VLOOKUP("buildings|PM25|Work loss days", US_national_yearly!$D:$AM, 34, FALSE) / VLOOKUP("buildings|PM25|Work loss days", US_national_yearly!$D:$AM, 10, FALSE), 1)</f>
        <v>2.1578807054977585</v>
      </c>
      <c r="AA15" s="7">
        <f>$B15 * IFERROR(VLOOKUP("buildings|PM25|Work loss days", US_national_yearly!$D:$AM, 35, FALSE) / VLOOKUP("buildings|PM25|Work loss days", US_national_yearly!$D:$AM, 10, FALSE), 1)</f>
        <v>2.1717778822348088</v>
      </c>
      <c r="AB15" s="7">
        <f>$B15 * IFERROR(VLOOKUP("buildings|PM25|Work loss days", US_national_yearly!$D:$AM, 36, FALSE) / VLOOKUP("buildings|PM25|Work loss days", US_national_yearly!$D:$AM, 10, FALSE), 1)</f>
        <v>2.1856750589718588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3.4061696766450496E-3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3.5079676445354045E-3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3.6097656124257594E-3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3.7115635803161135E-3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3.813361548206468E-3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3.9108994107323975E-3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4.0084372732583275E-3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4.0919386578547618E-3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4.1754400424511961E-3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4.2589414270476312E-3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4.3424428116440664E-3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4.4259441962405006E-3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4.4817023125649528E-3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4.5374604288894059E-3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4.593218545213858E-3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4.6489766615383111E-3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4.7047347778627633E-3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4.7343627696420339E-3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4.7639907614213028E-3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4.7936187532005734E-3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4.8232467449798424E-3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4.852874736759113E-3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4.8729078958472801E-3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4.8929410549354473E-3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4.9129742140236144E-3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4.9330073731117807E-3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4.9530405321999479E-3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1.3391455796376501E-3</v>
      </c>
      <c r="C2" s="7">
        <f>$B2 * IFERROR(VLOOKUP("buildings|NOx|Premature mortality", US_national_yearly!$D:$AM, 11, FALSE) / VLOOKUP("buildings|NOx|Premature mortality", US_national_yearly!$D:$AM, 10, FALSE), 1)</f>
        <v>1.3588426487151448E-3</v>
      </c>
      <c r="D2" s="7">
        <f>$B2 * IFERROR(VLOOKUP("buildings|NOx|Premature mortality", US_national_yearly!$D:$AM, 12, FALSE) / VLOOKUP("buildings|NOx|Premature mortality", US_national_yearly!$D:$AM, 10, FALSE), 1)</f>
        <v>1.3785397177926394E-3</v>
      </c>
      <c r="E2" s="7">
        <f>$B2 * IFERROR(VLOOKUP("buildings|NOx|Premature mortality", US_national_yearly!$D:$AM, 13, FALSE) / VLOOKUP("buildings|NOx|Premature mortality", US_national_yearly!$D:$AM, 10, FALSE), 1)</f>
        <v>1.3982367868701341E-3</v>
      </c>
      <c r="F2" s="7">
        <f>$B2 * IFERROR(VLOOKUP("buildings|NOx|Premature mortality", US_national_yearly!$D:$AM, 14, FALSE) / VLOOKUP("buildings|NOx|Premature mortality", US_national_yearly!$D:$AM, 10, FALSE), 1)</f>
        <v>1.4179338559476287E-3</v>
      </c>
      <c r="G2" s="7">
        <f>$B2 * IFERROR(VLOOKUP("buildings|NOx|Premature mortality", US_national_yearly!$D:$AM, 15, FALSE) / VLOOKUP("buildings|NOx|Premature mortality", US_national_yearly!$D:$AM, 10, FALSE), 1)</f>
        <v>1.4532972325748722E-3</v>
      </c>
      <c r="H2" s="7">
        <f>$B2 * IFERROR(VLOOKUP("buildings|NOx|Premature mortality", US_national_yearly!$D:$AM, 16, FALSE) / VLOOKUP("buildings|NOx|Premature mortality", US_national_yearly!$D:$AM, 10, FALSE), 1)</f>
        <v>1.488660609202116E-3</v>
      </c>
      <c r="I2" s="7">
        <f>$B2 * IFERROR(VLOOKUP("buildings|NOx|Premature mortality", US_national_yearly!$D:$AM, 17, FALSE) / VLOOKUP("buildings|NOx|Premature mortality", US_national_yearly!$D:$AM, 10, FALSE), 1)</f>
        <v>1.5115143281280966E-3</v>
      </c>
      <c r="J2" s="7">
        <f>$B2 * IFERROR(VLOOKUP("buildings|NOx|Premature mortality", US_national_yearly!$D:$AM, 18, FALSE) / VLOOKUP("buildings|NOx|Premature mortality", US_national_yearly!$D:$AM, 10, FALSE), 1)</f>
        <v>1.5343680470540767E-3</v>
      </c>
      <c r="K2" s="7">
        <f>$B2 * IFERROR(VLOOKUP("buildings|NOx|Premature mortality", US_national_yearly!$D:$AM, 19, FALSE) / VLOOKUP("buildings|NOx|Premature mortality", US_national_yearly!$D:$AM, 10, FALSE), 1)</f>
        <v>1.5572217659800573E-3</v>
      </c>
      <c r="L2" s="7">
        <f>$B2 * IFERROR(VLOOKUP("buildings|NOx|Premature mortality", US_national_yearly!$D:$AM, 20, FALSE) / VLOOKUP("buildings|NOx|Premature mortality", US_national_yearly!$D:$AM, 10, FALSE), 1)</f>
        <v>1.5800754849060379E-3</v>
      </c>
      <c r="M2" s="7">
        <f>$B2 * IFERROR(VLOOKUP("buildings|NOx|Premature mortality", US_national_yearly!$D:$AM, 21, FALSE) / VLOOKUP("buildings|NOx|Premature mortality", US_national_yearly!$D:$AM, 10, FALSE), 1)</f>
        <v>1.6029292038320182E-3</v>
      </c>
      <c r="N2" s="7">
        <f>$B2 * IFERROR(VLOOKUP("buildings|NOx|Premature mortality", US_national_yearly!$D:$AM, 22, FALSE) / VLOOKUP("buildings|NOx|Premature mortality", US_national_yearly!$D:$AM, 10, FALSE), 1)</f>
        <v>1.6198629371590733E-3</v>
      </c>
      <c r="O2" s="7">
        <f>$B2 * IFERROR(VLOOKUP("buildings|NOx|Premature mortality", US_national_yearly!$D:$AM, 23, FALSE) / VLOOKUP("buildings|NOx|Premature mortality", US_national_yearly!$D:$AM, 10, FALSE), 1)</f>
        <v>1.6367966704861287E-3</v>
      </c>
      <c r="P2" s="7">
        <f>$B2 * IFERROR(VLOOKUP("buildings|NOx|Premature mortality", US_national_yearly!$D:$AM, 24, FALSE) / VLOOKUP("buildings|NOx|Premature mortality", US_national_yearly!$D:$AM, 10, FALSE), 1)</f>
        <v>1.653730403813184E-3</v>
      </c>
      <c r="Q2" s="7">
        <f>$B2 * IFERROR(VLOOKUP("buildings|NOx|Premature mortality", US_national_yearly!$D:$AM, 25, FALSE) / VLOOKUP("buildings|NOx|Premature mortality", US_national_yearly!$D:$AM, 10, FALSE), 1)</f>
        <v>1.6706641371402391E-3</v>
      </c>
      <c r="R2" s="7">
        <f>$B2 * IFERROR(VLOOKUP("buildings|NOx|Premature mortality", US_national_yearly!$D:$AM, 26, FALSE) / VLOOKUP("buildings|NOx|Premature mortality", US_national_yearly!$D:$AM, 10, FALSE), 1)</f>
        <v>1.6875978704672945E-3</v>
      </c>
      <c r="S2" s="7">
        <f>$B2 * IFERROR(VLOOKUP("buildings|NOx|Premature mortality", US_national_yearly!$D:$AM, 27, FALSE) / VLOOKUP("buildings|NOx|Premature mortality", US_national_yearly!$D:$AM, 10, FALSE), 1)</f>
        <v>1.6952966132618116E-3</v>
      </c>
      <c r="T2" s="7">
        <f>$B2 * IFERROR(VLOOKUP("buildings|NOx|Premature mortality", US_national_yearly!$D:$AM, 28, FALSE) / VLOOKUP("buildings|NOx|Premature mortality", US_national_yearly!$D:$AM, 10, FALSE), 1)</f>
        <v>1.7029953560563282E-3</v>
      </c>
      <c r="U2" s="7">
        <f>$B2 * IFERROR(VLOOKUP("buildings|NOx|Premature mortality", US_national_yearly!$D:$AM, 29, FALSE) / VLOOKUP("buildings|NOx|Premature mortality", US_national_yearly!$D:$AM, 10, FALSE), 1)</f>
        <v>1.7106940988508451E-3</v>
      </c>
      <c r="V2" s="7">
        <f>$B2 * IFERROR(VLOOKUP("buildings|NOx|Premature mortality", US_national_yearly!$D:$AM, 30, FALSE) / VLOOKUP("buildings|NOx|Premature mortality", US_national_yearly!$D:$AM, 10, FALSE), 1)</f>
        <v>1.7183928416453621E-3</v>
      </c>
      <c r="W2" s="7">
        <f>$B2 * IFERROR(VLOOKUP("buildings|NOx|Premature mortality", US_national_yearly!$D:$AM, 31, FALSE) / VLOOKUP("buildings|NOx|Premature mortality", US_national_yearly!$D:$AM, 10, FALSE), 1)</f>
        <v>1.7260915844398788E-3</v>
      </c>
      <c r="X2" s="7">
        <f>$B2 * IFERROR(VLOOKUP("buildings|NOx|Premature mortality", US_national_yearly!$D:$AM, 32, FALSE) / VLOOKUP("buildings|NOx|Premature mortality", US_national_yearly!$D:$AM, 10, FALSE), 1)</f>
        <v>1.7263627278853283E-3</v>
      </c>
      <c r="Y2" s="7">
        <f>$B2 * IFERROR(VLOOKUP("buildings|NOx|Premature mortality", US_national_yearly!$D:$AM, 33, FALSE) / VLOOKUP("buildings|NOx|Premature mortality", US_national_yearly!$D:$AM, 10, FALSE), 1)</f>
        <v>1.7266338713307779E-3</v>
      </c>
      <c r="Z2" s="7">
        <f>$B2 * IFERROR(VLOOKUP("buildings|NOx|Premature mortality", US_national_yearly!$D:$AM, 34, FALSE) / VLOOKUP("buildings|NOx|Premature mortality", US_national_yearly!$D:$AM, 10, FALSE), 1)</f>
        <v>1.7269050147762275E-3</v>
      </c>
      <c r="AA2" s="7">
        <f>$B2 * IFERROR(VLOOKUP("buildings|NOx|Premature mortality", US_national_yearly!$D:$AM, 35, FALSE) / VLOOKUP("buildings|NOx|Premature mortality", US_national_yearly!$D:$AM, 10, FALSE), 1)</f>
        <v>1.7271761582216766E-3</v>
      </c>
      <c r="AB2" s="7">
        <f>$B2 * IFERROR(VLOOKUP("buildings|NOx|Premature mortality", US_national_yearly!$D:$AM, 36, FALSE) / VLOOKUP("buildings|NOx|Premature mortality", US_national_yearly!$D:$AM, 10, FALSE), 1)</f>
        <v>1.7274473016671264E-3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2.3401843824740699E-6</v>
      </c>
      <c r="C3" s="7">
        <f>$B3 * IFERROR(VLOOKUP("buildings|NOx|Infant mortality", US_national_yearly!$D:$AM, 11, FALSE) / VLOOKUP("buildings|NOx|Infant mortality", US_national_yearly!$D:$AM, 10, FALSE), 1)</f>
        <v>2.3179553773665208E-6</v>
      </c>
      <c r="D3" s="7">
        <f>$B3 * IFERROR(VLOOKUP("buildings|NOx|Infant mortality", US_national_yearly!$D:$AM, 12, FALSE) / VLOOKUP("buildings|NOx|Infant mortality", US_national_yearly!$D:$AM, 10, FALSE), 1)</f>
        <v>2.2957263722589713E-6</v>
      </c>
      <c r="E3" s="7">
        <f>$B3 * IFERROR(VLOOKUP("buildings|NOx|Infant mortality", US_national_yearly!$D:$AM, 13, FALSE) / VLOOKUP("buildings|NOx|Infant mortality", US_national_yearly!$D:$AM, 10, FALSE), 1)</f>
        <v>2.2734973671514222E-6</v>
      </c>
      <c r="F3" s="7">
        <f>$B3 * IFERROR(VLOOKUP("buildings|NOx|Infant mortality", US_national_yearly!$D:$AM, 14, FALSE) / VLOOKUP("buildings|NOx|Infant mortality", US_national_yearly!$D:$AM, 10, FALSE), 1)</f>
        <v>2.2512683620438727E-6</v>
      </c>
      <c r="G3" s="7">
        <f>$B3 * IFERROR(VLOOKUP("buildings|NOx|Infant mortality", US_national_yearly!$D:$AM, 15, FALSE) / VLOOKUP("buildings|NOx|Infant mortality", US_national_yearly!$D:$AM, 10, FALSE), 1)</f>
        <v>1.4942511153354359E-6</v>
      </c>
      <c r="H3" s="7">
        <f>$B3 * IFERROR(VLOOKUP("buildings|NOx|Infant mortality", US_national_yearly!$D:$AM, 16, FALSE) / VLOOKUP("buildings|NOx|Infant mortality", US_national_yearly!$D:$AM, 10, FALSE), 1)</f>
        <v>7.3723386862699903E-7</v>
      </c>
      <c r="I3" s="7">
        <f>$B3 * IFERROR(VLOOKUP("buildings|NOx|Infant mortality", US_national_yearly!$D:$AM, 17, FALSE) / VLOOKUP("buildings|NOx|Infant mortality", US_national_yearly!$D:$AM, 10, FALSE), 1)</f>
        <v>7.3202563692494269E-7</v>
      </c>
      <c r="J3" s="7">
        <f>$B3 * IFERROR(VLOOKUP("buildings|NOx|Infant mortality", US_national_yearly!$D:$AM, 18, FALSE) / VLOOKUP("buildings|NOx|Infant mortality", US_national_yearly!$D:$AM, 10, FALSE), 1)</f>
        <v>7.2681740522288624E-7</v>
      </c>
      <c r="K3" s="7">
        <f>$B3 * IFERROR(VLOOKUP("buildings|NOx|Infant mortality", US_national_yearly!$D:$AM, 19, FALSE) / VLOOKUP("buildings|NOx|Infant mortality", US_national_yearly!$D:$AM, 10, FALSE), 1)</f>
        <v>7.216091735208299E-7</v>
      </c>
      <c r="L3" s="7">
        <f>$B3 * IFERROR(VLOOKUP("buildings|NOx|Infant mortality", US_national_yearly!$D:$AM, 20, FALSE) / VLOOKUP("buildings|NOx|Infant mortality", US_national_yearly!$D:$AM, 10, FALSE), 1)</f>
        <v>7.1640094181877355E-7</v>
      </c>
      <c r="M3" s="7">
        <f>$B3 * IFERROR(VLOOKUP("buildings|NOx|Infant mortality", US_national_yearly!$D:$AM, 21, FALSE) / VLOOKUP("buildings|NOx|Infant mortality", US_national_yearly!$D:$AM, 10, FALSE), 1)</f>
        <v>7.111927101167171E-7</v>
      </c>
      <c r="N3" s="7">
        <f>$B3 * IFERROR(VLOOKUP("buildings|NOx|Infant mortality", US_national_yearly!$D:$AM, 22, FALSE) / VLOOKUP("buildings|NOx|Infant mortality", US_national_yearly!$D:$AM, 10, FALSE), 1)</f>
        <v>7.0774150657627634E-7</v>
      </c>
      <c r="O3" s="7">
        <f>$B3 * IFERROR(VLOOKUP("buildings|NOx|Infant mortality", US_national_yearly!$D:$AM, 23, FALSE) / VLOOKUP("buildings|NOx|Infant mortality", US_national_yearly!$D:$AM, 10, FALSE), 1)</f>
        <v>7.0429030303583569E-7</v>
      </c>
      <c r="P3" s="7">
        <f>$B3 * IFERROR(VLOOKUP("buildings|NOx|Infant mortality", US_national_yearly!$D:$AM, 24, FALSE) / VLOOKUP("buildings|NOx|Infant mortality", US_national_yearly!$D:$AM, 10, FALSE), 1)</f>
        <v>7.0083909949539504E-7</v>
      </c>
      <c r="Q3" s="7">
        <f>$B3 * IFERROR(VLOOKUP("buildings|NOx|Infant mortality", US_national_yearly!$D:$AM, 25, FALSE) / VLOOKUP("buildings|NOx|Infant mortality", US_national_yearly!$D:$AM, 10, FALSE), 1)</f>
        <v>6.9738789595495438E-7</v>
      </c>
      <c r="R3" s="7">
        <f>$B3 * IFERROR(VLOOKUP("buildings|NOx|Infant mortality", US_national_yearly!$D:$AM, 26, FALSE) / VLOOKUP("buildings|NOx|Infant mortality", US_national_yearly!$D:$AM, 10, FALSE), 1)</f>
        <v>6.9393669241451373E-7</v>
      </c>
      <c r="S3" s="7">
        <f>$B3 * IFERROR(VLOOKUP("buildings|NOx|Infant mortality", US_national_yearly!$D:$AM, 27, FALSE) / VLOOKUP("buildings|NOx|Infant mortality", US_national_yearly!$D:$AM, 10, FALSE), 1)</f>
        <v>6.8978511497624226E-7</v>
      </c>
      <c r="T3" s="7">
        <f>$B3 * IFERROR(VLOOKUP("buildings|NOx|Infant mortality", US_national_yearly!$D:$AM, 28, FALSE) / VLOOKUP("buildings|NOx|Infant mortality", US_national_yearly!$D:$AM, 10, FALSE), 1)</f>
        <v>6.85633537537971E-7</v>
      </c>
      <c r="U3" s="7">
        <f>$B3 * IFERROR(VLOOKUP("buildings|NOx|Infant mortality", US_national_yearly!$D:$AM, 29, FALSE) / VLOOKUP("buildings|NOx|Infant mortality", US_national_yearly!$D:$AM, 10, FALSE), 1)</f>
        <v>6.8148196009969954E-7</v>
      </c>
      <c r="V3" s="7">
        <f>$B3 * IFERROR(VLOOKUP("buildings|NOx|Infant mortality", US_national_yearly!$D:$AM, 30, FALSE) / VLOOKUP("buildings|NOx|Infant mortality", US_national_yearly!$D:$AM, 10, FALSE), 1)</f>
        <v>6.7733038266142807E-7</v>
      </c>
      <c r="W3" s="7">
        <f>$B3 * IFERROR(VLOOKUP("buildings|NOx|Infant mortality", US_national_yearly!$D:$AM, 31, FALSE) / VLOOKUP("buildings|NOx|Infant mortality", US_national_yearly!$D:$AM, 10, FALSE), 1)</f>
        <v>6.7317880522315682E-7</v>
      </c>
      <c r="X3" s="7">
        <f>$B3 * IFERROR(VLOOKUP("buildings|NOx|Infant mortality", US_national_yearly!$D:$AM, 32, FALSE) / VLOOKUP("buildings|NOx|Infant mortality", US_national_yearly!$D:$AM, 10, FALSE), 1)</f>
        <v>6.6878607243207589E-7</v>
      </c>
      <c r="Y3" s="7">
        <f>$B3 * IFERROR(VLOOKUP("buildings|NOx|Infant mortality", US_national_yearly!$D:$AM, 33, FALSE) / VLOOKUP("buildings|NOx|Infant mortality", US_national_yearly!$D:$AM, 10, FALSE), 1)</f>
        <v>6.6439333964099528E-7</v>
      </c>
      <c r="Z3" s="7">
        <f>$B3 * IFERROR(VLOOKUP("buildings|NOx|Infant mortality", US_national_yearly!$D:$AM, 34, FALSE) / VLOOKUP("buildings|NOx|Infant mortality", US_national_yearly!$D:$AM, 10, FALSE), 1)</f>
        <v>6.6000060684991435E-7</v>
      </c>
      <c r="AA3" s="7">
        <f>$B3 * IFERROR(VLOOKUP("buildings|NOx|Infant mortality", US_national_yearly!$D:$AM, 35, FALSE) / VLOOKUP("buildings|NOx|Infant mortality", US_national_yearly!$D:$AM, 10, FALSE), 1)</f>
        <v>6.5560787405883353E-7</v>
      </c>
      <c r="AB3" s="7">
        <f>$B3 * IFERROR(VLOOKUP("buildings|NOx|Infant mortality", US_national_yearly!$D:$AM, 36, FALSE) / VLOOKUP("buildings|NOx|Infant mortality", US_national_yearly!$D:$AM, 10, FALSE), 1)</f>
        <v>6.5121514126775271E-7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3.1152699687411432E-3</v>
      </c>
      <c r="C6" s="7">
        <f>$B6 * IFERROR(VLOOKUP("buildings|NOx|Asthma symptoms cough", US_national_yearly!$D:$AM, 11, FALSE) / VLOOKUP("buildings|NOx|Asthma symptoms cough", US_national_yearly!$D:$AM, 10, FALSE), 1)</f>
        <v>3.1579032868053053E-3</v>
      </c>
      <c r="D6" s="7">
        <f>$B6 * IFERROR(VLOOKUP("buildings|NOx|Asthma symptoms cough", US_national_yearly!$D:$AM, 12, FALSE) / VLOOKUP("buildings|NOx|Asthma symptoms cough", US_national_yearly!$D:$AM, 10, FALSE), 1)</f>
        <v>3.2005366048694678E-3</v>
      </c>
      <c r="E6" s="7">
        <f>$B6 * IFERROR(VLOOKUP("buildings|NOx|Asthma symptoms cough", US_national_yearly!$D:$AM, 13, FALSE) / VLOOKUP("buildings|NOx|Asthma symptoms cough", US_national_yearly!$D:$AM, 10, FALSE), 1)</f>
        <v>3.2431699229336299E-3</v>
      </c>
      <c r="F6" s="7">
        <f>$B6 * IFERROR(VLOOKUP("buildings|NOx|Asthma symptoms cough", US_national_yearly!$D:$AM, 14, FALSE) / VLOOKUP("buildings|NOx|Asthma symptoms cough", US_national_yearly!$D:$AM, 10, FALSE), 1)</f>
        <v>3.2858032409977919E-3</v>
      </c>
      <c r="G6" s="7">
        <f>$B6 * IFERROR(VLOOKUP("buildings|NOx|Asthma symptoms cough", US_national_yearly!$D:$AM, 15, FALSE) / VLOOKUP("buildings|NOx|Asthma symptoms cough", US_national_yearly!$D:$AM, 10, FALSE), 1)</f>
        <v>3.31987525074577E-3</v>
      </c>
      <c r="H6" s="7">
        <f>$B6 * IFERROR(VLOOKUP("buildings|NOx|Asthma symptoms cough", US_national_yearly!$D:$AM, 16, FALSE) / VLOOKUP("buildings|NOx|Asthma symptoms cough", US_national_yearly!$D:$AM, 10, FALSE), 1)</f>
        <v>3.353947260493748E-3</v>
      </c>
      <c r="I6" s="7">
        <f>$B6 * IFERROR(VLOOKUP("buildings|NOx|Asthma symptoms cough", US_national_yearly!$D:$AM, 17, FALSE) / VLOOKUP("buildings|NOx|Asthma symptoms cough", US_national_yearly!$D:$AM, 10, FALSE), 1)</f>
        <v>3.3657385767556073E-3</v>
      </c>
      <c r="J6" s="7">
        <f>$B6 * IFERROR(VLOOKUP("buildings|NOx|Asthma symptoms cough", US_national_yearly!$D:$AM, 18, FALSE) / VLOOKUP("buildings|NOx|Asthma symptoms cough", US_national_yearly!$D:$AM, 10, FALSE), 1)</f>
        <v>3.3775298930174662E-3</v>
      </c>
      <c r="K6" s="7">
        <f>$B6 * IFERROR(VLOOKUP("buildings|NOx|Asthma symptoms cough", US_national_yearly!$D:$AM, 19, FALSE) / VLOOKUP("buildings|NOx|Asthma symptoms cough", US_national_yearly!$D:$AM, 10, FALSE), 1)</f>
        <v>3.3893212092793246E-3</v>
      </c>
      <c r="L6" s="7">
        <f>$B6 * IFERROR(VLOOKUP("buildings|NOx|Asthma symptoms cough", US_national_yearly!$D:$AM, 20, FALSE) / VLOOKUP("buildings|NOx|Asthma symptoms cough", US_national_yearly!$D:$AM, 10, FALSE), 1)</f>
        <v>3.4011125255411835E-3</v>
      </c>
      <c r="M6" s="7">
        <f>$B6 * IFERROR(VLOOKUP("buildings|NOx|Asthma symptoms cough", US_national_yearly!$D:$AM, 21, FALSE) / VLOOKUP("buildings|NOx|Asthma symptoms cough", US_national_yearly!$D:$AM, 10, FALSE), 1)</f>
        <v>3.4129038418030419E-3</v>
      </c>
      <c r="N6" s="7">
        <f>$B6 * IFERROR(VLOOKUP("buildings|NOx|Asthma symptoms cough", US_national_yearly!$D:$AM, 22, FALSE) / VLOOKUP("buildings|NOx|Asthma symptoms cough", US_national_yearly!$D:$AM, 10, FALSE), 1)</f>
        <v>3.426538285930958E-3</v>
      </c>
      <c r="O6" s="7">
        <f>$B6 * IFERROR(VLOOKUP("buildings|NOx|Asthma symptoms cough", US_national_yearly!$D:$AM, 23, FALSE) / VLOOKUP("buildings|NOx|Asthma symptoms cough", US_national_yearly!$D:$AM, 10, FALSE), 1)</f>
        <v>3.4401727300588732E-3</v>
      </c>
      <c r="P6" s="7">
        <f>$B6 * IFERROR(VLOOKUP("buildings|NOx|Asthma symptoms cough", US_national_yearly!$D:$AM, 24, FALSE) / VLOOKUP("buildings|NOx|Asthma symptoms cough", US_national_yearly!$D:$AM, 10, FALSE), 1)</f>
        <v>3.4538071741867884E-3</v>
      </c>
      <c r="Q6" s="7">
        <f>$B6 * IFERROR(VLOOKUP("buildings|NOx|Asthma symptoms cough", US_national_yearly!$D:$AM, 25, FALSE) / VLOOKUP("buildings|NOx|Asthma symptoms cough", US_national_yearly!$D:$AM, 10, FALSE), 1)</f>
        <v>3.4674416183147045E-3</v>
      </c>
      <c r="R6" s="7">
        <f>$B6 * IFERROR(VLOOKUP("buildings|NOx|Asthma symptoms cough", US_national_yearly!$D:$AM, 26, FALSE) / VLOOKUP("buildings|NOx|Asthma symptoms cough", US_national_yearly!$D:$AM, 10, FALSE), 1)</f>
        <v>3.4810760624426197E-3</v>
      </c>
      <c r="S6" s="7">
        <f>$B6 * IFERROR(VLOOKUP("buildings|NOx|Asthma symptoms cough", US_national_yearly!$D:$AM, 27, FALSE) / VLOOKUP("buildings|NOx|Asthma symptoms cough", US_national_yearly!$D:$AM, 10, FALSE), 1)</f>
        <v>3.4988829354248635E-3</v>
      </c>
      <c r="T6" s="7">
        <f>$B6 * IFERROR(VLOOKUP("buildings|NOx|Asthma symptoms cough", US_national_yearly!$D:$AM, 28, FALSE) / VLOOKUP("buildings|NOx|Asthma symptoms cough", US_national_yearly!$D:$AM, 10, FALSE), 1)</f>
        <v>3.5166898084071072E-3</v>
      </c>
      <c r="U6" s="7">
        <f>$B6 * IFERROR(VLOOKUP("buildings|NOx|Asthma symptoms cough", US_national_yearly!$D:$AM, 29, FALSE) / VLOOKUP("buildings|NOx|Asthma symptoms cough", US_national_yearly!$D:$AM, 10, FALSE), 1)</f>
        <v>3.5344966813893506E-3</v>
      </c>
      <c r="V6" s="7">
        <f>$B6 * IFERROR(VLOOKUP("buildings|NOx|Asthma symptoms cough", US_national_yearly!$D:$AM, 30, FALSE) / VLOOKUP("buildings|NOx|Asthma symptoms cough", US_national_yearly!$D:$AM, 10, FALSE), 1)</f>
        <v>3.5523035543715952E-3</v>
      </c>
      <c r="W6" s="7">
        <f>$B6 * IFERROR(VLOOKUP("buildings|NOx|Asthma symptoms cough", US_national_yearly!$D:$AM, 31, FALSE) / VLOOKUP("buildings|NOx|Asthma symptoms cough", US_national_yearly!$D:$AM, 10, FALSE), 1)</f>
        <v>3.5701104273538386E-3</v>
      </c>
      <c r="X6" s="7">
        <f>$B6 * IFERROR(VLOOKUP("buildings|NOx|Asthma symptoms cough", US_national_yearly!$D:$AM, 32, FALSE) / VLOOKUP("buildings|NOx|Asthma symptoms cough", US_national_yearly!$D:$AM, 10, FALSE), 1)</f>
        <v>3.5866554626275068E-3</v>
      </c>
      <c r="Y6" s="7">
        <f>$B6 * IFERROR(VLOOKUP("buildings|NOx|Asthma symptoms cough", US_national_yearly!$D:$AM, 33, FALSE) / VLOOKUP("buildings|NOx|Asthma symptoms cough", US_national_yearly!$D:$AM, 10, FALSE), 1)</f>
        <v>3.603200497901176E-3</v>
      </c>
      <c r="Z6" s="7">
        <f>$B6 * IFERROR(VLOOKUP("buildings|NOx|Asthma symptoms cough", US_national_yearly!$D:$AM, 34, FALSE) / VLOOKUP("buildings|NOx|Asthma symptoms cough", US_national_yearly!$D:$AM, 10, FALSE), 1)</f>
        <v>3.6197455331748452E-3</v>
      </c>
      <c r="AA6" s="7">
        <f>$B6 * IFERROR(VLOOKUP("buildings|NOx|Asthma symptoms cough", US_national_yearly!$D:$AM, 35, FALSE) / VLOOKUP("buildings|NOx|Asthma symptoms cough", US_national_yearly!$D:$AM, 10, FALSE), 1)</f>
        <v>3.6362905684485147E-3</v>
      </c>
      <c r="AB6" s="7">
        <f>$B6 * IFERROR(VLOOKUP("buildings|NOx|Asthma symptoms cough", US_national_yearly!$D:$AM, 36, FALSE) / VLOOKUP("buildings|NOx|Asthma symptoms cough", US_national_yearly!$D:$AM, 10, FALSE), 1)</f>
        <v>3.6528356037221839E-3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4.1951346161801743E-3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4.2525461759660623E-3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4.3099577357519495E-3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4.3673692955378375E-3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4.4247808553237256E-3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4.4706634492585346E-3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4.5165460431933436E-3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4.5324246536617751E-3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4.5483032641302048E-3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4.5641818745986371E-3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4.5800604850670685E-3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4.5959390955354999E-3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4.6142997283278959E-3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4.6326603611202928E-3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4.6510209939126888E-3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4.6693816267050848E-3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4.6877422594974807E-3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4.711721635158035E-3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4.7357010108185892E-3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4.7596803864791435E-3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4.7836597621396968E-3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4.8076391378002511E-3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4.8299192774010086E-3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4.8521994170017662E-3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4.8744795566025238E-3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4.8967596962032805E-3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4.919039835804038E-3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6.4095561408161594E-3</v>
      </c>
      <c r="C8" s="7">
        <f>$B8 * IFERROR(VLOOKUP("buildings|NOx|Asthma symptoms wheeze", US_national_yearly!$D:$AM, 11, FALSE) / VLOOKUP("buildings|NOx|Asthma symptoms wheeze", US_national_yearly!$D:$AM, 10, FALSE), 1)</f>
        <v>6.4972726624824648E-3</v>
      </c>
      <c r="D8" s="7">
        <f>$B8 * IFERROR(VLOOKUP("buildings|NOx|Asthma symptoms wheeze", US_national_yearly!$D:$AM, 12, FALSE) / VLOOKUP("buildings|NOx|Asthma symptoms wheeze", US_national_yearly!$D:$AM, 10, FALSE), 1)</f>
        <v>6.5849891841487703E-3</v>
      </c>
      <c r="E8" s="7">
        <f>$B8 * IFERROR(VLOOKUP("buildings|NOx|Asthma symptoms wheeze", US_national_yearly!$D:$AM, 13, FALSE) / VLOOKUP("buildings|NOx|Asthma symptoms wheeze", US_national_yearly!$D:$AM, 10, FALSE), 1)</f>
        <v>6.6727057058150741E-3</v>
      </c>
      <c r="F8" s="7">
        <f>$B8 * IFERROR(VLOOKUP("buildings|NOx|Asthma symptoms wheeze", US_national_yearly!$D:$AM, 14, FALSE) / VLOOKUP("buildings|NOx|Asthma symptoms wheeze", US_national_yearly!$D:$AM, 10, FALSE), 1)</f>
        <v>6.7604222274813813E-3</v>
      </c>
      <c r="G8" s="7">
        <f>$B8 * IFERROR(VLOOKUP("buildings|NOx|Asthma symptoms wheeze", US_national_yearly!$D:$AM, 15, FALSE) / VLOOKUP("buildings|NOx|Asthma symptoms wheeze", US_national_yearly!$D:$AM, 10, FALSE), 1)</f>
        <v>6.8305241645821727E-3</v>
      </c>
      <c r="H8" s="7">
        <f>$B8 * IFERROR(VLOOKUP("buildings|NOx|Asthma symptoms wheeze", US_national_yearly!$D:$AM, 16, FALSE) / VLOOKUP("buildings|NOx|Asthma symptoms wheeze", US_national_yearly!$D:$AM, 10, FALSE), 1)</f>
        <v>6.9006261016829632E-3</v>
      </c>
      <c r="I8" s="7">
        <f>$B8 * IFERROR(VLOOKUP("buildings|NOx|Asthma symptoms wheeze", US_national_yearly!$D:$AM, 17, FALSE) / VLOOKUP("buildings|NOx|Asthma symptoms wheeze", US_national_yearly!$D:$AM, 10, FALSE), 1)</f>
        <v>6.9248863116666403E-3</v>
      </c>
      <c r="J8" s="7">
        <f>$B8 * IFERROR(VLOOKUP("buildings|NOx|Asthma symptoms wheeze", US_national_yearly!$D:$AM, 18, FALSE) / VLOOKUP("buildings|NOx|Asthma symptoms wheeze", US_national_yearly!$D:$AM, 10, FALSE), 1)</f>
        <v>6.9491465216503156E-3</v>
      </c>
      <c r="K8" s="7">
        <f>$B8 * IFERROR(VLOOKUP("buildings|NOx|Asthma symptoms wheeze", US_national_yearly!$D:$AM, 19, FALSE) / VLOOKUP("buildings|NOx|Asthma symptoms wheeze", US_national_yearly!$D:$AM, 10, FALSE), 1)</f>
        <v>6.9734067316339901E-3</v>
      </c>
      <c r="L8" s="7">
        <f>$B8 * IFERROR(VLOOKUP("buildings|NOx|Asthma symptoms wheeze", US_national_yearly!$D:$AM, 20, FALSE) / VLOOKUP("buildings|NOx|Asthma symptoms wheeze", US_national_yearly!$D:$AM, 10, FALSE), 1)</f>
        <v>6.9976669416176654E-3</v>
      </c>
      <c r="M8" s="7">
        <f>$B8 * IFERROR(VLOOKUP("buildings|NOx|Asthma symptoms wheeze", US_national_yearly!$D:$AM, 21, FALSE) / VLOOKUP("buildings|NOx|Asthma symptoms wheeze", US_national_yearly!$D:$AM, 10, FALSE), 1)</f>
        <v>7.0219271516013424E-3</v>
      </c>
      <c r="N8" s="7">
        <f>$B8 * IFERROR(VLOOKUP("buildings|NOx|Asthma symptoms wheeze", US_national_yearly!$D:$AM, 22, FALSE) / VLOOKUP("buildings|NOx|Asthma symptoms wheeze", US_national_yearly!$D:$AM, 10, FALSE), 1)</f>
        <v>7.049979531015175E-3</v>
      </c>
      <c r="O8" s="7">
        <f>$B8 * IFERROR(VLOOKUP("buildings|NOx|Asthma symptoms wheeze", US_national_yearly!$D:$AM, 23, FALSE) / VLOOKUP("buildings|NOx|Asthma symptoms wheeze", US_national_yearly!$D:$AM, 10, FALSE), 1)</f>
        <v>7.0780319104290093E-3</v>
      </c>
      <c r="P8" s="7">
        <f>$B8 * IFERROR(VLOOKUP("buildings|NOx|Asthma symptoms wheeze", US_national_yearly!$D:$AM, 24, FALSE) / VLOOKUP("buildings|NOx|Asthma symptoms wheeze", US_national_yearly!$D:$AM, 10, FALSE), 1)</f>
        <v>7.1060842898428419E-3</v>
      </c>
      <c r="Q8" s="7">
        <f>$B8 * IFERROR(VLOOKUP("buildings|NOx|Asthma symptoms wheeze", US_national_yearly!$D:$AM, 25, FALSE) / VLOOKUP("buildings|NOx|Asthma symptoms wheeze", US_national_yearly!$D:$AM, 10, FALSE), 1)</f>
        <v>7.1341366692566762E-3</v>
      </c>
      <c r="R8" s="7">
        <f>$B8 * IFERROR(VLOOKUP("buildings|NOx|Asthma symptoms wheeze", US_national_yearly!$D:$AM, 26, FALSE) / VLOOKUP("buildings|NOx|Asthma symptoms wheeze", US_national_yearly!$D:$AM, 10, FALSE), 1)</f>
        <v>7.1621890486705088E-3</v>
      </c>
      <c r="S8" s="7">
        <f>$B8 * IFERROR(VLOOKUP("buildings|NOx|Asthma symptoms wheeze", US_national_yearly!$D:$AM, 27, FALSE) / VLOOKUP("buildings|NOx|Asthma symptoms wheeze", US_national_yearly!$D:$AM, 10, FALSE), 1)</f>
        <v>7.19882605070032E-3</v>
      </c>
      <c r="T8" s="7">
        <f>$B8 * IFERROR(VLOOKUP("buildings|NOx|Asthma symptoms wheeze", US_national_yearly!$D:$AM, 28, FALSE) / VLOOKUP("buildings|NOx|Asthma symptoms wheeze", US_national_yearly!$D:$AM, 10, FALSE), 1)</f>
        <v>7.235463052730132E-3</v>
      </c>
      <c r="U8" s="7">
        <f>$B8 * IFERROR(VLOOKUP("buildings|NOx|Asthma symptoms wheeze", US_national_yearly!$D:$AM, 29, FALSE) / VLOOKUP("buildings|NOx|Asthma symptoms wheeze", US_national_yearly!$D:$AM, 10, FALSE), 1)</f>
        <v>7.2721000547599432E-3</v>
      </c>
      <c r="V8" s="7">
        <f>$B8 * IFERROR(VLOOKUP("buildings|NOx|Asthma symptoms wheeze", US_national_yearly!$D:$AM, 30, FALSE) / VLOOKUP("buildings|NOx|Asthma symptoms wheeze", US_national_yearly!$D:$AM, 10, FALSE), 1)</f>
        <v>7.3087370567897552E-3</v>
      </c>
      <c r="W8" s="7">
        <f>$B8 * IFERROR(VLOOKUP("buildings|NOx|Asthma symptoms wheeze", US_national_yearly!$D:$AM, 31, FALSE) / VLOOKUP("buildings|NOx|Asthma symptoms wheeze", US_national_yearly!$D:$AM, 10, FALSE), 1)</f>
        <v>7.3453740588195664E-3</v>
      </c>
      <c r="X8" s="7">
        <f>$B8 * IFERROR(VLOOKUP("buildings|NOx|Asthma symptoms wheeze", US_national_yearly!$D:$AM, 32, FALSE) / VLOOKUP("buildings|NOx|Asthma symptoms wheeze", US_national_yearly!$D:$AM, 10, FALSE), 1)</f>
        <v>7.3794148750561013E-3</v>
      </c>
      <c r="Y8" s="7">
        <f>$B8 * IFERROR(VLOOKUP("buildings|NOx|Asthma symptoms wheeze", US_national_yearly!$D:$AM, 33, FALSE) / VLOOKUP("buildings|NOx|Asthma symptoms wheeze", US_national_yearly!$D:$AM, 10, FALSE), 1)</f>
        <v>7.4134556912926371E-3</v>
      </c>
      <c r="Z8" s="7">
        <f>$B8 * IFERROR(VLOOKUP("buildings|NOx|Asthma symptoms wheeze", US_national_yearly!$D:$AM, 34, FALSE) / VLOOKUP("buildings|NOx|Asthma symptoms wheeze", US_national_yearly!$D:$AM, 10, FALSE), 1)</f>
        <v>7.4474965075291737E-3</v>
      </c>
      <c r="AA8" s="7">
        <f>$B8 * IFERROR(VLOOKUP("buildings|NOx|Asthma symptoms wheeze", US_national_yearly!$D:$AM, 35, FALSE) / VLOOKUP("buildings|NOx|Asthma symptoms wheeze", US_national_yearly!$D:$AM, 10, FALSE), 1)</f>
        <v>7.4815373237657086E-3</v>
      </c>
      <c r="AB8" s="7">
        <f>$B8 * IFERROR(VLOOKUP("buildings|NOx|Asthma symptoms wheeze", US_national_yearly!$D:$AM, 36, FALSE) / VLOOKUP("buildings|NOx|Asthma symptoms wheeze", US_national_yearly!$D:$AM, 10, FALSE), 1)</f>
        <v>7.5155781400022452E-3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9.9923478381350373E-5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1.0242000158736739E-4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1.0491652479338442E-4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1.0741304799940143E-4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1.0990957120541846E-4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1.1229632335902998E-4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1.1468307551264144E-4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1.1671056523462014E-4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1.1873805495659883E-4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1.2076554467857752E-4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1.2279303440055622E-4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1.2482052412253491E-4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1.261758898460091E-4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1.2753125556948328E-4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1.2888662129295747E-4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1.3024198701643168E-4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1.3159735273990584E-4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1.3232405879539451E-4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1.3305076485088318E-4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1.3377747090637186E-4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1.3450417696186053E-4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1.3523088301734917E-4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1.357283476016504E-4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1.3622581218595162E-4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1.3672327677025287E-4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1.372207413545541E-4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1.3771820593885532E-4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5.4571496727369244E-4</v>
      </c>
      <c r="C13" s="7">
        <f>$B13 * IFERROR(VLOOKUP("buildings|NOx|Non-fatal heart attacks", US_national_yearly!$D:$AM, 11, FALSE) / VLOOKUP("buildings|NOx|Non-fatal heart attacks", US_national_yearly!$D:$AM, 10, FALSE), 1)</f>
        <v>5.6132675984931846E-4</v>
      </c>
      <c r="D13" s="7">
        <f>$B13 * IFERROR(VLOOKUP("buildings|NOx|Non-fatal heart attacks", US_national_yearly!$D:$AM, 12, FALSE) / VLOOKUP("buildings|NOx|Non-fatal heart attacks", US_national_yearly!$D:$AM, 10, FALSE), 1)</f>
        <v>5.7693855242494469E-4</v>
      </c>
      <c r="E13" s="7">
        <f>$B13 * IFERROR(VLOOKUP("buildings|NOx|Non-fatal heart attacks", US_national_yearly!$D:$AM, 13, FALSE) / VLOOKUP("buildings|NOx|Non-fatal heart attacks", US_national_yearly!$D:$AM, 10, FALSE), 1)</f>
        <v>5.9255034500057071E-4</v>
      </c>
      <c r="F13" s="7">
        <f>$B13 * IFERROR(VLOOKUP("buildings|NOx|Non-fatal heart attacks", US_national_yearly!$D:$AM, 14, FALSE) / VLOOKUP("buildings|NOx|Non-fatal heart attacks", US_national_yearly!$D:$AM, 10, FALSE), 1)</f>
        <v>6.0816213757619673E-4</v>
      </c>
      <c r="G13" s="7">
        <f>$B13 * IFERROR(VLOOKUP("buildings|NOx|Non-fatal heart attacks", US_national_yearly!$D:$AM, 15, FALSE) / VLOOKUP("buildings|NOx|Non-fatal heart attacks", US_national_yearly!$D:$AM, 10, FALSE), 1)</f>
        <v>6.2275442758731462E-4</v>
      </c>
      <c r="H13" s="7">
        <f>$B13 * IFERROR(VLOOKUP("buildings|NOx|Non-fatal heart attacks", US_national_yearly!$D:$AM, 16, FALSE) / VLOOKUP("buildings|NOx|Non-fatal heart attacks", US_national_yearly!$D:$AM, 10, FALSE), 1)</f>
        <v>6.3734671759843272E-4</v>
      </c>
      <c r="I13" s="7">
        <f>$B13 * IFERROR(VLOOKUP("buildings|NOx|Non-fatal heart attacks", US_national_yearly!$D:$AM, 17, FALSE) / VLOOKUP("buildings|NOx|Non-fatal heart attacks", US_national_yearly!$D:$AM, 10, FALSE), 1)</f>
        <v>6.488589854570122E-4</v>
      </c>
      <c r="J13" s="7">
        <f>$B13 * IFERROR(VLOOKUP("buildings|NOx|Non-fatal heart attacks", US_national_yearly!$D:$AM, 18, FALSE) / VLOOKUP("buildings|NOx|Non-fatal heart attacks", US_national_yearly!$D:$AM, 10, FALSE), 1)</f>
        <v>6.6037125331559168E-4</v>
      </c>
      <c r="K13" s="7">
        <f>$B13 * IFERROR(VLOOKUP("buildings|NOx|Non-fatal heart attacks", US_national_yearly!$D:$AM, 19, FALSE) / VLOOKUP("buildings|NOx|Non-fatal heart attacks", US_national_yearly!$D:$AM, 10, FALSE), 1)</f>
        <v>6.7188352117417138E-4</v>
      </c>
      <c r="L13" s="7">
        <f>$B13 * IFERROR(VLOOKUP("buildings|NOx|Non-fatal heart attacks", US_national_yearly!$D:$AM, 20, FALSE) / VLOOKUP("buildings|NOx|Non-fatal heart attacks", US_national_yearly!$D:$AM, 10, FALSE), 1)</f>
        <v>6.8339578903275043E-4</v>
      </c>
      <c r="M13" s="7">
        <f>$B13 * IFERROR(VLOOKUP("buildings|NOx|Non-fatal heart attacks", US_national_yearly!$D:$AM, 21, FALSE) / VLOOKUP("buildings|NOx|Non-fatal heart attacks", US_national_yearly!$D:$AM, 10, FALSE), 1)</f>
        <v>6.9490805689133013E-4</v>
      </c>
      <c r="N13" s="7">
        <f>$B13 * IFERROR(VLOOKUP("buildings|NOx|Non-fatal heart attacks", US_national_yearly!$D:$AM, 22, FALSE) / VLOOKUP("buildings|NOx|Non-fatal heart attacks", US_national_yearly!$D:$AM, 10, FALSE), 1)</f>
        <v>7.0183648867184697E-4</v>
      </c>
      <c r="O13" s="7">
        <f>$B13 * IFERROR(VLOOKUP("buildings|NOx|Non-fatal heart attacks", US_national_yearly!$D:$AM, 23, FALSE) / VLOOKUP("buildings|NOx|Non-fatal heart attacks", US_national_yearly!$D:$AM, 10, FALSE), 1)</f>
        <v>7.0876492045236371E-4</v>
      </c>
      <c r="P13" s="7">
        <f>$B13 * IFERROR(VLOOKUP("buildings|NOx|Non-fatal heart attacks", US_national_yearly!$D:$AM, 24, FALSE) / VLOOKUP("buildings|NOx|Non-fatal heart attacks", US_national_yearly!$D:$AM, 10, FALSE), 1)</f>
        <v>7.1569335223288066E-4</v>
      </c>
      <c r="Q13" s="7">
        <f>$B13 * IFERROR(VLOOKUP("buildings|NOx|Non-fatal heart attacks", US_national_yearly!$D:$AM, 25, FALSE) / VLOOKUP("buildings|NOx|Non-fatal heart attacks", US_national_yearly!$D:$AM, 10, FALSE), 1)</f>
        <v>7.226217840133975E-4</v>
      </c>
      <c r="R13" s="7">
        <f>$B13 * IFERROR(VLOOKUP("buildings|NOx|Non-fatal heart attacks", US_national_yearly!$D:$AM, 26, FALSE) / VLOOKUP("buildings|NOx|Non-fatal heart attacks", US_national_yearly!$D:$AM, 10, FALSE), 1)</f>
        <v>7.2955021579391424E-4</v>
      </c>
      <c r="S13" s="7">
        <f>$B13 * IFERROR(VLOOKUP("buildings|NOx|Non-fatal heart attacks", US_national_yearly!$D:$AM, 27, FALSE) / VLOOKUP("buildings|NOx|Non-fatal heart attacks", US_national_yearly!$D:$AM, 10, FALSE), 1)</f>
        <v>7.3269876699842912E-4</v>
      </c>
      <c r="T13" s="7">
        <f>$B13 * IFERROR(VLOOKUP("buildings|NOx|Non-fatal heart attacks", US_national_yearly!$D:$AM, 28, FALSE) / VLOOKUP("buildings|NOx|Non-fatal heart attacks", US_national_yearly!$D:$AM, 10, FALSE), 1)</f>
        <v>7.3584731820294433E-4</v>
      </c>
      <c r="U13" s="7">
        <f>$B13 * IFERROR(VLOOKUP("buildings|NOx|Non-fatal heart attacks", US_national_yearly!$D:$AM, 29, FALSE) / VLOOKUP("buildings|NOx|Non-fatal heart attacks", US_national_yearly!$D:$AM, 10, FALSE), 1)</f>
        <v>7.3899586940745921E-4</v>
      </c>
      <c r="V13" s="7">
        <f>$B13 * IFERROR(VLOOKUP("buildings|NOx|Non-fatal heart attacks", US_national_yearly!$D:$AM, 30, FALSE) / VLOOKUP("buildings|NOx|Non-fatal heart attacks", US_national_yearly!$D:$AM, 10, FALSE), 1)</f>
        <v>7.4214442061197421E-4</v>
      </c>
      <c r="W13" s="7">
        <f>$B13 * IFERROR(VLOOKUP("buildings|NOx|Non-fatal heart attacks", US_national_yearly!$D:$AM, 31, FALSE) / VLOOKUP("buildings|NOx|Non-fatal heart attacks", US_national_yearly!$D:$AM, 10, FALSE), 1)</f>
        <v>7.452929718164892E-4</v>
      </c>
      <c r="X13" s="7">
        <f>$B13 * IFERROR(VLOOKUP("buildings|NOx|Non-fatal heart attacks", US_national_yearly!$D:$AM, 32, FALSE) / VLOOKUP("buildings|NOx|Non-fatal heart attacks", US_national_yearly!$D:$AM, 10, FALSE), 1)</f>
        <v>7.4739909618106641E-4</v>
      </c>
      <c r="Y13" s="7">
        <f>$B13 * IFERROR(VLOOKUP("buildings|NOx|Non-fatal heart attacks", US_national_yearly!$D:$AM, 33, FALSE) / VLOOKUP("buildings|NOx|Non-fatal heart attacks", US_national_yearly!$D:$AM, 10, FALSE), 1)</f>
        <v>7.4950522054564352E-4</v>
      </c>
      <c r="Z13" s="7">
        <f>$B13 * IFERROR(VLOOKUP("buildings|NOx|Non-fatal heart attacks", US_national_yearly!$D:$AM, 34, FALSE) / VLOOKUP("buildings|NOx|Non-fatal heart attacks", US_national_yearly!$D:$AM, 10, FALSE), 1)</f>
        <v>7.5161134491022084E-4</v>
      </c>
      <c r="AA13" s="7">
        <f>$B13 * IFERROR(VLOOKUP("buildings|NOx|Non-fatal heart attacks", US_national_yearly!$D:$AM, 35, FALSE) / VLOOKUP("buildings|NOx|Non-fatal heart attacks", US_national_yearly!$D:$AM, 10, FALSE), 1)</f>
        <v>7.5371746927479794E-4</v>
      </c>
      <c r="AB13" s="7">
        <f>$B13 * IFERROR(VLOOKUP("buildings|NOx|Non-fatal heart attacks", US_national_yearly!$D:$AM, 36, FALSE) / VLOOKUP("buildings|NOx|Non-fatal heart attacks", US_national_yearly!$D:$AM, 10, FALSE), 1)</f>
        <v>7.5582359363937516E-4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0.42427224163668159</v>
      </c>
      <c r="C14" s="7">
        <f>$B14 * IFERROR(VLOOKUP("buildings|NOx|Minor restricted activity days", US_national_yearly!$D:$AM, 11, FALSE) / VLOOKUP("buildings|NOx|Minor restricted activity days", US_national_yearly!$D:$AM, 10, FALSE), 1)</f>
        <v>0.42493061181832548</v>
      </c>
      <c r="D14" s="7">
        <f>$B14 * IFERROR(VLOOKUP("buildings|NOx|Minor restricted activity days", US_national_yearly!$D:$AM, 12, FALSE) / VLOOKUP("buildings|NOx|Minor restricted activity days", US_national_yearly!$D:$AM, 10, FALSE), 1)</f>
        <v>0.42558898199996931</v>
      </c>
      <c r="E14" s="7">
        <f>$B14 * IFERROR(VLOOKUP("buildings|NOx|Minor restricted activity days", US_national_yearly!$D:$AM, 13, FALSE) / VLOOKUP("buildings|NOx|Minor restricted activity days", US_national_yearly!$D:$AM, 10, FALSE), 1)</f>
        <v>0.42624735218161319</v>
      </c>
      <c r="F14" s="7">
        <f>$B14 * IFERROR(VLOOKUP("buildings|NOx|Minor restricted activity days", US_national_yearly!$D:$AM, 14, FALSE) / VLOOKUP("buildings|NOx|Minor restricted activity days", US_national_yearly!$D:$AM, 10, FALSE), 1)</f>
        <v>0.42690572236325702</v>
      </c>
      <c r="G14" s="7">
        <f>$B14 * IFERROR(VLOOKUP("buildings|NOx|Minor restricted activity days", US_national_yearly!$D:$AM, 15, FALSE) / VLOOKUP("buildings|NOx|Minor restricted activity days", US_national_yearly!$D:$AM, 10, FALSE), 1)</f>
        <v>0.42808848553706164</v>
      </c>
      <c r="H14" s="7">
        <f>$B14 * IFERROR(VLOOKUP("buildings|NOx|Minor restricted activity days", US_national_yearly!$D:$AM, 16, FALSE) / VLOOKUP("buildings|NOx|Minor restricted activity days", US_national_yearly!$D:$AM, 10, FALSE), 1)</f>
        <v>0.4292712487108663</v>
      </c>
      <c r="I14" s="7">
        <f>$B14 * IFERROR(VLOOKUP("buildings|NOx|Minor restricted activity days", US_national_yearly!$D:$AM, 17, FALSE) / VLOOKUP("buildings|NOx|Minor restricted activity days", US_national_yearly!$D:$AM, 10, FALSE), 1)</f>
        <v>0.43157729945574846</v>
      </c>
      <c r="J14" s="7">
        <f>$B14 * IFERROR(VLOOKUP("buildings|NOx|Minor restricted activity days", US_national_yearly!$D:$AM, 18, FALSE) / VLOOKUP("buildings|NOx|Minor restricted activity days", US_national_yearly!$D:$AM, 10, FALSE), 1)</f>
        <v>0.43388335020063062</v>
      </c>
      <c r="K14" s="7">
        <f>$B14 * IFERROR(VLOOKUP("buildings|NOx|Minor restricted activity days", US_national_yearly!$D:$AM, 19, FALSE) / VLOOKUP("buildings|NOx|Minor restricted activity days", US_national_yearly!$D:$AM, 10, FALSE), 1)</f>
        <v>0.43618940094551278</v>
      </c>
      <c r="L14" s="7">
        <f>$B14 * IFERROR(VLOOKUP("buildings|NOx|Minor restricted activity days", US_national_yearly!$D:$AM, 20, FALSE) / VLOOKUP("buildings|NOx|Minor restricted activity days", US_national_yearly!$D:$AM, 10, FALSE), 1)</f>
        <v>0.438495451690395</v>
      </c>
      <c r="M14" s="7">
        <f>$B14 * IFERROR(VLOOKUP("buildings|NOx|Minor restricted activity days", US_national_yearly!$D:$AM, 21, FALSE) / VLOOKUP("buildings|NOx|Minor restricted activity days", US_national_yearly!$D:$AM, 10, FALSE), 1)</f>
        <v>0.44080150243527716</v>
      </c>
      <c r="N14" s="7">
        <f>$B14 * IFERROR(VLOOKUP("buildings|NOx|Minor restricted activity days", US_national_yearly!$D:$AM, 22, FALSE) / VLOOKUP("buildings|NOx|Minor restricted activity days", US_national_yearly!$D:$AM, 10, FALSE), 1)</f>
        <v>0.44410055773666068</v>
      </c>
      <c r="O14" s="7">
        <f>$B14 * IFERROR(VLOOKUP("buildings|NOx|Minor restricted activity days", US_national_yearly!$D:$AM, 23, FALSE) / VLOOKUP("buildings|NOx|Minor restricted activity days", US_national_yearly!$D:$AM, 10, FALSE), 1)</f>
        <v>0.44739961303804415</v>
      </c>
      <c r="P14" s="7">
        <f>$B14 * IFERROR(VLOOKUP("buildings|NOx|Minor restricted activity days", US_national_yearly!$D:$AM, 24, FALSE) / VLOOKUP("buildings|NOx|Minor restricted activity days", US_national_yearly!$D:$AM, 10, FALSE), 1)</f>
        <v>0.45069866833942768</v>
      </c>
      <c r="Q14" s="7">
        <f>$B14 * IFERROR(VLOOKUP("buildings|NOx|Minor restricted activity days", US_national_yearly!$D:$AM, 25, FALSE) / VLOOKUP("buildings|NOx|Minor restricted activity days", US_national_yearly!$D:$AM, 10, FALSE), 1)</f>
        <v>0.45399772364081115</v>
      </c>
      <c r="R14" s="7">
        <f>$B14 * IFERROR(VLOOKUP("buildings|NOx|Minor restricted activity days", US_national_yearly!$D:$AM, 26, FALSE) / VLOOKUP("buildings|NOx|Minor restricted activity days", US_national_yearly!$D:$AM, 10, FALSE), 1)</f>
        <v>0.45729677894219461</v>
      </c>
      <c r="S14" s="7">
        <f>$B14 * IFERROR(VLOOKUP("buildings|NOx|Minor restricted activity days", US_national_yearly!$D:$AM, 27, FALSE) / VLOOKUP("buildings|NOx|Minor restricted activity days", US_national_yearly!$D:$AM, 10, FALSE), 1)</f>
        <v>0.46059488453513053</v>
      </c>
      <c r="T14" s="7">
        <f>$B14 * IFERROR(VLOOKUP("buildings|NOx|Minor restricted activity days", US_national_yearly!$D:$AM, 28, FALSE) / VLOOKUP("buildings|NOx|Minor restricted activity days", US_national_yearly!$D:$AM, 10, FALSE), 1)</f>
        <v>0.46389299012806651</v>
      </c>
      <c r="U14" s="7">
        <f>$B14 * IFERROR(VLOOKUP("buildings|NOx|Minor restricted activity days", US_national_yearly!$D:$AM, 29, FALSE) / VLOOKUP("buildings|NOx|Minor restricted activity days", US_national_yearly!$D:$AM, 10, FALSE), 1)</f>
        <v>0.46719109572100259</v>
      </c>
      <c r="V14" s="7">
        <f>$B14 * IFERROR(VLOOKUP("buildings|NOx|Minor restricted activity days", US_national_yearly!$D:$AM, 30, FALSE) / VLOOKUP("buildings|NOx|Minor restricted activity days", US_national_yearly!$D:$AM, 10, FALSE), 1)</f>
        <v>0.47048920131393851</v>
      </c>
      <c r="W14" s="7">
        <f>$B14 * IFERROR(VLOOKUP("buildings|NOx|Minor restricted activity days", US_national_yearly!$D:$AM, 31, FALSE) / VLOOKUP("buildings|NOx|Minor restricted activity days", US_national_yearly!$D:$AM, 10, FALSE), 1)</f>
        <v>0.47378730690687448</v>
      </c>
      <c r="X14" s="7">
        <f>$B14 * IFERROR(VLOOKUP("buildings|NOx|Minor restricted activity days", US_national_yearly!$D:$AM, 32, FALSE) / VLOOKUP("buildings|NOx|Minor restricted activity days", US_national_yearly!$D:$AM, 10, FALSE), 1)</f>
        <v>0.47657665028272239</v>
      </c>
      <c r="Y14" s="7">
        <f>$B14 * IFERROR(VLOOKUP("buildings|NOx|Minor restricted activity days", US_national_yearly!$D:$AM, 33, FALSE) / VLOOKUP("buildings|NOx|Minor restricted activity days", US_national_yearly!$D:$AM, 10, FALSE), 1)</f>
        <v>0.47936599365857036</v>
      </c>
      <c r="Z14" s="7">
        <f>$B14 * IFERROR(VLOOKUP("buildings|NOx|Minor restricted activity days", US_national_yearly!$D:$AM, 34, FALSE) / VLOOKUP("buildings|NOx|Minor restricted activity days", US_national_yearly!$D:$AM, 10, FALSE), 1)</f>
        <v>0.48215533703441815</v>
      </c>
      <c r="AA14" s="7">
        <f>$B14 * IFERROR(VLOOKUP("buildings|NOx|Minor restricted activity days", US_national_yearly!$D:$AM, 35, FALSE) / VLOOKUP("buildings|NOx|Minor restricted activity days", US_national_yearly!$D:$AM, 10, FALSE), 1)</f>
        <v>0.48494468041026617</v>
      </c>
      <c r="AB14" s="7">
        <f>$B14 * IFERROR(VLOOKUP("buildings|NOx|Minor restricted activity days", US_national_yearly!$D:$AM, 36, FALSE) / VLOOKUP("buildings|NOx|Minor restricted activity days", US_national_yearly!$D:$AM, 10, FALSE), 1)</f>
        <v>0.48773402378611408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7.1530940064084933E-2</v>
      </c>
      <c r="C15" s="7">
        <f>$B15 * IFERROR(VLOOKUP("buildings|NOx|Work loss days", US_national_yearly!$D:$AM, 11, FALSE) / VLOOKUP("buildings|NOx|Work loss days", US_national_yearly!$D:$AM, 10, FALSE), 1)</f>
        <v>7.1691293480403637E-2</v>
      </c>
      <c r="D15" s="7">
        <f>$B15 * IFERROR(VLOOKUP("buildings|NOx|Work loss days", US_national_yearly!$D:$AM, 12, FALSE) / VLOOKUP("buildings|NOx|Work loss days", US_national_yearly!$D:$AM, 10, FALSE), 1)</f>
        <v>7.1851646896722313E-2</v>
      </c>
      <c r="E15" s="7">
        <f>$B15 * IFERROR(VLOOKUP("buildings|NOx|Work loss days", US_national_yearly!$D:$AM, 13, FALSE) / VLOOKUP("buildings|NOx|Work loss days", US_national_yearly!$D:$AM, 10, FALSE), 1)</f>
        <v>7.2012000313041002E-2</v>
      </c>
      <c r="F15" s="7">
        <f>$B15 * IFERROR(VLOOKUP("buildings|NOx|Work loss days", US_national_yearly!$D:$AM, 14, FALSE) / VLOOKUP("buildings|NOx|Work loss days", US_national_yearly!$D:$AM, 10, FALSE), 1)</f>
        <v>7.2172353729359692E-2</v>
      </c>
      <c r="G15" s="7">
        <f>$B15 * IFERROR(VLOOKUP("buildings|NOx|Work loss days", US_national_yearly!$D:$AM, 15, FALSE) / VLOOKUP("buildings|NOx|Work loss days", US_national_yearly!$D:$AM, 10, FALSE), 1)</f>
        <v>7.2405926458265241E-2</v>
      </c>
      <c r="H15" s="7">
        <f>$B15 * IFERROR(VLOOKUP("buildings|NOx|Work loss days", US_national_yearly!$D:$AM, 16, FALSE) / VLOOKUP("buildings|NOx|Work loss days", US_national_yearly!$D:$AM, 10, FALSE), 1)</f>
        <v>7.2639499187170789E-2</v>
      </c>
      <c r="I15" s="7">
        <f>$B15 * IFERROR(VLOOKUP("buildings|NOx|Work loss days", US_national_yearly!$D:$AM, 17, FALSE) / VLOOKUP("buildings|NOx|Work loss days", US_national_yearly!$D:$AM, 10, FALSE), 1)</f>
        <v>7.3017256692834154E-2</v>
      </c>
      <c r="J15" s="7">
        <f>$B15 * IFERROR(VLOOKUP("buildings|NOx|Work loss days", US_national_yearly!$D:$AM, 18, FALSE) / VLOOKUP("buildings|NOx|Work loss days", US_national_yearly!$D:$AM, 10, FALSE), 1)</f>
        <v>7.3395014198497505E-2</v>
      </c>
      <c r="K15" s="7">
        <f>$B15 * IFERROR(VLOOKUP("buildings|NOx|Work loss days", US_national_yearly!$D:$AM, 19, FALSE) / VLOOKUP("buildings|NOx|Work loss days", US_national_yearly!$D:$AM, 10, FALSE), 1)</f>
        <v>7.3772771704160869E-2</v>
      </c>
      <c r="L15" s="7">
        <f>$B15 * IFERROR(VLOOKUP("buildings|NOx|Work loss days", US_national_yearly!$D:$AM, 20, FALSE) / VLOOKUP("buildings|NOx|Work loss days", US_national_yearly!$D:$AM, 10, FALSE), 1)</f>
        <v>7.4150529209824234E-2</v>
      </c>
      <c r="M15" s="7">
        <f>$B15 * IFERROR(VLOOKUP("buildings|NOx|Work loss days", US_national_yearly!$D:$AM, 21, FALSE) / VLOOKUP("buildings|NOx|Work loss days", US_national_yearly!$D:$AM, 10, FALSE), 1)</f>
        <v>7.4528286715487585E-2</v>
      </c>
      <c r="N15" s="7">
        <f>$B15 * IFERROR(VLOOKUP("buildings|NOx|Work loss days", US_national_yearly!$D:$AM, 22, FALSE) / VLOOKUP("buildings|NOx|Work loss days", US_national_yearly!$D:$AM, 10, FALSE), 1)</f>
        <v>7.5019749853460521E-2</v>
      </c>
      <c r="O15" s="7">
        <f>$B15 * IFERROR(VLOOKUP("buildings|NOx|Work loss days", US_national_yearly!$D:$AM, 23, FALSE) / VLOOKUP("buildings|NOx|Work loss days", US_national_yearly!$D:$AM, 10, FALSE), 1)</f>
        <v>7.5511212991433457E-2</v>
      </c>
      <c r="P15" s="7">
        <f>$B15 * IFERROR(VLOOKUP("buildings|NOx|Work loss days", US_national_yearly!$D:$AM, 24, FALSE) / VLOOKUP("buildings|NOx|Work loss days", US_national_yearly!$D:$AM, 10, FALSE), 1)</f>
        <v>7.6002676129406394E-2</v>
      </c>
      <c r="Q15" s="7">
        <f>$B15 * IFERROR(VLOOKUP("buildings|NOx|Work loss days", US_national_yearly!$D:$AM, 25, FALSE) / VLOOKUP("buildings|NOx|Work loss days", US_national_yearly!$D:$AM, 10, FALSE), 1)</f>
        <v>7.6494139267379344E-2</v>
      </c>
      <c r="R15" s="7">
        <f>$B15 * IFERROR(VLOOKUP("buildings|NOx|Work loss days", US_national_yearly!$D:$AM, 26, FALSE) / VLOOKUP("buildings|NOx|Work loss days", US_national_yearly!$D:$AM, 10, FALSE), 1)</f>
        <v>7.698560240535228E-2</v>
      </c>
      <c r="S15" s="7">
        <f>$B15 * IFERROR(VLOOKUP("buildings|NOx|Work loss days", US_national_yearly!$D:$AM, 27, FALSE) / VLOOKUP("buildings|NOx|Work loss days", US_national_yearly!$D:$AM, 10, FALSE), 1)</f>
        <v>7.7533251944359546E-2</v>
      </c>
      <c r="T15" s="7">
        <f>$B15 * IFERROR(VLOOKUP("buildings|NOx|Work loss days", US_national_yearly!$D:$AM, 28, FALSE) / VLOOKUP("buildings|NOx|Work loss days", US_national_yearly!$D:$AM, 10, FALSE), 1)</f>
        <v>7.8080901483366827E-2</v>
      </c>
      <c r="U15" s="7">
        <f>$B15 * IFERROR(VLOOKUP("buildings|NOx|Work loss days", US_national_yearly!$D:$AM, 29, FALSE) / VLOOKUP("buildings|NOx|Work loss days", US_national_yearly!$D:$AM, 10, FALSE), 1)</f>
        <v>7.8628551022374107E-2</v>
      </c>
      <c r="V15" s="7">
        <f>$B15 * IFERROR(VLOOKUP("buildings|NOx|Work loss days", US_national_yearly!$D:$AM, 30, FALSE) / VLOOKUP("buildings|NOx|Work loss days", US_national_yearly!$D:$AM, 10, FALSE), 1)</f>
        <v>7.9176200561381374E-2</v>
      </c>
      <c r="W15" s="7">
        <f>$B15 * IFERROR(VLOOKUP("buildings|NOx|Work loss days", US_national_yearly!$D:$AM, 31, FALSE) / VLOOKUP("buildings|NOx|Work loss days", US_national_yearly!$D:$AM, 10, FALSE), 1)</f>
        <v>7.9723850100388641E-2</v>
      </c>
      <c r="X15" s="7">
        <f>$B15 * IFERROR(VLOOKUP("buildings|NOx|Work loss days", US_national_yearly!$D:$AM, 32, FALSE) / VLOOKUP("buildings|NOx|Work loss days", US_national_yearly!$D:$AM, 10, FALSE), 1)</f>
        <v>8.0199324324623469E-2</v>
      </c>
      <c r="Y15" s="7">
        <f>$B15 * IFERROR(VLOOKUP("buildings|NOx|Work loss days", US_national_yearly!$D:$AM, 33, FALSE) / VLOOKUP("buildings|NOx|Work loss days", US_national_yearly!$D:$AM, 10, FALSE), 1)</f>
        <v>8.0674798548858298E-2</v>
      </c>
      <c r="Z15" s="7">
        <f>$B15 * IFERROR(VLOOKUP("buildings|NOx|Work loss days", US_national_yearly!$D:$AM, 34, FALSE) / VLOOKUP("buildings|NOx|Work loss days", US_national_yearly!$D:$AM, 10, FALSE), 1)</f>
        <v>8.1150272773093113E-2</v>
      </c>
      <c r="AA15" s="7">
        <f>$B15 * IFERROR(VLOOKUP("buildings|NOx|Work loss days", US_national_yearly!$D:$AM, 35, FALSE) / VLOOKUP("buildings|NOx|Work loss days", US_national_yearly!$D:$AM, 10, FALSE), 1)</f>
        <v>8.1625746997327941E-2</v>
      </c>
      <c r="AB15" s="7">
        <f>$B15 * IFERROR(VLOOKUP("buildings|NOx|Work loss days", US_national_yearly!$D:$AM, 36, FALSE) / VLOOKUP("buildings|NOx|Work loss days", US_national_yearly!$D:$AM, 10, FALSE), 1)</f>
        <v>8.210122122156277E-2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1.2880082149932374E-4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1.325875770965426E-4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1.3637433269376149E-4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1.4016108829098035E-4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1.4394784388819921E-4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1.475451928335629E-4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1.511425417789266E-4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1.5416935574954431E-4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1.5719616972016199E-4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1.6022298369077964E-4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1.6324979766139732E-4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1.6627661163201495E-4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1.6816998716433215E-4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1.7006336269664925E-4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1.7195673822896639E-4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1.7385011376128354E-4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1.7574348929360066E-4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1.7660862644644769E-4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1.7747376359929468E-4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1.7833890075214171E-4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1.7920403790498869E-4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1.800691750578357E-4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1.8055139377168855E-4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1.8103361248554144E-4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1.8151583119939427E-4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1.8199804991324715E-4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1.824802686271E-4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4.5502798191452108E-3</v>
      </c>
      <c r="C2" s="7">
        <f>$B2 * IFERROR(VLOOKUP("buildings|SO2|Premature mortality", US_national_yearly!$D:$AM, 11, FALSE) / VLOOKUP("buildings|SO2|Premature mortality", US_national_yearly!$D:$AM, 10, FALSE), 1)</f>
        <v>4.6079246378566288E-3</v>
      </c>
      <c r="D2" s="7">
        <f>$B2 * IFERROR(VLOOKUP("buildings|SO2|Premature mortality", US_national_yearly!$D:$AM, 12, FALSE) / VLOOKUP("buildings|SO2|Premature mortality", US_national_yearly!$D:$AM, 10, FALSE), 1)</f>
        <v>4.6655694565680469E-3</v>
      </c>
      <c r="E2" s="7">
        <f>$B2 * IFERROR(VLOOKUP("buildings|SO2|Premature mortality", US_national_yearly!$D:$AM, 13, FALSE) / VLOOKUP("buildings|SO2|Premature mortality", US_national_yearly!$D:$AM, 10, FALSE), 1)</f>
        <v>4.7232142752794649E-3</v>
      </c>
      <c r="F2" s="7">
        <f>$B2 * IFERROR(VLOOKUP("buildings|SO2|Premature mortality", US_national_yearly!$D:$AM, 14, FALSE) / VLOOKUP("buildings|SO2|Premature mortality", US_national_yearly!$D:$AM, 10, FALSE), 1)</f>
        <v>4.7808590939908829E-3</v>
      </c>
      <c r="G2" s="7">
        <f>$B2 * IFERROR(VLOOKUP("buildings|SO2|Premature mortality", US_national_yearly!$D:$AM, 15, FALSE) / VLOOKUP("buildings|SO2|Premature mortality", US_national_yearly!$D:$AM, 10, FALSE), 1)</f>
        <v>4.8919289631018147E-3</v>
      </c>
      <c r="H2" s="7">
        <f>$B2 * IFERROR(VLOOKUP("buildings|SO2|Premature mortality", US_national_yearly!$D:$AM, 16, FALSE) / VLOOKUP("buildings|SO2|Premature mortality", US_national_yearly!$D:$AM, 10, FALSE), 1)</f>
        <v>5.0029988322127465E-3</v>
      </c>
      <c r="I2" s="7">
        <f>$B2 * IFERROR(VLOOKUP("buildings|SO2|Premature mortality", US_national_yearly!$D:$AM, 17, FALSE) / VLOOKUP("buildings|SO2|Premature mortality", US_national_yearly!$D:$AM, 10, FALSE), 1)</f>
        <v>5.0764375917021192E-3</v>
      </c>
      <c r="J2" s="7">
        <f>$B2 * IFERROR(VLOOKUP("buildings|SO2|Premature mortality", US_national_yearly!$D:$AM, 18, FALSE) / VLOOKUP("buildings|SO2|Premature mortality", US_national_yearly!$D:$AM, 10, FALSE), 1)</f>
        <v>5.1498763511914911E-3</v>
      </c>
      <c r="K2" s="7">
        <f>$B2 * IFERROR(VLOOKUP("buildings|SO2|Premature mortality", US_national_yearly!$D:$AM, 19, FALSE) / VLOOKUP("buildings|SO2|Premature mortality", US_national_yearly!$D:$AM, 10, FALSE), 1)</f>
        <v>5.223315110680863E-3</v>
      </c>
      <c r="L2" s="7">
        <f>$B2 * IFERROR(VLOOKUP("buildings|SO2|Premature mortality", US_national_yearly!$D:$AM, 20, FALSE) / VLOOKUP("buildings|SO2|Premature mortality", US_national_yearly!$D:$AM, 10, FALSE), 1)</f>
        <v>5.2967538701702349E-3</v>
      </c>
      <c r="M2" s="7">
        <f>$B2 * IFERROR(VLOOKUP("buildings|SO2|Premature mortality", US_national_yearly!$D:$AM, 21, FALSE) / VLOOKUP("buildings|SO2|Premature mortality", US_national_yearly!$D:$AM, 10, FALSE), 1)</f>
        <v>5.3701926296596068E-3</v>
      </c>
      <c r="N2" s="7">
        <f>$B2 * IFERROR(VLOOKUP("buildings|SO2|Premature mortality", US_national_yearly!$D:$AM, 22, FALSE) / VLOOKUP("buildings|SO2|Premature mortality", US_national_yearly!$D:$AM, 10, FALSE), 1)</f>
        <v>5.4275604089831691E-3</v>
      </c>
      <c r="O2" s="7">
        <f>$B2 * IFERROR(VLOOKUP("buildings|SO2|Premature mortality", US_national_yearly!$D:$AM, 23, FALSE) / VLOOKUP("buildings|SO2|Premature mortality", US_national_yearly!$D:$AM, 10, FALSE), 1)</f>
        <v>5.4849281883067279E-3</v>
      </c>
      <c r="P2" s="7">
        <f>$B2 * IFERROR(VLOOKUP("buildings|SO2|Premature mortality", US_national_yearly!$D:$AM, 24, FALSE) / VLOOKUP("buildings|SO2|Premature mortality", US_national_yearly!$D:$AM, 10, FALSE), 1)</f>
        <v>5.5422959676302884E-3</v>
      </c>
      <c r="Q2" s="7">
        <f>$B2 * IFERROR(VLOOKUP("buildings|SO2|Premature mortality", US_national_yearly!$D:$AM, 25, FALSE) / VLOOKUP("buildings|SO2|Premature mortality", US_national_yearly!$D:$AM, 10, FALSE), 1)</f>
        <v>5.5996637469538481E-3</v>
      </c>
      <c r="R2" s="7">
        <f>$B2 * IFERROR(VLOOKUP("buildings|SO2|Premature mortality", US_national_yearly!$D:$AM, 26, FALSE) / VLOOKUP("buildings|SO2|Premature mortality", US_national_yearly!$D:$AM, 10, FALSE), 1)</f>
        <v>5.6570315262774087E-3</v>
      </c>
      <c r="S2" s="7">
        <f>$B2 * IFERROR(VLOOKUP("buildings|SO2|Premature mortality", US_national_yearly!$D:$AM, 27, FALSE) / VLOOKUP("buildings|SO2|Premature mortality", US_national_yearly!$D:$AM, 10, FALSE), 1)</f>
        <v>5.6877354166097261E-3</v>
      </c>
      <c r="T2" s="7">
        <f>$B2 * IFERROR(VLOOKUP("buildings|SO2|Premature mortality", US_national_yearly!$D:$AM, 28, FALSE) / VLOOKUP("buildings|SO2|Premature mortality", US_national_yearly!$D:$AM, 10, FALSE), 1)</f>
        <v>5.7184393069420452E-3</v>
      </c>
      <c r="U2" s="7">
        <f>$B2 * IFERROR(VLOOKUP("buildings|SO2|Premature mortality", US_national_yearly!$D:$AM, 29, FALSE) / VLOOKUP("buildings|SO2|Premature mortality", US_national_yearly!$D:$AM, 10, FALSE), 1)</f>
        <v>5.7491431972743635E-3</v>
      </c>
      <c r="V2" s="7">
        <f>$B2 * IFERROR(VLOOKUP("buildings|SO2|Premature mortality", US_national_yearly!$D:$AM, 30, FALSE) / VLOOKUP("buildings|SO2|Premature mortality", US_national_yearly!$D:$AM, 10, FALSE), 1)</f>
        <v>5.7798470876066826E-3</v>
      </c>
      <c r="W2" s="7">
        <f>$B2 * IFERROR(VLOOKUP("buildings|SO2|Premature mortality", US_national_yearly!$D:$AM, 31, FALSE) / VLOOKUP("buildings|SO2|Premature mortality", US_national_yearly!$D:$AM, 10, FALSE), 1)</f>
        <v>5.8105509779390009E-3</v>
      </c>
      <c r="X2" s="7">
        <f>$B2 * IFERROR(VLOOKUP("buildings|SO2|Premature mortality", US_national_yearly!$D:$AM, 32, FALSE) / VLOOKUP("buildings|SO2|Premature mortality", US_national_yearly!$D:$AM, 10, FALSE), 1)</f>
        <v>5.8167551581899141E-3</v>
      </c>
      <c r="Y2" s="7">
        <f>$B2 * IFERROR(VLOOKUP("buildings|SO2|Premature mortality", US_national_yearly!$D:$AM, 33, FALSE) / VLOOKUP("buildings|SO2|Premature mortality", US_national_yearly!$D:$AM, 10, FALSE), 1)</f>
        <v>5.8229593384408265E-3</v>
      </c>
      <c r="Z2" s="7">
        <f>$B2 * IFERROR(VLOOKUP("buildings|SO2|Premature mortality", US_national_yearly!$D:$AM, 34, FALSE) / VLOOKUP("buildings|SO2|Premature mortality", US_national_yearly!$D:$AM, 10, FALSE), 1)</f>
        <v>5.8291635186917389E-3</v>
      </c>
      <c r="AA2" s="7">
        <f>$B2 * IFERROR(VLOOKUP("buildings|SO2|Premature mortality", US_national_yearly!$D:$AM, 35, FALSE) / VLOOKUP("buildings|SO2|Premature mortality", US_national_yearly!$D:$AM, 10, FALSE), 1)</f>
        <v>5.8353676989426522E-3</v>
      </c>
      <c r="AB2" s="7">
        <f>$B2 * IFERROR(VLOOKUP("buildings|SO2|Premature mortality", US_national_yearly!$D:$AM, 36, FALSE) / VLOOKUP("buildings|SO2|Premature mortality", US_national_yearly!$D:$AM, 10, FALSE), 1)</f>
        <v>5.8415718791935654E-3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7.8450238289932612E-6</v>
      </c>
      <c r="C3" s="7">
        <f>$B3 * IFERROR(VLOOKUP("buildings|SO2|Infant mortality", US_national_yearly!$D:$AM, 11, FALSE) / VLOOKUP("buildings|SO2|Infant mortality", US_national_yearly!$D:$AM, 10, FALSE), 1)</f>
        <v>7.7777809352328064E-6</v>
      </c>
      <c r="D3" s="7">
        <f>$B3 * IFERROR(VLOOKUP("buildings|SO2|Infant mortality", US_national_yearly!$D:$AM, 12, FALSE) / VLOOKUP("buildings|SO2|Infant mortality", US_national_yearly!$D:$AM, 10, FALSE), 1)</f>
        <v>7.7105380414723517E-6</v>
      </c>
      <c r="E3" s="7">
        <f>$B3 * IFERROR(VLOOKUP("buildings|SO2|Infant mortality", US_national_yearly!$D:$AM, 13, FALSE) / VLOOKUP("buildings|SO2|Infant mortality", US_national_yearly!$D:$AM, 10, FALSE), 1)</f>
        <v>7.6432951477118969E-6</v>
      </c>
      <c r="F3" s="7">
        <f>$B3 * IFERROR(VLOOKUP("buildings|SO2|Infant mortality", US_national_yearly!$D:$AM, 14, FALSE) / VLOOKUP("buildings|SO2|Infant mortality", US_national_yearly!$D:$AM, 10, FALSE), 1)</f>
        <v>7.5760522539514421E-6</v>
      </c>
      <c r="G3" s="7">
        <f>$B3 * IFERROR(VLOOKUP("buildings|SO2|Infant mortality", US_national_yearly!$D:$AM, 15, FALSE) / VLOOKUP("buildings|SO2|Infant mortality", US_national_yearly!$D:$AM, 10, FALSE), 1)</f>
        <v>5.0453506626136364E-6</v>
      </c>
      <c r="H3" s="7">
        <f>$B3 * IFERROR(VLOOKUP("buildings|SO2|Infant mortality", US_national_yearly!$D:$AM, 16, FALSE) / VLOOKUP("buildings|SO2|Infant mortality", US_national_yearly!$D:$AM, 10, FALSE), 1)</f>
        <v>2.5146490712758298E-6</v>
      </c>
      <c r="I3" s="7">
        <f>$B3 * IFERROR(VLOOKUP("buildings|SO2|Infant mortality", US_national_yearly!$D:$AM, 17, FALSE) / VLOOKUP("buildings|SO2|Infant mortality", US_national_yearly!$D:$AM, 10, FALSE), 1)</f>
        <v>2.4988718853100372E-6</v>
      </c>
      <c r="J3" s="7">
        <f>$B3 * IFERROR(VLOOKUP("buildings|SO2|Infant mortality", US_national_yearly!$D:$AM, 18, FALSE) / VLOOKUP("buildings|SO2|Infant mortality", US_national_yearly!$D:$AM, 10, FALSE), 1)</f>
        <v>2.4830946993442443E-6</v>
      </c>
      <c r="K3" s="7">
        <f>$B3 * IFERROR(VLOOKUP("buildings|SO2|Infant mortality", US_national_yearly!$D:$AM, 19, FALSE) / VLOOKUP("buildings|SO2|Infant mortality", US_national_yearly!$D:$AM, 10, FALSE), 1)</f>
        <v>2.4673175133784513E-6</v>
      </c>
      <c r="L3" s="7">
        <f>$B3 * IFERROR(VLOOKUP("buildings|SO2|Infant mortality", US_national_yearly!$D:$AM, 20, FALSE) / VLOOKUP("buildings|SO2|Infant mortality", US_national_yearly!$D:$AM, 10, FALSE), 1)</f>
        <v>2.4515403274126584E-6</v>
      </c>
      <c r="M3" s="7">
        <f>$B3 * IFERROR(VLOOKUP("buildings|SO2|Infant mortality", US_national_yearly!$D:$AM, 21, FALSE) / VLOOKUP("buildings|SO2|Infant mortality", US_national_yearly!$D:$AM, 10, FALSE), 1)</f>
        <v>2.4357631414468658E-6</v>
      </c>
      <c r="N3" s="7">
        <f>$B3 * IFERROR(VLOOKUP("buildings|SO2|Infant mortality", US_national_yearly!$D:$AM, 22, FALSE) / VLOOKUP("buildings|SO2|Infant mortality", US_national_yearly!$D:$AM, 10, FALSE), 1)</f>
        <v>2.4258725218887083E-6</v>
      </c>
      <c r="O3" s="7">
        <f>$B3 * IFERROR(VLOOKUP("buildings|SO2|Infant mortality", US_national_yearly!$D:$AM, 23, FALSE) / VLOOKUP("buildings|SO2|Infant mortality", US_national_yearly!$D:$AM, 10, FALSE), 1)</f>
        <v>2.4159819023305512E-6</v>
      </c>
      <c r="P3" s="7">
        <f>$B3 * IFERROR(VLOOKUP("buildings|SO2|Infant mortality", US_national_yearly!$D:$AM, 24, FALSE) / VLOOKUP("buildings|SO2|Infant mortality", US_national_yearly!$D:$AM, 10, FALSE), 1)</f>
        <v>2.4060912827723937E-6</v>
      </c>
      <c r="Q3" s="7">
        <f>$B3 * IFERROR(VLOOKUP("buildings|SO2|Infant mortality", US_national_yearly!$D:$AM, 25, FALSE) / VLOOKUP("buildings|SO2|Infant mortality", US_national_yearly!$D:$AM, 10, FALSE), 1)</f>
        <v>2.3962006632142367E-6</v>
      </c>
      <c r="R3" s="7">
        <f>$B3 * IFERROR(VLOOKUP("buildings|SO2|Infant mortality", US_national_yearly!$D:$AM, 26, FALSE) / VLOOKUP("buildings|SO2|Infant mortality", US_national_yearly!$D:$AM, 10, FALSE), 1)</f>
        <v>2.3863100436560791E-6</v>
      </c>
      <c r="S3" s="7">
        <f>$B3 * IFERROR(VLOOKUP("buildings|SO2|Infant mortality", US_national_yearly!$D:$AM, 27, FALSE) / VLOOKUP("buildings|SO2|Infant mortality", US_national_yearly!$D:$AM, 10, FALSE), 1)</f>
        <v>2.3738905611240211E-6</v>
      </c>
      <c r="T3" s="7">
        <f>$B3 * IFERROR(VLOOKUP("buildings|SO2|Infant mortality", US_national_yearly!$D:$AM, 28, FALSE) / VLOOKUP("buildings|SO2|Infant mortality", US_national_yearly!$D:$AM, 10, FALSE), 1)</f>
        <v>2.361471078591963E-6</v>
      </c>
      <c r="U3" s="7">
        <f>$B3 * IFERROR(VLOOKUP("buildings|SO2|Infant mortality", US_national_yearly!$D:$AM, 29, FALSE) / VLOOKUP("buildings|SO2|Infant mortality", US_national_yearly!$D:$AM, 10, FALSE), 1)</f>
        <v>2.349051596059905E-6</v>
      </c>
      <c r="V3" s="7">
        <f>$B3 * IFERROR(VLOOKUP("buildings|SO2|Infant mortality", US_national_yearly!$D:$AM, 30, FALSE) / VLOOKUP("buildings|SO2|Infant mortality", US_national_yearly!$D:$AM, 10, FALSE), 1)</f>
        <v>2.3366321135278469E-6</v>
      </c>
      <c r="W3" s="7">
        <f>$B3 * IFERROR(VLOOKUP("buildings|SO2|Infant mortality", US_national_yearly!$D:$AM, 31, FALSE) / VLOOKUP("buildings|SO2|Infant mortality", US_national_yearly!$D:$AM, 10, FALSE), 1)</f>
        <v>2.3242126309957884E-6</v>
      </c>
      <c r="X3" s="7">
        <f>$B3 * IFERROR(VLOOKUP("buildings|SO2|Infant mortality", US_national_yearly!$D:$AM, 32, FALSE) / VLOOKUP("buildings|SO2|Infant mortality", US_national_yearly!$D:$AM, 10, FALSE), 1)</f>
        <v>2.3106485881841695E-6</v>
      </c>
      <c r="Y3" s="7">
        <f>$B3 * IFERROR(VLOOKUP("buildings|SO2|Infant mortality", US_national_yearly!$D:$AM, 33, FALSE) / VLOOKUP("buildings|SO2|Infant mortality", US_national_yearly!$D:$AM, 10, FALSE), 1)</f>
        <v>2.2970845453725502E-6</v>
      </c>
      <c r="Z3" s="7">
        <f>$B3 * IFERROR(VLOOKUP("buildings|SO2|Infant mortality", US_national_yearly!$D:$AM, 34, FALSE) / VLOOKUP("buildings|SO2|Infant mortality", US_national_yearly!$D:$AM, 10, FALSE), 1)</f>
        <v>2.2835205025609318E-6</v>
      </c>
      <c r="AA3" s="7">
        <f>$B3 * IFERROR(VLOOKUP("buildings|SO2|Infant mortality", US_national_yearly!$D:$AM, 35, FALSE) / VLOOKUP("buildings|SO2|Infant mortality", US_national_yearly!$D:$AM, 10, FALSE), 1)</f>
        <v>2.269956459749312E-6</v>
      </c>
      <c r="AB3" s="7">
        <f>$B3 * IFERROR(VLOOKUP("buildings|SO2|Infant mortality", US_national_yearly!$D:$AM, 36, FALSE) / VLOOKUP("buildings|SO2|Infant mortality", US_national_yearly!$D:$AM, 10, FALSE), 1)</f>
        <v>2.2563924169376936E-6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1.0447950707562728E-2</v>
      </c>
      <c r="C6" s="7">
        <f>$B6 * IFERROR(VLOOKUP("buildings|SO2|Asthma symptoms cough", US_national_yearly!$D:$AM, 11, FALSE) / VLOOKUP("buildings|SO2|Asthma symptoms cough", US_national_yearly!$D:$AM, 10, FALSE), 1)</f>
        <v>1.0447950707562728E-2</v>
      </c>
      <c r="D6" s="7">
        <f>$B6 * IFERROR(VLOOKUP("buildings|SO2|Asthma symptoms cough", US_national_yearly!$D:$AM, 12, FALSE) / VLOOKUP("buildings|SO2|Asthma symptoms cough", US_national_yearly!$D:$AM, 10, FALSE), 1)</f>
        <v>1.0447950707562728E-2</v>
      </c>
      <c r="E6" s="7">
        <f>$B6 * IFERROR(VLOOKUP("buildings|SO2|Asthma symptoms cough", US_national_yearly!$D:$AM, 13, FALSE) / VLOOKUP("buildings|SO2|Asthma symptoms cough", US_national_yearly!$D:$AM, 10, FALSE), 1)</f>
        <v>1.0447950707562728E-2</v>
      </c>
      <c r="F6" s="7">
        <f>$B6 * IFERROR(VLOOKUP("buildings|SO2|Asthma symptoms cough", US_national_yearly!$D:$AM, 14, FALSE) / VLOOKUP("buildings|SO2|Asthma symptoms cough", US_national_yearly!$D:$AM, 10, FALSE), 1)</f>
        <v>1.0447950707562728E-2</v>
      </c>
      <c r="G6" s="7">
        <f>$B6 * IFERROR(VLOOKUP("buildings|SO2|Asthma symptoms cough", US_national_yearly!$D:$AM, 15, FALSE) / VLOOKUP("buildings|SO2|Asthma symptoms cough", US_national_yearly!$D:$AM, 10, FALSE), 1)</f>
        <v>1.0447950707562728E-2</v>
      </c>
      <c r="H6" s="7">
        <f>$B6 * IFERROR(VLOOKUP("buildings|SO2|Asthma symptoms cough", US_national_yearly!$D:$AM, 16, FALSE) / VLOOKUP("buildings|SO2|Asthma symptoms cough", US_national_yearly!$D:$AM, 10, FALSE), 1)</f>
        <v>1.0447950707562728E-2</v>
      </c>
      <c r="I6" s="7">
        <f>$B6 * IFERROR(VLOOKUP("buildings|SO2|Asthma symptoms cough", US_national_yearly!$D:$AM, 17, FALSE) / VLOOKUP("buildings|SO2|Asthma symptoms cough", US_national_yearly!$D:$AM, 10, FALSE), 1)</f>
        <v>1.0447950707562728E-2</v>
      </c>
      <c r="J6" s="7">
        <f>$B6 * IFERROR(VLOOKUP("buildings|SO2|Asthma symptoms cough", US_national_yearly!$D:$AM, 18, FALSE) / VLOOKUP("buildings|SO2|Asthma symptoms cough", US_national_yearly!$D:$AM, 10, FALSE), 1)</f>
        <v>1.0447950707562728E-2</v>
      </c>
      <c r="K6" s="7">
        <f>$B6 * IFERROR(VLOOKUP("buildings|SO2|Asthma symptoms cough", US_national_yearly!$D:$AM, 19, FALSE) / VLOOKUP("buildings|SO2|Asthma symptoms cough", US_national_yearly!$D:$AM, 10, FALSE), 1)</f>
        <v>1.0447950707562728E-2</v>
      </c>
      <c r="L6" s="7">
        <f>$B6 * IFERROR(VLOOKUP("buildings|SO2|Asthma symptoms cough", US_national_yearly!$D:$AM, 20, FALSE) / VLOOKUP("buildings|SO2|Asthma symptoms cough", US_national_yearly!$D:$AM, 10, FALSE), 1)</f>
        <v>1.0447950707562728E-2</v>
      </c>
      <c r="M6" s="7">
        <f>$B6 * IFERROR(VLOOKUP("buildings|SO2|Asthma symptoms cough", US_national_yearly!$D:$AM, 21, FALSE) / VLOOKUP("buildings|SO2|Asthma symptoms cough", US_national_yearly!$D:$AM, 10, FALSE), 1)</f>
        <v>1.0447950707562728E-2</v>
      </c>
      <c r="N6" s="7">
        <f>$B6 * IFERROR(VLOOKUP("buildings|SO2|Asthma symptoms cough", US_national_yearly!$D:$AM, 22, FALSE) / VLOOKUP("buildings|SO2|Asthma symptoms cough", US_national_yearly!$D:$AM, 10, FALSE), 1)</f>
        <v>1.0447950707562728E-2</v>
      </c>
      <c r="O6" s="7">
        <f>$B6 * IFERROR(VLOOKUP("buildings|SO2|Asthma symptoms cough", US_national_yearly!$D:$AM, 23, FALSE) / VLOOKUP("buildings|SO2|Asthma symptoms cough", US_national_yearly!$D:$AM, 10, FALSE), 1)</f>
        <v>1.0447950707562728E-2</v>
      </c>
      <c r="P6" s="7">
        <f>$B6 * IFERROR(VLOOKUP("buildings|SO2|Asthma symptoms cough", US_national_yearly!$D:$AM, 24, FALSE) / VLOOKUP("buildings|SO2|Asthma symptoms cough", US_national_yearly!$D:$AM, 10, FALSE), 1)</f>
        <v>1.0447950707562728E-2</v>
      </c>
      <c r="Q6" s="7">
        <f>$B6 * IFERROR(VLOOKUP("buildings|SO2|Asthma symptoms cough", US_national_yearly!$D:$AM, 25, FALSE) / VLOOKUP("buildings|SO2|Asthma symptoms cough", US_national_yearly!$D:$AM, 10, FALSE), 1)</f>
        <v>1.0447950707562728E-2</v>
      </c>
      <c r="R6" s="7">
        <f>$B6 * IFERROR(VLOOKUP("buildings|SO2|Asthma symptoms cough", US_national_yearly!$D:$AM, 26, FALSE) / VLOOKUP("buildings|SO2|Asthma symptoms cough", US_national_yearly!$D:$AM, 10, FALSE), 1)</f>
        <v>1.0447950707562728E-2</v>
      </c>
      <c r="S6" s="7">
        <f>$B6 * IFERROR(VLOOKUP("buildings|SO2|Asthma symptoms cough", US_national_yearly!$D:$AM, 27, FALSE) / VLOOKUP("buildings|SO2|Asthma symptoms cough", US_national_yearly!$D:$AM, 10, FALSE), 1)</f>
        <v>1.0447950707562728E-2</v>
      </c>
      <c r="T6" s="7">
        <f>$B6 * IFERROR(VLOOKUP("buildings|SO2|Asthma symptoms cough", US_national_yearly!$D:$AM, 28, FALSE) / VLOOKUP("buildings|SO2|Asthma symptoms cough", US_national_yearly!$D:$AM, 10, FALSE), 1)</f>
        <v>1.0447950707562728E-2</v>
      </c>
      <c r="U6" s="7">
        <f>$B6 * IFERROR(VLOOKUP("buildings|SO2|Asthma symptoms cough", US_national_yearly!$D:$AM, 29, FALSE) / VLOOKUP("buildings|SO2|Asthma symptoms cough", US_national_yearly!$D:$AM, 10, FALSE), 1)</f>
        <v>1.0447950707562728E-2</v>
      </c>
      <c r="V6" s="7">
        <f>$B6 * IFERROR(VLOOKUP("buildings|SO2|Asthma symptoms cough", US_national_yearly!$D:$AM, 30, FALSE) / VLOOKUP("buildings|SO2|Asthma symptoms cough", US_national_yearly!$D:$AM, 10, FALSE), 1)</f>
        <v>1.0447950707562728E-2</v>
      </c>
      <c r="W6" s="7">
        <f>$B6 * IFERROR(VLOOKUP("buildings|SO2|Asthma symptoms cough", US_national_yearly!$D:$AM, 31, FALSE) / VLOOKUP("buildings|SO2|Asthma symptoms cough", US_national_yearly!$D:$AM, 10, FALSE), 1)</f>
        <v>1.0447950707562728E-2</v>
      </c>
      <c r="X6" s="7">
        <f>$B6 * IFERROR(VLOOKUP("buildings|SO2|Asthma symptoms cough", US_national_yearly!$D:$AM, 32, FALSE) / VLOOKUP("buildings|SO2|Asthma symptoms cough", US_national_yearly!$D:$AM, 10, FALSE), 1)</f>
        <v>1.0447950707562728E-2</v>
      </c>
      <c r="Y6" s="7">
        <f>$B6 * IFERROR(VLOOKUP("buildings|SO2|Asthma symptoms cough", US_national_yearly!$D:$AM, 33, FALSE) / VLOOKUP("buildings|SO2|Asthma symptoms cough", US_national_yearly!$D:$AM, 10, FALSE), 1)</f>
        <v>1.0447950707562728E-2</v>
      </c>
      <c r="Z6" s="7">
        <f>$B6 * IFERROR(VLOOKUP("buildings|SO2|Asthma symptoms cough", US_national_yearly!$D:$AM, 34, FALSE) / VLOOKUP("buildings|SO2|Asthma symptoms cough", US_national_yearly!$D:$AM, 10, FALSE), 1)</f>
        <v>1.0447950707562728E-2</v>
      </c>
      <c r="AA6" s="7">
        <f>$B6 * IFERROR(VLOOKUP("buildings|SO2|Asthma symptoms cough", US_national_yearly!$D:$AM, 35, FALSE) / VLOOKUP("buildings|SO2|Asthma symptoms cough", US_national_yearly!$D:$AM, 10, FALSE), 1)</f>
        <v>1.0447950707562728E-2</v>
      </c>
      <c r="AB6" s="7">
        <f>$B6 * IFERROR(VLOOKUP("buildings|SO2|Asthma symptoms cough", US_national_yearly!$D:$AM, 36, FALSE) / VLOOKUP("buildings|SO2|Asthma symptoms cough", US_national_yearly!$D:$AM, 10, FALSE), 1)</f>
        <v>1.0447950707562728E-2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1.4069692138060523E-2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1.4069692138060523E-2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1.4069692138060523E-2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1.4069692138060523E-2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1.4069692138060523E-2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1.4069692138060523E-2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1.4069692138060523E-2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1.4069692138060523E-2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1.4069692138060523E-2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1.4069692138060523E-2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1.4069692138060523E-2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1.4069692138060523E-2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1.4069692138060523E-2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1.4069692138060523E-2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1.4069692138060523E-2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1.4069692138060523E-2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1.4069692138060523E-2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1.4069692138060523E-2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1.4069692138060523E-2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1.4069692138060523E-2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1.4069692138060523E-2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1.4069692138060523E-2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1.4069692138060523E-2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1.4069692138060523E-2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1.4069692138060523E-2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1.4069692138060523E-2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1.4069692138060523E-2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2.1496067773183782E-2</v>
      </c>
      <c r="C8" s="7">
        <f>$B8 * IFERROR(VLOOKUP("buildings|SO2|Asthma symptoms wheeze", US_national_yearly!$D:$AM, 11, FALSE) / VLOOKUP("buildings|SO2|Asthma symptoms wheeze", US_national_yearly!$D:$AM, 10, FALSE), 1)</f>
        <v>2.1496067773183782E-2</v>
      </c>
      <c r="D8" s="7">
        <f>$B8 * IFERROR(VLOOKUP("buildings|SO2|Asthma symptoms wheeze", US_national_yearly!$D:$AM, 12, FALSE) / VLOOKUP("buildings|SO2|Asthma symptoms wheeze", US_national_yearly!$D:$AM, 10, FALSE), 1)</f>
        <v>2.1496067773183782E-2</v>
      </c>
      <c r="E8" s="7">
        <f>$B8 * IFERROR(VLOOKUP("buildings|SO2|Asthma symptoms wheeze", US_national_yearly!$D:$AM, 13, FALSE) / VLOOKUP("buildings|SO2|Asthma symptoms wheeze", US_national_yearly!$D:$AM, 10, FALSE), 1)</f>
        <v>2.1496067773183782E-2</v>
      </c>
      <c r="F8" s="7">
        <f>$B8 * IFERROR(VLOOKUP("buildings|SO2|Asthma symptoms wheeze", US_national_yearly!$D:$AM, 14, FALSE) / VLOOKUP("buildings|SO2|Asthma symptoms wheeze", US_national_yearly!$D:$AM, 10, FALSE), 1)</f>
        <v>2.1496067773183782E-2</v>
      </c>
      <c r="G8" s="7">
        <f>$B8 * IFERROR(VLOOKUP("buildings|SO2|Asthma symptoms wheeze", US_national_yearly!$D:$AM, 15, FALSE) / VLOOKUP("buildings|SO2|Asthma symptoms wheeze", US_national_yearly!$D:$AM, 10, FALSE), 1)</f>
        <v>2.1496067773183782E-2</v>
      </c>
      <c r="H8" s="7">
        <f>$B8 * IFERROR(VLOOKUP("buildings|SO2|Asthma symptoms wheeze", US_national_yearly!$D:$AM, 16, FALSE) / VLOOKUP("buildings|SO2|Asthma symptoms wheeze", US_national_yearly!$D:$AM, 10, FALSE), 1)</f>
        <v>2.1496067773183782E-2</v>
      </c>
      <c r="I8" s="7">
        <f>$B8 * IFERROR(VLOOKUP("buildings|SO2|Asthma symptoms wheeze", US_national_yearly!$D:$AM, 17, FALSE) / VLOOKUP("buildings|SO2|Asthma symptoms wheeze", US_national_yearly!$D:$AM, 10, FALSE), 1)</f>
        <v>2.1496067773183782E-2</v>
      </c>
      <c r="J8" s="7">
        <f>$B8 * IFERROR(VLOOKUP("buildings|SO2|Asthma symptoms wheeze", US_national_yearly!$D:$AM, 18, FALSE) / VLOOKUP("buildings|SO2|Asthma symptoms wheeze", US_national_yearly!$D:$AM, 10, FALSE), 1)</f>
        <v>2.1496067773183782E-2</v>
      </c>
      <c r="K8" s="7">
        <f>$B8 * IFERROR(VLOOKUP("buildings|SO2|Asthma symptoms wheeze", US_national_yearly!$D:$AM, 19, FALSE) / VLOOKUP("buildings|SO2|Asthma symptoms wheeze", US_national_yearly!$D:$AM, 10, FALSE), 1)</f>
        <v>2.1496067773183782E-2</v>
      </c>
      <c r="L8" s="7">
        <f>$B8 * IFERROR(VLOOKUP("buildings|SO2|Asthma symptoms wheeze", US_national_yearly!$D:$AM, 20, FALSE) / VLOOKUP("buildings|SO2|Asthma symptoms wheeze", US_national_yearly!$D:$AM, 10, FALSE), 1)</f>
        <v>2.1496067773183782E-2</v>
      </c>
      <c r="M8" s="7">
        <f>$B8 * IFERROR(VLOOKUP("buildings|SO2|Asthma symptoms wheeze", US_national_yearly!$D:$AM, 21, FALSE) / VLOOKUP("buildings|SO2|Asthma symptoms wheeze", US_national_yearly!$D:$AM, 10, FALSE), 1)</f>
        <v>2.1496067773183782E-2</v>
      </c>
      <c r="N8" s="7">
        <f>$B8 * IFERROR(VLOOKUP("buildings|SO2|Asthma symptoms wheeze", US_national_yearly!$D:$AM, 22, FALSE) / VLOOKUP("buildings|SO2|Asthma symptoms wheeze", US_national_yearly!$D:$AM, 10, FALSE), 1)</f>
        <v>2.1496067773183782E-2</v>
      </c>
      <c r="O8" s="7">
        <f>$B8 * IFERROR(VLOOKUP("buildings|SO2|Asthma symptoms wheeze", US_national_yearly!$D:$AM, 23, FALSE) / VLOOKUP("buildings|SO2|Asthma symptoms wheeze", US_national_yearly!$D:$AM, 10, FALSE), 1)</f>
        <v>2.1496067773183782E-2</v>
      </c>
      <c r="P8" s="7">
        <f>$B8 * IFERROR(VLOOKUP("buildings|SO2|Asthma symptoms wheeze", US_national_yearly!$D:$AM, 24, FALSE) / VLOOKUP("buildings|SO2|Asthma symptoms wheeze", US_national_yearly!$D:$AM, 10, FALSE), 1)</f>
        <v>2.1496067773183782E-2</v>
      </c>
      <c r="Q8" s="7">
        <f>$B8 * IFERROR(VLOOKUP("buildings|SO2|Asthma symptoms wheeze", US_national_yearly!$D:$AM, 25, FALSE) / VLOOKUP("buildings|SO2|Asthma symptoms wheeze", US_national_yearly!$D:$AM, 10, FALSE), 1)</f>
        <v>2.1496067773183782E-2</v>
      </c>
      <c r="R8" s="7">
        <f>$B8 * IFERROR(VLOOKUP("buildings|SO2|Asthma symptoms wheeze", US_national_yearly!$D:$AM, 26, FALSE) / VLOOKUP("buildings|SO2|Asthma symptoms wheeze", US_national_yearly!$D:$AM, 10, FALSE), 1)</f>
        <v>2.1496067773183782E-2</v>
      </c>
      <c r="S8" s="7">
        <f>$B8 * IFERROR(VLOOKUP("buildings|SO2|Asthma symptoms wheeze", US_national_yearly!$D:$AM, 27, FALSE) / VLOOKUP("buildings|SO2|Asthma symptoms wheeze", US_national_yearly!$D:$AM, 10, FALSE), 1)</f>
        <v>2.1496067773183782E-2</v>
      </c>
      <c r="T8" s="7">
        <f>$B8 * IFERROR(VLOOKUP("buildings|SO2|Asthma symptoms wheeze", US_national_yearly!$D:$AM, 28, FALSE) / VLOOKUP("buildings|SO2|Asthma symptoms wheeze", US_national_yearly!$D:$AM, 10, FALSE), 1)</f>
        <v>2.1496067773183782E-2</v>
      </c>
      <c r="U8" s="7">
        <f>$B8 * IFERROR(VLOOKUP("buildings|SO2|Asthma symptoms wheeze", US_national_yearly!$D:$AM, 29, FALSE) / VLOOKUP("buildings|SO2|Asthma symptoms wheeze", US_national_yearly!$D:$AM, 10, FALSE), 1)</f>
        <v>2.1496067773183782E-2</v>
      </c>
      <c r="V8" s="7">
        <f>$B8 * IFERROR(VLOOKUP("buildings|SO2|Asthma symptoms wheeze", US_national_yearly!$D:$AM, 30, FALSE) / VLOOKUP("buildings|SO2|Asthma symptoms wheeze", US_national_yearly!$D:$AM, 10, FALSE), 1)</f>
        <v>2.1496067773183782E-2</v>
      </c>
      <c r="W8" s="7">
        <f>$B8 * IFERROR(VLOOKUP("buildings|SO2|Asthma symptoms wheeze", US_national_yearly!$D:$AM, 31, FALSE) / VLOOKUP("buildings|SO2|Asthma symptoms wheeze", US_national_yearly!$D:$AM, 10, FALSE), 1)</f>
        <v>2.1496067773183782E-2</v>
      </c>
      <c r="X8" s="7">
        <f>$B8 * IFERROR(VLOOKUP("buildings|SO2|Asthma symptoms wheeze", US_national_yearly!$D:$AM, 32, FALSE) / VLOOKUP("buildings|SO2|Asthma symptoms wheeze", US_national_yearly!$D:$AM, 10, FALSE), 1)</f>
        <v>2.1496067773183782E-2</v>
      </c>
      <c r="Y8" s="7">
        <f>$B8 * IFERROR(VLOOKUP("buildings|SO2|Asthma symptoms wheeze", US_national_yearly!$D:$AM, 33, FALSE) / VLOOKUP("buildings|SO2|Asthma symptoms wheeze", US_national_yearly!$D:$AM, 10, FALSE), 1)</f>
        <v>2.1496067773183782E-2</v>
      </c>
      <c r="Z8" s="7">
        <f>$B8 * IFERROR(VLOOKUP("buildings|SO2|Asthma symptoms wheeze", US_national_yearly!$D:$AM, 34, FALSE) / VLOOKUP("buildings|SO2|Asthma symptoms wheeze", US_national_yearly!$D:$AM, 10, FALSE), 1)</f>
        <v>2.1496067773183782E-2</v>
      </c>
      <c r="AA8" s="7">
        <f>$B8 * IFERROR(VLOOKUP("buildings|SO2|Asthma symptoms wheeze", US_national_yearly!$D:$AM, 35, FALSE) / VLOOKUP("buildings|SO2|Asthma symptoms wheeze", US_national_yearly!$D:$AM, 10, FALSE), 1)</f>
        <v>2.1496067773183782E-2</v>
      </c>
      <c r="AB8" s="7">
        <f>$B8 * IFERROR(VLOOKUP("buildings|SO2|Asthma symptoms wheeze", US_national_yearly!$D:$AM, 36, FALSE) / VLOOKUP("buildings|SO2|Asthma symptoms wheeze", US_national_yearly!$D:$AM, 10, FALSE), 1)</f>
        <v>2.1496067773183782E-2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3.3740836581261043E-4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3.394012288553564E-4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3.4139409189810237E-4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3.4338695494084829E-4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3.453798179835942E-4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3.4755178762734446E-4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3.4972375727109471E-4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3.5186121501268612E-4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3.5399867275427764E-4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3.5613613049586911E-4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3.5827358823746052E-4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3.6041104597905204E-4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3.6197174396677224E-4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3.635324419544925E-4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3.6509313994221269E-4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3.6665383792993295E-4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3.6821453591765315E-4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3.6970267976886529E-4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3.7119082362007744E-4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3.7267896747128959E-4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3.7416711132250168E-4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3.7565525517371389E-4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3.7706938010954562E-4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3.7848350504537752E-4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3.7989762998120931E-4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3.8131175491704111E-4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3.8272587985287295E-4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1.8609378602570921E-3</v>
      </c>
      <c r="C13" s="7">
        <f>$B13 * IFERROR(VLOOKUP("buildings|SO2|Non-fatal heart attacks", US_national_yearly!$D:$AM, 11, FALSE) / VLOOKUP("buildings|SO2|Non-fatal heart attacks", US_national_yearly!$D:$AM, 10, FALSE), 1)</f>
        <v>1.9155858989379235E-3</v>
      </c>
      <c r="D13" s="7">
        <f>$B13 * IFERROR(VLOOKUP("buildings|SO2|Non-fatal heart attacks", US_national_yearly!$D:$AM, 12, FALSE) / VLOOKUP("buildings|SO2|Non-fatal heart attacks", US_national_yearly!$D:$AM, 10, FALSE), 1)</f>
        <v>1.9702339376187544E-3</v>
      </c>
      <c r="E13" s="7">
        <f>$B13 * IFERROR(VLOOKUP("buildings|SO2|Non-fatal heart attacks", US_national_yearly!$D:$AM, 13, FALSE) / VLOOKUP("buildings|SO2|Non-fatal heart attacks", US_national_yearly!$D:$AM, 10, FALSE), 1)</f>
        <v>2.0248819762995851E-3</v>
      </c>
      <c r="F13" s="7">
        <f>$B13 * IFERROR(VLOOKUP("buildings|SO2|Non-fatal heart attacks", US_national_yearly!$D:$AM, 14, FALSE) / VLOOKUP("buildings|SO2|Non-fatal heart attacks", US_national_yearly!$D:$AM, 10, FALSE), 1)</f>
        <v>2.0795300149804162E-3</v>
      </c>
      <c r="G13" s="7">
        <f>$B13 * IFERROR(VLOOKUP("buildings|SO2|Non-fatal heart attacks", US_national_yearly!$D:$AM, 15, FALSE) / VLOOKUP("buildings|SO2|Non-fatal heart attacks", US_national_yearly!$D:$AM, 10, FALSE), 1)</f>
        <v>2.1310719291080821E-3</v>
      </c>
      <c r="H13" s="7">
        <f>$B13 * IFERROR(VLOOKUP("buildings|SO2|Non-fatal heart attacks", US_national_yearly!$D:$AM, 16, FALSE) / VLOOKUP("buildings|SO2|Non-fatal heart attacks", US_national_yearly!$D:$AM, 10, FALSE), 1)</f>
        <v>2.1826138432357485E-3</v>
      </c>
      <c r="I13" s="7">
        <f>$B13 * IFERROR(VLOOKUP("buildings|SO2|Non-fatal heart attacks", US_national_yearly!$D:$AM, 17, FALSE) / VLOOKUP("buildings|SO2|Non-fatal heart attacks", US_national_yearly!$D:$AM, 10, FALSE), 1)</f>
        <v>2.2241016677161567E-3</v>
      </c>
      <c r="J13" s="7">
        <f>$B13 * IFERROR(VLOOKUP("buildings|SO2|Non-fatal heart attacks", US_national_yearly!$D:$AM, 18, FALSE) / VLOOKUP("buildings|SO2|Non-fatal heart attacks", US_national_yearly!$D:$AM, 10, FALSE), 1)</f>
        <v>2.2655894921965649E-3</v>
      </c>
      <c r="K13" s="7">
        <f>$B13 * IFERROR(VLOOKUP("buildings|SO2|Non-fatal heart attacks", US_national_yearly!$D:$AM, 19, FALSE) / VLOOKUP("buildings|SO2|Non-fatal heart attacks", US_national_yearly!$D:$AM, 10, FALSE), 1)</f>
        <v>2.3070773166769735E-3</v>
      </c>
      <c r="L13" s="7">
        <f>$B13 * IFERROR(VLOOKUP("buildings|SO2|Non-fatal heart attacks", US_national_yearly!$D:$AM, 20, FALSE) / VLOOKUP("buildings|SO2|Non-fatal heart attacks", US_national_yearly!$D:$AM, 10, FALSE), 1)</f>
        <v>2.3485651411573822E-3</v>
      </c>
      <c r="M13" s="7">
        <f>$B13 * IFERROR(VLOOKUP("buildings|SO2|Non-fatal heart attacks", US_national_yearly!$D:$AM, 21, FALSE) / VLOOKUP("buildings|SO2|Non-fatal heart attacks", US_national_yearly!$D:$AM, 10, FALSE), 1)</f>
        <v>2.3900529656377908E-3</v>
      </c>
      <c r="N13" s="7">
        <f>$B13 * IFERROR(VLOOKUP("buildings|SO2|Non-fatal heart attacks", US_national_yearly!$D:$AM, 22, FALSE) / VLOOKUP("buildings|SO2|Non-fatal heart attacks", US_national_yearly!$D:$AM, 10, FALSE), 1)</f>
        <v>2.4169804923217697E-3</v>
      </c>
      <c r="O13" s="7">
        <f>$B13 * IFERROR(VLOOKUP("buildings|SO2|Non-fatal heart attacks", US_national_yearly!$D:$AM, 23, FALSE) / VLOOKUP("buildings|SO2|Non-fatal heart attacks", US_national_yearly!$D:$AM, 10, FALSE), 1)</f>
        <v>2.4439080190057491E-3</v>
      </c>
      <c r="P13" s="7">
        <f>$B13 * IFERROR(VLOOKUP("buildings|SO2|Non-fatal heart attacks", US_national_yearly!$D:$AM, 24, FALSE) / VLOOKUP("buildings|SO2|Non-fatal heart attacks", US_national_yearly!$D:$AM, 10, FALSE), 1)</f>
        <v>2.4708355456897284E-3</v>
      </c>
      <c r="Q13" s="7">
        <f>$B13 * IFERROR(VLOOKUP("buildings|SO2|Non-fatal heart attacks", US_national_yearly!$D:$AM, 25, FALSE) / VLOOKUP("buildings|SO2|Non-fatal heart attacks", US_national_yearly!$D:$AM, 10, FALSE), 1)</f>
        <v>2.4977630723737074E-3</v>
      </c>
      <c r="R13" s="7">
        <f>$B13 * IFERROR(VLOOKUP("buildings|SO2|Non-fatal heart attacks", US_national_yearly!$D:$AM, 26, FALSE) / VLOOKUP("buildings|SO2|Non-fatal heart attacks", US_national_yearly!$D:$AM, 10, FALSE), 1)</f>
        <v>2.5246905990576867E-3</v>
      </c>
      <c r="S13" s="7">
        <f>$B13 * IFERROR(VLOOKUP("buildings|SO2|Non-fatal heart attacks", US_national_yearly!$D:$AM, 27, FALSE) / VLOOKUP("buildings|SO2|Non-fatal heart attacks", US_national_yearly!$D:$AM, 10, FALSE), 1)</f>
        <v>2.5387521094015529E-3</v>
      </c>
      <c r="T13" s="7">
        <f>$B13 * IFERROR(VLOOKUP("buildings|SO2|Non-fatal heart attacks", US_national_yearly!$D:$AM, 28, FALSE) / VLOOKUP("buildings|SO2|Non-fatal heart attacks", US_national_yearly!$D:$AM, 10, FALSE), 1)</f>
        <v>2.5528136197454196E-3</v>
      </c>
      <c r="U13" s="7">
        <f>$B13 * IFERROR(VLOOKUP("buildings|SO2|Non-fatal heart attacks", US_national_yearly!$D:$AM, 29, FALSE) / VLOOKUP("buildings|SO2|Non-fatal heart attacks", US_national_yearly!$D:$AM, 10, FALSE), 1)</f>
        <v>2.566875130089285E-3</v>
      </c>
      <c r="V13" s="7">
        <f>$B13 * IFERROR(VLOOKUP("buildings|SO2|Non-fatal heart attacks", US_national_yearly!$D:$AM, 30, FALSE) / VLOOKUP("buildings|SO2|Non-fatal heart attacks", US_national_yearly!$D:$AM, 10, FALSE), 1)</f>
        <v>2.5809366404331516E-3</v>
      </c>
      <c r="W13" s="7">
        <f>$B13 * IFERROR(VLOOKUP("buildings|SO2|Non-fatal heart attacks", US_national_yearly!$D:$AM, 31, FALSE) / VLOOKUP("buildings|SO2|Non-fatal heart attacks", US_national_yearly!$D:$AM, 10, FALSE), 1)</f>
        <v>2.5949981507770174E-3</v>
      </c>
      <c r="X13" s="7">
        <f>$B13 * IFERROR(VLOOKUP("buildings|SO2|Non-fatal heart attacks", US_national_yearly!$D:$AM, 32, FALSE) / VLOOKUP("buildings|SO2|Non-fatal heart attacks", US_national_yearly!$D:$AM, 10, FALSE), 1)</f>
        <v>2.6056184359888371E-3</v>
      </c>
      <c r="Y13" s="7">
        <f>$B13 * IFERROR(VLOOKUP("buildings|SO2|Non-fatal heart attacks", US_national_yearly!$D:$AM, 33, FALSE) / VLOOKUP("buildings|SO2|Non-fatal heart attacks", US_national_yearly!$D:$AM, 10, FALSE), 1)</f>
        <v>2.6162387212006568E-3</v>
      </c>
      <c r="Z13" s="7">
        <f>$B13 * IFERROR(VLOOKUP("buildings|SO2|Non-fatal heart attacks", US_national_yearly!$D:$AM, 34, FALSE) / VLOOKUP("buildings|SO2|Non-fatal heart attacks", US_national_yearly!$D:$AM, 10, FALSE), 1)</f>
        <v>2.6268590064124756E-3</v>
      </c>
      <c r="AA13" s="7">
        <f>$B13 * IFERROR(VLOOKUP("buildings|SO2|Non-fatal heart attacks", US_national_yearly!$D:$AM, 35, FALSE) / VLOOKUP("buildings|SO2|Non-fatal heart attacks", US_national_yearly!$D:$AM, 10, FALSE), 1)</f>
        <v>2.6374792916242949E-3</v>
      </c>
      <c r="AB13" s="7">
        <f>$B13 * IFERROR(VLOOKUP("buildings|SO2|Non-fatal heart attacks", US_national_yearly!$D:$AM, 36, FALSE) / VLOOKUP("buildings|SO2|Non-fatal heart attacks", US_national_yearly!$D:$AM, 10, FALSE), 1)</f>
        <v>2.6480995768361141E-3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1.4282449246565114</v>
      </c>
      <c r="C14" s="7">
        <f>$B14 * IFERROR(VLOOKUP("buildings|SO2|Minor restricted activity days", US_national_yearly!$D:$AM, 11, FALSE) / VLOOKUP("buildings|SO2|Minor restricted activity days", US_national_yearly!$D:$AM, 10, FALSE), 1)</f>
        <v>1.4318604514457891</v>
      </c>
      <c r="D14" s="7">
        <f>$B14 * IFERROR(VLOOKUP("buildings|SO2|Minor restricted activity days", US_national_yearly!$D:$AM, 12, FALSE) / VLOOKUP("buildings|SO2|Minor restricted activity days", US_national_yearly!$D:$AM, 10, FALSE), 1)</f>
        <v>1.4354759782350672</v>
      </c>
      <c r="E14" s="7">
        <f>$B14 * IFERROR(VLOOKUP("buildings|SO2|Minor restricted activity days", US_national_yearly!$D:$AM, 13, FALSE) / VLOOKUP("buildings|SO2|Minor restricted activity days", US_national_yearly!$D:$AM, 10, FALSE), 1)</f>
        <v>1.4390915050243451</v>
      </c>
      <c r="F14" s="7">
        <f>$B14 * IFERROR(VLOOKUP("buildings|SO2|Minor restricted activity days", US_national_yearly!$D:$AM, 14, FALSE) / VLOOKUP("buildings|SO2|Minor restricted activity days", US_national_yearly!$D:$AM, 10, FALSE), 1)</f>
        <v>1.4427070318136228</v>
      </c>
      <c r="G14" s="7">
        <f>$B14 * IFERROR(VLOOKUP("buildings|SO2|Minor restricted activity days", US_national_yearly!$D:$AM, 15, FALSE) / VLOOKUP("buildings|SO2|Minor restricted activity days", US_national_yearly!$D:$AM, 10, FALSE), 1)</f>
        <v>1.4480232887518416</v>
      </c>
      <c r="H14" s="7">
        <f>$B14 * IFERROR(VLOOKUP("buildings|SO2|Minor restricted activity days", US_national_yearly!$D:$AM, 16, FALSE) / VLOOKUP("buildings|SO2|Minor restricted activity days", US_national_yearly!$D:$AM, 10, FALSE), 1)</f>
        <v>1.4533395456900604</v>
      </c>
      <c r="I14" s="7">
        <f>$B14 * IFERROR(VLOOKUP("buildings|SO2|Minor restricted activity days", US_national_yearly!$D:$AM, 17, FALSE) / VLOOKUP("buildings|SO2|Minor restricted activity days", US_national_yearly!$D:$AM, 10, FALSE), 1)</f>
        <v>1.4623936662604062</v>
      </c>
      <c r="J14" s="7">
        <f>$B14 * IFERROR(VLOOKUP("buildings|SO2|Minor restricted activity days", US_national_yearly!$D:$AM, 18, FALSE) / VLOOKUP("buildings|SO2|Minor restricted activity days", US_national_yearly!$D:$AM, 10, FALSE), 1)</f>
        <v>1.4714477868307523</v>
      </c>
      <c r="K14" s="7">
        <f>$B14 * IFERROR(VLOOKUP("buildings|SO2|Minor restricted activity days", US_national_yearly!$D:$AM, 19, FALSE) / VLOOKUP("buildings|SO2|Minor restricted activity days", US_national_yearly!$D:$AM, 10, FALSE), 1)</f>
        <v>1.4805019074010981</v>
      </c>
      <c r="L14" s="7">
        <f>$B14 * IFERROR(VLOOKUP("buildings|SO2|Minor restricted activity days", US_national_yearly!$D:$AM, 20, FALSE) / VLOOKUP("buildings|SO2|Minor restricted activity days", US_national_yearly!$D:$AM, 10, FALSE), 1)</f>
        <v>1.4895560279714442</v>
      </c>
      <c r="M14" s="7">
        <f>$B14 * IFERROR(VLOOKUP("buildings|SO2|Minor restricted activity days", US_national_yearly!$D:$AM, 21, FALSE) / VLOOKUP("buildings|SO2|Minor restricted activity days", US_national_yearly!$D:$AM, 10, FALSE), 1)</f>
        <v>1.49861014854179</v>
      </c>
      <c r="N14" s="7">
        <f>$B14 * IFERROR(VLOOKUP("buildings|SO2|Minor restricted activity days", US_national_yearly!$D:$AM, 22, FALSE) / VLOOKUP("buildings|SO2|Minor restricted activity days", US_national_yearly!$D:$AM, 10, FALSE), 1)</f>
        <v>1.5109911826350544</v>
      </c>
      <c r="O14" s="7">
        <f>$B14 * IFERROR(VLOOKUP("buildings|SO2|Minor restricted activity days", US_national_yearly!$D:$AM, 23, FALSE) / VLOOKUP("buildings|SO2|Minor restricted activity days", US_national_yearly!$D:$AM, 10, FALSE), 1)</f>
        <v>1.523372216728319</v>
      </c>
      <c r="P14" s="7">
        <f>$B14 * IFERROR(VLOOKUP("buildings|SO2|Minor restricted activity days", US_national_yearly!$D:$AM, 24, FALSE) / VLOOKUP("buildings|SO2|Minor restricted activity days", US_national_yearly!$D:$AM, 10, FALSE), 1)</f>
        <v>1.5357532508215832</v>
      </c>
      <c r="Q14" s="7">
        <f>$B14 * IFERROR(VLOOKUP("buildings|SO2|Minor restricted activity days", US_national_yearly!$D:$AM, 25, FALSE) / VLOOKUP("buildings|SO2|Minor restricted activity days", US_national_yearly!$D:$AM, 10, FALSE), 1)</f>
        <v>1.5481342849148476</v>
      </c>
      <c r="R14" s="7">
        <f>$B14 * IFERROR(VLOOKUP("buildings|SO2|Minor restricted activity days", US_national_yearly!$D:$AM, 26, FALSE) / VLOOKUP("buildings|SO2|Minor restricted activity days", US_national_yearly!$D:$AM, 10, FALSE), 1)</f>
        <v>1.5605153190081122</v>
      </c>
      <c r="S14" s="7">
        <f>$B14 * IFERROR(VLOOKUP("buildings|SO2|Minor restricted activity days", US_national_yearly!$D:$AM, 27, FALSE) / VLOOKUP("buildings|SO2|Minor restricted activity days", US_national_yearly!$D:$AM, 10, FALSE), 1)</f>
        <v>1.5731369794679837</v>
      </c>
      <c r="T14" s="7">
        <f>$B14 * IFERROR(VLOOKUP("buildings|SO2|Minor restricted activity days", US_national_yearly!$D:$AM, 28, FALSE) / VLOOKUP("buildings|SO2|Minor restricted activity days", US_national_yearly!$D:$AM, 10, FALSE), 1)</f>
        <v>1.5857586399278552</v>
      </c>
      <c r="U14" s="7">
        <f>$B14 * IFERROR(VLOOKUP("buildings|SO2|Minor restricted activity days", US_national_yearly!$D:$AM, 29, FALSE) / VLOOKUP("buildings|SO2|Minor restricted activity days", US_national_yearly!$D:$AM, 10, FALSE), 1)</f>
        <v>1.5983803003877266</v>
      </c>
      <c r="V14" s="7">
        <f>$B14 * IFERROR(VLOOKUP("buildings|SO2|Minor restricted activity days", US_national_yearly!$D:$AM, 30, FALSE) / VLOOKUP("buildings|SO2|Minor restricted activity days", US_national_yearly!$D:$AM, 10, FALSE), 1)</f>
        <v>1.6110019608475981</v>
      </c>
      <c r="W14" s="7">
        <f>$B14 * IFERROR(VLOOKUP("buildings|SO2|Minor restricted activity days", US_national_yearly!$D:$AM, 31, FALSE) / VLOOKUP("buildings|SO2|Minor restricted activity days", US_national_yearly!$D:$AM, 10, FALSE), 1)</f>
        <v>1.6236236213074697</v>
      </c>
      <c r="X14" s="7">
        <f>$B14 * IFERROR(VLOOKUP("buildings|SO2|Minor restricted activity days", US_national_yearly!$D:$AM, 32, FALSE) / VLOOKUP("buildings|SO2|Minor restricted activity days", US_national_yearly!$D:$AM, 10, FALSE), 1)</f>
        <v>1.634723641254139</v>
      </c>
      <c r="Y14" s="7">
        <f>$B14 * IFERROR(VLOOKUP("buildings|SO2|Minor restricted activity days", US_national_yearly!$D:$AM, 33, FALSE) / VLOOKUP("buildings|SO2|Minor restricted activity days", US_national_yearly!$D:$AM, 10, FALSE), 1)</f>
        <v>1.6458236612008088</v>
      </c>
      <c r="Z14" s="7">
        <f>$B14 * IFERROR(VLOOKUP("buildings|SO2|Minor restricted activity days", US_national_yearly!$D:$AM, 34, FALSE) / VLOOKUP("buildings|SO2|Minor restricted activity days", US_national_yearly!$D:$AM, 10, FALSE), 1)</f>
        <v>1.6569236811474781</v>
      </c>
      <c r="AA14" s="7">
        <f>$B14 * IFERROR(VLOOKUP("buildings|SO2|Minor restricted activity days", US_national_yearly!$D:$AM, 35, FALSE) / VLOOKUP("buildings|SO2|Minor restricted activity days", US_national_yearly!$D:$AM, 10, FALSE), 1)</f>
        <v>1.6680237010941479</v>
      </c>
      <c r="AB14" s="7">
        <f>$B14 * IFERROR(VLOOKUP("buildings|SO2|Minor restricted activity days", US_national_yearly!$D:$AM, 36, FALSE) / VLOOKUP("buildings|SO2|Minor restricted activity days", US_national_yearly!$D:$AM, 10, FALSE), 1)</f>
        <v>1.6791237210408172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0.24075889185703861</v>
      </c>
      <c r="C15" s="7">
        <f>$B15 * IFERROR(VLOOKUP("buildings|SO2|Work loss days", US_national_yearly!$D:$AM, 11, FALSE) / VLOOKUP("buildings|SO2|Work loss days", US_national_yearly!$D:$AM, 10, FALSE), 1)</f>
        <v>0.24154111357584543</v>
      </c>
      <c r="D15" s="7">
        <f>$B15 * IFERROR(VLOOKUP("buildings|SO2|Work loss days", US_national_yearly!$D:$AM, 12, FALSE) / VLOOKUP("buildings|SO2|Work loss days", US_national_yearly!$D:$AM, 10, FALSE), 1)</f>
        <v>0.24232333529465225</v>
      </c>
      <c r="E15" s="7">
        <f>$B15 * IFERROR(VLOOKUP("buildings|SO2|Work loss days", US_national_yearly!$D:$AM, 13, FALSE) / VLOOKUP("buildings|SO2|Work loss days", US_national_yearly!$D:$AM, 10, FALSE), 1)</f>
        <v>0.24310555701345907</v>
      </c>
      <c r="F15" s="7">
        <f>$B15 * IFERROR(VLOOKUP("buildings|SO2|Work loss days", US_national_yearly!$D:$AM, 14, FALSE) / VLOOKUP("buildings|SO2|Work loss days", US_national_yearly!$D:$AM, 10, FALSE), 1)</f>
        <v>0.24388777873226583</v>
      </c>
      <c r="G15" s="7">
        <f>$B15 * IFERROR(VLOOKUP("buildings|SO2|Work loss days", US_national_yearly!$D:$AM, 15, FALSE) / VLOOKUP("buildings|SO2|Work loss days", US_national_yearly!$D:$AM, 10, FALSE), 1)</f>
        <v>0.24490940358409874</v>
      </c>
      <c r="H15" s="7">
        <f>$B15 * IFERROR(VLOOKUP("buildings|SO2|Work loss days", US_national_yearly!$D:$AM, 16, FALSE) / VLOOKUP("buildings|SO2|Work loss days", US_national_yearly!$D:$AM, 10, FALSE), 1)</f>
        <v>0.24593102843593173</v>
      </c>
      <c r="I15" s="7">
        <f>$B15 * IFERROR(VLOOKUP("buildings|SO2|Work loss days", US_national_yearly!$D:$AM, 17, FALSE) / VLOOKUP("buildings|SO2|Work loss days", US_national_yearly!$D:$AM, 10, FALSE), 1)</f>
        <v>0.24742470115186754</v>
      </c>
      <c r="J15" s="7">
        <f>$B15 * IFERROR(VLOOKUP("buildings|SO2|Work loss days", US_national_yearly!$D:$AM, 18, FALSE) / VLOOKUP("buildings|SO2|Work loss days", US_national_yearly!$D:$AM, 10, FALSE), 1)</f>
        <v>0.2489183738678033</v>
      </c>
      <c r="K15" s="7">
        <f>$B15 * IFERROR(VLOOKUP("buildings|SO2|Work loss days", US_national_yearly!$D:$AM, 19, FALSE) / VLOOKUP("buildings|SO2|Work loss days", US_national_yearly!$D:$AM, 10, FALSE), 1)</f>
        <v>0.25041204658373911</v>
      </c>
      <c r="L15" s="7">
        <f>$B15 * IFERROR(VLOOKUP("buildings|SO2|Work loss days", US_national_yearly!$D:$AM, 20, FALSE) / VLOOKUP("buildings|SO2|Work loss days", US_national_yearly!$D:$AM, 10, FALSE), 1)</f>
        <v>0.25190571929967487</v>
      </c>
      <c r="M15" s="7">
        <f>$B15 * IFERROR(VLOOKUP("buildings|SO2|Work loss days", US_national_yearly!$D:$AM, 21, FALSE) / VLOOKUP("buildings|SO2|Work loss days", US_national_yearly!$D:$AM, 10, FALSE), 1)</f>
        <v>0.25339939201561062</v>
      </c>
      <c r="N15" s="7">
        <f>$B15 * IFERROR(VLOOKUP("buildings|SO2|Work loss days", US_national_yearly!$D:$AM, 22, FALSE) / VLOOKUP("buildings|SO2|Work loss days", US_national_yearly!$D:$AM, 10, FALSE), 1)</f>
        <v>0.25527243313311537</v>
      </c>
      <c r="O15" s="7">
        <f>$B15 * IFERROR(VLOOKUP("buildings|SO2|Work loss days", US_national_yearly!$D:$AM, 23, FALSE) / VLOOKUP("buildings|SO2|Work loss days", US_national_yearly!$D:$AM, 10, FALSE), 1)</f>
        <v>0.25714547425062007</v>
      </c>
      <c r="P15" s="7">
        <f>$B15 * IFERROR(VLOOKUP("buildings|SO2|Work loss days", US_national_yearly!$D:$AM, 24, FALSE) / VLOOKUP("buildings|SO2|Work loss days", US_national_yearly!$D:$AM, 10, FALSE), 1)</f>
        <v>0.25901851536812476</v>
      </c>
      <c r="Q15" s="7">
        <f>$B15 * IFERROR(VLOOKUP("buildings|SO2|Work loss days", US_national_yearly!$D:$AM, 25, FALSE) / VLOOKUP("buildings|SO2|Work loss days", US_national_yearly!$D:$AM, 10, FALSE), 1)</f>
        <v>0.26089155648562951</v>
      </c>
      <c r="R15" s="7">
        <f>$B15 * IFERROR(VLOOKUP("buildings|SO2|Work loss days", US_national_yearly!$D:$AM, 26, FALSE) / VLOOKUP("buildings|SO2|Work loss days", US_national_yearly!$D:$AM, 10, FALSE), 1)</f>
        <v>0.26276459760313414</v>
      </c>
      <c r="S15" s="7">
        <f>$B15 * IFERROR(VLOOKUP("buildings|SO2|Work loss days", US_national_yearly!$D:$AM, 27, FALSE) / VLOOKUP("buildings|SO2|Work loss days", US_national_yearly!$D:$AM, 10, FALSE), 1)</f>
        <v>0.26485694859953413</v>
      </c>
      <c r="T15" s="7">
        <f>$B15 * IFERROR(VLOOKUP("buildings|SO2|Work loss days", US_national_yearly!$D:$AM, 28, FALSE) / VLOOKUP("buildings|SO2|Work loss days", US_national_yearly!$D:$AM, 10, FALSE), 1)</f>
        <v>0.26694929959593416</v>
      </c>
      <c r="U15" s="7">
        <f>$B15 * IFERROR(VLOOKUP("buildings|SO2|Work loss days", US_national_yearly!$D:$AM, 29, FALSE) / VLOOKUP("buildings|SO2|Work loss days", US_national_yearly!$D:$AM, 10, FALSE), 1)</f>
        <v>0.26904165059233415</v>
      </c>
      <c r="V15" s="7">
        <f>$B15 * IFERROR(VLOOKUP("buildings|SO2|Work loss days", US_national_yearly!$D:$AM, 30, FALSE) / VLOOKUP("buildings|SO2|Work loss days", US_national_yearly!$D:$AM, 10, FALSE), 1)</f>
        <v>0.27113400158873407</v>
      </c>
      <c r="W15" s="7">
        <f>$B15 * IFERROR(VLOOKUP("buildings|SO2|Work loss days", US_national_yearly!$D:$AM, 31, FALSE) / VLOOKUP("buildings|SO2|Work loss days", US_national_yearly!$D:$AM, 10, FALSE), 1)</f>
        <v>0.27322635258513406</v>
      </c>
      <c r="X15" s="7">
        <f>$B15 * IFERROR(VLOOKUP("buildings|SO2|Work loss days", US_national_yearly!$D:$AM, 32, FALSE) / VLOOKUP("buildings|SO2|Work loss days", US_national_yearly!$D:$AM, 10, FALSE), 1)</f>
        <v>0.27510503714622531</v>
      </c>
      <c r="Y15" s="7">
        <f>$B15 * IFERROR(VLOOKUP("buildings|SO2|Work loss days", US_national_yearly!$D:$AM, 33, FALSE) / VLOOKUP("buildings|SO2|Work loss days", US_national_yearly!$D:$AM, 10, FALSE), 1)</f>
        <v>0.2769837217073165</v>
      </c>
      <c r="Z15" s="7">
        <f>$B15 * IFERROR(VLOOKUP("buildings|SO2|Work loss days", US_national_yearly!$D:$AM, 34, FALSE) / VLOOKUP("buildings|SO2|Work loss days", US_national_yearly!$D:$AM, 10, FALSE), 1)</f>
        <v>0.27886240626840764</v>
      </c>
      <c r="AA15" s="7">
        <f>$B15 * IFERROR(VLOOKUP("buildings|SO2|Work loss days", US_national_yearly!$D:$AM, 35, FALSE) / VLOOKUP("buildings|SO2|Work loss days", US_national_yearly!$D:$AM, 10, FALSE), 1)</f>
        <v>0.28074109082949883</v>
      </c>
      <c r="AB15" s="7">
        <f>$B15 * IFERROR(VLOOKUP("buildings|SO2|Work loss days", US_national_yearly!$D:$AM, 36, FALSE) / VLOOKUP("buildings|SO2|Work loss days", US_national_yearly!$D:$AM, 10, FALSE), 1)</f>
        <v>0.28261977539058997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4.4284965400428621E-4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4.5624557194785857E-4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4.6964148989143089E-4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4.8303740783500336E-4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4.9643332577857567E-4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5.0926581277035553E-4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5.2209829976213528E-4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5.3309571526337959E-4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5.4409313076462379E-4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5.550905462658681E-4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5.660879617671123E-4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5.7708537726835639E-4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5.8446992137700378E-4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5.9185446548565127E-4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5.9923900959429866E-4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6.0662355370294594E-4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6.1400809781159333E-4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6.1789147356190212E-4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6.217748493122108E-4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6.2565822506251948E-4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6.2954160081282815E-4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6.3342497656313683E-4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6.3603267210946403E-4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6.3864036765579123E-4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6.4124806320211831E-4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6.4385575874844551E-4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6.4646345429477271E-4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3.4756000220455628E-2</v>
      </c>
      <c r="C2" s="7">
        <f>$B2 * IFERROR(VLOOKUP("industry|PM25|Premature mortality", US_national_yearly!$D:$AM, 11, FALSE) / VLOOKUP("industry|PM25|Premature mortality", US_national_yearly!$D:$AM, 10, FALSE), 1)</f>
        <v>3.5188826002140759E-2</v>
      </c>
      <c r="D2" s="7">
        <f>$B2 * IFERROR(VLOOKUP("industry|PM25|Premature mortality", US_national_yearly!$D:$AM, 12, FALSE) / VLOOKUP("industry|PM25|Premature mortality", US_national_yearly!$D:$AM, 10, FALSE), 1)</f>
        <v>3.5621651783825876E-2</v>
      </c>
      <c r="E2" s="7">
        <f>$B2 * IFERROR(VLOOKUP("industry|PM25|Premature mortality", US_national_yearly!$D:$AM, 13, FALSE) / VLOOKUP("industry|PM25|Premature mortality", US_national_yearly!$D:$AM, 10, FALSE), 1)</f>
        <v>3.6054477565511008E-2</v>
      </c>
      <c r="F2" s="7">
        <f>$B2 * IFERROR(VLOOKUP("industry|PM25|Premature mortality", US_national_yearly!$D:$AM, 14, FALSE) / VLOOKUP("industry|PM25|Premature mortality", US_national_yearly!$D:$AM, 10, FALSE), 1)</f>
        <v>3.6487303347196125E-2</v>
      </c>
      <c r="G2" s="7">
        <f>$B2 * IFERROR(VLOOKUP("industry|PM25|Premature mortality", US_national_yearly!$D:$AM, 15, FALSE) / VLOOKUP("industry|PM25|Premature mortality", US_national_yearly!$D:$AM, 10, FALSE), 1)</f>
        <v>3.7329359182621022E-2</v>
      </c>
      <c r="H2" s="7">
        <f>$B2 * IFERROR(VLOOKUP("industry|PM25|Premature mortality", US_national_yearly!$D:$AM, 16, FALSE) / VLOOKUP("industry|PM25|Premature mortality", US_national_yearly!$D:$AM, 10, FALSE), 1)</f>
        <v>3.8171415018045912E-2</v>
      </c>
      <c r="I2" s="7">
        <f>$B2 * IFERROR(VLOOKUP("industry|PM25|Premature mortality", US_national_yearly!$D:$AM, 17, FALSE) / VLOOKUP("industry|PM25|Premature mortality", US_national_yearly!$D:$AM, 10, FALSE), 1)</f>
        <v>3.8727421686910637E-2</v>
      </c>
      <c r="J2" s="7">
        <f>$B2 * IFERROR(VLOOKUP("industry|PM25|Premature mortality", US_national_yearly!$D:$AM, 18, FALSE) / VLOOKUP("industry|PM25|Premature mortality", US_national_yearly!$D:$AM, 10, FALSE), 1)</f>
        <v>3.9283428355775349E-2</v>
      </c>
      <c r="K2" s="7">
        <f>$B2 * IFERROR(VLOOKUP("industry|PM25|Premature mortality", US_national_yearly!$D:$AM, 19, FALSE) / VLOOKUP("industry|PM25|Premature mortality", US_national_yearly!$D:$AM, 10, FALSE), 1)</f>
        <v>3.983943502464006E-2</v>
      </c>
      <c r="L2" s="7">
        <f>$B2 * IFERROR(VLOOKUP("industry|PM25|Premature mortality", US_national_yearly!$D:$AM, 20, FALSE) / VLOOKUP("industry|PM25|Premature mortality", US_national_yearly!$D:$AM, 10, FALSE), 1)</f>
        <v>4.0395441693504779E-2</v>
      </c>
      <c r="M2" s="7">
        <f>$B2 * IFERROR(VLOOKUP("industry|PM25|Premature mortality", US_national_yearly!$D:$AM, 21, FALSE) / VLOOKUP("industry|PM25|Premature mortality", US_national_yearly!$D:$AM, 10, FALSE), 1)</f>
        <v>4.0951448362369497E-2</v>
      </c>
      <c r="N2" s="7">
        <f>$B2 * IFERROR(VLOOKUP("industry|PM25|Premature mortality", US_national_yearly!$D:$AM, 22, FALSE) / VLOOKUP("industry|PM25|Premature mortality", US_national_yearly!$D:$AM, 10, FALSE), 1)</f>
        <v>4.138462509424249E-2</v>
      </c>
      <c r="O2" s="7">
        <f>$B2 * IFERROR(VLOOKUP("industry|PM25|Premature mortality", US_national_yearly!$D:$AM, 23, FALSE) / VLOOKUP("industry|PM25|Premature mortality", US_national_yearly!$D:$AM, 10, FALSE), 1)</f>
        <v>4.1817801826115476E-2</v>
      </c>
      <c r="P2" s="7">
        <f>$B2 * IFERROR(VLOOKUP("industry|PM25|Premature mortality", US_national_yearly!$D:$AM, 24, FALSE) / VLOOKUP("industry|PM25|Premature mortality", US_national_yearly!$D:$AM, 10, FALSE), 1)</f>
        <v>4.2250978557988469E-2</v>
      </c>
      <c r="Q2" s="7">
        <f>$B2 * IFERROR(VLOOKUP("industry|PM25|Premature mortality", US_national_yearly!$D:$AM, 25, FALSE) / VLOOKUP("industry|PM25|Premature mortality", US_national_yearly!$D:$AM, 10, FALSE), 1)</f>
        <v>4.2684155289861463E-2</v>
      </c>
      <c r="R2" s="7">
        <f>$B2 * IFERROR(VLOOKUP("industry|PM25|Premature mortality", US_national_yearly!$D:$AM, 26, FALSE) / VLOOKUP("industry|PM25|Premature mortality", US_national_yearly!$D:$AM, 10, FALSE), 1)</f>
        <v>4.3117332021734449E-2</v>
      </c>
      <c r="S2" s="7">
        <f>$B2 * IFERROR(VLOOKUP("industry|PM25|Premature mortality", US_national_yearly!$D:$AM, 27, FALSE) / VLOOKUP("industry|PM25|Premature mortality", US_national_yearly!$D:$AM, 10, FALSE), 1)</f>
        <v>4.3351231390540701E-2</v>
      </c>
      <c r="T2" s="7">
        <f>$B2 * IFERROR(VLOOKUP("industry|PM25|Premature mortality", US_national_yearly!$D:$AM, 28, FALSE) / VLOOKUP("industry|PM25|Premature mortality", US_national_yearly!$D:$AM, 10, FALSE), 1)</f>
        <v>4.3585130759346953E-2</v>
      </c>
      <c r="U2" s="7">
        <f>$B2 * IFERROR(VLOOKUP("industry|PM25|Premature mortality", US_national_yearly!$D:$AM, 29, FALSE) / VLOOKUP("industry|PM25|Premature mortality", US_national_yearly!$D:$AM, 10, FALSE), 1)</f>
        <v>4.3819030128153219E-2</v>
      </c>
      <c r="V2" s="7">
        <f>$B2 * IFERROR(VLOOKUP("industry|PM25|Premature mortality", US_national_yearly!$D:$AM, 30, FALSE) / VLOOKUP("industry|PM25|Premature mortality", US_national_yearly!$D:$AM, 10, FALSE), 1)</f>
        <v>4.4052929496959471E-2</v>
      </c>
      <c r="W2" s="7">
        <f>$B2 * IFERROR(VLOOKUP("industry|PM25|Premature mortality", US_national_yearly!$D:$AM, 31, FALSE) / VLOOKUP("industry|PM25|Premature mortality", US_national_yearly!$D:$AM, 10, FALSE), 1)</f>
        <v>4.4286828865765723E-2</v>
      </c>
      <c r="X2" s="7">
        <f>$B2 * IFERROR(VLOOKUP("industry|PM25|Premature mortality", US_national_yearly!$D:$AM, 32, FALSE) / VLOOKUP("industry|PM25|Premature mortality", US_national_yearly!$D:$AM, 10, FALSE), 1)</f>
        <v>4.4335120887100989E-2</v>
      </c>
      <c r="Y2" s="7">
        <f>$B2 * IFERROR(VLOOKUP("industry|PM25|Premature mortality", US_national_yearly!$D:$AM, 33, FALSE) / VLOOKUP("industry|PM25|Premature mortality", US_national_yearly!$D:$AM, 10, FALSE), 1)</f>
        <v>4.4383412908436282E-2</v>
      </c>
      <c r="Z2" s="7">
        <f>$B2 * IFERROR(VLOOKUP("industry|PM25|Premature mortality", US_national_yearly!$D:$AM, 34, FALSE) / VLOOKUP("industry|PM25|Premature mortality", US_national_yearly!$D:$AM, 10, FALSE), 1)</f>
        <v>4.4431704929771547E-2</v>
      </c>
      <c r="AA2" s="7">
        <f>$B2 * IFERROR(VLOOKUP("industry|PM25|Premature mortality", US_national_yearly!$D:$AM, 35, FALSE) / VLOOKUP("industry|PM25|Premature mortality", US_national_yearly!$D:$AM, 10, FALSE), 1)</f>
        <v>4.4479996951106826E-2</v>
      </c>
      <c r="AB2" s="7">
        <f>$B2 * IFERROR(VLOOKUP("industry|PM25|Premature mortality", US_national_yearly!$D:$AM, 36, FALSE) / VLOOKUP("industry|PM25|Premature mortality", US_national_yearly!$D:$AM, 10, FALSE), 1)</f>
        <v>4.4528288972442105E-2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5.9438781189940469E-5</v>
      </c>
      <c r="C3" s="7">
        <f>$B3 * IFERROR(VLOOKUP("industry|PM25|Infant mortality", US_national_yearly!$D:$AM, 11, FALSE) / VLOOKUP("industry|PM25|Infant mortality", US_national_yearly!$D:$AM, 10, FALSE), 1)</f>
        <v>5.8921256706344347E-5</v>
      </c>
      <c r="D3" s="7">
        <f>$B3 * IFERROR(VLOOKUP("industry|PM25|Infant mortality", US_national_yearly!$D:$AM, 12, FALSE) / VLOOKUP("industry|PM25|Infant mortality", US_national_yearly!$D:$AM, 10, FALSE), 1)</f>
        <v>5.8403732222748224E-5</v>
      </c>
      <c r="E3" s="7">
        <f>$B3 * IFERROR(VLOOKUP("industry|PM25|Infant mortality", US_national_yearly!$D:$AM, 13, FALSE) / VLOOKUP("industry|PM25|Infant mortality", US_national_yearly!$D:$AM, 10, FALSE), 1)</f>
        <v>5.7886207739152087E-5</v>
      </c>
      <c r="F3" s="7">
        <f>$B3 * IFERROR(VLOOKUP("industry|PM25|Infant mortality", US_national_yearly!$D:$AM, 14, FALSE) / VLOOKUP("industry|PM25|Infant mortality", US_national_yearly!$D:$AM, 10, FALSE), 1)</f>
        <v>5.7368683255555965E-5</v>
      </c>
      <c r="G3" s="7">
        <f>$B3 * IFERROR(VLOOKUP("industry|PM25|Infant mortality", US_national_yearly!$D:$AM, 15, FALSE) / VLOOKUP("industry|PM25|Infant mortality", US_national_yearly!$D:$AM, 10, FALSE), 1)</f>
        <v>3.8117761229964068E-5</v>
      </c>
      <c r="H3" s="7">
        <f>$B3 * IFERROR(VLOOKUP("industry|PM25|Infant mortality", US_national_yearly!$D:$AM, 16, FALSE) / VLOOKUP("industry|PM25|Infant mortality", US_national_yearly!$D:$AM, 10, FALSE), 1)</f>
        <v>1.8866839204372174E-5</v>
      </c>
      <c r="I3" s="7">
        <f>$B3 * IFERROR(VLOOKUP("industry|PM25|Infant mortality", US_national_yearly!$D:$AM, 17, FALSE) / VLOOKUP("industry|PM25|Infant mortality", US_national_yearly!$D:$AM, 10, FALSE), 1)</f>
        <v>1.874126178085119E-5</v>
      </c>
      <c r="J3" s="7">
        <f>$B3 * IFERROR(VLOOKUP("industry|PM25|Infant mortality", US_national_yearly!$D:$AM, 18, FALSE) / VLOOKUP("industry|PM25|Infant mortality", US_national_yearly!$D:$AM, 10, FALSE), 1)</f>
        <v>1.8615684357330208E-5</v>
      </c>
      <c r="K3" s="7">
        <f>$B3 * IFERROR(VLOOKUP("industry|PM25|Infant mortality", US_national_yearly!$D:$AM, 19, FALSE) / VLOOKUP("industry|PM25|Infant mortality", US_national_yearly!$D:$AM, 10, FALSE), 1)</f>
        <v>1.8490106933809227E-5</v>
      </c>
      <c r="L3" s="7">
        <f>$B3 * IFERROR(VLOOKUP("industry|PM25|Infant mortality", US_national_yearly!$D:$AM, 20, FALSE) / VLOOKUP("industry|PM25|Infant mortality", US_national_yearly!$D:$AM, 10, FALSE), 1)</f>
        <v>1.8364529510288239E-5</v>
      </c>
      <c r="M3" s="7">
        <f>$B3 * IFERROR(VLOOKUP("industry|PM25|Infant mortality", US_national_yearly!$D:$AM, 21, FALSE) / VLOOKUP("industry|PM25|Infant mortality", US_national_yearly!$D:$AM, 10, FALSE), 1)</f>
        <v>1.8238952086767261E-5</v>
      </c>
      <c r="N3" s="7">
        <f>$B3 * IFERROR(VLOOKUP("industry|PM25|Infant mortality", US_national_yearly!$D:$AM, 22, FALSE) / VLOOKUP("industry|PM25|Infant mortality", US_national_yearly!$D:$AM, 10, FALSE), 1)</f>
        <v>1.815882146194004E-5</v>
      </c>
      <c r="O3" s="7">
        <f>$B3 * IFERROR(VLOOKUP("industry|PM25|Infant mortality", US_national_yearly!$D:$AM, 23, FALSE) / VLOOKUP("industry|PM25|Infant mortality", US_national_yearly!$D:$AM, 10, FALSE), 1)</f>
        <v>1.8078690837112822E-5</v>
      </c>
      <c r="P3" s="7">
        <f>$B3 * IFERROR(VLOOKUP("industry|PM25|Infant mortality", US_national_yearly!$D:$AM, 24, FALSE) / VLOOKUP("industry|PM25|Infant mortality", US_national_yearly!$D:$AM, 10, FALSE), 1)</f>
        <v>1.7998560212285608E-5</v>
      </c>
      <c r="Q3" s="7">
        <f>$B3 * IFERROR(VLOOKUP("industry|PM25|Infant mortality", US_national_yearly!$D:$AM, 25, FALSE) / VLOOKUP("industry|PM25|Infant mortality", US_national_yearly!$D:$AM, 10, FALSE), 1)</f>
        <v>1.791842958745839E-5</v>
      </c>
      <c r="R3" s="7">
        <f>$B3 * IFERROR(VLOOKUP("industry|PM25|Infant mortality", US_national_yearly!$D:$AM, 26, FALSE) / VLOOKUP("industry|PM25|Infant mortality", US_national_yearly!$D:$AM, 10, FALSE), 1)</f>
        <v>1.7838298962631172E-5</v>
      </c>
      <c r="S3" s="7">
        <f>$B3 * IFERROR(VLOOKUP("industry|PM25|Infant mortality", US_national_yearly!$D:$AM, 27, FALSE) / VLOOKUP("industry|PM25|Infant mortality", US_national_yearly!$D:$AM, 10, FALSE), 1)</f>
        <v>1.7739745529117425E-5</v>
      </c>
      <c r="T3" s="7">
        <f>$B3 * IFERROR(VLOOKUP("industry|PM25|Infant mortality", US_national_yearly!$D:$AM, 28, FALSE) / VLOOKUP("industry|PM25|Infant mortality", US_national_yearly!$D:$AM, 10, FALSE), 1)</f>
        <v>1.7641192095603682E-5</v>
      </c>
      <c r="U3" s="7">
        <f>$B3 * IFERROR(VLOOKUP("industry|PM25|Infant mortality", US_national_yearly!$D:$AM, 29, FALSE) / VLOOKUP("industry|PM25|Infant mortality", US_national_yearly!$D:$AM, 10, FALSE), 1)</f>
        <v>1.7542638662089935E-5</v>
      </c>
      <c r="V3" s="7">
        <f>$B3 * IFERROR(VLOOKUP("industry|PM25|Infant mortality", US_national_yearly!$D:$AM, 30, FALSE) / VLOOKUP("industry|PM25|Infant mortality", US_national_yearly!$D:$AM, 10, FALSE), 1)</f>
        <v>1.7444085228576195E-5</v>
      </c>
      <c r="W3" s="7">
        <f>$B3 * IFERROR(VLOOKUP("industry|PM25|Infant mortality", US_national_yearly!$D:$AM, 31, FALSE) / VLOOKUP("industry|PM25|Infant mortality", US_national_yearly!$D:$AM, 10, FALSE), 1)</f>
        <v>1.7345531795062451E-5</v>
      </c>
      <c r="X3" s="7">
        <f>$B3 * IFERROR(VLOOKUP("industry|PM25|Infant mortality", US_national_yearly!$D:$AM, 32, FALSE) / VLOOKUP("industry|PM25|Infant mortality", US_national_yearly!$D:$AM, 10, FALSE), 1)</f>
        <v>1.7240215102265695E-5</v>
      </c>
      <c r="Y3" s="7">
        <f>$B3 * IFERROR(VLOOKUP("industry|PM25|Infant mortality", US_national_yearly!$D:$AM, 33, FALSE) / VLOOKUP("industry|PM25|Infant mortality", US_national_yearly!$D:$AM, 10, FALSE), 1)</f>
        <v>1.7134898409468936E-5</v>
      </c>
      <c r="Z3" s="7">
        <f>$B3 * IFERROR(VLOOKUP("industry|PM25|Infant mortality", US_national_yearly!$D:$AM, 34, FALSE) / VLOOKUP("industry|PM25|Infant mortality", US_national_yearly!$D:$AM, 10, FALSE), 1)</f>
        <v>1.702958171667218E-5</v>
      </c>
      <c r="AA3" s="7">
        <f>$B3 * IFERROR(VLOOKUP("industry|PM25|Infant mortality", US_national_yearly!$D:$AM, 35, FALSE) / VLOOKUP("industry|PM25|Infant mortality", US_national_yearly!$D:$AM, 10, FALSE), 1)</f>
        <v>1.6924265023875424E-5</v>
      </c>
      <c r="AB3" s="7">
        <f>$B3 * IFERROR(VLOOKUP("industry|PM25|Infant mortality", US_national_yearly!$D:$AM, 36, FALSE) / VLOOKUP("industry|PM25|Infant mortality", US_national_yearly!$D:$AM, 10, FALSE), 1)</f>
        <v>1.6818948331078664E-5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8.0513518619761748E-2</v>
      </c>
      <c r="C6" s="7">
        <f>$B6 * IFERROR(VLOOKUP("industry|PM25|Asthma symptoms cough", US_national_yearly!$D:$AM, 11, FALSE) / VLOOKUP("industry|PM25|Asthma symptoms cough", US_national_yearly!$D:$AM, 10, FALSE), 1)</f>
        <v>8.0513518619761748E-2</v>
      </c>
      <c r="D6" s="7">
        <f>$B6 * IFERROR(VLOOKUP("industry|PM25|Asthma symptoms cough", US_national_yearly!$D:$AM, 12, FALSE) / VLOOKUP("industry|PM25|Asthma symptoms cough", US_national_yearly!$D:$AM, 10, FALSE), 1)</f>
        <v>8.0513518619761748E-2</v>
      </c>
      <c r="E6" s="7">
        <f>$B6 * IFERROR(VLOOKUP("industry|PM25|Asthma symptoms cough", US_national_yearly!$D:$AM, 13, FALSE) / VLOOKUP("industry|PM25|Asthma symptoms cough", US_national_yearly!$D:$AM, 10, FALSE), 1)</f>
        <v>8.0513518619761748E-2</v>
      </c>
      <c r="F6" s="7">
        <f>$B6 * IFERROR(VLOOKUP("industry|PM25|Asthma symptoms cough", US_national_yearly!$D:$AM, 14, FALSE) / VLOOKUP("industry|PM25|Asthma symptoms cough", US_national_yearly!$D:$AM, 10, FALSE), 1)</f>
        <v>8.0513518619761748E-2</v>
      </c>
      <c r="G6" s="7">
        <f>$B6 * IFERROR(VLOOKUP("industry|PM25|Asthma symptoms cough", US_national_yearly!$D:$AM, 15, FALSE) / VLOOKUP("industry|PM25|Asthma symptoms cough", US_national_yearly!$D:$AM, 10, FALSE), 1)</f>
        <v>8.0513518619761748E-2</v>
      </c>
      <c r="H6" s="7">
        <f>$B6 * IFERROR(VLOOKUP("industry|PM25|Asthma symptoms cough", US_national_yearly!$D:$AM, 16, FALSE) / VLOOKUP("industry|PM25|Asthma symptoms cough", US_national_yearly!$D:$AM, 10, FALSE), 1)</f>
        <v>8.0513518619761748E-2</v>
      </c>
      <c r="I6" s="7">
        <f>$B6 * IFERROR(VLOOKUP("industry|PM25|Asthma symptoms cough", US_national_yearly!$D:$AM, 17, FALSE) / VLOOKUP("industry|PM25|Asthma symptoms cough", US_national_yearly!$D:$AM, 10, FALSE), 1)</f>
        <v>8.0513518619761748E-2</v>
      </c>
      <c r="J6" s="7">
        <f>$B6 * IFERROR(VLOOKUP("industry|PM25|Asthma symptoms cough", US_national_yearly!$D:$AM, 18, FALSE) / VLOOKUP("industry|PM25|Asthma symptoms cough", US_national_yearly!$D:$AM, 10, FALSE), 1)</f>
        <v>8.0513518619761748E-2</v>
      </c>
      <c r="K6" s="7">
        <f>$B6 * IFERROR(VLOOKUP("industry|PM25|Asthma symptoms cough", US_national_yearly!$D:$AM, 19, FALSE) / VLOOKUP("industry|PM25|Asthma symptoms cough", US_national_yearly!$D:$AM, 10, FALSE), 1)</f>
        <v>8.0513518619761748E-2</v>
      </c>
      <c r="L6" s="7">
        <f>$B6 * IFERROR(VLOOKUP("industry|PM25|Asthma symptoms cough", US_national_yearly!$D:$AM, 20, FALSE) / VLOOKUP("industry|PM25|Asthma symptoms cough", US_national_yearly!$D:$AM, 10, FALSE), 1)</f>
        <v>8.0513518619761748E-2</v>
      </c>
      <c r="M6" s="7">
        <f>$B6 * IFERROR(VLOOKUP("industry|PM25|Asthma symptoms cough", US_national_yearly!$D:$AM, 21, FALSE) / VLOOKUP("industry|PM25|Asthma symptoms cough", US_national_yearly!$D:$AM, 10, FALSE), 1)</f>
        <v>8.0513518619761748E-2</v>
      </c>
      <c r="N6" s="7">
        <f>$B6 * IFERROR(VLOOKUP("industry|PM25|Asthma symptoms cough", US_national_yearly!$D:$AM, 22, FALSE) / VLOOKUP("industry|PM25|Asthma symptoms cough", US_national_yearly!$D:$AM, 10, FALSE), 1)</f>
        <v>8.0513518619761748E-2</v>
      </c>
      <c r="O6" s="7">
        <f>$B6 * IFERROR(VLOOKUP("industry|PM25|Asthma symptoms cough", US_national_yearly!$D:$AM, 23, FALSE) / VLOOKUP("industry|PM25|Asthma symptoms cough", US_national_yearly!$D:$AM, 10, FALSE), 1)</f>
        <v>8.0513518619761748E-2</v>
      </c>
      <c r="P6" s="7">
        <f>$B6 * IFERROR(VLOOKUP("industry|PM25|Asthma symptoms cough", US_national_yearly!$D:$AM, 24, FALSE) / VLOOKUP("industry|PM25|Asthma symptoms cough", US_national_yearly!$D:$AM, 10, FALSE), 1)</f>
        <v>8.0513518619761748E-2</v>
      </c>
      <c r="Q6" s="7">
        <f>$B6 * IFERROR(VLOOKUP("industry|PM25|Asthma symptoms cough", US_national_yearly!$D:$AM, 25, FALSE) / VLOOKUP("industry|PM25|Asthma symptoms cough", US_national_yearly!$D:$AM, 10, FALSE), 1)</f>
        <v>8.0513518619761748E-2</v>
      </c>
      <c r="R6" s="7">
        <f>$B6 * IFERROR(VLOOKUP("industry|PM25|Asthma symptoms cough", US_national_yearly!$D:$AM, 26, FALSE) / VLOOKUP("industry|PM25|Asthma symptoms cough", US_national_yearly!$D:$AM, 10, FALSE), 1)</f>
        <v>8.0513518619761748E-2</v>
      </c>
      <c r="S6" s="7">
        <f>$B6 * IFERROR(VLOOKUP("industry|PM25|Asthma symptoms cough", US_national_yearly!$D:$AM, 27, FALSE) / VLOOKUP("industry|PM25|Asthma symptoms cough", US_national_yearly!$D:$AM, 10, FALSE), 1)</f>
        <v>8.0513518619761748E-2</v>
      </c>
      <c r="T6" s="7">
        <f>$B6 * IFERROR(VLOOKUP("industry|PM25|Asthma symptoms cough", US_national_yearly!$D:$AM, 28, FALSE) / VLOOKUP("industry|PM25|Asthma symptoms cough", US_national_yearly!$D:$AM, 10, FALSE), 1)</f>
        <v>8.0513518619761748E-2</v>
      </c>
      <c r="U6" s="7">
        <f>$B6 * IFERROR(VLOOKUP("industry|PM25|Asthma symptoms cough", US_national_yearly!$D:$AM, 29, FALSE) / VLOOKUP("industry|PM25|Asthma symptoms cough", US_national_yearly!$D:$AM, 10, FALSE), 1)</f>
        <v>8.0513518619761748E-2</v>
      </c>
      <c r="V6" s="7">
        <f>$B6 * IFERROR(VLOOKUP("industry|PM25|Asthma symptoms cough", US_national_yearly!$D:$AM, 30, FALSE) / VLOOKUP("industry|PM25|Asthma symptoms cough", US_national_yearly!$D:$AM, 10, FALSE), 1)</f>
        <v>8.0513518619761748E-2</v>
      </c>
      <c r="W6" s="7">
        <f>$B6 * IFERROR(VLOOKUP("industry|PM25|Asthma symptoms cough", US_national_yearly!$D:$AM, 31, FALSE) / VLOOKUP("industry|PM25|Asthma symptoms cough", US_national_yearly!$D:$AM, 10, FALSE), 1)</f>
        <v>8.0513518619761748E-2</v>
      </c>
      <c r="X6" s="7">
        <f>$B6 * IFERROR(VLOOKUP("industry|PM25|Asthma symptoms cough", US_national_yearly!$D:$AM, 32, FALSE) / VLOOKUP("industry|PM25|Asthma symptoms cough", US_national_yearly!$D:$AM, 10, FALSE), 1)</f>
        <v>8.0513518619761748E-2</v>
      </c>
      <c r="Y6" s="7">
        <f>$B6 * IFERROR(VLOOKUP("industry|PM25|Asthma symptoms cough", US_national_yearly!$D:$AM, 33, FALSE) / VLOOKUP("industry|PM25|Asthma symptoms cough", US_national_yearly!$D:$AM, 10, FALSE), 1)</f>
        <v>8.0513518619761748E-2</v>
      </c>
      <c r="Z6" s="7">
        <f>$B6 * IFERROR(VLOOKUP("industry|PM25|Asthma symptoms cough", US_national_yearly!$D:$AM, 34, FALSE) / VLOOKUP("industry|PM25|Asthma symptoms cough", US_national_yearly!$D:$AM, 10, FALSE), 1)</f>
        <v>8.0513518619761748E-2</v>
      </c>
      <c r="AA6" s="7">
        <f>$B6 * IFERROR(VLOOKUP("industry|PM25|Asthma symptoms cough", US_national_yearly!$D:$AM, 35, FALSE) / VLOOKUP("industry|PM25|Asthma symptoms cough", US_national_yearly!$D:$AM, 10, FALSE), 1)</f>
        <v>8.0513518619761748E-2</v>
      </c>
      <c r="AB6" s="7">
        <f>$B6 * IFERROR(VLOOKUP("industry|PM25|Asthma symptoms cough", US_national_yearly!$D:$AM, 36, FALSE) / VLOOKUP("industry|PM25|Asthma symptoms cough", US_national_yearly!$D:$AM, 10, FALSE), 1)</f>
        <v>8.0513518619761748E-2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0.10841953638586652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0.10841953638586652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0.10841953638586652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0.10841953638586652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0.10841953638586652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0.10841953638586652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0.10841953638586652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0.10841953638586652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0.10841953638586652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0.10841953638586652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0.10841953638586652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0.10841953638586652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0.10841953638586652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0.10841953638586652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0.10841953638586652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0.10841953638586652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0.10841953638586652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0.10841953638586652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0.10841953638586652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0.10841953638586652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0.10841953638586652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0.10841953638586652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0.10841953638586652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0.10841953638586652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0.10841953638586652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0.10841953638586652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0.10841953638586652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0.16565951066907686</v>
      </c>
      <c r="C8" s="7">
        <f>$B8 * IFERROR(VLOOKUP("industry|PM25|Asthma symptoms wheeze", US_national_yearly!$D:$AM, 11, FALSE) / VLOOKUP("industry|PM25|Asthma symptoms wheeze", US_national_yearly!$D:$AM, 10, FALSE), 1)</f>
        <v>0.16565951066907686</v>
      </c>
      <c r="D8" s="7">
        <f>$B8 * IFERROR(VLOOKUP("industry|PM25|Asthma symptoms wheeze", US_national_yearly!$D:$AM, 12, FALSE) / VLOOKUP("industry|PM25|Asthma symptoms wheeze", US_national_yearly!$D:$AM, 10, FALSE), 1)</f>
        <v>0.16565951066907686</v>
      </c>
      <c r="E8" s="7">
        <f>$B8 * IFERROR(VLOOKUP("industry|PM25|Asthma symptoms wheeze", US_national_yearly!$D:$AM, 13, FALSE) / VLOOKUP("industry|PM25|Asthma symptoms wheeze", US_national_yearly!$D:$AM, 10, FALSE), 1)</f>
        <v>0.16565951066907686</v>
      </c>
      <c r="F8" s="7">
        <f>$B8 * IFERROR(VLOOKUP("industry|PM25|Asthma symptoms wheeze", US_national_yearly!$D:$AM, 14, FALSE) / VLOOKUP("industry|PM25|Asthma symptoms wheeze", US_national_yearly!$D:$AM, 10, FALSE), 1)</f>
        <v>0.16565951066907686</v>
      </c>
      <c r="G8" s="7">
        <f>$B8 * IFERROR(VLOOKUP("industry|PM25|Asthma symptoms wheeze", US_national_yearly!$D:$AM, 15, FALSE) / VLOOKUP("industry|PM25|Asthma symptoms wheeze", US_national_yearly!$D:$AM, 10, FALSE), 1)</f>
        <v>0.16565951066907686</v>
      </c>
      <c r="H8" s="7">
        <f>$B8 * IFERROR(VLOOKUP("industry|PM25|Asthma symptoms wheeze", US_national_yearly!$D:$AM, 16, FALSE) / VLOOKUP("industry|PM25|Asthma symptoms wheeze", US_national_yearly!$D:$AM, 10, FALSE), 1)</f>
        <v>0.16565951066907686</v>
      </c>
      <c r="I8" s="7">
        <f>$B8 * IFERROR(VLOOKUP("industry|PM25|Asthma symptoms wheeze", US_national_yearly!$D:$AM, 17, FALSE) / VLOOKUP("industry|PM25|Asthma symptoms wheeze", US_national_yearly!$D:$AM, 10, FALSE), 1)</f>
        <v>0.16565951066907686</v>
      </c>
      <c r="J8" s="7">
        <f>$B8 * IFERROR(VLOOKUP("industry|PM25|Asthma symptoms wheeze", US_national_yearly!$D:$AM, 18, FALSE) / VLOOKUP("industry|PM25|Asthma symptoms wheeze", US_national_yearly!$D:$AM, 10, FALSE), 1)</f>
        <v>0.16565951066907686</v>
      </c>
      <c r="K8" s="7">
        <f>$B8 * IFERROR(VLOOKUP("industry|PM25|Asthma symptoms wheeze", US_national_yearly!$D:$AM, 19, FALSE) / VLOOKUP("industry|PM25|Asthma symptoms wheeze", US_national_yearly!$D:$AM, 10, FALSE), 1)</f>
        <v>0.16565951066907686</v>
      </c>
      <c r="L8" s="7">
        <f>$B8 * IFERROR(VLOOKUP("industry|PM25|Asthma symptoms wheeze", US_national_yearly!$D:$AM, 20, FALSE) / VLOOKUP("industry|PM25|Asthma symptoms wheeze", US_national_yearly!$D:$AM, 10, FALSE), 1)</f>
        <v>0.16565951066907686</v>
      </c>
      <c r="M8" s="7">
        <f>$B8 * IFERROR(VLOOKUP("industry|PM25|Asthma symptoms wheeze", US_national_yearly!$D:$AM, 21, FALSE) / VLOOKUP("industry|PM25|Asthma symptoms wheeze", US_national_yearly!$D:$AM, 10, FALSE), 1)</f>
        <v>0.16565951066907686</v>
      </c>
      <c r="N8" s="7">
        <f>$B8 * IFERROR(VLOOKUP("industry|PM25|Asthma symptoms wheeze", US_national_yearly!$D:$AM, 22, FALSE) / VLOOKUP("industry|PM25|Asthma symptoms wheeze", US_national_yearly!$D:$AM, 10, FALSE), 1)</f>
        <v>0.16565951066907686</v>
      </c>
      <c r="O8" s="7">
        <f>$B8 * IFERROR(VLOOKUP("industry|PM25|Asthma symptoms wheeze", US_national_yearly!$D:$AM, 23, FALSE) / VLOOKUP("industry|PM25|Asthma symptoms wheeze", US_national_yearly!$D:$AM, 10, FALSE), 1)</f>
        <v>0.16565951066907686</v>
      </c>
      <c r="P8" s="7">
        <f>$B8 * IFERROR(VLOOKUP("industry|PM25|Asthma symptoms wheeze", US_national_yearly!$D:$AM, 24, FALSE) / VLOOKUP("industry|PM25|Asthma symptoms wheeze", US_national_yearly!$D:$AM, 10, FALSE), 1)</f>
        <v>0.16565951066907686</v>
      </c>
      <c r="Q8" s="7">
        <f>$B8 * IFERROR(VLOOKUP("industry|PM25|Asthma symptoms wheeze", US_national_yearly!$D:$AM, 25, FALSE) / VLOOKUP("industry|PM25|Asthma symptoms wheeze", US_national_yearly!$D:$AM, 10, FALSE), 1)</f>
        <v>0.16565951066907686</v>
      </c>
      <c r="R8" s="7">
        <f>$B8 * IFERROR(VLOOKUP("industry|PM25|Asthma symptoms wheeze", US_national_yearly!$D:$AM, 26, FALSE) / VLOOKUP("industry|PM25|Asthma symptoms wheeze", US_national_yearly!$D:$AM, 10, FALSE), 1)</f>
        <v>0.16565951066907686</v>
      </c>
      <c r="S8" s="7">
        <f>$B8 * IFERROR(VLOOKUP("industry|PM25|Asthma symptoms wheeze", US_national_yearly!$D:$AM, 27, FALSE) / VLOOKUP("industry|PM25|Asthma symptoms wheeze", US_national_yearly!$D:$AM, 10, FALSE), 1)</f>
        <v>0.16565951066907686</v>
      </c>
      <c r="T8" s="7">
        <f>$B8 * IFERROR(VLOOKUP("industry|PM25|Asthma symptoms wheeze", US_national_yearly!$D:$AM, 28, FALSE) / VLOOKUP("industry|PM25|Asthma symptoms wheeze", US_national_yearly!$D:$AM, 10, FALSE), 1)</f>
        <v>0.16565951066907686</v>
      </c>
      <c r="U8" s="7">
        <f>$B8 * IFERROR(VLOOKUP("industry|PM25|Asthma symptoms wheeze", US_national_yearly!$D:$AM, 29, FALSE) / VLOOKUP("industry|PM25|Asthma symptoms wheeze", US_national_yearly!$D:$AM, 10, FALSE), 1)</f>
        <v>0.16565951066907686</v>
      </c>
      <c r="V8" s="7">
        <f>$B8 * IFERROR(VLOOKUP("industry|PM25|Asthma symptoms wheeze", US_national_yearly!$D:$AM, 30, FALSE) / VLOOKUP("industry|PM25|Asthma symptoms wheeze", US_national_yearly!$D:$AM, 10, FALSE), 1)</f>
        <v>0.16565951066907686</v>
      </c>
      <c r="W8" s="7">
        <f>$B8 * IFERROR(VLOOKUP("industry|PM25|Asthma symptoms wheeze", US_national_yearly!$D:$AM, 31, FALSE) / VLOOKUP("industry|PM25|Asthma symptoms wheeze", US_national_yearly!$D:$AM, 10, FALSE), 1)</f>
        <v>0.16565951066907686</v>
      </c>
      <c r="X8" s="7">
        <f>$B8 * IFERROR(VLOOKUP("industry|PM25|Asthma symptoms wheeze", US_national_yearly!$D:$AM, 32, FALSE) / VLOOKUP("industry|PM25|Asthma symptoms wheeze", US_national_yearly!$D:$AM, 10, FALSE), 1)</f>
        <v>0.16565951066907686</v>
      </c>
      <c r="Y8" s="7">
        <f>$B8 * IFERROR(VLOOKUP("industry|PM25|Asthma symptoms wheeze", US_national_yearly!$D:$AM, 33, FALSE) / VLOOKUP("industry|PM25|Asthma symptoms wheeze", US_national_yearly!$D:$AM, 10, FALSE), 1)</f>
        <v>0.16565951066907686</v>
      </c>
      <c r="Z8" s="7">
        <f>$B8 * IFERROR(VLOOKUP("industry|PM25|Asthma symptoms wheeze", US_national_yearly!$D:$AM, 34, FALSE) / VLOOKUP("industry|PM25|Asthma symptoms wheeze", US_national_yearly!$D:$AM, 10, FALSE), 1)</f>
        <v>0.16565951066907686</v>
      </c>
      <c r="AA8" s="7">
        <f>$B8 * IFERROR(VLOOKUP("industry|PM25|Asthma symptoms wheeze", US_national_yearly!$D:$AM, 35, FALSE) / VLOOKUP("industry|PM25|Asthma symptoms wheeze", US_national_yearly!$D:$AM, 10, FALSE), 1)</f>
        <v>0.16565951066907686</v>
      </c>
      <c r="AB8" s="7">
        <f>$B8 * IFERROR(VLOOKUP("industry|PM25|Asthma symptoms wheeze", US_national_yearly!$D:$AM, 36, FALSE) / VLOOKUP("industry|PM25|Asthma symptoms wheeze", US_national_yearly!$D:$AM, 10, FALSE), 1)</f>
        <v>0.16565951066907686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2.6019068918367804E-3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2.6166793838488774E-3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2.6314518758609748E-3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2.6462243678730718E-3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2.6609968598851697E-3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2.6769687101637516E-3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2.6929405604423336E-3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2.7080918697933521E-3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2.723243179144371E-3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2.7383944884953886E-3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2.7535457978464075E-3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2.7686971071974259E-3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2.7794132038771601E-3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2.7901293005568937E-3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2.8008453972366279E-3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2.8115614939163616E-3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2.8222775905960961E-3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2.8323847643433628E-3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2.842491938090629E-3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2.8525991118378961E-3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2.8627062855851627E-3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2.8728134593324298E-3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2.8825451982070244E-3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2.8922769370816189E-3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2.9020086759562144E-3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2.9117404148308094E-3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2.9214721537054044E-3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1.419074229226229E-2</v>
      </c>
      <c r="C13" s="7">
        <f>$B13 * IFERROR(VLOOKUP("industry|PM25|Non-fatal heart attacks", US_national_yearly!$D:$AM, 11, FALSE) / VLOOKUP("industry|PM25|Non-fatal heart attacks", US_national_yearly!$D:$AM, 10, FALSE), 1)</f>
        <v>1.4603838521286574E-2</v>
      </c>
      <c r="D13" s="7">
        <f>$B13 * IFERROR(VLOOKUP("industry|PM25|Non-fatal heart attacks", US_national_yearly!$D:$AM, 12, FALSE) / VLOOKUP("industry|PM25|Non-fatal heart attacks", US_national_yearly!$D:$AM, 10, FALSE), 1)</f>
        <v>1.5016934750310854E-2</v>
      </c>
      <c r="E13" s="7">
        <f>$B13 * IFERROR(VLOOKUP("industry|PM25|Non-fatal heart attacks", US_national_yearly!$D:$AM, 13, FALSE) / VLOOKUP("industry|PM25|Non-fatal heart attacks", US_national_yearly!$D:$AM, 10, FALSE), 1)</f>
        <v>1.5430030979335138E-2</v>
      </c>
      <c r="F13" s="7">
        <f>$B13 * IFERROR(VLOOKUP("industry|PM25|Non-fatal heart attacks", US_national_yearly!$D:$AM, 14, FALSE) / VLOOKUP("industry|PM25|Non-fatal heart attacks", US_national_yearly!$D:$AM, 10, FALSE), 1)</f>
        <v>1.5843127208359422E-2</v>
      </c>
      <c r="G13" s="7">
        <f>$B13 * IFERROR(VLOOKUP("industry|PM25|Non-fatal heart attacks", US_national_yearly!$D:$AM, 15, FALSE) / VLOOKUP("industry|PM25|Non-fatal heart attacks", US_national_yearly!$D:$AM, 10, FALSE), 1)</f>
        <v>1.6233119094687807E-2</v>
      </c>
      <c r="H13" s="7">
        <f>$B13 * IFERROR(VLOOKUP("industry|PM25|Non-fatal heart attacks", US_national_yearly!$D:$AM, 16, FALSE) / VLOOKUP("industry|PM25|Non-fatal heart attacks", US_national_yearly!$D:$AM, 10, FALSE), 1)</f>
        <v>1.6623110981016192E-2</v>
      </c>
      <c r="I13" s="7">
        <f>$B13 * IFERROR(VLOOKUP("industry|PM25|Non-fatal heart attacks", US_national_yearly!$D:$AM, 17, FALSE) / VLOOKUP("industry|PM25|Non-fatal heart attacks", US_national_yearly!$D:$AM, 10, FALSE), 1)</f>
        <v>1.6938033030892051E-2</v>
      </c>
      <c r="J13" s="7">
        <f>$B13 * IFERROR(VLOOKUP("industry|PM25|Non-fatal heart attacks", US_national_yearly!$D:$AM, 18, FALSE) / VLOOKUP("industry|PM25|Non-fatal heart attacks", US_national_yearly!$D:$AM, 10, FALSE), 1)</f>
        <v>1.7252955080767903E-2</v>
      </c>
      <c r="K13" s="7">
        <f>$B13 * IFERROR(VLOOKUP("industry|PM25|Non-fatal heart attacks", US_national_yearly!$D:$AM, 19, FALSE) / VLOOKUP("industry|PM25|Non-fatal heart attacks", US_national_yearly!$D:$AM, 10, FALSE), 1)</f>
        <v>1.7567877130643759E-2</v>
      </c>
      <c r="L13" s="7">
        <f>$B13 * IFERROR(VLOOKUP("industry|PM25|Non-fatal heart attacks", US_national_yearly!$D:$AM, 20, FALSE) / VLOOKUP("industry|PM25|Non-fatal heart attacks", US_national_yearly!$D:$AM, 10, FALSE), 1)</f>
        <v>1.7882799180519614E-2</v>
      </c>
      <c r="M13" s="7">
        <f>$B13 * IFERROR(VLOOKUP("industry|PM25|Non-fatal heart attacks", US_national_yearly!$D:$AM, 21, FALSE) / VLOOKUP("industry|PM25|Non-fatal heart attacks", US_national_yearly!$D:$AM, 10, FALSE), 1)</f>
        <v>1.819772123039547E-2</v>
      </c>
      <c r="N13" s="7">
        <f>$B13 * IFERROR(VLOOKUP("industry|PM25|Non-fatal heart attacks", US_national_yearly!$D:$AM, 22, FALSE) / VLOOKUP("industry|PM25|Non-fatal heart attacks", US_national_yearly!$D:$AM, 10, FALSE), 1)</f>
        <v>1.84013358739408E-2</v>
      </c>
      <c r="O13" s="7">
        <f>$B13 * IFERROR(VLOOKUP("industry|PM25|Non-fatal heart attacks", US_national_yearly!$D:$AM, 23, FALSE) / VLOOKUP("industry|PM25|Non-fatal heart attacks", US_national_yearly!$D:$AM, 10, FALSE), 1)</f>
        <v>1.8604950517486129E-2</v>
      </c>
      <c r="P13" s="7">
        <f>$B13 * IFERROR(VLOOKUP("industry|PM25|Non-fatal heart attacks", US_national_yearly!$D:$AM, 24, FALSE) / VLOOKUP("industry|PM25|Non-fatal heart attacks", US_national_yearly!$D:$AM, 10, FALSE), 1)</f>
        <v>1.8808565161031455E-2</v>
      </c>
      <c r="Q13" s="7">
        <f>$B13 * IFERROR(VLOOKUP("industry|PM25|Non-fatal heart attacks", US_national_yearly!$D:$AM, 25, FALSE) / VLOOKUP("industry|PM25|Non-fatal heart attacks", US_national_yearly!$D:$AM, 10, FALSE), 1)</f>
        <v>1.9012179804576781E-2</v>
      </c>
      <c r="R13" s="7">
        <f>$B13 * IFERROR(VLOOKUP("industry|PM25|Non-fatal heart attacks", US_national_yearly!$D:$AM, 26, FALSE) / VLOOKUP("industry|PM25|Non-fatal heart attacks", US_national_yearly!$D:$AM, 10, FALSE), 1)</f>
        <v>1.921579444812211E-2</v>
      </c>
      <c r="S13" s="7">
        <f>$B13 * IFERROR(VLOOKUP("industry|PM25|Non-fatal heart attacks", US_national_yearly!$D:$AM, 27, FALSE) / VLOOKUP("industry|PM25|Non-fatal heart attacks", US_national_yearly!$D:$AM, 10, FALSE), 1)</f>
        <v>1.9324545800867756E-2</v>
      </c>
      <c r="T13" s="7">
        <f>$B13 * IFERROR(VLOOKUP("industry|PM25|Non-fatal heart attacks", US_national_yearly!$D:$AM, 28, FALSE) / VLOOKUP("industry|PM25|Non-fatal heart attacks", US_national_yearly!$D:$AM, 10, FALSE), 1)</f>
        <v>1.9433297153613405E-2</v>
      </c>
      <c r="U13" s="7">
        <f>$B13 * IFERROR(VLOOKUP("industry|PM25|Non-fatal heart attacks", US_national_yearly!$D:$AM, 29, FALSE) / VLOOKUP("industry|PM25|Non-fatal heart attacks", US_national_yearly!$D:$AM, 10, FALSE), 1)</f>
        <v>1.9542048506359055E-2</v>
      </c>
      <c r="V13" s="7">
        <f>$B13 * IFERROR(VLOOKUP("industry|PM25|Non-fatal heart attacks", US_national_yearly!$D:$AM, 30, FALSE) / VLOOKUP("industry|PM25|Non-fatal heart attacks", US_national_yearly!$D:$AM, 10, FALSE), 1)</f>
        <v>1.9650799859104701E-2</v>
      </c>
      <c r="W13" s="7">
        <f>$B13 * IFERROR(VLOOKUP("industry|PM25|Non-fatal heart attacks", US_national_yearly!$D:$AM, 31, FALSE) / VLOOKUP("industry|PM25|Non-fatal heart attacks", US_national_yearly!$D:$AM, 10, FALSE), 1)</f>
        <v>1.975955121185035E-2</v>
      </c>
      <c r="X13" s="7">
        <f>$B13 * IFERROR(VLOOKUP("industry|PM25|Non-fatal heart attacks", US_national_yearly!$D:$AM, 32, FALSE) / VLOOKUP("industry|PM25|Non-fatal heart attacks", US_national_yearly!$D:$AM, 10, FALSE), 1)</f>
        <v>1.9843484804106432E-2</v>
      </c>
      <c r="Y13" s="7">
        <f>$B13 * IFERROR(VLOOKUP("industry|PM25|Non-fatal heart attacks", US_national_yearly!$D:$AM, 33, FALSE) / VLOOKUP("industry|PM25|Non-fatal heart attacks", US_national_yearly!$D:$AM, 10, FALSE), 1)</f>
        <v>1.9927418396362515E-2</v>
      </c>
      <c r="Z13" s="7">
        <f>$B13 * IFERROR(VLOOKUP("industry|PM25|Non-fatal heart attacks", US_national_yearly!$D:$AM, 34, FALSE) / VLOOKUP("industry|PM25|Non-fatal heart attacks", US_national_yearly!$D:$AM, 10, FALSE), 1)</f>
        <v>2.0011351988618597E-2</v>
      </c>
      <c r="AA13" s="7">
        <f>$B13 * IFERROR(VLOOKUP("industry|PM25|Non-fatal heart attacks", US_national_yearly!$D:$AM, 35, FALSE) / VLOOKUP("industry|PM25|Non-fatal heart attacks", US_national_yearly!$D:$AM, 10, FALSE), 1)</f>
        <v>2.0095285580874683E-2</v>
      </c>
      <c r="AB13" s="7">
        <f>$B13 * IFERROR(VLOOKUP("industry|PM25|Non-fatal heart attacks", US_national_yearly!$D:$AM, 36, FALSE) / VLOOKUP("industry|PM25|Non-fatal heart attacks", US_national_yearly!$D:$AM, 10, FALSE), 1)</f>
        <v>2.0179219173130765E-2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11.002150985131774</v>
      </c>
      <c r="C14" s="7">
        <f>$B14 * IFERROR(VLOOKUP("industry|PM25|Minor restricted activity days", US_national_yearly!$D:$AM, 11, FALSE) / VLOOKUP("industry|PM25|Minor restricted activity days", US_national_yearly!$D:$AM, 10, FALSE), 1)</f>
        <v>11.029097076564511</v>
      </c>
      <c r="D14" s="7">
        <f>$B14 * IFERROR(VLOOKUP("industry|PM25|Minor restricted activity days", US_national_yearly!$D:$AM, 12, FALSE) / VLOOKUP("industry|PM25|Minor restricted activity days", US_national_yearly!$D:$AM, 10, FALSE), 1)</f>
        <v>11.056043167997251</v>
      </c>
      <c r="E14" s="7">
        <f>$B14 * IFERROR(VLOOKUP("industry|PM25|Minor restricted activity days", US_national_yearly!$D:$AM, 13, FALSE) / VLOOKUP("industry|PM25|Minor restricted activity days", US_national_yearly!$D:$AM, 10, FALSE), 1)</f>
        <v>11.082989259429986</v>
      </c>
      <c r="F14" s="7">
        <f>$B14 * IFERROR(VLOOKUP("industry|PM25|Minor restricted activity days", US_national_yearly!$D:$AM, 14, FALSE) / VLOOKUP("industry|PM25|Minor restricted activity days", US_national_yearly!$D:$AM, 10, FALSE), 1)</f>
        <v>11.109935350862724</v>
      </c>
      <c r="G14" s="7">
        <f>$B14 * IFERROR(VLOOKUP("industry|PM25|Minor restricted activity days", US_national_yearly!$D:$AM, 15, FALSE) / VLOOKUP("industry|PM25|Minor restricted activity days", US_national_yearly!$D:$AM, 10, FALSE), 1)</f>
        <v>11.149487833573611</v>
      </c>
      <c r="H14" s="7">
        <f>$B14 * IFERROR(VLOOKUP("industry|PM25|Minor restricted activity days", US_national_yearly!$D:$AM, 16, FALSE) / VLOOKUP("industry|PM25|Minor restricted activity days", US_national_yearly!$D:$AM, 10, FALSE), 1)</f>
        <v>11.189040316284496</v>
      </c>
      <c r="I14" s="7">
        <f>$B14 * IFERROR(VLOOKUP("industry|PM25|Minor restricted activity days", US_national_yearly!$D:$AM, 17, FALSE) / VLOOKUP("industry|PM25|Minor restricted activity days", US_national_yearly!$D:$AM, 10, FALSE), 1)</f>
        <v>11.256229814382769</v>
      </c>
      <c r="J14" s="7">
        <f>$B14 * IFERROR(VLOOKUP("industry|PM25|Minor restricted activity days", US_national_yearly!$D:$AM, 18, FALSE) / VLOOKUP("industry|PM25|Minor restricted activity days", US_national_yearly!$D:$AM, 10, FALSE), 1)</f>
        <v>11.323419312481045</v>
      </c>
      <c r="K14" s="7">
        <f>$B14 * IFERROR(VLOOKUP("industry|PM25|Minor restricted activity days", US_national_yearly!$D:$AM, 19, FALSE) / VLOOKUP("industry|PM25|Minor restricted activity days", US_national_yearly!$D:$AM, 10, FALSE), 1)</f>
        <v>11.390608810579314</v>
      </c>
      <c r="L14" s="7">
        <f>$B14 * IFERROR(VLOOKUP("industry|PM25|Minor restricted activity days", US_national_yearly!$D:$AM, 20, FALSE) / VLOOKUP("industry|PM25|Minor restricted activity days", US_national_yearly!$D:$AM, 10, FALSE), 1)</f>
        <v>11.457798308677589</v>
      </c>
      <c r="M14" s="7">
        <f>$B14 * IFERROR(VLOOKUP("industry|PM25|Minor restricted activity days", US_national_yearly!$D:$AM, 21, FALSE) / VLOOKUP("industry|PM25|Minor restricted activity days", US_national_yearly!$D:$AM, 10, FALSE), 1)</f>
        <v>11.524987806775862</v>
      </c>
      <c r="N14" s="7">
        <f>$B14 * IFERROR(VLOOKUP("industry|PM25|Minor restricted activity days", US_national_yearly!$D:$AM, 22, FALSE) / VLOOKUP("industry|PM25|Minor restricted activity days", US_national_yearly!$D:$AM, 10, FALSE), 1)</f>
        <v>11.616775295531642</v>
      </c>
      <c r="O14" s="7">
        <f>$B14 * IFERROR(VLOOKUP("industry|PM25|Minor restricted activity days", US_national_yearly!$D:$AM, 23, FALSE) / VLOOKUP("industry|PM25|Minor restricted activity days", US_national_yearly!$D:$AM, 10, FALSE), 1)</f>
        <v>11.708562784287434</v>
      </c>
      <c r="P14" s="7">
        <f>$B14 * IFERROR(VLOOKUP("industry|PM25|Minor restricted activity days", US_national_yearly!$D:$AM, 24, FALSE) / VLOOKUP("industry|PM25|Minor restricted activity days", US_national_yearly!$D:$AM, 10, FALSE), 1)</f>
        <v>11.800350273043215</v>
      </c>
      <c r="Q14" s="7">
        <f>$B14 * IFERROR(VLOOKUP("industry|PM25|Minor restricted activity days", US_national_yearly!$D:$AM, 25, FALSE) / VLOOKUP("industry|PM25|Minor restricted activity days", US_national_yearly!$D:$AM, 10, FALSE), 1)</f>
        <v>11.892137761799008</v>
      </c>
      <c r="R14" s="7">
        <f>$B14 * IFERROR(VLOOKUP("industry|PM25|Minor restricted activity days", US_national_yearly!$D:$AM, 26, FALSE) / VLOOKUP("industry|PM25|Minor restricted activity days", US_national_yearly!$D:$AM, 10, FALSE), 1)</f>
        <v>11.983925250554789</v>
      </c>
      <c r="S14" s="7">
        <f>$B14 * IFERROR(VLOOKUP("industry|PM25|Minor restricted activity days", US_national_yearly!$D:$AM, 27, FALSE) / VLOOKUP("industry|PM25|Minor restricted activity days", US_national_yearly!$D:$AM, 10, FALSE), 1)</f>
        <v>12.076593935100441</v>
      </c>
      <c r="T14" s="7">
        <f>$B14 * IFERROR(VLOOKUP("industry|PM25|Minor restricted activity days", US_national_yearly!$D:$AM, 28, FALSE) / VLOOKUP("industry|PM25|Minor restricted activity days", US_national_yearly!$D:$AM, 10, FALSE), 1)</f>
        <v>12.169262619646092</v>
      </c>
      <c r="U14" s="7">
        <f>$B14 * IFERROR(VLOOKUP("industry|PM25|Minor restricted activity days", US_national_yearly!$D:$AM, 29, FALSE) / VLOOKUP("industry|PM25|Minor restricted activity days", US_national_yearly!$D:$AM, 10, FALSE), 1)</f>
        <v>12.261931304191744</v>
      </c>
      <c r="V14" s="7">
        <f>$B14 * IFERROR(VLOOKUP("industry|PM25|Minor restricted activity days", US_national_yearly!$D:$AM, 30, FALSE) / VLOOKUP("industry|PM25|Minor restricted activity days", US_national_yearly!$D:$AM, 10, FALSE), 1)</f>
        <v>12.354599988737395</v>
      </c>
      <c r="W14" s="7">
        <f>$B14 * IFERROR(VLOOKUP("industry|PM25|Minor restricted activity days", US_national_yearly!$D:$AM, 31, FALSE) / VLOOKUP("industry|PM25|Minor restricted activity days", US_national_yearly!$D:$AM, 10, FALSE), 1)</f>
        <v>12.447268673283048</v>
      </c>
      <c r="X14" s="7">
        <f>$B14 * IFERROR(VLOOKUP("industry|PM25|Minor restricted activity days", US_national_yearly!$D:$AM, 32, FALSE) / VLOOKUP("industry|PM25|Minor restricted activity days", US_national_yearly!$D:$AM, 10, FALSE), 1)</f>
        <v>12.527794366349911</v>
      </c>
      <c r="Y14" s="7">
        <f>$B14 * IFERROR(VLOOKUP("industry|PM25|Minor restricted activity days", US_national_yearly!$D:$AM, 33, FALSE) / VLOOKUP("industry|PM25|Minor restricted activity days", US_national_yearly!$D:$AM, 10, FALSE), 1)</f>
        <v>12.608320059416775</v>
      </c>
      <c r="Z14" s="7">
        <f>$B14 * IFERROR(VLOOKUP("industry|PM25|Minor restricted activity days", US_national_yearly!$D:$AM, 34, FALSE) / VLOOKUP("industry|PM25|Minor restricted activity days", US_national_yearly!$D:$AM, 10, FALSE), 1)</f>
        <v>12.688845752483639</v>
      </c>
      <c r="AA14" s="7">
        <f>$B14 * IFERROR(VLOOKUP("industry|PM25|Minor restricted activity days", US_national_yearly!$D:$AM, 35, FALSE) / VLOOKUP("industry|PM25|Minor restricted activity days", US_national_yearly!$D:$AM, 10, FALSE), 1)</f>
        <v>12.769371445550503</v>
      </c>
      <c r="AB14" s="7">
        <f>$B14 * IFERROR(VLOOKUP("industry|PM25|Minor restricted activity days", US_national_yearly!$D:$AM, 36, FALSE) / VLOOKUP("industry|PM25|Minor restricted activity days", US_national_yearly!$D:$AM, 10, FALSE), 1)</f>
        <v>12.849897138617367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1.8543696803899756</v>
      </c>
      <c r="C15" s="7">
        <f>$B15 * IFERROR(VLOOKUP("industry|PM25|Work loss days", US_national_yearly!$D:$AM, 11, FALSE) / VLOOKUP("industry|PM25|Work loss days", US_national_yearly!$D:$AM, 10, FALSE), 1)</f>
        <v>1.8601189709277133</v>
      </c>
      <c r="D15" s="7">
        <f>$B15 * IFERROR(VLOOKUP("industry|PM25|Work loss days", US_national_yearly!$D:$AM, 12, FALSE) / VLOOKUP("industry|PM25|Work loss days", US_national_yearly!$D:$AM, 10, FALSE), 1)</f>
        <v>1.8658682614654509</v>
      </c>
      <c r="E15" s="7">
        <f>$B15 * IFERROR(VLOOKUP("industry|PM25|Work loss days", US_national_yearly!$D:$AM, 13, FALSE) / VLOOKUP("industry|PM25|Work loss days", US_national_yearly!$D:$AM, 10, FALSE), 1)</f>
        <v>1.8716175520031879</v>
      </c>
      <c r="F15" s="7">
        <f>$B15 * IFERROR(VLOOKUP("industry|PM25|Work loss days", US_national_yearly!$D:$AM, 14, FALSE) / VLOOKUP("industry|PM25|Work loss days", US_national_yearly!$D:$AM, 10, FALSE), 1)</f>
        <v>1.8773668425409256</v>
      </c>
      <c r="G15" s="7">
        <f>$B15 * IFERROR(VLOOKUP("industry|PM25|Work loss days", US_national_yearly!$D:$AM, 15, FALSE) / VLOOKUP("industry|PM25|Work loss days", US_national_yearly!$D:$AM, 10, FALSE), 1)</f>
        <v>1.8848727930697189</v>
      </c>
      <c r="H15" s="7">
        <f>$B15 * IFERROR(VLOOKUP("industry|PM25|Work loss days", US_national_yearly!$D:$AM, 16, FALSE) / VLOOKUP("industry|PM25|Work loss days", US_national_yearly!$D:$AM, 10, FALSE), 1)</f>
        <v>1.892378743598512</v>
      </c>
      <c r="I15" s="7">
        <f>$B15 * IFERROR(VLOOKUP("industry|PM25|Work loss days", US_national_yearly!$D:$AM, 17, FALSE) / VLOOKUP("industry|PM25|Work loss days", US_national_yearly!$D:$AM, 10, FALSE), 1)</f>
        <v>1.9033698440451325</v>
      </c>
      <c r="J15" s="7">
        <f>$B15 * IFERROR(VLOOKUP("industry|PM25|Work loss days", US_national_yearly!$D:$AM, 18, FALSE) / VLOOKUP("industry|PM25|Work loss days", US_national_yearly!$D:$AM, 10, FALSE), 1)</f>
        <v>1.9143609444917529</v>
      </c>
      <c r="K15" s="7">
        <f>$B15 * IFERROR(VLOOKUP("industry|PM25|Work loss days", US_national_yearly!$D:$AM, 19, FALSE) / VLOOKUP("industry|PM25|Work loss days", US_national_yearly!$D:$AM, 10, FALSE), 1)</f>
        <v>1.925352044938373</v>
      </c>
      <c r="L15" s="7">
        <f>$B15 * IFERROR(VLOOKUP("industry|PM25|Work loss days", US_national_yearly!$D:$AM, 20, FALSE) / VLOOKUP("industry|PM25|Work loss days", US_national_yearly!$D:$AM, 10, FALSE), 1)</f>
        <v>1.9363431453849935</v>
      </c>
      <c r="M15" s="7">
        <f>$B15 * IFERROR(VLOOKUP("industry|PM25|Work loss days", US_national_yearly!$D:$AM, 21, FALSE) / VLOOKUP("industry|PM25|Work loss days", US_national_yearly!$D:$AM, 10, FALSE), 1)</f>
        <v>1.9473342458316139</v>
      </c>
      <c r="N15" s="7">
        <f>$B15 * IFERROR(VLOOKUP("industry|PM25|Work loss days", US_national_yearly!$D:$AM, 22, FALSE) / VLOOKUP("industry|PM25|Work loss days", US_national_yearly!$D:$AM, 10, FALSE), 1)</f>
        <v>1.9612035719266383</v>
      </c>
      <c r="O15" s="7">
        <f>$B15 * IFERROR(VLOOKUP("industry|PM25|Work loss days", US_national_yearly!$D:$AM, 23, FALSE) / VLOOKUP("industry|PM25|Work loss days", US_national_yearly!$D:$AM, 10, FALSE), 1)</f>
        <v>1.9750728980216627</v>
      </c>
      <c r="P15" s="7">
        <f>$B15 * IFERROR(VLOOKUP("industry|PM25|Work loss days", US_national_yearly!$D:$AM, 24, FALSE) / VLOOKUP("industry|PM25|Work loss days", US_national_yearly!$D:$AM, 10, FALSE), 1)</f>
        <v>1.9889422241166868</v>
      </c>
      <c r="Q15" s="7">
        <f>$B15 * IFERROR(VLOOKUP("industry|PM25|Work loss days", US_national_yearly!$D:$AM, 25, FALSE) / VLOOKUP("industry|PM25|Work loss days", US_national_yearly!$D:$AM, 10, FALSE), 1)</f>
        <v>2.0028115502117112</v>
      </c>
      <c r="R15" s="7">
        <f>$B15 * IFERROR(VLOOKUP("industry|PM25|Work loss days", US_national_yearly!$D:$AM, 26, FALSE) / VLOOKUP("industry|PM25|Work loss days", US_national_yearly!$D:$AM, 10, FALSE), 1)</f>
        <v>2.0166808763067352</v>
      </c>
      <c r="S15" s="7">
        <f>$B15 * IFERROR(VLOOKUP("industry|PM25|Work loss days", US_national_yearly!$D:$AM, 27, FALSE) / VLOOKUP("industry|PM25|Work loss days", US_national_yearly!$D:$AM, 10, FALSE), 1)</f>
        <v>2.0320599927129011</v>
      </c>
      <c r="T15" s="7">
        <f>$B15 * IFERROR(VLOOKUP("industry|PM25|Work loss days", US_national_yearly!$D:$AM, 28, FALSE) / VLOOKUP("industry|PM25|Work loss days", US_national_yearly!$D:$AM, 10, FALSE), 1)</f>
        <v>2.0474391091190665</v>
      </c>
      <c r="U15" s="7">
        <f>$B15 * IFERROR(VLOOKUP("industry|PM25|Work loss days", US_national_yearly!$D:$AM, 29, FALSE) / VLOOKUP("industry|PM25|Work loss days", US_national_yearly!$D:$AM, 10, FALSE), 1)</f>
        <v>2.0628182255252319</v>
      </c>
      <c r="V15" s="7">
        <f>$B15 * IFERROR(VLOOKUP("industry|PM25|Work loss days", US_national_yearly!$D:$AM, 30, FALSE) / VLOOKUP("industry|PM25|Work loss days", US_national_yearly!$D:$AM, 10, FALSE), 1)</f>
        <v>2.0781973419313973</v>
      </c>
      <c r="W15" s="7">
        <f>$B15 * IFERROR(VLOOKUP("industry|PM25|Work loss days", US_national_yearly!$D:$AM, 31, FALSE) / VLOOKUP("industry|PM25|Work loss days", US_national_yearly!$D:$AM, 10, FALSE), 1)</f>
        <v>2.0935764583375631</v>
      </c>
      <c r="X15" s="7">
        <f>$B15 * IFERROR(VLOOKUP("industry|PM25|Work loss days", US_national_yearly!$D:$AM, 32, FALSE) / VLOOKUP("industry|PM25|Work loss days", US_national_yearly!$D:$AM, 10, FALSE), 1)</f>
        <v>2.1072428254650513</v>
      </c>
      <c r="Y15" s="7">
        <f>$B15 * IFERROR(VLOOKUP("industry|PM25|Work loss days", US_national_yearly!$D:$AM, 33, FALSE) / VLOOKUP("industry|PM25|Work loss days", US_national_yearly!$D:$AM, 10, FALSE), 1)</f>
        <v>2.1209091925925398</v>
      </c>
      <c r="Z15" s="7">
        <f>$B15 * IFERROR(VLOOKUP("industry|PM25|Work loss days", US_national_yearly!$D:$AM, 34, FALSE) / VLOOKUP("industry|PM25|Work loss days", US_national_yearly!$D:$AM, 10, FALSE), 1)</f>
        <v>2.1345755597200284</v>
      </c>
      <c r="AA15" s="7">
        <f>$B15 * IFERROR(VLOOKUP("industry|PM25|Work loss days", US_national_yearly!$D:$AM, 35, FALSE) / VLOOKUP("industry|PM25|Work loss days", US_national_yearly!$D:$AM, 10, FALSE), 1)</f>
        <v>2.1482419268475166</v>
      </c>
      <c r="AB15" s="7">
        <f>$B15 * IFERROR(VLOOKUP("industry|PM25|Work loss days", US_national_yearly!$D:$AM, 36, FALSE) / VLOOKUP("industry|PM25|Work loss days", US_national_yearly!$D:$AM, 10, FALSE), 1)</f>
        <v>2.1619082939750052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3.3538188340437379E-3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3.4541337055720256E-3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3.5544485771003133E-3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3.654763448628601E-3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3.7550783201568878E-3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3.8512228939498266E-3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3.9473674677427649E-3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4.0299160099144136E-3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4.1124645520860615E-3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4.1950130942577111E-3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4.2775616364293598E-3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4.3601101786010085E-3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4.415252915991875E-3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4.4703956533827397E-3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4.5255383907736061E-3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4.5806811281644717E-3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4.6358238655553382E-3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4.6653680070081766E-3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4.6949121484610159E-3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4.7244562899138552E-3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4.7540004313666928E-3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4.7835445728195321E-3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4.8038323739120047E-3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4.8241201750044765E-3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4.8444079760969492E-3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4.8646957771894201E-3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4.8849835782818927E-3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2.8536029290727381E-4</v>
      </c>
      <c r="C2" s="7">
        <f>$B2 * IFERROR(VLOOKUP("industry|NOx|Premature mortality", US_national_yearly!$D:$AM, 11, FALSE) / VLOOKUP("industry|NOx|Premature mortality", US_national_yearly!$D:$AM, 10, FALSE), 1)</f>
        <v>2.8957984065755869E-4</v>
      </c>
      <c r="D2" s="7">
        <f>$B2 * IFERROR(VLOOKUP("industry|NOx|Premature mortality", US_national_yearly!$D:$AM, 12, FALSE) / VLOOKUP("industry|NOx|Premature mortality", US_national_yearly!$D:$AM, 10, FALSE), 1)</f>
        <v>2.9379938840784367E-4</v>
      </c>
      <c r="E2" s="7">
        <f>$B2 * IFERROR(VLOOKUP("industry|NOx|Premature mortality", US_national_yearly!$D:$AM, 13, FALSE) / VLOOKUP("industry|NOx|Premature mortality", US_national_yearly!$D:$AM, 10, FALSE), 1)</f>
        <v>2.9801893615812855E-4</v>
      </c>
      <c r="F2" s="7">
        <f>$B2 * IFERROR(VLOOKUP("industry|NOx|Premature mortality", US_national_yearly!$D:$AM, 14, FALSE) / VLOOKUP("industry|NOx|Premature mortality", US_national_yearly!$D:$AM, 10, FALSE), 1)</f>
        <v>3.0223848390841348E-4</v>
      </c>
      <c r="G2" s="7">
        <f>$B2 * IFERROR(VLOOKUP("industry|NOx|Premature mortality", US_national_yearly!$D:$AM, 15, FALSE) / VLOOKUP("industry|NOx|Premature mortality", US_national_yearly!$D:$AM, 10, FALSE), 1)</f>
        <v>3.098057131714265E-4</v>
      </c>
      <c r="H2" s="7">
        <f>$B2 * IFERROR(VLOOKUP("industry|NOx|Premature mortality", US_national_yearly!$D:$AM, 16, FALSE) / VLOOKUP("industry|NOx|Premature mortality", US_national_yearly!$D:$AM, 10, FALSE), 1)</f>
        <v>3.1737294243443947E-4</v>
      </c>
      <c r="I2" s="7">
        <f>$B2 * IFERROR(VLOOKUP("industry|NOx|Premature mortality", US_national_yearly!$D:$AM, 17, FALSE) / VLOOKUP("industry|NOx|Premature mortality", US_national_yearly!$D:$AM, 10, FALSE), 1)</f>
        <v>3.2228205868310196E-4</v>
      </c>
      <c r="J2" s="7">
        <f>$B2 * IFERROR(VLOOKUP("industry|NOx|Premature mortality", US_national_yearly!$D:$AM, 18, FALSE) / VLOOKUP("industry|NOx|Premature mortality", US_national_yearly!$D:$AM, 10, FALSE), 1)</f>
        <v>3.2719117493176439E-4</v>
      </c>
      <c r="K2" s="7">
        <f>$B2 * IFERROR(VLOOKUP("industry|NOx|Premature mortality", US_national_yearly!$D:$AM, 19, FALSE) / VLOOKUP("industry|NOx|Premature mortality", US_national_yearly!$D:$AM, 10, FALSE), 1)</f>
        <v>3.3210029118042693E-4</v>
      </c>
      <c r="L2" s="7">
        <f>$B2 * IFERROR(VLOOKUP("industry|NOx|Premature mortality", US_national_yearly!$D:$AM, 20, FALSE) / VLOOKUP("industry|NOx|Premature mortality", US_national_yearly!$D:$AM, 10, FALSE), 1)</f>
        <v>3.3700940742908937E-4</v>
      </c>
      <c r="M2" s="7">
        <f>$B2 * IFERROR(VLOOKUP("industry|NOx|Premature mortality", US_national_yearly!$D:$AM, 21, FALSE) / VLOOKUP("industry|NOx|Premature mortality", US_national_yearly!$D:$AM, 10, FALSE), 1)</f>
        <v>3.4191852367775185E-4</v>
      </c>
      <c r="N2" s="7">
        <f>$B2 * IFERROR(VLOOKUP("industry|NOx|Premature mortality", US_national_yearly!$D:$AM, 22, FALSE) / VLOOKUP("industry|NOx|Premature mortality", US_national_yearly!$D:$AM, 10, FALSE), 1)</f>
        <v>3.4557154675953026E-4</v>
      </c>
      <c r="O2" s="7">
        <f>$B2 * IFERROR(VLOOKUP("industry|NOx|Premature mortality", US_national_yearly!$D:$AM, 23, FALSE) / VLOOKUP("industry|NOx|Premature mortality", US_national_yearly!$D:$AM, 10, FALSE), 1)</f>
        <v>3.4922456984130861E-4</v>
      </c>
      <c r="P2" s="7">
        <f>$B2 * IFERROR(VLOOKUP("industry|NOx|Premature mortality", US_national_yearly!$D:$AM, 24, FALSE) / VLOOKUP("industry|NOx|Premature mortality", US_national_yearly!$D:$AM, 10, FALSE), 1)</f>
        <v>3.5287759292308691E-4</v>
      </c>
      <c r="Q2" s="7">
        <f>$B2 * IFERROR(VLOOKUP("industry|NOx|Premature mortality", US_national_yearly!$D:$AM, 25, FALSE) / VLOOKUP("industry|NOx|Premature mortality", US_national_yearly!$D:$AM, 10, FALSE), 1)</f>
        <v>3.565306160048652E-4</v>
      </c>
      <c r="R2" s="7">
        <f>$B2 * IFERROR(VLOOKUP("industry|NOx|Premature mortality", US_national_yearly!$D:$AM, 26, FALSE) / VLOOKUP("industry|NOx|Premature mortality", US_national_yearly!$D:$AM, 10, FALSE), 1)</f>
        <v>3.6018363908664355E-4</v>
      </c>
      <c r="S2" s="7">
        <f>$B2 * IFERROR(VLOOKUP("industry|NOx|Premature mortality", US_national_yearly!$D:$AM, 27, FALSE) / VLOOKUP("industry|NOx|Premature mortality", US_national_yearly!$D:$AM, 10, FALSE), 1)</f>
        <v>3.6188470718282606E-4</v>
      </c>
      <c r="T2" s="7">
        <f>$B2 * IFERROR(VLOOKUP("industry|NOx|Premature mortality", US_national_yearly!$D:$AM, 28, FALSE) / VLOOKUP("industry|NOx|Premature mortality", US_national_yearly!$D:$AM, 10, FALSE), 1)</f>
        <v>3.6358577527900856E-4</v>
      </c>
      <c r="U2" s="7">
        <f>$B2 * IFERROR(VLOOKUP("industry|NOx|Premature mortality", US_national_yearly!$D:$AM, 29, FALSE) / VLOOKUP("industry|NOx|Premature mortality", US_national_yearly!$D:$AM, 10, FALSE), 1)</f>
        <v>3.6528684337519107E-4</v>
      </c>
      <c r="V2" s="7">
        <f>$B2 * IFERROR(VLOOKUP("industry|NOx|Premature mortality", US_national_yearly!$D:$AM, 30, FALSE) / VLOOKUP("industry|NOx|Premature mortality", US_national_yearly!$D:$AM, 10, FALSE), 1)</f>
        <v>3.6698791147137357E-4</v>
      </c>
      <c r="W2" s="7">
        <f>$B2 * IFERROR(VLOOKUP("industry|NOx|Premature mortality", US_national_yearly!$D:$AM, 31, FALSE) / VLOOKUP("industry|NOx|Premature mortality", US_national_yearly!$D:$AM, 10, FALSE), 1)</f>
        <v>3.6868897956755602E-4</v>
      </c>
      <c r="X2" s="7">
        <f>$B2 * IFERROR(VLOOKUP("industry|NOx|Premature mortality", US_national_yearly!$D:$AM, 32, FALSE) / VLOOKUP("industry|NOx|Premature mortality", US_national_yearly!$D:$AM, 10, FALSE), 1)</f>
        <v>3.6881898063178186E-4</v>
      </c>
      <c r="Y2" s="7">
        <f>$B2 * IFERROR(VLOOKUP("industry|NOx|Premature mortality", US_national_yearly!$D:$AM, 33, FALSE) / VLOOKUP("industry|NOx|Premature mortality", US_national_yearly!$D:$AM, 10, FALSE), 1)</f>
        <v>3.6894898169600776E-4</v>
      </c>
      <c r="Z2" s="7">
        <f>$B2 * IFERROR(VLOOKUP("industry|NOx|Premature mortality", US_national_yearly!$D:$AM, 34, FALSE) / VLOOKUP("industry|NOx|Premature mortality", US_national_yearly!$D:$AM, 10, FALSE), 1)</f>
        <v>3.690789827602336E-4</v>
      </c>
      <c r="AA2" s="7">
        <f>$B2 * IFERROR(VLOOKUP("industry|NOx|Premature mortality", US_national_yearly!$D:$AM, 35, FALSE) / VLOOKUP("industry|NOx|Premature mortality", US_national_yearly!$D:$AM, 10, FALSE), 1)</f>
        <v>3.6920898382445945E-4</v>
      </c>
      <c r="AB2" s="7">
        <f>$B2 * IFERROR(VLOOKUP("industry|NOx|Premature mortality", US_national_yearly!$D:$AM, 36, FALSE) / VLOOKUP("industry|NOx|Premature mortality", US_national_yearly!$D:$AM, 10, FALSE), 1)</f>
        <v>3.6933898488868534E-4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4.930292157386433E-7</v>
      </c>
      <c r="C3" s="7">
        <f>$B3 * IFERROR(VLOOKUP("industry|NOx|Infant mortality", US_national_yearly!$D:$AM, 11, FALSE) / VLOOKUP("industry|NOx|Infant mortality", US_national_yearly!$D:$AM, 10, FALSE), 1)</f>
        <v>4.8830755756241202E-7</v>
      </c>
      <c r="D3" s="7">
        <f>$B3 * IFERROR(VLOOKUP("industry|NOx|Infant mortality", US_national_yearly!$D:$AM, 12, FALSE) / VLOOKUP("industry|NOx|Infant mortality", US_national_yearly!$D:$AM, 10, FALSE), 1)</f>
        <v>4.8358589938618075E-7</v>
      </c>
      <c r="E3" s="7">
        <f>$B3 * IFERROR(VLOOKUP("industry|NOx|Infant mortality", US_national_yearly!$D:$AM, 13, FALSE) / VLOOKUP("industry|NOx|Infant mortality", US_national_yearly!$D:$AM, 10, FALSE), 1)</f>
        <v>4.7886424120994947E-7</v>
      </c>
      <c r="F3" s="7">
        <f>$B3 * IFERROR(VLOOKUP("industry|NOx|Infant mortality", US_national_yearly!$D:$AM, 14, FALSE) / VLOOKUP("industry|NOx|Infant mortality", US_national_yearly!$D:$AM, 10, FALSE), 1)</f>
        <v>4.7414258303371819E-7</v>
      </c>
      <c r="G3" s="7">
        <f>$B3 * IFERROR(VLOOKUP("industry|NOx|Infant mortality", US_national_yearly!$D:$AM, 15, FALSE) / VLOOKUP("industry|NOx|Infant mortality", US_national_yearly!$D:$AM, 10, FALSE), 1)</f>
        <v>3.1449319732165129E-7</v>
      </c>
      <c r="H3" s="7">
        <f>$B3 * IFERROR(VLOOKUP("industry|NOx|Infant mortality", US_national_yearly!$D:$AM, 16, FALSE) / VLOOKUP("industry|NOx|Infant mortality", US_national_yearly!$D:$AM, 10, FALSE), 1)</f>
        <v>1.548438116095845E-7</v>
      </c>
      <c r="I3" s="7">
        <f>$B3 * IFERROR(VLOOKUP("industry|NOx|Infant mortality", US_national_yearly!$D:$AM, 17, FALSE) / VLOOKUP("industry|NOx|Infant mortality", US_national_yearly!$D:$AM, 10, FALSE), 1)</f>
        <v>1.5372745458371445E-7</v>
      </c>
      <c r="J3" s="7">
        <f>$B3 * IFERROR(VLOOKUP("industry|NOx|Infant mortality", US_national_yearly!$D:$AM, 18, FALSE) / VLOOKUP("industry|NOx|Infant mortality", US_national_yearly!$D:$AM, 10, FALSE), 1)</f>
        <v>1.5261109755784443E-7</v>
      </c>
      <c r="K3" s="7">
        <f>$B3 * IFERROR(VLOOKUP("industry|NOx|Infant mortality", US_national_yearly!$D:$AM, 19, FALSE) / VLOOKUP("industry|NOx|Infant mortality", US_national_yearly!$D:$AM, 10, FALSE), 1)</f>
        <v>1.5149474053197439E-7</v>
      </c>
      <c r="L3" s="7">
        <f>$B3 * IFERROR(VLOOKUP("industry|NOx|Infant mortality", US_national_yearly!$D:$AM, 20, FALSE) / VLOOKUP("industry|NOx|Infant mortality", US_national_yearly!$D:$AM, 10, FALSE), 1)</f>
        <v>1.5037838350610431E-7</v>
      </c>
      <c r="M3" s="7">
        <f>$B3 * IFERROR(VLOOKUP("industry|NOx|Infant mortality", US_national_yearly!$D:$AM, 21, FALSE) / VLOOKUP("industry|NOx|Infant mortality", US_national_yearly!$D:$AM, 10, FALSE), 1)</f>
        <v>1.4926202648023424E-7</v>
      </c>
      <c r="N3" s="7">
        <f>$B3 * IFERROR(VLOOKUP("industry|NOx|Infant mortality", US_national_yearly!$D:$AM, 22, FALSE) / VLOOKUP("industry|NOx|Infant mortality", US_national_yearly!$D:$AM, 10, FALSE), 1)</f>
        <v>1.4850987547167654E-7</v>
      </c>
      <c r="O3" s="7">
        <f>$B3 * IFERROR(VLOOKUP("industry|NOx|Infant mortality", US_national_yearly!$D:$AM, 23, FALSE) / VLOOKUP("industry|NOx|Infant mortality", US_national_yearly!$D:$AM, 10, FALSE), 1)</f>
        <v>1.4775772446311878E-7</v>
      </c>
      <c r="P3" s="7">
        <f>$B3 * IFERROR(VLOOKUP("industry|NOx|Infant mortality", US_national_yearly!$D:$AM, 24, FALSE) / VLOOKUP("industry|NOx|Infant mortality", US_national_yearly!$D:$AM, 10, FALSE), 1)</f>
        <v>1.4700557345456108E-7</v>
      </c>
      <c r="Q3" s="7">
        <f>$B3 * IFERROR(VLOOKUP("industry|NOx|Infant mortality", US_national_yearly!$D:$AM, 25, FALSE) / VLOOKUP("industry|NOx|Infant mortality", US_national_yearly!$D:$AM, 10, FALSE), 1)</f>
        <v>1.4625342244600335E-7</v>
      </c>
      <c r="R3" s="7">
        <f>$B3 * IFERROR(VLOOKUP("industry|NOx|Infant mortality", US_national_yearly!$D:$AM, 26, FALSE) / VLOOKUP("industry|NOx|Infant mortality", US_national_yearly!$D:$AM, 10, FALSE), 1)</f>
        <v>1.4550127143744564E-7</v>
      </c>
      <c r="S3" s="7">
        <f>$B3 * IFERROR(VLOOKUP("industry|NOx|Infant mortality", US_national_yearly!$D:$AM, 27, FALSE) / VLOOKUP("industry|NOx|Infant mortality", US_national_yearly!$D:$AM, 10, FALSE), 1)</f>
        <v>1.4460810556179596E-7</v>
      </c>
      <c r="T3" s="7">
        <f>$B3 * IFERROR(VLOOKUP("industry|NOx|Infant mortality", US_national_yearly!$D:$AM, 28, FALSE) / VLOOKUP("industry|NOx|Infant mortality", US_national_yearly!$D:$AM, 10, FALSE), 1)</f>
        <v>1.4371493968614624E-7</v>
      </c>
      <c r="U3" s="7">
        <f>$B3 * IFERROR(VLOOKUP("industry|NOx|Infant mortality", US_national_yearly!$D:$AM, 29, FALSE) / VLOOKUP("industry|NOx|Infant mortality", US_national_yearly!$D:$AM, 10, FALSE), 1)</f>
        <v>1.4282177381049656E-7</v>
      </c>
      <c r="V3" s="7">
        <f>$B3 * IFERROR(VLOOKUP("industry|NOx|Infant mortality", US_national_yearly!$D:$AM, 30, FALSE) / VLOOKUP("industry|NOx|Infant mortality", US_national_yearly!$D:$AM, 10, FALSE), 1)</f>
        <v>1.4192860793484687E-7</v>
      </c>
      <c r="W3" s="7">
        <f>$B3 * IFERROR(VLOOKUP("industry|NOx|Infant mortality", US_national_yearly!$D:$AM, 31, FALSE) / VLOOKUP("industry|NOx|Infant mortality", US_national_yearly!$D:$AM, 10, FALSE), 1)</f>
        <v>1.4103544205919721E-7</v>
      </c>
      <c r="X3" s="7">
        <f>$B3 * IFERROR(VLOOKUP("industry|NOx|Infant mortality", US_national_yearly!$D:$AM, 32, FALSE) / VLOOKUP("industry|NOx|Infant mortality", US_national_yearly!$D:$AM, 10, FALSE), 1)</f>
        <v>1.4009751899123021E-7</v>
      </c>
      <c r="Y3" s="7">
        <f>$B3 * IFERROR(VLOOKUP("industry|NOx|Infant mortality", US_national_yearly!$D:$AM, 33, FALSE) / VLOOKUP("industry|NOx|Infant mortality", US_national_yearly!$D:$AM, 10, FALSE), 1)</f>
        <v>1.3915959592326326E-7</v>
      </c>
      <c r="Z3" s="7">
        <f>$B3 * IFERROR(VLOOKUP("industry|NOx|Infant mortality", US_national_yearly!$D:$AM, 34, FALSE) / VLOOKUP("industry|NOx|Infant mortality", US_national_yearly!$D:$AM, 10, FALSE), 1)</f>
        <v>1.3822167285529629E-7</v>
      </c>
      <c r="AA3" s="7">
        <f>$B3 * IFERROR(VLOOKUP("industry|NOx|Infant mortality", US_national_yearly!$D:$AM, 35, FALSE) / VLOOKUP("industry|NOx|Infant mortality", US_national_yearly!$D:$AM, 10, FALSE), 1)</f>
        <v>1.3728374978732932E-7</v>
      </c>
      <c r="AB3" s="7">
        <f>$B3 * IFERROR(VLOOKUP("industry|NOx|Infant mortality", US_national_yearly!$D:$AM, 36, FALSE) / VLOOKUP("industry|NOx|Infant mortality", US_national_yearly!$D:$AM, 10, FALSE), 1)</f>
        <v>1.3634582671936237E-7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6.8627770201285616E-4</v>
      </c>
      <c r="C6" s="7">
        <f>$B6 * IFERROR(VLOOKUP("industry|NOx|Asthma symptoms cough", US_national_yearly!$D:$AM, 11, FALSE) / VLOOKUP("industry|NOx|Asthma symptoms cough", US_national_yearly!$D:$AM, 10, FALSE), 1)</f>
        <v>6.9566621384279325E-4</v>
      </c>
      <c r="D6" s="7">
        <f>$B6 * IFERROR(VLOOKUP("industry|NOx|Asthma symptoms cough", US_national_yearly!$D:$AM, 12, FALSE) / VLOOKUP("industry|NOx|Asthma symptoms cough", US_national_yearly!$D:$AM, 10, FALSE), 1)</f>
        <v>7.0505472567273045E-4</v>
      </c>
      <c r="E6" s="7">
        <f>$B6 * IFERROR(VLOOKUP("industry|NOx|Asthma symptoms cough", US_national_yearly!$D:$AM, 13, FALSE) / VLOOKUP("industry|NOx|Asthma symptoms cough", US_national_yearly!$D:$AM, 10, FALSE), 1)</f>
        <v>7.1444323750266753E-4</v>
      </c>
      <c r="F6" s="7">
        <f>$B6 * IFERROR(VLOOKUP("industry|NOx|Asthma symptoms cough", US_national_yearly!$D:$AM, 14, FALSE) / VLOOKUP("industry|NOx|Asthma symptoms cough", US_national_yearly!$D:$AM, 10, FALSE), 1)</f>
        <v>7.2383174933260462E-4</v>
      </c>
      <c r="G6" s="7">
        <f>$B6 * IFERROR(VLOOKUP("industry|NOx|Asthma symptoms cough", US_national_yearly!$D:$AM, 15, FALSE) / VLOOKUP("industry|NOx|Asthma symptoms cough", US_national_yearly!$D:$AM, 10, FALSE), 1)</f>
        <v>7.3135987931044271E-4</v>
      </c>
      <c r="H6" s="7">
        <f>$B6 * IFERROR(VLOOKUP("industry|NOx|Asthma symptoms cough", US_national_yearly!$D:$AM, 16, FALSE) / VLOOKUP("industry|NOx|Asthma symptoms cough", US_national_yearly!$D:$AM, 10, FALSE), 1)</f>
        <v>7.3888800928828091E-4</v>
      </c>
      <c r="I6" s="7">
        <f>$B6 * IFERROR(VLOOKUP("industry|NOx|Asthma symptoms cough", US_national_yearly!$D:$AM, 17, FALSE) / VLOOKUP("industry|NOx|Asthma symptoms cough", US_national_yearly!$D:$AM, 10, FALSE), 1)</f>
        <v>7.4150786525794437E-4</v>
      </c>
      <c r="J6" s="7">
        <f>$B6 * IFERROR(VLOOKUP("industry|NOx|Asthma symptoms cough", US_national_yearly!$D:$AM, 18, FALSE) / VLOOKUP("industry|NOx|Asthma symptoms cough", US_national_yearly!$D:$AM, 10, FALSE), 1)</f>
        <v>7.4412772122760794E-4</v>
      </c>
      <c r="K6" s="7">
        <f>$B6 * IFERROR(VLOOKUP("industry|NOx|Asthma symptoms cough", US_national_yearly!$D:$AM, 19, FALSE) / VLOOKUP("industry|NOx|Asthma symptoms cough", US_national_yearly!$D:$AM, 10, FALSE), 1)</f>
        <v>7.4674757719727139E-4</v>
      </c>
      <c r="L6" s="7">
        <f>$B6 * IFERROR(VLOOKUP("industry|NOx|Asthma symptoms cough", US_national_yearly!$D:$AM, 20, FALSE) / VLOOKUP("industry|NOx|Asthma symptoms cough", US_national_yearly!$D:$AM, 10, FALSE), 1)</f>
        <v>7.4936743316693496E-4</v>
      </c>
      <c r="M6" s="7">
        <f>$B6 * IFERROR(VLOOKUP("industry|NOx|Asthma symptoms cough", US_national_yearly!$D:$AM, 21, FALSE) / VLOOKUP("industry|NOx|Asthma symptoms cough", US_national_yearly!$D:$AM, 10, FALSE), 1)</f>
        <v>7.5198728913659864E-4</v>
      </c>
      <c r="N6" s="7">
        <f>$B6 * IFERROR(VLOOKUP("industry|NOx|Asthma symptoms cough", US_national_yearly!$D:$AM, 22, FALSE) / VLOOKUP("industry|NOx|Asthma symptoms cough", US_national_yearly!$D:$AM, 10, FALSE), 1)</f>
        <v>7.5497792624456043E-4</v>
      </c>
      <c r="O6" s="7">
        <f>$B6 * IFERROR(VLOOKUP("industry|NOx|Asthma symptoms cough", US_national_yearly!$D:$AM, 23, FALSE) / VLOOKUP("industry|NOx|Asthma symptoms cough", US_national_yearly!$D:$AM, 10, FALSE), 1)</f>
        <v>7.5796856335252211E-4</v>
      </c>
      <c r="P6" s="7">
        <f>$B6 * IFERROR(VLOOKUP("industry|NOx|Asthma symptoms cough", US_national_yearly!$D:$AM, 24, FALSE) / VLOOKUP("industry|NOx|Asthma symptoms cough", US_national_yearly!$D:$AM, 10, FALSE), 1)</f>
        <v>7.60959200460484E-4</v>
      </c>
      <c r="Q6" s="7">
        <f>$B6 * IFERROR(VLOOKUP("industry|NOx|Asthma symptoms cough", US_national_yearly!$D:$AM, 25, FALSE) / VLOOKUP("industry|NOx|Asthma symptoms cough", US_national_yearly!$D:$AM, 10, FALSE), 1)</f>
        <v>7.639498375684459E-4</v>
      </c>
      <c r="R6" s="7">
        <f>$B6 * IFERROR(VLOOKUP("industry|NOx|Asthma symptoms cough", US_national_yearly!$D:$AM, 26, FALSE) / VLOOKUP("industry|NOx|Asthma symptoms cough", US_national_yearly!$D:$AM, 10, FALSE), 1)</f>
        <v>7.6694047467640769E-4</v>
      </c>
      <c r="S6" s="7">
        <f>$B6 * IFERROR(VLOOKUP("industry|NOx|Asthma symptoms cough", US_national_yearly!$D:$AM, 27, FALSE) / VLOOKUP("industry|NOx|Asthma symptoms cough", US_national_yearly!$D:$AM, 10, FALSE), 1)</f>
        <v>7.7079826422192055E-4</v>
      </c>
      <c r="T6" s="7">
        <f>$B6 * IFERROR(VLOOKUP("industry|NOx|Asthma symptoms cough", US_national_yearly!$D:$AM, 28, FALSE) / VLOOKUP("industry|NOx|Asthma symptoms cough", US_national_yearly!$D:$AM, 10, FALSE), 1)</f>
        <v>7.746560537674333E-4</v>
      </c>
      <c r="U6" s="7">
        <f>$B6 * IFERROR(VLOOKUP("industry|NOx|Asthma symptoms cough", US_national_yearly!$D:$AM, 29, FALSE) / VLOOKUP("industry|NOx|Asthma symptoms cough", US_national_yearly!$D:$AM, 10, FALSE), 1)</f>
        <v>7.7851384331294616E-4</v>
      </c>
      <c r="V6" s="7">
        <f>$B6 * IFERROR(VLOOKUP("industry|NOx|Asthma symptoms cough", US_national_yearly!$D:$AM, 30, FALSE) / VLOOKUP("industry|NOx|Asthma symptoms cough", US_national_yearly!$D:$AM, 10, FALSE), 1)</f>
        <v>7.823716328584588E-4</v>
      </c>
      <c r="W6" s="7">
        <f>$B6 * IFERROR(VLOOKUP("industry|NOx|Asthma symptoms cough", US_national_yearly!$D:$AM, 31, FALSE) / VLOOKUP("industry|NOx|Asthma symptoms cough", US_national_yearly!$D:$AM, 10, FALSE), 1)</f>
        <v>7.8622942240397166E-4</v>
      </c>
      <c r="X6" s="7">
        <f>$B6 * IFERROR(VLOOKUP("industry|NOx|Asthma symptoms cough", US_national_yearly!$D:$AM, 32, FALSE) / VLOOKUP("industry|NOx|Asthma symptoms cough", US_national_yearly!$D:$AM, 10, FALSE), 1)</f>
        <v>7.8980588997134464E-4</v>
      </c>
      <c r="Y6" s="7">
        <f>$B6 * IFERROR(VLOOKUP("industry|NOx|Asthma symptoms cough", US_national_yearly!$D:$AM, 33, FALSE) / VLOOKUP("industry|NOx|Asthma symptoms cough", US_national_yearly!$D:$AM, 10, FALSE), 1)</f>
        <v>7.9338235753871741E-4</v>
      </c>
      <c r="Z6" s="7">
        <f>$B6 * IFERROR(VLOOKUP("industry|NOx|Asthma symptoms cough", US_national_yearly!$D:$AM, 34, FALSE) / VLOOKUP("industry|NOx|Asthma symptoms cough", US_national_yearly!$D:$AM, 10, FALSE), 1)</f>
        <v>7.9695882510609039E-4</v>
      </c>
      <c r="AA6" s="7">
        <f>$B6 * IFERROR(VLOOKUP("industry|NOx|Asthma symptoms cough", US_national_yearly!$D:$AM, 35, FALSE) / VLOOKUP("industry|NOx|Asthma symptoms cough", US_national_yearly!$D:$AM, 10, FALSE), 1)</f>
        <v>8.0053529267346316E-4</v>
      </c>
      <c r="AB6" s="7">
        <f>$B6 * IFERROR(VLOOKUP("industry|NOx|Asthma symptoms cough", US_national_yearly!$D:$AM, 36, FALSE) / VLOOKUP("industry|NOx|Asthma symptoms cough", US_national_yearly!$D:$AM, 10, FALSE), 1)</f>
        <v>8.0411176024083614E-4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9.2417285276755147E-4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9.3681585095512659E-4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9.494588491427016E-4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9.6210184733027673E-4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9.7474484551785207E-4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9.8488256864579372E-4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9.9502029177373549E-4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9.9854830926042861E-4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1.0020763267471217E-3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1.0056043442338149E-3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1.0091323617205084E-3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1.0126603792072015E-3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1.0166877074896414E-3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1.0207150357720812E-3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1.0247423640545213E-3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1.0287696923369611E-3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1.0327970206194009E-3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1.0379920959319919E-3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1.0431871712445829E-3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1.0483822465571738E-3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1.0535773218697648E-3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1.0587723971823555E-3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1.0635886314854757E-3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1.0684048657885958E-3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1.0732211000917158E-3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1.078037334394836E-3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1.0828535686979561E-3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1.4119782648707396E-3</v>
      </c>
      <c r="C8" s="7">
        <f>$B8 * IFERROR(VLOOKUP("industry|NOx|Asthma symptoms wheeze", US_national_yearly!$D:$AM, 11, FALSE) / VLOOKUP("industry|NOx|Asthma symptoms wheeze", US_national_yearly!$D:$AM, 10, FALSE), 1)</f>
        <v>1.4312946066568964E-3</v>
      </c>
      <c r="D8" s="7">
        <f>$B8 * IFERROR(VLOOKUP("industry|NOx|Asthma symptoms wheeze", US_national_yearly!$D:$AM, 12, FALSE) / VLOOKUP("industry|NOx|Asthma symptoms wheeze", US_national_yearly!$D:$AM, 10, FALSE), 1)</f>
        <v>1.4506109484430534E-3</v>
      </c>
      <c r="E8" s="7">
        <f>$B8 * IFERROR(VLOOKUP("industry|NOx|Asthma symptoms wheeze", US_national_yearly!$D:$AM, 13, FALSE) / VLOOKUP("industry|NOx|Asthma symptoms wheeze", US_national_yearly!$D:$AM, 10, FALSE), 1)</f>
        <v>1.4699272902292102E-3</v>
      </c>
      <c r="F8" s="7">
        <f>$B8 * IFERROR(VLOOKUP("industry|NOx|Asthma symptoms wheeze", US_national_yearly!$D:$AM, 14, FALSE) / VLOOKUP("industry|NOx|Asthma symptoms wheeze", US_national_yearly!$D:$AM, 10, FALSE), 1)</f>
        <v>1.4892436320153668E-3</v>
      </c>
      <c r="G8" s="7">
        <f>$B8 * IFERROR(VLOOKUP("industry|NOx|Asthma symptoms wheeze", US_national_yearly!$D:$AM, 15, FALSE) / VLOOKUP("industry|NOx|Asthma symptoms wheeze", US_national_yearly!$D:$AM, 10, FALSE), 1)</f>
        <v>1.5047323414438059E-3</v>
      </c>
      <c r="H8" s="7">
        <f>$B8 * IFERROR(VLOOKUP("industry|NOx|Asthma symptoms wheeze", US_national_yearly!$D:$AM, 16, FALSE) / VLOOKUP("industry|NOx|Asthma symptoms wheeze", US_national_yearly!$D:$AM, 10, FALSE), 1)</f>
        <v>1.5202210508722443E-3</v>
      </c>
      <c r="I8" s="7">
        <f>$B8 * IFERROR(VLOOKUP("industry|NOx|Asthma symptoms wheeze", US_national_yearly!$D:$AM, 17, FALSE) / VLOOKUP("industry|NOx|Asthma symptoms wheeze", US_national_yearly!$D:$AM, 10, FALSE), 1)</f>
        <v>1.5256112590663179E-3</v>
      </c>
      <c r="J8" s="7">
        <f>$B8 * IFERROR(VLOOKUP("industry|NOx|Asthma symptoms wheeze", US_national_yearly!$D:$AM, 18, FALSE) / VLOOKUP("industry|NOx|Asthma symptoms wheeze", US_national_yearly!$D:$AM, 10, FALSE), 1)</f>
        <v>1.5310014672603913E-3</v>
      </c>
      <c r="K8" s="7">
        <f>$B8 * IFERROR(VLOOKUP("industry|NOx|Asthma symptoms wheeze", US_national_yearly!$D:$AM, 19, FALSE) / VLOOKUP("industry|NOx|Asthma symptoms wheeze", US_national_yearly!$D:$AM, 10, FALSE), 1)</f>
        <v>1.5363916754544649E-3</v>
      </c>
      <c r="L8" s="7">
        <f>$B8 * IFERROR(VLOOKUP("industry|NOx|Asthma symptoms wheeze", US_national_yearly!$D:$AM, 20, FALSE) / VLOOKUP("industry|NOx|Asthma symptoms wheeze", US_national_yearly!$D:$AM, 10, FALSE), 1)</f>
        <v>1.5417818836485381E-3</v>
      </c>
      <c r="M8" s="7">
        <f>$B8 * IFERROR(VLOOKUP("industry|NOx|Asthma symptoms wheeze", US_national_yearly!$D:$AM, 21, FALSE) / VLOOKUP("industry|NOx|Asthma symptoms wheeze", US_national_yearly!$D:$AM, 10, FALSE), 1)</f>
        <v>1.5471720918426117E-3</v>
      </c>
      <c r="N8" s="7">
        <f>$B8 * IFERROR(VLOOKUP("industry|NOx|Asthma symptoms wheeze", US_national_yearly!$D:$AM, 22, FALSE) / VLOOKUP("industry|NOx|Asthma symptoms wheeze", US_national_yearly!$D:$AM, 10, FALSE), 1)</f>
        <v>1.5533251616403918E-3</v>
      </c>
      <c r="O8" s="7">
        <f>$B8 * IFERROR(VLOOKUP("industry|NOx|Asthma symptoms wheeze", US_national_yearly!$D:$AM, 23, FALSE) / VLOOKUP("industry|NOx|Asthma symptoms wheeze", US_national_yearly!$D:$AM, 10, FALSE), 1)</f>
        <v>1.559478231438172E-3</v>
      </c>
      <c r="P8" s="7">
        <f>$B8 * IFERROR(VLOOKUP("industry|NOx|Asthma symptoms wheeze", US_national_yearly!$D:$AM, 24, FALSE) / VLOOKUP("industry|NOx|Asthma symptoms wheeze", US_national_yearly!$D:$AM, 10, FALSE), 1)</f>
        <v>1.5656313012359518E-3</v>
      </c>
      <c r="Q8" s="7">
        <f>$B8 * IFERROR(VLOOKUP("industry|NOx|Asthma symptoms wheeze", US_national_yearly!$D:$AM, 25, FALSE) / VLOOKUP("industry|NOx|Asthma symptoms wheeze", US_national_yearly!$D:$AM, 10, FALSE), 1)</f>
        <v>1.5717843710337318E-3</v>
      </c>
      <c r="R8" s="7">
        <f>$B8 * IFERROR(VLOOKUP("industry|NOx|Asthma symptoms wheeze", US_national_yearly!$D:$AM, 26, FALSE) / VLOOKUP("industry|NOx|Asthma symptoms wheeze", US_national_yearly!$D:$AM, 10, FALSE), 1)</f>
        <v>1.5779374408315121E-3</v>
      </c>
      <c r="S8" s="7">
        <f>$B8 * IFERROR(VLOOKUP("industry|NOx|Asthma symptoms wheeze", US_national_yearly!$D:$AM, 27, FALSE) / VLOOKUP("industry|NOx|Asthma symptoms wheeze", US_national_yearly!$D:$AM, 10, FALSE), 1)</f>
        <v>1.5858746286192128E-3</v>
      </c>
      <c r="T8" s="7">
        <f>$B8 * IFERROR(VLOOKUP("industry|NOx|Asthma symptoms wheeze", US_national_yearly!$D:$AM, 28, FALSE) / VLOOKUP("industry|NOx|Asthma symptoms wheeze", US_national_yearly!$D:$AM, 10, FALSE), 1)</f>
        <v>1.5938118164069135E-3</v>
      </c>
      <c r="U8" s="7">
        <f>$B8 * IFERROR(VLOOKUP("industry|NOx|Asthma symptoms wheeze", US_national_yearly!$D:$AM, 29, FALSE) / VLOOKUP("industry|NOx|Asthma symptoms wheeze", US_national_yearly!$D:$AM, 10, FALSE), 1)</f>
        <v>1.601749004194614E-3</v>
      </c>
      <c r="V8" s="7">
        <f>$B8 * IFERROR(VLOOKUP("industry|NOx|Asthma symptoms wheeze", US_national_yearly!$D:$AM, 30, FALSE) / VLOOKUP("industry|NOx|Asthma symptoms wheeze", US_national_yearly!$D:$AM, 10, FALSE), 1)</f>
        <v>1.6096861919823147E-3</v>
      </c>
      <c r="W8" s="7">
        <f>$B8 * IFERROR(VLOOKUP("industry|NOx|Asthma symptoms wheeze", US_national_yearly!$D:$AM, 31, FALSE) / VLOOKUP("industry|NOx|Asthma symptoms wheeze", US_national_yearly!$D:$AM, 10, FALSE), 1)</f>
        <v>1.6176233797700152E-3</v>
      </c>
      <c r="X8" s="7">
        <f>$B8 * IFERROR(VLOOKUP("industry|NOx|Asthma symptoms wheeze", US_national_yearly!$D:$AM, 32, FALSE) / VLOOKUP("industry|NOx|Asthma symptoms wheeze", US_national_yearly!$D:$AM, 10, FALSE), 1)</f>
        <v>1.6249817632078682E-3</v>
      </c>
      <c r="Y8" s="7">
        <f>$B8 * IFERROR(VLOOKUP("industry|NOx|Asthma symptoms wheeze", US_national_yearly!$D:$AM, 33, FALSE) / VLOOKUP("industry|NOx|Asthma symptoms wheeze", US_national_yearly!$D:$AM, 10, FALSE), 1)</f>
        <v>1.6323401466457209E-3</v>
      </c>
      <c r="Z8" s="7">
        <f>$B8 * IFERROR(VLOOKUP("industry|NOx|Asthma symptoms wheeze", US_national_yearly!$D:$AM, 34, FALSE) / VLOOKUP("industry|NOx|Asthma symptoms wheeze", US_national_yearly!$D:$AM, 10, FALSE), 1)</f>
        <v>1.6396985300835734E-3</v>
      </c>
      <c r="AA8" s="7">
        <f>$B8 * IFERROR(VLOOKUP("industry|NOx|Asthma symptoms wheeze", US_national_yearly!$D:$AM, 35, FALSE) / VLOOKUP("industry|NOx|Asthma symptoms wheeze", US_national_yearly!$D:$AM, 10, FALSE), 1)</f>
        <v>1.6470569135214256E-3</v>
      </c>
      <c r="AB8" s="7">
        <f>$B8 * IFERROR(VLOOKUP("industry|NOx|Asthma symptoms wheeze", US_national_yearly!$D:$AM, 36, FALSE) / VLOOKUP("industry|NOx|Asthma symptoms wheeze", US_national_yearly!$D:$AM, 10, FALSE), 1)</f>
        <v>1.6544152969592797E-3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2.1877042484238472E-5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2.2426666270387276E-5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2.2976290056536076E-5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2.3525913842684883E-5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2.407553762883368E-5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2.4601277220541103E-5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2.5127016812248522E-5</v>
      </c>
      <c r="I12" s="7">
        <f>$B12 * IFERROR(VLOOKUP("industry|NOx|Respiratory hospital admissions", US_national_yearly!$D:$AM, 17, FALSE) / VLOOKUP("industry|NOx|Respiratory hospital admissions", US_national_yearly!$D:$AM, 10, FALSE), 1)</f>
        <v>2.5574755465880804E-5</v>
      </c>
      <c r="J12" s="7">
        <f>$B12 * IFERROR(VLOOKUP("industry|NOx|Respiratory hospital admissions", US_national_yearly!$D:$AM, 18, FALSE) / VLOOKUP("industry|NOx|Respiratory hospital admissions", US_national_yearly!$D:$AM, 10, FALSE), 1)</f>
        <v>2.6022494119513087E-5</v>
      </c>
      <c r="K12" s="7">
        <f>$B12 * IFERROR(VLOOKUP("industry|NOx|Respiratory hospital admissions", US_national_yearly!$D:$AM, 19, FALSE) / VLOOKUP("industry|NOx|Respiratory hospital admissions", US_national_yearly!$D:$AM, 10, FALSE), 1)</f>
        <v>2.6470232773145376E-5</v>
      </c>
      <c r="L12" s="7">
        <f>$B12 * IFERROR(VLOOKUP("industry|NOx|Respiratory hospital admissions", US_national_yearly!$D:$AM, 20, FALSE) / VLOOKUP("industry|NOx|Respiratory hospital admissions", US_national_yearly!$D:$AM, 10, FALSE), 1)</f>
        <v>2.6917971426777662E-5</v>
      </c>
      <c r="M12" s="7">
        <f>$B12 * IFERROR(VLOOKUP("industry|NOx|Respiratory hospital admissions", US_national_yearly!$D:$AM, 21, FALSE) / VLOOKUP("industry|NOx|Respiratory hospital admissions", US_national_yearly!$D:$AM, 10, FALSE), 1)</f>
        <v>2.7365710080409948E-5</v>
      </c>
      <c r="N12" s="7">
        <f>$B12 * IFERROR(VLOOKUP("industry|NOx|Respiratory hospital admissions", US_national_yearly!$D:$AM, 22, FALSE) / VLOOKUP("industry|NOx|Respiratory hospital admissions", US_national_yearly!$D:$AM, 10, FALSE), 1)</f>
        <v>2.766579213262539E-5</v>
      </c>
      <c r="O12" s="7">
        <f>$B12 * IFERROR(VLOOKUP("industry|NOx|Respiratory hospital admissions", US_national_yearly!$D:$AM, 23, FALSE) / VLOOKUP("industry|NOx|Respiratory hospital admissions", US_national_yearly!$D:$AM, 10, FALSE), 1)</f>
        <v>2.7965874184840832E-5</v>
      </c>
      <c r="P12" s="7">
        <f>$B12 * IFERROR(VLOOKUP("industry|NOx|Respiratory hospital admissions", US_national_yearly!$D:$AM, 24, FALSE) / VLOOKUP("industry|NOx|Respiratory hospital admissions", US_national_yearly!$D:$AM, 10, FALSE), 1)</f>
        <v>2.8265956237056275E-5</v>
      </c>
      <c r="Q12" s="7">
        <f>$B12 * IFERROR(VLOOKUP("industry|NOx|Respiratory hospital admissions", US_national_yearly!$D:$AM, 25, FALSE) / VLOOKUP("industry|NOx|Respiratory hospital admissions", US_national_yearly!$D:$AM, 10, FALSE), 1)</f>
        <v>2.8566038289271717E-5</v>
      </c>
      <c r="R12" s="7">
        <f>$B12 * IFERROR(VLOOKUP("industry|NOx|Respiratory hospital admissions", US_national_yearly!$D:$AM, 26, FALSE) / VLOOKUP("industry|NOx|Respiratory hospital admissions", US_national_yearly!$D:$AM, 10, FALSE), 1)</f>
        <v>2.886612034148716E-5</v>
      </c>
      <c r="S12" s="7">
        <f>$B12 * IFERROR(VLOOKUP("industry|NOx|Respiratory hospital admissions", US_national_yearly!$D:$AM, 27, FALSE) / VLOOKUP("industry|NOx|Respiratory hospital admissions", US_national_yearly!$D:$AM, 10, FALSE), 1)</f>
        <v>2.9029038822576091E-5</v>
      </c>
      <c r="T12" s="7">
        <f>$B12 * IFERROR(VLOOKUP("industry|NOx|Respiratory hospital admissions", US_national_yearly!$D:$AM, 28, FALSE) / VLOOKUP("industry|NOx|Respiratory hospital admissions", US_national_yearly!$D:$AM, 10, FALSE), 1)</f>
        <v>2.9191957303665022E-5</v>
      </c>
      <c r="U12" s="7">
        <f>$B12 * IFERROR(VLOOKUP("industry|NOx|Respiratory hospital admissions", US_national_yearly!$D:$AM, 29, FALSE) / VLOOKUP("industry|NOx|Respiratory hospital admissions", US_national_yearly!$D:$AM, 10, FALSE), 1)</f>
        <v>2.9354875784753949E-5</v>
      </c>
      <c r="V12" s="7">
        <f>$B12 * IFERROR(VLOOKUP("industry|NOx|Respiratory hospital admissions", US_national_yearly!$D:$AM, 30, FALSE) / VLOOKUP("industry|NOx|Respiratory hospital admissions", US_national_yearly!$D:$AM, 10, FALSE), 1)</f>
        <v>2.9517794265842877E-5</v>
      </c>
      <c r="W12" s="7">
        <f>$B12 * IFERROR(VLOOKUP("industry|NOx|Respiratory hospital admissions", US_national_yearly!$D:$AM, 31, FALSE) / VLOOKUP("industry|NOx|Respiratory hospital admissions", US_national_yearly!$D:$AM, 10, FALSE), 1)</f>
        <v>2.9680712746931811E-5</v>
      </c>
      <c r="X12" s="7">
        <f>$B12 * IFERROR(VLOOKUP("industry|NOx|Respiratory hospital admissions", US_national_yearly!$D:$AM, 32, FALSE) / VLOOKUP("industry|NOx|Respiratory hospital admissions", US_national_yearly!$D:$AM, 10, FALSE), 1)</f>
        <v>2.9794309547917599E-5</v>
      </c>
      <c r="Y12" s="7">
        <f>$B12 * IFERROR(VLOOKUP("industry|NOx|Respiratory hospital admissions", US_national_yearly!$D:$AM, 33, FALSE) / VLOOKUP("industry|NOx|Respiratory hospital admissions", US_national_yearly!$D:$AM, 10, FALSE), 1)</f>
        <v>2.9907906348903386E-5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3.0021503149889177E-5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3.0135099950874964E-5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3.0248696751860752E-5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1.1502501492344208E-4</v>
      </c>
      <c r="C13" s="7">
        <f>$B13 * IFERROR(VLOOKUP("industry|NOx|Non-fatal heart attacks", US_national_yearly!$D:$AM, 11, FALSE) / VLOOKUP("industry|NOx|Non-fatal heart attacks", US_national_yearly!$D:$AM, 10, FALSE), 1)</f>
        <v>1.1831138982598205E-4</v>
      </c>
      <c r="D13" s="7">
        <f>$B13 * IFERROR(VLOOKUP("industry|NOx|Non-fatal heart attacks", US_national_yearly!$D:$AM, 12, FALSE) / VLOOKUP("industry|NOx|Non-fatal heart attacks", US_national_yearly!$D:$AM, 10, FALSE), 1)</f>
        <v>1.2159776472852202E-4</v>
      </c>
      <c r="E13" s="7">
        <f>$B13 * IFERROR(VLOOKUP("industry|NOx|Non-fatal heart attacks", US_national_yearly!$D:$AM, 13, FALSE) / VLOOKUP("industry|NOx|Non-fatal heart attacks", US_national_yearly!$D:$AM, 10, FALSE), 1)</f>
        <v>1.2488413963106199E-4</v>
      </c>
      <c r="F13" s="7">
        <f>$B13 * IFERROR(VLOOKUP("industry|NOx|Non-fatal heart attacks", US_national_yearly!$D:$AM, 14, FALSE) / VLOOKUP("industry|NOx|Non-fatal heart attacks", US_national_yearly!$D:$AM, 10, FALSE), 1)</f>
        <v>1.2817051453360196E-4</v>
      </c>
      <c r="G13" s="7">
        <f>$B13 * IFERROR(VLOOKUP("industry|NOx|Non-fatal heart attacks", US_national_yearly!$D:$AM, 15, FALSE) / VLOOKUP("industry|NOx|Non-fatal heart attacks", US_national_yearly!$D:$AM, 10, FALSE), 1)</f>
        <v>1.3124423240565701E-4</v>
      </c>
      <c r="H13" s="7">
        <f>$B13 * IFERROR(VLOOKUP("industry|NOx|Non-fatal heart attacks", US_national_yearly!$D:$AM, 16, FALSE) / VLOOKUP("industry|NOx|Non-fatal heart attacks", US_national_yearly!$D:$AM, 10, FALSE), 1)</f>
        <v>1.3431795027771205E-4</v>
      </c>
      <c r="I13" s="7">
        <f>$B13 * IFERROR(VLOOKUP("industry|NOx|Non-fatal heart attacks", US_national_yearly!$D:$AM, 17, FALSE) / VLOOKUP("industry|NOx|Non-fatal heart attacks", US_national_yearly!$D:$AM, 10, FALSE), 1)</f>
        <v>1.3674893800784817E-4</v>
      </c>
      <c r="J13" s="7">
        <f>$B13 * IFERROR(VLOOKUP("industry|NOx|Non-fatal heart attacks", US_national_yearly!$D:$AM, 18, FALSE) / VLOOKUP("industry|NOx|Non-fatal heart attacks", US_national_yearly!$D:$AM, 10, FALSE), 1)</f>
        <v>1.3917992573798425E-4</v>
      </c>
      <c r="K13" s="7">
        <f>$B13 * IFERROR(VLOOKUP("industry|NOx|Non-fatal heart attacks", US_national_yearly!$D:$AM, 19, FALSE) / VLOOKUP("industry|NOx|Non-fatal heart attacks", US_national_yearly!$D:$AM, 10, FALSE), 1)</f>
        <v>1.4161091346812031E-4</v>
      </c>
      <c r="L13" s="7">
        <f>$B13 * IFERROR(VLOOKUP("industry|NOx|Non-fatal heart attacks", US_national_yearly!$D:$AM, 20, FALSE) / VLOOKUP("industry|NOx|Non-fatal heart attacks", US_national_yearly!$D:$AM, 10, FALSE), 1)</f>
        <v>1.4404190119825648E-4</v>
      </c>
      <c r="M13" s="7">
        <f>$B13 * IFERROR(VLOOKUP("industry|NOx|Non-fatal heart attacks", US_national_yearly!$D:$AM, 21, FALSE) / VLOOKUP("industry|NOx|Non-fatal heart attacks", US_national_yearly!$D:$AM, 10, FALSE), 1)</f>
        <v>1.464728889283926E-4</v>
      </c>
      <c r="N13" s="7">
        <f>$B13 * IFERROR(VLOOKUP("industry|NOx|Non-fatal heart attacks", US_national_yearly!$D:$AM, 22, FALSE) / VLOOKUP("industry|NOx|Non-fatal heart attacks", US_national_yearly!$D:$AM, 10, FALSE), 1)</f>
        <v>1.4793744235952824E-4</v>
      </c>
      <c r="O13" s="7">
        <f>$B13 * IFERROR(VLOOKUP("industry|NOx|Non-fatal heart attacks", US_national_yearly!$D:$AM, 23, FALSE) / VLOOKUP("industry|NOx|Non-fatal heart attacks", US_national_yearly!$D:$AM, 10, FALSE), 1)</f>
        <v>1.4940199579066386E-4</v>
      </c>
      <c r="P13" s="7">
        <f>$B13 * IFERROR(VLOOKUP("industry|NOx|Non-fatal heart attacks", US_national_yearly!$D:$AM, 24, FALSE) / VLOOKUP("industry|NOx|Non-fatal heart attacks", US_national_yearly!$D:$AM, 10, FALSE), 1)</f>
        <v>1.5086654922179946E-4</v>
      </c>
      <c r="Q13" s="7">
        <f>$B13 * IFERROR(VLOOKUP("industry|NOx|Non-fatal heart attacks", US_national_yearly!$D:$AM, 25, FALSE) / VLOOKUP("industry|NOx|Non-fatal heart attacks", US_national_yearly!$D:$AM, 10, FALSE), 1)</f>
        <v>1.5233110265293508E-4</v>
      </c>
      <c r="R13" s="7">
        <f>$B13 * IFERROR(VLOOKUP("industry|NOx|Non-fatal heart attacks", US_national_yearly!$D:$AM, 26, FALSE) / VLOOKUP("industry|NOx|Non-fatal heart attacks", US_national_yearly!$D:$AM, 10, FALSE), 1)</f>
        <v>1.537956560840707E-4</v>
      </c>
      <c r="S13" s="7">
        <f>$B13 * IFERROR(VLOOKUP("industry|NOx|Non-fatal heart attacks", US_national_yearly!$D:$AM, 27, FALSE) / VLOOKUP("industry|NOx|Non-fatal heart attacks", US_national_yearly!$D:$AM, 10, FALSE), 1)</f>
        <v>1.5446762241086906E-4</v>
      </c>
      <c r="T13" s="7">
        <f>$B13 * IFERROR(VLOOKUP("industry|NOx|Non-fatal heart attacks", US_national_yearly!$D:$AM, 28, FALSE) / VLOOKUP("industry|NOx|Non-fatal heart attacks", US_national_yearly!$D:$AM, 10, FALSE), 1)</f>
        <v>1.5513958873766742E-4</v>
      </c>
      <c r="U13" s="7">
        <f>$B13 * IFERROR(VLOOKUP("industry|NOx|Non-fatal heart attacks", US_national_yearly!$D:$AM, 29, FALSE) / VLOOKUP("industry|NOx|Non-fatal heart attacks", US_national_yearly!$D:$AM, 10, FALSE), 1)</f>
        <v>1.5581155506446575E-4</v>
      </c>
      <c r="V13" s="7">
        <f>$B13 * IFERROR(VLOOKUP("industry|NOx|Non-fatal heart attacks", US_national_yearly!$D:$AM, 30, FALSE) / VLOOKUP("industry|NOx|Non-fatal heart attacks", US_national_yearly!$D:$AM, 10, FALSE), 1)</f>
        <v>1.5648352139126413E-4</v>
      </c>
      <c r="W13" s="7">
        <f>$B13 * IFERROR(VLOOKUP("industry|NOx|Non-fatal heart attacks", US_national_yearly!$D:$AM, 31, FALSE) / VLOOKUP("industry|NOx|Non-fatal heart attacks", US_national_yearly!$D:$AM, 10, FALSE), 1)</f>
        <v>1.5715548771806246E-4</v>
      </c>
      <c r="X13" s="7">
        <f>$B13 * IFERROR(VLOOKUP("industry|NOx|Non-fatal heart attacks", US_national_yearly!$D:$AM, 32, FALSE) / VLOOKUP("industry|NOx|Non-fatal heart attacks", US_national_yearly!$D:$AM, 10, FALSE), 1)</f>
        <v>1.5760899137164265E-4</v>
      </c>
      <c r="Y13" s="7">
        <f>$B13 * IFERROR(VLOOKUP("industry|NOx|Non-fatal heart attacks", US_national_yearly!$D:$AM, 33, FALSE) / VLOOKUP("industry|NOx|Non-fatal heart attacks", US_national_yearly!$D:$AM, 10, FALSE), 1)</f>
        <v>1.5806249502522287E-4</v>
      </c>
      <c r="Z13" s="7">
        <f>$B13 * IFERROR(VLOOKUP("industry|NOx|Non-fatal heart attacks", US_national_yearly!$D:$AM, 34, FALSE) / VLOOKUP("industry|NOx|Non-fatal heart attacks", US_national_yearly!$D:$AM, 10, FALSE), 1)</f>
        <v>1.5851599867880306E-4</v>
      </c>
      <c r="AA13" s="7">
        <f>$B13 * IFERROR(VLOOKUP("industry|NOx|Non-fatal heart attacks", US_national_yearly!$D:$AM, 35, FALSE) / VLOOKUP("industry|NOx|Non-fatal heart attacks", US_national_yearly!$D:$AM, 10, FALSE), 1)</f>
        <v>1.5896950233238325E-4</v>
      </c>
      <c r="AB13" s="7">
        <f>$B13 * IFERROR(VLOOKUP("industry|NOx|Non-fatal heart attacks", US_national_yearly!$D:$AM, 36, FALSE) / VLOOKUP("industry|NOx|Non-fatal heart attacks", US_national_yearly!$D:$AM, 10, FALSE), 1)</f>
        <v>1.5942300598596347E-4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9.2604799928657014E-2</v>
      </c>
      <c r="C14" s="7">
        <f>$B14 * IFERROR(VLOOKUP("industry|NOx|Minor restricted activity days", US_national_yearly!$D:$AM, 11, FALSE) / VLOOKUP("industry|NOx|Minor restricted activity days", US_national_yearly!$D:$AM, 10, FALSE), 1)</f>
        <v>9.2742001085555914E-2</v>
      </c>
      <c r="D14" s="7">
        <f>$B14 * IFERROR(VLOOKUP("industry|NOx|Minor restricted activity days", US_national_yearly!$D:$AM, 12, FALSE) / VLOOKUP("industry|NOx|Minor restricted activity days", US_national_yearly!$D:$AM, 10, FALSE), 1)</f>
        <v>9.2879202242454786E-2</v>
      </c>
      <c r="E14" s="7">
        <f>$B14 * IFERROR(VLOOKUP("industry|NOx|Minor restricted activity days", US_national_yearly!$D:$AM, 13, FALSE) / VLOOKUP("industry|NOx|Minor restricted activity days", US_national_yearly!$D:$AM, 10, FALSE), 1)</f>
        <v>9.3016403399353673E-2</v>
      </c>
      <c r="F14" s="7">
        <f>$B14 * IFERROR(VLOOKUP("industry|NOx|Minor restricted activity days", US_national_yearly!$D:$AM, 14, FALSE) / VLOOKUP("industry|NOx|Minor restricted activity days", US_national_yearly!$D:$AM, 10, FALSE), 1)</f>
        <v>9.3153604556252545E-2</v>
      </c>
      <c r="G14" s="7">
        <f>$B14 * IFERROR(VLOOKUP("industry|NOx|Minor restricted activity days", US_national_yearly!$D:$AM, 15, FALSE) / VLOOKUP("industry|NOx|Minor restricted activity days", US_national_yearly!$D:$AM, 10, FALSE), 1)</f>
        <v>9.3403366431574819E-2</v>
      </c>
      <c r="H14" s="7">
        <f>$B14 * IFERROR(VLOOKUP("industry|NOx|Minor restricted activity days", US_national_yearly!$D:$AM, 16, FALSE) / VLOOKUP("industry|NOx|Minor restricted activity days", US_national_yearly!$D:$AM, 10, FALSE), 1)</f>
        <v>9.3653128306897093E-2</v>
      </c>
      <c r="I14" s="7">
        <f>$B14 * IFERROR(VLOOKUP("industry|NOx|Minor restricted activity days", US_national_yearly!$D:$AM, 17, FALSE) / VLOOKUP("industry|NOx|Minor restricted activity days", US_national_yearly!$D:$AM, 10, FALSE), 1)</f>
        <v>9.4144820111457153E-2</v>
      </c>
      <c r="J14" s="7">
        <f>$B14 * IFERROR(VLOOKUP("industry|NOx|Minor restricted activity days", US_national_yearly!$D:$AM, 18, FALSE) / VLOOKUP("industry|NOx|Minor restricted activity days", US_national_yearly!$D:$AM, 10, FALSE), 1)</f>
        <v>9.4636511916017185E-2</v>
      </c>
      <c r="K14" s="7">
        <f>$B14 * IFERROR(VLOOKUP("industry|NOx|Minor restricted activity days", US_national_yearly!$D:$AM, 19, FALSE) / VLOOKUP("industry|NOx|Minor restricted activity days", US_national_yearly!$D:$AM, 10, FALSE), 1)</f>
        <v>9.5128203720577204E-2</v>
      </c>
      <c r="L14" s="7">
        <f>$B14 * IFERROR(VLOOKUP("industry|NOx|Minor restricted activity days", US_national_yearly!$D:$AM, 20, FALSE) / VLOOKUP("industry|NOx|Minor restricted activity days", US_national_yearly!$D:$AM, 10, FALSE), 1)</f>
        <v>9.561989552513725E-2</v>
      </c>
      <c r="M14" s="7">
        <f>$B14 * IFERROR(VLOOKUP("industry|NOx|Minor restricted activity days", US_national_yearly!$D:$AM, 21, FALSE) / VLOOKUP("industry|NOx|Minor restricted activity days", US_national_yearly!$D:$AM, 10, FALSE), 1)</f>
        <v>9.6111587329697282E-2</v>
      </c>
      <c r="N14" s="7">
        <f>$B14 * IFERROR(VLOOKUP("industry|NOx|Minor restricted activity days", US_national_yearly!$D:$AM, 22, FALSE) / VLOOKUP("industry|NOx|Minor restricted activity days", US_national_yearly!$D:$AM, 10, FALSE), 1)</f>
        <v>9.6819656398876644E-2</v>
      </c>
      <c r="O14" s="7">
        <f>$B14 * IFERROR(VLOOKUP("industry|NOx|Minor restricted activity days", US_national_yearly!$D:$AM, 23, FALSE) / VLOOKUP("industry|NOx|Minor restricted activity days", US_national_yearly!$D:$AM, 10, FALSE), 1)</f>
        <v>9.7527725468056034E-2</v>
      </c>
      <c r="P14" s="7">
        <f>$B14 * IFERROR(VLOOKUP("industry|NOx|Minor restricted activity days", US_national_yearly!$D:$AM, 24, FALSE) / VLOOKUP("industry|NOx|Minor restricted activity days", US_national_yearly!$D:$AM, 10, FALSE), 1)</f>
        <v>9.8235794537235424E-2</v>
      </c>
      <c r="Q14" s="7">
        <f>$B14 * IFERROR(VLOOKUP("industry|NOx|Minor restricted activity days", US_national_yearly!$D:$AM, 25, FALSE) / VLOOKUP("industry|NOx|Minor restricted activity days", US_national_yearly!$D:$AM, 10, FALSE), 1)</f>
        <v>9.8943863606414786E-2</v>
      </c>
      <c r="R14" s="7">
        <f>$B14 * IFERROR(VLOOKUP("industry|NOx|Minor restricted activity days", US_national_yearly!$D:$AM, 26, FALSE) / VLOOKUP("industry|NOx|Minor restricted activity days", US_national_yearly!$D:$AM, 10, FALSE), 1)</f>
        <v>9.9651932675594176E-2</v>
      </c>
      <c r="S14" s="7">
        <f>$B14 * IFERROR(VLOOKUP("industry|NOx|Minor restricted activity days", US_national_yearly!$D:$AM, 27, FALSE) / VLOOKUP("industry|NOx|Minor restricted activity days", US_national_yearly!$D:$AM, 10, FALSE), 1)</f>
        <v>0.10036075982746903</v>
      </c>
      <c r="T14" s="7">
        <f>$B14 * IFERROR(VLOOKUP("industry|NOx|Minor restricted activity days", US_national_yearly!$D:$AM, 28, FALSE) / VLOOKUP("industry|NOx|Minor restricted activity days", US_national_yearly!$D:$AM, 10, FALSE), 1)</f>
        <v>0.10106958697934391</v>
      </c>
      <c r="U14" s="7">
        <f>$B14 * IFERROR(VLOOKUP("industry|NOx|Minor restricted activity days", US_national_yearly!$D:$AM, 29, FALSE) / VLOOKUP("industry|NOx|Minor restricted activity days", US_national_yearly!$D:$AM, 10, FALSE), 1)</f>
        <v>0.1017784141312188</v>
      </c>
      <c r="V14" s="7">
        <f>$B14 * IFERROR(VLOOKUP("industry|NOx|Minor restricted activity days", US_national_yearly!$D:$AM, 30, FALSE) / VLOOKUP("industry|NOx|Minor restricted activity days", US_national_yearly!$D:$AM, 10, FALSE), 1)</f>
        <v>0.10248724128309368</v>
      </c>
      <c r="W14" s="7">
        <f>$B14 * IFERROR(VLOOKUP("industry|NOx|Minor restricted activity days", US_national_yearly!$D:$AM, 31, FALSE) / VLOOKUP("industry|NOx|Minor restricted activity days", US_national_yearly!$D:$AM, 10, FALSE), 1)</f>
        <v>0.10319606843496856</v>
      </c>
      <c r="X14" s="7">
        <f>$B14 * IFERROR(VLOOKUP("industry|NOx|Minor restricted activity days", US_national_yearly!$D:$AM, 32, FALSE) / VLOOKUP("industry|NOx|Minor restricted activity days", US_national_yearly!$D:$AM, 10, FALSE), 1)</f>
        <v>0.10379452085431594</v>
      </c>
      <c r="Y14" s="7">
        <f>$B14 * IFERROR(VLOOKUP("industry|NOx|Minor restricted activity days", US_national_yearly!$D:$AM, 33, FALSE) / VLOOKUP("industry|NOx|Minor restricted activity days", US_national_yearly!$D:$AM, 10, FALSE), 1)</f>
        <v>0.10439297327366329</v>
      </c>
      <c r="Z14" s="7">
        <f>$B14 * IFERROR(VLOOKUP("industry|NOx|Minor restricted activity days", US_national_yearly!$D:$AM, 34, FALSE) / VLOOKUP("industry|NOx|Minor restricted activity days", US_national_yearly!$D:$AM, 10, FALSE), 1)</f>
        <v>0.10499142569301065</v>
      </c>
      <c r="AA14" s="7">
        <f>$B14 * IFERROR(VLOOKUP("industry|NOx|Minor restricted activity days", US_national_yearly!$D:$AM, 35, FALSE) / VLOOKUP("industry|NOx|Minor restricted activity days", US_national_yearly!$D:$AM, 10, FALSE), 1)</f>
        <v>0.10558987811235802</v>
      </c>
      <c r="AB14" s="7">
        <f>$B14 * IFERROR(VLOOKUP("industry|NOx|Minor restricted activity days", US_national_yearly!$D:$AM, 36, FALSE) / VLOOKUP("industry|NOx|Minor restricted activity days", US_national_yearly!$D:$AM, 10, FALSE), 1)</f>
        <v>0.1061883305317054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1.5600925298071007E-2</v>
      </c>
      <c r="C15" s="7">
        <f>$B15 * IFERROR(VLOOKUP("industry|NOx|Work loss days", US_national_yearly!$D:$AM, 11, FALSE) / VLOOKUP("industry|NOx|Work loss days", US_national_yearly!$D:$AM, 10, FALSE), 1)</f>
        <v>1.5634727462227216E-2</v>
      </c>
      <c r="D15" s="7">
        <f>$B15 * IFERROR(VLOOKUP("industry|NOx|Work loss days", US_national_yearly!$D:$AM, 12, FALSE) / VLOOKUP("industry|NOx|Work loss days", US_national_yearly!$D:$AM, 10, FALSE), 1)</f>
        <v>1.5668529626383421E-2</v>
      </c>
      <c r="E15" s="7">
        <f>$B15 * IFERROR(VLOOKUP("industry|NOx|Work loss days", US_national_yearly!$D:$AM, 13, FALSE) / VLOOKUP("industry|NOx|Work loss days", US_national_yearly!$D:$AM, 10, FALSE), 1)</f>
        <v>1.570233179053963E-2</v>
      </c>
      <c r="F15" s="7">
        <f>$B15 * IFERROR(VLOOKUP("industry|NOx|Work loss days", US_national_yearly!$D:$AM, 14, FALSE) / VLOOKUP("industry|NOx|Work loss days", US_national_yearly!$D:$AM, 10, FALSE), 1)</f>
        <v>1.5736133954695836E-2</v>
      </c>
      <c r="G15" s="7">
        <f>$B15 * IFERROR(VLOOKUP("industry|NOx|Work loss days", US_national_yearly!$D:$AM, 15, FALSE) / VLOOKUP("industry|NOx|Work loss days", US_national_yearly!$D:$AM, 10, FALSE), 1)</f>
        <v>1.5785578043027007E-2</v>
      </c>
      <c r="H15" s="7">
        <f>$B15 * IFERROR(VLOOKUP("industry|NOx|Work loss days", US_national_yearly!$D:$AM, 16, FALSE) / VLOOKUP("industry|NOx|Work loss days", US_national_yearly!$D:$AM, 10, FALSE), 1)</f>
        <v>1.5835022131358178E-2</v>
      </c>
      <c r="I15" s="7">
        <f>$B15 * IFERROR(VLOOKUP("industry|NOx|Work loss days", US_national_yearly!$D:$AM, 17, FALSE) / VLOOKUP("industry|NOx|Work loss days", US_national_yearly!$D:$AM, 10, FALSE), 1)</f>
        <v>1.5915356238120119E-2</v>
      </c>
      <c r="J15" s="7">
        <f>$B15 * IFERROR(VLOOKUP("industry|NOx|Work loss days", US_national_yearly!$D:$AM, 18, FALSE) / VLOOKUP("industry|NOx|Work loss days", US_national_yearly!$D:$AM, 10, FALSE), 1)</f>
        <v>1.599569034488206E-2</v>
      </c>
      <c r="K15" s="7">
        <f>$B15 * IFERROR(VLOOKUP("industry|NOx|Work loss days", US_national_yearly!$D:$AM, 19, FALSE) / VLOOKUP("industry|NOx|Work loss days", US_national_yearly!$D:$AM, 10, FALSE), 1)</f>
        <v>1.6076024451644005E-2</v>
      </c>
      <c r="L15" s="7">
        <f>$B15 * IFERROR(VLOOKUP("industry|NOx|Work loss days", US_national_yearly!$D:$AM, 20, FALSE) / VLOOKUP("industry|NOx|Work loss days", US_national_yearly!$D:$AM, 10, FALSE), 1)</f>
        <v>1.6156358558405942E-2</v>
      </c>
      <c r="M15" s="7">
        <f>$B15 * IFERROR(VLOOKUP("industry|NOx|Work loss days", US_national_yearly!$D:$AM, 21, FALSE) / VLOOKUP("industry|NOx|Work loss days", US_national_yearly!$D:$AM, 10, FALSE), 1)</f>
        <v>1.6236692665167887E-2</v>
      </c>
      <c r="N15" s="7">
        <f>$B15 * IFERROR(VLOOKUP("industry|NOx|Work loss days", US_national_yearly!$D:$AM, 22, FALSE) / VLOOKUP("industry|NOx|Work loss days", US_national_yearly!$D:$AM, 10, FALSE), 1)</f>
        <v>1.6341751458904291E-2</v>
      </c>
      <c r="O15" s="7">
        <f>$B15 * IFERROR(VLOOKUP("industry|NOx|Work loss days", US_national_yearly!$D:$AM, 23, FALSE) / VLOOKUP("industry|NOx|Work loss days", US_national_yearly!$D:$AM, 10, FALSE), 1)</f>
        <v>1.6446810252640699E-2</v>
      </c>
      <c r="P15" s="7">
        <f>$B15 * IFERROR(VLOOKUP("industry|NOx|Work loss days", US_national_yearly!$D:$AM, 24, FALSE) / VLOOKUP("industry|NOx|Work loss days", US_national_yearly!$D:$AM, 10, FALSE), 1)</f>
        <v>1.6551869046377104E-2</v>
      </c>
      <c r="Q15" s="7">
        <f>$B15 * IFERROR(VLOOKUP("industry|NOx|Work loss days", US_national_yearly!$D:$AM, 25, FALSE) / VLOOKUP("industry|NOx|Work loss days", US_national_yearly!$D:$AM, 10, FALSE), 1)</f>
        <v>1.6656927840113508E-2</v>
      </c>
      <c r="R15" s="7">
        <f>$B15 * IFERROR(VLOOKUP("industry|NOx|Work loss days", US_national_yearly!$D:$AM, 26, FALSE) / VLOOKUP("industry|NOx|Work loss days", US_national_yearly!$D:$AM, 10, FALSE), 1)</f>
        <v>1.676198663384992E-2</v>
      </c>
      <c r="S15" s="7">
        <f>$B15 * IFERROR(VLOOKUP("industry|NOx|Work loss days", US_national_yearly!$D:$AM, 27, FALSE) / VLOOKUP("industry|NOx|Work loss days", US_national_yearly!$D:$AM, 10, FALSE), 1)</f>
        <v>1.6879436001635648E-2</v>
      </c>
      <c r="T15" s="7">
        <f>$B15 * IFERROR(VLOOKUP("industry|NOx|Work loss days", US_national_yearly!$D:$AM, 28, FALSE) / VLOOKUP("industry|NOx|Work loss days", US_national_yearly!$D:$AM, 10, FALSE), 1)</f>
        <v>1.6996885369421382E-2</v>
      </c>
      <c r="U15" s="7">
        <f>$B15 * IFERROR(VLOOKUP("industry|NOx|Work loss days", US_national_yearly!$D:$AM, 29, FALSE) / VLOOKUP("industry|NOx|Work loss days", US_national_yearly!$D:$AM, 10, FALSE), 1)</f>
        <v>1.7114334737207117E-2</v>
      </c>
      <c r="V15" s="7">
        <f>$B15 * IFERROR(VLOOKUP("industry|NOx|Work loss days", US_national_yearly!$D:$AM, 30, FALSE) / VLOOKUP("industry|NOx|Work loss days", US_national_yearly!$D:$AM, 10, FALSE), 1)</f>
        <v>1.7231784104992848E-2</v>
      </c>
      <c r="W15" s="7">
        <f>$B15 * IFERROR(VLOOKUP("industry|NOx|Work loss days", US_national_yearly!$D:$AM, 31, FALSE) / VLOOKUP("industry|NOx|Work loss days", US_national_yearly!$D:$AM, 10, FALSE), 1)</f>
        <v>1.7349233472778582E-2</v>
      </c>
      <c r="X15" s="7">
        <f>$B15 * IFERROR(VLOOKUP("industry|NOx|Work loss days", US_national_yearly!$D:$AM, 32, FALSE) / VLOOKUP("industry|NOx|Work loss days", US_national_yearly!$D:$AM, 10, FALSE), 1)</f>
        <v>1.7451124895378988E-2</v>
      </c>
      <c r="Y15" s="7">
        <f>$B15 * IFERROR(VLOOKUP("industry|NOx|Work loss days", US_national_yearly!$D:$AM, 33, FALSE) / VLOOKUP("industry|NOx|Work loss days", US_national_yearly!$D:$AM, 10, FALSE), 1)</f>
        <v>1.7553016317979394E-2</v>
      </c>
      <c r="Z15" s="7">
        <f>$B15 * IFERROR(VLOOKUP("industry|NOx|Work loss days", US_national_yearly!$D:$AM, 34, FALSE) / VLOOKUP("industry|NOx|Work loss days", US_national_yearly!$D:$AM, 10, FALSE), 1)</f>
        <v>1.7654907740579803E-2</v>
      </c>
      <c r="AA15" s="7">
        <f>$B15 * IFERROR(VLOOKUP("industry|NOx|Work loss days", US_national_yearly!$D:$AM, 35, FALSE) / VLOOKUP("industry|NOx|Work loss days", US_national_yearly!$D:$AM, 10, FALSE), 1)</f>
        <v>1.7756799163180209E-2</v>
      </c>
      <c r="AB15" s="7">
        <f>$B15 * IFERROR(VLOOKUP("industry|NOx|Work loss days", US_national_yearly!$D:$AM, 36, FALSE) / VLOOKUP("industry|NOx|Work loss days", US_national_yearly!$D:$AM, 10, FALSE), 1)</f>
        <v>1.7858690585780615E-2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2.6239565559848693E-5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2.7010029294594654E-5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2.7780493029340618E-5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2.855095676408658E-5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2.9321420498832551E-5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3.0053687838443621E-5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3.0785955178054697E-5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3.1403309530088867E-5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3.2020663882123037E-5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3.2638018234157201E-5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3.3255372586191364E-5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3.3872726938225527E-5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3.4259216167167599E-5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3.4645705396109658E-5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3.5032194625051717E-5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3.5418683853993783E-5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3.5805173082935842E-5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3.5983468165554132E-5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3.6161763248172429E-5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3.6340058330790719E-5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3.6518353413409016E-5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3.6696648496027307E-5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3.6797383971648341E-5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3.6898119447269375E-5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3.6998854922890409E-5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3.7099590398511437E-5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3.7200325874132478E-5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1.6138633411757534E-2</v>
      </c>
      <c r="C2" s="7">
        <f>$B2 * IFERROR(VLOOKUP("industry|SO2|Premature mortality", US_national_yearly!$D:$AM, 11, FALSE) / VLOOKUP("industry|SO2|Premature mortality", US_national_yearly!$D:$AM, 10, FALSE), 1)</f>
        <v>1.6343221297165079E-2</v>
      </c>
      <c r="D2" s="7">
        <f>$B2 * IFERROR(VLOOKUP("industry|SO2|Premature mortality", US_national_yearly!$D:$AM, 12, FALSE) / VLOOKUP("industry|SO2|Premature mortality", US_national_yearly!$D:$AM, 10, FALSE), 1)</f>
        <v>1.654780918257262E-2</v>
      </c>
      <c r="E2" s="7">
        <f>$B2 * IFERROR(VLOOKUP("industry|SO2|Premature mortality", US_national_yearly!$D:$AM, 13, FALSE) / VLOOKUP("industry|SO2|Premature mortality", US_national_yearly!$D:$AM, 10, FALSE), 1)</f>
        <v>1.6752397067980162E-2</v>
      </c>
      <c r="F2" s="7">
        <f>$B2 * IFERROR(VLOOKUP("industry|SO2|Premature mortality", US_national_yearly!$D:$AM, 14, FALSE) / VLOOKUP("industry|SO2|Premature mortality", US_national_yearly!$D:$AM, 10, FALSE), 1)</f>
        <v>1.695698495338771E-2</v>
      </c>
      <c r="G2" s="7">
        <f>$B2 * IFERROR(VLOOKUP("industry|SO2|Premature mortality", US_national_yearly!$D:$AM, 15, FALSE) / VLOOKUP("industry|SO2|Premature mortality", US_national_yearly!$D:$AM, 10, FALSE), 1)</f>
        <v>1.7351320658695258E-2</v>
      </c>
      <c r="H2" s="7">
        <f>$B2 * IFERROR(VLOOKUP("industry|SO2|Premature mortality", US_national_yearly!$D:$AM, 16, FALSE) / VLOOKUP("industry|SO2|Premature mortality", US_national_yearly!$D:$AM, 10, FALSE), 1)</f>
        <v>1.7745656364002809E-2</v>
      </c>
      <c r="I2" s="7">
        <f>$B2 * IFERROR(VLOOKUP("industry|SO2|Premature mortality", US_national_yearly!$D:$AM, 17, FALSE) / VLOOKUP("industry|SO2|Premature mortality", US_national_yearly!$D:$AM, 10, FALSE), 1)</f>
        <v>1.8006773926263781E-2</v>
      </c>
      <c r="J2" s="7">
        <f>$B2 * IFERROR(VLOOKUP("industry|SO2|Premature mortality", US_national_yearly!$D:$AM, 18, FALSE) / VLOOKUP("industry|SO2|Premature mortality", US_national_yearly!$D:$AM, 10, FALSE), 1)</f>
        <v>1.826789148852475E-2</v>
      </c>
      <c r="K2" s="7">
        <f>$B2 * IFERROR(VLOOKUP("industry|SO2|Premature mortality", US_national_yearly!$D:$AM, 19, FALSE) / VLOOKUP("industry|SO2|Premature mortality", US_national_yearly!$D:$AM, 10, FALSE), 1)</f>
        <v>1.8529009050785718E-2</v>
      </c>
      <c r="L2" s="7">
        <f>$B2 * IFERROR(VLOOKUP("industry|SO2|Premature mortality", US_national_yearly!$D:$AM, 20, FALSE) / VLOOKUP("industry|SO2|Premature mortality", US_national_yearly!$D:$AM, 10, FALSE), 1)</f>
        <v>1.8790126613046694E-2</v>
      </c>
      <c r="M2" s="7">
        <f>$B2 * IFERROR(VLOOKUP("industry|SO2|Premature mortality", US_national_yearly!$D:$AM, 21, FALSE) / VLOOKUP("industry|SO2|Premature mortality", US_national_yearly!$D:$AM, 10, FALSE), 1)</f>
        <v>1.9051244175307663E-2</v>
      </c>
      <c r="N2" s="7">
        <f>$B2 * IFERROR(VLOOKUP("industry|SO2|Premature mortality", US_national_yearly!$D:$AM, 22, FALSE) / VLOOKUP("industry|SO2|Premature mortality", US_national_yearly!$D:$AM, 10, FALSE), 1)</f>
        <v>1.9255500192662825E-2</v>
      </c>
      <c r="O2" s="7">
        <f>$B2 * IFERROR(VLOOKUP("industry|SO2|Premature mortality", US_national_yearly!$D:$AM, 23, FALSE) / VLOOKUP("industry|SO2|Premature mortality", US_national_yearly!$D:$AM, 10, FALSE), 1)</f>
        <v>1.9459756210017987E-2</v>
      </c>
      <c r="P2" s="7">
        <f>$B2 * IFERROR(VLOOKUP("industry|SO2|Premature mortality", US_national_yearly!$D:$AM, 24, FALSE) / VLOOKUP("industry|SO2|Premature mortality", US_national_yearly!$D:$AM, 10, FALSE), 1)</f>
        <v>1.966401222737315E-2</v>
      </c>
      <c r="Q2" s="7">
        <f>$B2 * IFERROR(VLOOKUP("industry|SO2|Premature mortality", US_national_yearly!$D:$AM, 25, FALSE) / VLOOKUP("industry|SO2|Premature mortality", US_national_yearly!$D:$AM, 10, FALSE), 1)</f>
        <v>1.9868268244728315E-2</v>
      </c>
      <c r="R2" s="7">
        <f>$B2 * IFERROR(VLOOKUP("industry|SO2|Premature mortality", US_national_yearly!$D:$AM, 26, FALSE) / VLOOKUP("industry|SO2|Premature mortality", US_national_yearly!$D:$AM, 10, FALSE), 1)</f>
        <v>2.0072524262083478E-2</v>
      </c>
      <c r="S2" s="7">
        <f>$B2 * IFERROR(VLOOKUP("industry|SO2|Premature mortality", US_national_yearly!$D:$AM, 27, FALSE) / VLOOKUP("industry|SO2|Premature mortality", US_national_yearly!$D:$AM, 10, FALSE), 1)</f>
        <v>2.0182811258851616E-2</v>
      </c>
      <c r="T2" s="7">
        <f>$B2 * IFERROR(VLOOKUP("industry|SO2|Premature mortality", US_national_yearly!$D:$AM, 28, FALSE) / VLOOKUP("industry|SO2|Premature mortality", US_national_yearly!$D:$AM, 10, FALSE), 1)</f>
        <v>2.0293098255619757E-2</v>
      </c>
      <c r="U2" s="7">
        <f>$B2 * IFERROR(VLOOKUP("industry|SO2|Premature mortality", US_national_yearly!$D:$AM, 29, FALSE) / VLOOKUP("industry|SO2|Premature mortality", US_national_yearly!$D:$AM, 10, FALSE), 1)</f>
        <v>2.0403385252387902E-2</v>
      </c>
      <c r="V2" s="7">
        <f>$B2 * IFERROR(VLOOKUP("industry|SO2|Premature mortality", US_national_yearly!$D:$AM, 30, FALSE) / VLOOKUP("industry|SO2|Premature mortality", US_national_yearly!$D:$AM, 10, FALSE), 1)</f>
        <v>2.0513672249156043E-2</v>
      </c>
      <c r="W2" s="7">
        <f>$B2 * IFERROR(VLOOKUP("industry|SO2|Premature mortality", US_national_yearly!$D:$AM, 31, FALSE) / VLOOKUP("industry|SO2|Premature mortality", US_national_yearly!$D:$AM, 10, FALSE), 1)</f>
        <v>2.0623959245924185E-2</v>
      </c>
      <c r="X2" s="7">
        <f>$B2 * IFERROR(VLOOKUP("industry|SO2|Premature mortality", US_national_yearly!$D:$AM, 32, FALSE) / VLOOKUP("industry|SO2|Premature mortality", US_national_yearly!$D:$AM, 10, FALSE), 1)</f>
        <v>2.0647696372915858E-2</v>
      </c>
      <c r="Y2" s="7">
        <f>$B2 * IFERROR(VLOOKUP("industry|SO2|Premature mortality", US_national_yearly!$D:$AM, 33, FALSE) / VLOOKUP("industry|SO2|Premature mortality", US_national_yearly!$D:$AM, 10, FALSE), 1)</f>
        <v>2.0671433499907528E-2</v>
      </c>
      <c r="Z2" s="7">
        <f>$B2 * IFERROR(VLOOKUP("industry|SO2|Premature mortality", US_national_yearly!$D:$AM, 34, FALSE) / VLOOKUP("industry|SO2|Premature mortality", US_national_yearly!$D:$AM, 10, FALSE), 1)</f>
        <v>2.0695170626899205E-2</v>
      </c>
      <c r="AA2" s="7">
        <f>$B2 * IFERROR(VLOOKUP("industry|SO2|Premature mortality", US_national_yearly!$D:$AM, 35, FALSE) / VLOOKUP("industry|SO2|Premature mortality", US_national_yearly!$D:$AM, 10, FALSE), 1)</f>
        <v>2.0718907753890875E-2</v>
      </c>
      <c r="AB2" s="7">
        <f>$B2 * IFERROR(VLOOKUP("industry|SO2|Premature mortality", US_national_yearly!$D:$AM, 36, FALSE) / VLOOKUP("industry|SO2|Premature mortality", US_national_yearly!$D:$AM, 10, FALSE), 1)</f>
        <v>2.0742644880882549E-2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2.7957689174293737E-5</v>
      </c>
      <c r="C3" s="7">
        <f>$B3 * IFERROR(VLOOKUP("industry|SO2|Infant mortality", US_national_yearly!$D:$AM, 11, FALSE) / VLOOKUP("industry|SO2|Infant mortality", US_national_yearly!$D:$AM, 10, FALSE), 1)</f>
        <v>2.7717167018320892E-5</v>
      </c>
      <c r="D3" s="7">
        <f>$B3 * IFERROR(VLOOKUP("industry|SO2|Infant mortality", US_national_yearly!$D:$AM, 12, FALSE) / VLOOKUP("industry|SO2|Infant mortality", US_national_yearly!$D:$AM, 10, FALSE), 1)</f>
        <v>2.7476644862348049E-5</v>
      </c>
      <c r="E3" s="7">
        <f>$B3 * IFERROR(VLOOKUP("industry|SO2|Infant mortality", US_national_yearly!$D:$AM, 13, FALSE) / VLOOKUP("industry|SO2|Infant mortality", US_national_yearly!$D:$AM, 10, FALSE), 1)</f>
        <v>2.7236122706375203E-5</v>
      </c>
      <c r="F3" s="7">
        <f>$B3 * IFERROR(VLOOKUP("industry|SO2|Infant mortality", US_national_yearly!$D:$AM, 14, FALSE) / VLOOKUP("industry|SO2|Infant mortality", US_national_yearly!$D:$AM, 10, FALSE), 1)</f>
        <v>2.6995600550402361E-5</v>
      </c>
      <c r="G3" s="7">
        <f>$B3 * IFERROR(VLOOKUP("industry|SO2|Infant mortality", US_national_yearly!$D:$AM, 15, FALSE) / VLOOKUP("industry|SO2|Infant mortality", US_national_yearly!$D:$AM, 10, FALSE), 1)</f>
        <v>1.7970926642894702E-5</v>
      </c>
      <c r="H3" s="7">
        <f>$B3 * IFERROR(VLOOKUP("industry|SO2|Infant mortality", US_national_yearly!$D:$AM, 16, FALSE) / VLOOKUP("industry|SO2|Infant mortality", US_national_yearly!$D:$AM, 10, FALSE), 1)</f>
        <v>8.9462527353870487E-6</v>
      </c>
      <c r="I3" s="7">
        <f>$B3 * IFERROR(VLOOKUP("industry|SO2|Infant mortality", US_national_yearly!$D:$AM, 17, FALSE) / VLOOKUP("industry|SO2|Infant mortality", US_national_yearly!$D:$AM, 10, FALSE), 1)</f>
        <v>8.889444793549788E-6</v>
      </c>
      <c r="J3" s="7">
        <f>$B3 * IFERROR(VLOOKUP("industry|SO2|Infant mortality", US_national_yearly!$D:$AM, 18, FALSE) / VLOOKUP("industry|SO2|Infant mortality", US_national_yearly!$D:$AM, 10, FALSE), 1)</f>
        <v>8.8326368517125274E-6</v>
      </c>
      <c r="K3" s="7">
        <f>$B3 * IFERROR(VLOOKUP("industry|SO2|Infant mortality", US_national_yearly!$D:$AM, 19, FALSE) / VLOOKUP("industry|SO2|Infant mortality", US_national_yearly!$D:$AM, 10, FALSE), 1)</f>
        <v>8.7758289098752667E-6</v>
      </c>
      <c r="L3" s="7">
        <f>$B3 * IFERROR(VLOOKUP("industry|SO2|Infant mortality", US_national_yearly!$D:$AM, 20, FALSE) / VLOOKUP("industry|SO2|Infant mortality", US_national_yearly!$D:$AM, 10, FALSE), 1)</f>
        <v>8.7190209680380061E-6</v>
      </c>
      <c r="M3" s="7">
        <f>$B3 * IFERROR(VLOOKUP("industry|SO2|Infant mortality", US_national_yearly!$D:$AM, 21, FALSE) / VLOOKUP("industry|SO2|Infant mortality", US_national_yearly!$D:$AM, 10, FALSE), 1)</f>
        <v>8.6622130262007454E-6</v>
      </c>
      <c r="N3" s="7">
        <f>$B3 * IFERROR(VLOOKUP("industry|SO2|Infant mortality", US_national_yearly!$D:$AM, 22, FALSE) / VLOOKUP("industry|SO2|Infant mortality", US_national_yearly!$D:$AM, 10, FALSE), 1)</f>
        <v>8.6262078857835506E-6</v>
      </c>
      <c r="O3" s="7">
        <f>$B3 * IFERROR(VLOOKUP("industry|SO2|Infant mortality", US_national_yearly!$D:$AM, 23, FALSE) / VLOOKUP("industry|SO2|Infant mortality", US_national_yearly!$D:$AM, 10, FALSE), 1)</f>
        <v>8.5902027453663575E-6</v>
      </c>
      <c r="P3" s="7">
        <f>$B3 * IFERROR(VLOOKUP("industry|SO2|Infant mortality", US_national_yearly!$D:$AM, 24, FALSE) / VLOOKUP("industry|SO2|Infant mortality", US_national_yearly!$D:$AM, 10, FALSE), 1)</f>
        <v>8.5541976049491626E-6</v>
      </c>
      <c r="Q3" s="7">
        <f>$B3 * IFERROR(VLOOKUP("industry|SO2|Infant mortality", US_national_yearly!$D:$AM, 25, FALSE) / VLOOKUP("industry|SO2|Infant mortality", US_national_yearly!$D:$AM, 10, FALSE), 1)</f>
        <v>8.5181924645319678E-6</v>
      </c>
      <c r="R3" s="7">
        <f>$B3 * IFERROR(VLOOKUP("industry|SO2|Infant mortality", US_national_yearly!$D:$AM, 26, FALSE) / VLOOKUP("industry|SO2|Infant mortality", US_national_yearly!$D:$AM, 10, FALSE), 1)</f>
        <v>8.4821873241147747E-6</v>
      </c>
      <c r="S3" s="7">
        <f>$B3 * IFERROR(VLOOKUP("industry|SO2|Infant mortality", US_national_yearly!$D:$AM, 27, FALSE) / VLOOKUP("industry|SO2|Infant mortality", US_national_yearly!$D:$AM, 10, FALSE), 1)</f>
        <v>8.4373793376008452E-6</v>
      </c>
      <c r="T3" s="7">
        <f>$B3 * IFERROR(VLOOKUP("industry|SO2|Infant mortality", US_national_yearly!$D:$AM, 28, FALSE) / VLOOKUP("industry|SO2|Infant mortality", US_national_yearly!$D:$AM, 10, FALSE), 1)</f>
        <v>8.3925713510869173E-6</v>
      </c>
      <c r="U3" s="7">
        <f>$B3 * IFERROR(VLOOKUP("industry|SO2|Infant mortality", US_national_yearly!$D:$AM, 29, FALSE) / VLOOKUP("industry|SO2|Infant mortality", US_national_yearly!$D:$AM, 10, FALSE), 1)</f>
        <v>8.3477633645729877E-6</v>
      </c>
      <c r="V3" s="7">
        <f>$B3 * IFERROR(VLOOKUP("industry|SO2|Infant mortality", US_national_yearly!$D:$AM, 30, FALSE) / VLOOKUP("industry|SO2|Infant mortality", US_national_yearly!$D:$AM, 10, FALSE), 1)</f>
        <v>8.3029553780590599E-6</v>
      </c>
      <c r="W3" s="7">
        <f>$B3 * IFERROR(VLOOKUP("industry|SO2|Infant mortality", US_national_yearly!$D:$AM, 31, FALSE) / VLOOKUP("industry|SO2|Infant mortality", US_national_yearly!$D:$AM, 10, FALSE), 1)</f>
        <v>8.2581473915451303E-6</v>
      </c>
      <c r="X3" s="7">
        <f>$B3 * IFERROR(VLOOKUP("industry|SO2|Infant mortality", US_national_yearly!$D:$AM, 32, FALSE) / VLOOKUP("industry|SO2|Infant mortality", US_national_yearly!$D:$AM, 10, FALSE), 1)</f>
        <v>8.2094544818527617E-6</v>
      </c>
      <c r="Y3" s="7">
        <f>$B3 * IFERROR(VLOOKUP("industry|SO2|Infant mortality", US_national_yearly!$D:$AM, 33, FALSE) / VLOOKUP("industry|SO2|Infant mortality", US_national_yearly!$D:$AM, 10, FALSE), 1)</f>
        <v>8.1607615721603931E-6</v>
      </c>
      <c r="Z3" s="7">
        <f>$B3 * IFERROR(VLOOKUP("industry|SO2|Infant mortality", US_national_yearly!$D:$AM, 34, FALSE) / VLOOKUP("industry|SO2|Infant mortality", US_national_yearly!$D:$AM, 10, FALSE), 1)</f>
        <v>8.1120686624680245E-6</v>
      </c>
      <c r="AA3" s="7">
        <f>$B3 * IFERROR(VLOOKUP("industry|SO2|Infant mortality", US_national_yearly!$D:$AM, 35, FALSE) / VLOOKUP("industry|SO2|Infant mortality", US_national_yearly!$D:$AM, 10, FALSE), 1)</f>
        <v>8.0633757527756542E-6</v>
      </c>
      <c r="AB3" s="7">
        <f>$B3 * IFERROR(VLOOKUP("industry|SO2|Infant mortality", US_national_yearly!$D:$AM, 36, FALSE) / VLOOKUP("industry|SO2|Infant mortality", US_national_yearly!$D:$AM, 10, FALSE), 1)</f>
        <v>8.0146828430832856E-6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3.851825604616279E-2</v>
      </c>
      <c r="C6" s="7">
        <f>$B6 * IFERROR(VLOOKUP("industry|SO2|Asthma symptoms cough", US_national_yearly!$D:$AM, 11, FALSE) / VLOOKUP("industry|SO2|Asthma symptoms cough", US_national_yearly!$D:$AM, 10, FALSE), 1)</f>
        <v>3.851825604616279E-2</v>
      </c>
      <c r="D6" s="7">
        <f>$B6 * IFERROR(VLOOKUP("industry|SO2|Asthma symptoms cough", US_national_yearly!$D:$AM, 12, FALSE) / VLOOKUP("industry|SO2|Asthma symptoms cough", US_national_yearly!$D:$AM, 10, FALSE), 1)</f>
        <v>3.851825604616279E-2</v>
      </c>
      <c r="E6" s="7">
        <f>$B6 * IFERROR(VLOOKUP("industry|SO2|Asthma symptoms cough", US_national_yearly!$D:$AM, 13, FALSE) / VLOOKUP("industry|SO2|Asthma symptoms cough", US_national_yearly!$D:$AM, 10, FALSE), 1)</f>
        <v>3.851825604616279E-2</v>
      </c>
      <c r="F6" s="7">
        <f>$B6 * IFERROR(VLOOKUP("industry|SO2|Asthma symptoms cough", US_national_yearly!$D:$AM, 14, FALSE) / VLOOKUP("industry|SO2|Asthma symptoms cough", US_national_yearly!$D:$AM, 10, FALSE), 1)</f>
        <v>3.851825604616279E-2</v>
      </c>
      <c r="G6" s="7">
        <f>$B6 * IFERROR(VLOOKUP("industry|SO2|Asthma symptoms cough", US_national_yearly!$D:$AM, 15, FALSE) / VLOOKUP("industry|SO2|Asthma symptoms cough", US_national_yearly!$D:$AM, 10, FALSE), 1)</f>
        <v>3.851825604616279E-2</v>
      </c>
      <c r="H6" s="7">
        <f>$B6 * IFERROR(VLOOKUP("industry|SO2|Asthma symptoms cough", US_national_yearly!$D:$AM, 16, FALSE) / VLOOKUP("industry|SO2|Asthma symptoms cough", US_national_yearly!$D:$AM, 10, FALSE), 1)</f>
        <v>3.851825604616279E-2</v>
      </c>
      <c r="I6" s="7">
        <f>$B6 * IFERROR(VLOOKUP("industry|SO2|Asthma symptoms cough", US_national_yearly!$D:$AM, 17, FALSE) / VLOOKUP("industry|SO2|Asthma symptoms cough", US_national_yearly!$D:$AM, 10, FALSE), 1)</f>
        <v>3.851825604616279E-2</v>
      </c>
      <c r="J6" s="7">
        <f>$B6 * IFERROR(VLOOKUP("industry|SO2|Asthma symptoms cough", US_national_yearly!$D:$AM, 18, FALSE) / VLOOKUP("industry|SO2|Asthma symptoms cough", US_national_yearly!$D:$AM, 10, FALSE), 1)</f>
        <v>3.851825604616279E-2</v>
      </c>
      <c r="K6" s="7">
        <f>$B6 * IFERROR(VLOOKUP("industry|SO2|Asthma symptoms cough", US_national_yearly!$D:$AM, 19, FALSE) / VLOOKUP("industry|SO2|Asthma symptoms cough", US_national_yearly!$D:$AM, 10, FALSE), 1)</f>
        <v>3.851825604616279E-2</v>
      </c>
      <c r="L6" s="7">
        <f>$B6 * IFERROR(VLOOKUP("industry|SO2|Asthma symptoms cough", US_national_yearly!$D:$AM, 20, FALSE) / VLOOKUP("industry|SO2|Asthma symptoms cough", US_national_yearly!$D:$AM, 10, FALSE), 1)</f>
        <v>3.851825604616279E-2</v>
      </c>
      <c r="M6" s="7">
        <f>$B6 * IFERROR(VLOOKUP("industry|SO2|Asthma symptoms cough", US_national_yearly!$D:$AM, 21, FALSE) / VLOOKUP("industry|SO2|Asthma symptoms cough", US_national_yearly!$D:$AM, 10, FALSE), 1)</f>
        <v>3.851825604616279E-2</v>
      </c>
      <c r="N6" s="7">
        <f>$B6 * IFERROR(VLOOKUP("industry|SO2|Asthma symptoms cough", US_national_yearly!$D:$AM, 22, FALSE) / VLOOKUP("industry|SO2|Asthma symptoms cough", US_national_yearly!$D:$AM, 10, FALSE), 1)</f>
        <v>3.851825604616279E-2</v>
      </c>
      <c r="O6" s="7">
        <f>$B6 * IFERROR(VLOOKUP("industry|SO2|Asthma symptoms cough", US_national_yearly!$D:$AM, 23, FALSE) / VLOOKUP("industry|SO2|Asthma symptoms cough", US_national_yearly!$D:$AM, 10, FALSE), 1)</f>
        <v>3.851825604616279E-2</v>
      </c>
      <c r="P6" s="7">
        <f>$B6 * IFERROR(VLOOKUP("industry|SO2|Asthma symptoms cough", US_national_yearly!$D:$AM, 24, FALSE) / VLOOKUP("industry|SO2|Asthma symptoms cough", US_national_yearly!$D:$AM, 10, FALSE), 1)</f>
        <v>3.851825604616279E-2</v>
      </c>
      <c r="Q6" s="7">
        <f>$B6 * IFERROR(VLOOKUP("industry|SO2|Asthma symptoms cough", US_national_yearly!$D:$AM, 25, FALSE) / VLOOKUP("industry|SO2|Asthma symptoms cough", US_national_yearly!$D:$AM, 10, FALSE), 1)</f>
        <v>3.851825604616279E-2</v>
      </c>
      <c r="R6" s="7">
        <f>$B6 * IFERROR(VLOOKUP("industry|SO2|Asthma symptoms cough", US_national_yearly!$D:$AM, 26, FALSE) / VLOOKUP("industry|SO2|Asthma symptoms cough", US_national_yearly!$D:$AM, 10, FALSE), 1)</f>
        <v>3.851825604616279E-2</v>
      </c>
      <c r="S6" s="7">
        <f>$B6 * IFERROR(VLOOKUP("industry|SO2|Asthma symptoms cough", US_national_yearly!$D:$AM, 27, FALSE) / VLOOKUP("industry|SO2|Asthma symptoms cough", US_national_yearly!$D:$AM, 10, FALSE), 1)</f>
        <v>3.851825604616279E-2</v>
      </c>
      <c r="T6" s="7">
        <f>$B6 * IFERROR(VLOOKUP("industry|SO2|Asthma symptoms cough", US_national_yearly!$D:$AM, 28, FALSE) / VLOOKUP("industry|SO2|Asthma symptoms cough", US_national_yearly!$D:$AM, 10, FALSE), 1)</f>
        <v>3.851825604616279E-2</v>
      </c>
      <c r="U6" s="7">
        <f>$B6 * IFERROR(VLOOKUP("industry|SO2|Asthma symptoms cough", US_national_yearly!$D:$AM, 29, FALSE) / VLOOKUP("industry|SO2|Asthma symptoms cough", US_national_yearly!$D:$AM, 10, FALSE), 1)</f>
        <v>3.851825604616279E-2</v>
      </c>
      <c r="V6" s="7">
        <f>$B6 * IFERROR(VLOOKUP("industry|SO2|Asthma symptoms cough", US_national_yearly!$D:$AM, 30, FALSE) / VLOOKUP("industry|SO2|Asthma symptoms cough", US_national_yearly!$D:$AM, 10, FALSE), 1)</f>
        <v>3.851825604616279E-2</v>
      </c>
      <c r="W6" s="7">
        <f>$B6 * IFERROR(VLOOKUP("industry|SO2|Asthma symptoms cough", US_national_yearly!$D:$AM, 31, FALSE) / VLOOKUP("industry|SO2|Asthma symptoms cough", US_national_yearly!$D:$AM, 10, FALSE), 1)</f>
        <v>3.851825604616279E-2</v>
      </c>
      <c r="X6" s="7">
        <f>$B6 * IFERROR(VLOOKUP("industry|SO2|Asthma symptoms cough", US_national_yearly!$D:$AM, 32, FALSE) / VLOOKUP("industry|SO2|Asthma symptoms cough", US_national_yearly!$D:$AM, 10, FALSE), 1)</f>
        <v>3.851825604616279E-2</v>
      </c>
      <c r="Y6" s="7">
        <f>$B6 * IFERROR(VLOOKUP("industry|SO2|Asthma symptoms cough", US_national_yearly!$D:$AM, 33, FALSE) / VLOOKUP("industry|SO2|Asthma symptoms cough", US_national_yearly!$D:$AM, 10, FALSE), 1)</f>
        <v>3.851825604616279E-2</v>
      </c>
      <c r="Z6" s="7">
        <f>$B6 * IFERROR(VLOOKUP("industry|SO2|Asthma symptoms cough", US_national_yearly!$D:$AM, 34, FALSE) / VLOOKUP("industry|SO2|Asthma symptoms cough", US_national_yearly!$D:$AM, 10, FALSE), 1)</f>
        <v>3.851825604616279E-2</v>
      </c>
      <c r="AA6" s="7">
        <f>$B6 * IFERROR(VLOOKUP("industry|SO2|Asthma symptoms cough", US_national_yearly!$D:$AM, 35, FALSE) / VLOOKUP("industry|SO2|Asthma symptoms cough", US_national_yearly!$D:$AM, 10, FALSE), 1)</f>
        <v>3.851825604616279E-2</v>
      </c>
      <c r="AB6" s="7">
        <f>$B6 * IFERROR(VLOOKUP("industry|SO2|Asthma symptoms cough", US_national_yearly!$D:$AM, 36, FALSE) / VLOOKUP("industry|SO2|Asthma symptoms cough", US_national_yearly!$D:$AM, 10, FALSE), 1)</f>
        <v>3.851825604616279E-2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5.1870299313521724E-2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5.1870299313521724E-2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5.1870299313521724E-2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5.1870299313521724E-2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5.1870299313521724E-2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5.1870299313521724E-2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5.1870299313521724E-2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5.1870299313521724E-2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5.1870299313521724E-2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5.1870299313521724E-2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5.1870299313521724E-2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5.1870299313521724E-2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5.1870299313521724E-2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5.1870299313521724E-2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5.1870299313521724E-2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5.1870299313521724E-2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5.1870299313521724E-2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5.1870299313521724E-2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5.1870299313521724E-2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5.1870299313521724E-2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5.1870299313521724E-2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5.1870299313521724E-2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5.1870299313521724E-2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5.1870299313521724E-2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5.1870299313521724E-2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5.1870299313521724E-2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5.1870299313521724E-2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7.9249460413224532E-2</v>
      </c>
      <c r="C8" s="7">
        <f>$B8 * IFERROR(VLOOKUP("industry|SO2|Asthma symptoms wheeze", US_national_yearly!$D:$AM, 11, FALSE) / VLOOKUP("industry|SO2|Asthma symptoms wheeze", US_national_yearly!$D:$AM, 10, FALSE), 1)</f>
        <v>7.9249460413224532E-2</v>
      </c>
      <c r="D8" s="7">
        <f>$B8 * IFERROR(VLOOKUP("industry|SO2|Asthma symptoms wheeze", US_national_yearly!$D:$AM, 12, FALSE) / VLOOKUP("industry|SO2|Asthma symptoms wheeze", US_national_yearly!$D:$AM, 10, FALSE), 1)</f>
        <v>7.9249460413224532E-2</v>
      </c>
      <c r="E8" s="7">
        <f>$B8 * IFERROR(VLOOKUP("industry|SO2|Asthma symptoms wheeze", US_national_yearly!$D:$AM, 13, FALSE) / VLOOKUP("industry|SO2|Asthma symptoms wheeze", US_national_yearly!$D:$AM, 10, FALSE), 1)</f>
        <v>7.9249460413224532E-2</v>
      </c>
      <c r="F8" s="7">
        <f>$B8 * IFERROR(VLOOKUP("industry|SO2|Asthma symptoms wheeze", US_national_yearly!$D:$AM, 14, FALSE) / VLOOKUP("industry|SO2|Asthma symptoms wheeze", US_national_yearly!$D:$AM, 10, FALSE), 1)</f>
        <v>7.9249460413224532E-2</v>
      </c>
      <c r="G8" s="7">
        <f>$B8 * IFERROR(VLOOKUP("industry|SO2|Asthma symptoms wheeze", US_national_yearly!$D:$AM, 15, FALSE) / VLOOKUP("industry|SO2|Asthma symptoms wheeze", US_national_yearly!$D:$AM, 10, FALSE), 1)</f>
        <v>7.9249460413224532E-2</v>
      </c>
      <c r="H8" s="7">
        <f>$B8 * IFERROR(VLOOKUP("industry|SO2|Asthma symptoms wheeze", US_national_yearly!$D:$AM, 16, FALSE) / VLOOKUP("industry|SO2|Asthma symptoms wheeze", US_national_yearly!$D:$AM, 10, FALSE), 1)</f>
        <v>7.9249460413224532E-2</v>
      </c>
      <c r="I8" s="7">
        <f>$B8 * IFERROR(VLOOKUP("industry|SO2|Asthma symptoms wheeze", US_national_yearly!$D:$AM, 17, FALSE) / VLOOKUP("industry|SO2|Asthma symptoms wheeze", US_national_yearly!$D:$AM, 10, FALSE), 1)</f>
        <v>7.9249460413224532E-2</v>
      </c>
      <c r="J8" s="7">
        <f>$B8 * IFERROR(VLOOKUP("industry|SO2|Asthma symptoms wheeze", US_national_yearly!$D:$AM, 18, FALSE) / VLOOKUP("industry|SO2|Asthma symptoms wheeze", US_national_yearly!$D:$AM, 10, FALSE), 1)</f>
        <v>7.9249460413224532E-2</v>
      </c>
      <c r="K8" s="7">
        <f>$B8 * IFERROR(VLOOKUP("industry|SO2|Asthma symptoms wheeze", US_national_yearly!$D:$AM, 19, FALSE) / VLOOKUP("industry|SO2|Asthma symptoms wheeze", US_national_yearly!$D:$AM, 10, FALSE), 1)</f>
        <v>7.9249460413224532E-2</v>
      </c>
      <c r="L8" s="7">
        <f>$B8 * IFERROR(VLOOKUP("industry|SO2|Asthma symptoms wheeze", US_national_yearly!$D:$AM, 20, FALSE) / VLOOKUP("industry|SO2|Asthma symptoms wheeze", US_national_yearly!$D:$AM, 10, FALSE), 1)</f>
        <v>7.9249460413224532E-2</v>
      </c>
      <c r="M8" s="7">
        <f>$B8 * IFERROR(VLOOKUP("industry|SO2|Asthma symptoms wheeze", US_national_yearly!$D:$AM, 21, FALSE) / VLOOKUP("industry|SO2|Asthma symptoms wheeze", US_national_yearly!$D:$AM, 10, FALSE), 1)</f>
        <v>7.9249460413224532E-2</v>
      </c>
      <c r="N8" s="7">
        <f>$B8 * IFERROR(VLOOKUP("industry|SO2|Asthma symptoms wheeze", US_national_yearly!$D:$AM, 22, FALSE) / VLOOKUP("industry|SO2|Asthma symptoms wheeze", US_national_yearly!$D:$AM, 10, FALSE), 1)</f>
        <v>7.9249460413224532E-2</v>
      </c>
      <c r="O8" s="7">
        <f>$B8 * IFERROR(VLOOKUP("industry|SO2|Asthma symptoms wheeze", US_national_yearly!$D:$AM, 23, FALSE) / VLOOKUP("industry|SO2|Asthma symptoms wheeze", US_national_yearly!$D:$AM, 10, FALSE), 1)</f>
        <v>7.9249460413224532E-2</v>
      </c>
      <c r="P8" s="7">
        <f>$B8 * IFERROR(VLOOKUP("industry|SO2|Asthma symptoms wheeze", US_national_yearly!$D:$AM, 24, FALSE) / VLOOKUP("industry|SO2|Asthma symptoms wheeze", US_national_yearly!$D:$AM, 10, FALSE), 1)</f>
        <v>7.9249460413224532E-2</v>
      </c>
      <c r="Q8" s="7">
        <f>$B8 * IFERROR(VLOOKUP("industry|SO2|Asthma symptoms wheeze", US_national_yearly!$D:$AM, 25, FALSE) / VLOOKUP("industry|SO2|Asthma symptoms wheeze", US_national_yearly!$D:$AM, 10, FALSE), 1)</f>
        <v>7.9249460413224532E-2</v>
      </c>
      <c r="R8" s="7">
        <f>$B8 * IFERROR(VLOOKUP("industry|SO2|Asthma symptoms wheeze", US_national_yearly!$D:$AM, 26, FALSE) / VLOOKUP("industry|SO2|Asthma symptoms wheeze", US_national_yearly!$D:$AM, 10, FALSE), 1)</f>
        <v>7.9249460413224532E-2</v>
      </c>
      <c r="S8" s="7">
        <f>$B8 * IFERROR(VLOOKUP("industry|SO2|Asthma symptoms wheeze", US_national_yearly!$D:$AM, 27, FALSE) / VLOOKUP("industry|SO2|Asthma symptoms wheeze", US_national_yearly!$D:$AM, 10, FALSE), 1)</f>
        <v>7.9249460413224532E-2</v>
      </c>
      <c r="T8" s="7">
        <f>$B8 * IFERROR(VLOOKUP("industry|SO2|Asthma symptoms wheeze", US_national_yearly!$D:$AM, 28, FALSE) / VLOOKUP("industry|SO2|Asthma symptoms wheeze", US_national_yearly!$D:$AM, 10, FALSE), 1)</f>
        <v>7.9249460413224532E-2</v>
      </c>
      <c r="U8" s="7">
        <f>$B8 * IFERROR(VLOOKUP("industry|SO2|Asthma symptoms wheeze", US_national_yearly!$D:$AM, 29, FALSE) / VLOOKUP("industry|SO2|Asthma symptoms wheeze", US_national_yearly!$D:$AM, 10, FALSE), 1)</f>
        <v>7.9249460413224532E-2</v>
      </c>
      <c r="V8" s="7">
        <f>$B8 * IFERROR(VLOOKUP("industry|SO2|Asthma symptoms wheeze", US_national_yearly!$D:$AM, 30, FALSE) / VLOOKUP("industry|SO2|Asthma symptoms wheeze", US_national_yearly!$D:$AM, 10, FALSE), 1)</f>
        <v>7.9249460413224532E-2</v>
      </c>
      <c r="W8" s="7">
        <f>$B8 * IFERROR(VLOOKUP("industry|SO2|Asthma symptoms wheeze", US_national_yearly!$D:$AM, 31, FALSE) / VLOOKUP("industry|SO2|Asthma symptoms wheeze", US_national_yearly!$D:$AM, 10, FALSE), 1)</f>
        <v>7.9249460413224532E-2</v>
      </c>
      <c r="X8" s="7">
        <f>$B8 * IFERROR(VLOOKUP("industry|SO2|Asthma symptoms wheeze", US_national_yearly!$D:$AM, 32, FALSE) / VLOOKUP("industry|SO2|Asthma symptoms wheeze", US_national_yearly!$D:$AM, 10, FALSE), 1)</f>
        <v>7.9249460413224532E-2</v>
      </c>
      <c r="Y8" s="7">
        <f>$B8 * IFERROR(VLOOKUP("industry|SO2|Asthma symptoms wheeze", US_national_yearly!$D:$AM, 33, FALSE) / VLOOKUP("industry|SO2|Asthma symptoms wheeze", US_national_yearly!$D:$AM, 10, FALSE), 1)</f>
        <v>7.9249460413224532E-2</v>
      </c>
      <c r="Z8" s="7">
        <f>$B8 * IFERROR(VLOOKUP("industry|SO2|Asthma symptoms wheeze", US_national_yearly!$D:$AM, 34, FALSE) / VLOOKUP("industry|SO2|Asthma symptoms wheeze", US_national_yearly!$D:$AM, 10, FALSE), 1)</f>
        <v>7.9249460413224532E-2</v>
      </c>
      <c r="AA8" s="7">
        <f>$B8 * IFERROR(VLOOKUP("industry|SO2|Asthma symptoms wheeze", US_national_yearly!$D:$AM, 35, FALSE) / VLOOKUP("industry|SO2|Asthma symptoms wheeze", US_national_yearly!$D:$AM, 10, FALSE), 1)</f>
        <v>7.9249460413224532E-2</v>
      </c>
      <c r="AB8" s="7">
        <f>$B8 * IFERROR(VLOOKUP("industry|SO2|Asthma symptoms wheeze", US_national_yearly!$D:$AM, 36, FALSE) / VLOOKUP("industry|SO2|Asthma symptoms wheeze", US_national_yearly!$D:$AM, 10, FALSE), 1)</f>
        <v>7.9249460413224532E-2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1.2295644232327588E-3</v>
      </c>
      <c r="C12" s="7">
        <f>$B12 * IFERROR(VLOOKUP("industry|SO2|Respiratory hospital admissions", US_national_yearly!$D:$AM, 11, FALSE) / VLOOKUP("industry|SO2|Respiratory hospital admissions", US_national_yearly!$D:$AM, 10, FALSE), 1)</f>
        <v>1.2367673234509944E-3</v>
      </c>
      <c r="D12" s="7">
        <f>$B12 * IFERROR(VLOOKUP("industry|SO2|Respiratory hospital admissions", US_national_yearly!$D:$AM, 12, FALSE) / VLOOKUP("industry|SO2|Respiratory hospital admissions", US_national_yearly!$D:$AM, 10, FALSE), 1)</f>
        <v>1.2439702236692299E-3</v>
      </c>
      <c r="E12" s="7">
        <f>$B12 * IFERROR(VLOOKUP("industry|SO2|Respiratory hospital admissions", US_national_yearly!$D:$AM, 13, FALSE) / VLOOKUP("industry|SO2|Respiratory hospital admissions", US_national_yearly!$D:$AM, 10, FALSE), 1)</f>
        <v>1.2511731238874656E-3</v>
      </c>
      <c r="F12" s="7">
        <f>$B12 * IFERROR(VLOOKUP("industry|SO2|Respiratory hospital admissions", US_national_yearly!$D:$AM, 14, FALSE) / VLOOKUP("industry|SO2|Respiratory hospital admissions", US_national_yearly!$D:$AM, 10, FALSE), 1)</f>
        <v>1.2583760241057014E-3</v>
      </c>
      <c r="G12" s="7">
        <f>$B12 * IFERROR(VLOOKUP("industry|SO2|Respiratory hospital admissions", US_national_yearly!$D:$AM, 15, FALSE) / VLOOKUP("industry|SO2|Respiratory hospital admissions", US_national_yearly!$D:$AM, 10, FALSE), 1)</f>
        <v>1.2662285786883059E-3</v>
      </c>
      <c r="H12" s="7">
        <f>$B12 * IFERROR(VLOOKUP("industry|SO2|Respiratory hospital admissions", US_national_yearly!$D:$AM, 16, FALSE) / VLOOKUP("industry|SO2|Respiratory hospital admissions", US_national_yearly!$D:$AM, 10, FALSE), 1)</f>
        <v>1.2740811332709104E-3</v>
      </c>
      <c r="I12" s="7">
        <f>$B12 * IFERROR(VLOOKUP("industry|SO2|Respiratory hospital admissions", US_national_yearly!$D:$AM, 17, FALSE) / VLOOKUP("industry|SO2|Respiratory hospital admissions", US_national_yearly!$D:$AM, 10, FALSE), 1)</f>
        <v>1.2817936294632103E-3</v>
      </c>
      <c r="J12" s="7">
        <f>$B12 * IFERROR(VLOOKUP("industry|SO2|Respiratory hospital admissions", US_national_yearly!$D:$AM, 18, FALSE) / VLOOKUP("industry|SO2|Respiratory hospital admissions", US_national_yearly!$D:$AM, 10, FALSE), 1)</f>
        <v>1.2895061256555102E-3</v>
      </c>
      <c r="K12" s="7">
        <f>$B12 * IFERROR(VLOOKUP("industry|SO2|Respiratory hospital admissions", US_national_yearly!$D:$AM, 19, FALSE) / VLOOKUP("industry|SO2|Respiratory hospital admissions", US_national_yearly!$D:$AM, 10, FALSE), 1)</f>
        <v>1.2972186218478097E-3</v>
      </c>
      <c r="L12" s="7">
        <f>$B12 * IFERROR(VLOOKUP("industry|SO2|Respiratory hospital admissions", US_national_yearly!$D:$AM, 20, FALSE) / VLOOKUP("industry|SO2|Respiratory hospital admissions", US_national_yearly!$D:$AM, 10, FALSE), 1)</f>
        <v>1.3049311180401096E-3</v>
      </c>
      <c r="M12" s="7">
        <f>$B12 * IFERROR(VLOOKUP("industry|SO2|Respiratory hospital admissions", US_national_yearly!$D:$AM, 21, FALSE) / VLOOKUP("industry|SO2|Respiratory hospital admissions", US_national_yearly!$D:$AM, 10, FALSE), 1)</f>
        <v>1.3126436142324093E-3</v>
      </c>
      <c r="N12" s="7">
        <f>$B12 * IFERROR(VLOOKUP("industry|SO2|Respiratory hospital admissions", US_national_yearly!$D:$AM, 22, FALSE) / VLOOKUP("industry|SO2|Respiratory hospital admissions", US_national_yearly!$D:$AM, 10, FALSE), 1)</f>
        <v>1.3182244850315475E-3</v>
      </c>
      <c r="O12" s="7">
        <f>$B12 * IFERROR(VLOOKUP("industry|SO2|Respiratory hospital admissions", US_national_yearly!$D:$AM, 23, FALSE) / VLOOKUP("industry|SO2|Respiratory hospital admissions", US_national_yearly!$D:$AM, 10, FALSE), 1)</f>
        <v>1.3238053558306856E-3</v>
      </c>
      <c r="P12" s="7">
        <f>$B12 * IFERROR(VLOOKUP("industry|SO2|Respiratory hospital admissions", US_national_yearly!$D:$AM, 24, FALSE) / VLOOKUP("industry|SO2|Respiratory hospital admissions", US_national_yearly!$D:$AM, 10, FALSE), 1)</f>
        <v>1.3293862266298233E-3</v>
      </c>
      <c r="Q12" s="7">
        <f>$B12 * IFERROR(VLOOKUP("industry|SO2|Respiratory hospital admissions", US_national_yearly!$D:$AM, 25, FALSE) / VLOOKUP("industry|SO2|Respiratory hospital admissions", US_national_yearly!$D:$AM, 10, FALSE), 1)</f>
        <v>1.3349670974289614E-3</v>
      </c>
      <c r="R12" s="7">
        <f>$B12 * IFERROR(VLOOKUP("industry|SO2|Respiratory hospital admissions", US_national_yearly!$D:$AM, 26, FALSE) / VLOOKUP("industry|SO2|Respiratory hospital admissions", US_national_yearly!$D:$AM, 10, FALSE), 1)</f>
        <v>1.3405479682280994E-3</v>
      </c>
      <c r="S12" s="7">
        <f>$B12 * IFERROR(VLOOKUP("industry|SO2|Respiratory hospital admissions", US_national_yearly!$D:$AM, 27, FALSE) / VLOOKUP("industry|SO2|Respiratory hospital admissions", US_national_yearly!$D:$AM, 10, FALSE), 1)</f>
        <v>1.3458517328445827E-3</v>
      </c>
      <c r="T12" s="7">
        <f>$B12 * IFERROR(VLOOKUP("industry|SO2|Respiratory hospital admissions", US_national_yearly!$D:$AM, 28, FALSE) / VLOOKUP("industry|SO2|Respiratory hospital admissions", US_national_yearly!$D:$AM, 10, FALSE), 1)</f>
        <v>1.3511554974610655E-3</v>
      </c>
      <c r="U12" s="7">
        <f>$B12 * IFERROR(VLOOKUP("industry|SO2|Respiratory hospital admissions", US_national_yearly!$D:$AM, 29, FALSE) / VLOOKUP("industry|SO2|Respiratory hospital admissions", US_national_yearly!$D:$AM, 10, FALSE), 1)</f>
        <v>1.3564592620775486E-3</v>
      </c>
      <c r="V12" s="7">
        <f>$B12 * IFERROR(VLOOKUP("industry|SO2|Respiratory hospital admissions", US_national_yearly!$D:$AM, 30, FALSE) / VLOOKUP("industry|SO2|Respiratory hospital admissions", US_national_yearly!$D:$AM, 10, FALSE), 1)</f>
        <v>1.361763026694032E-3</v>
      </c>
      <c r="W12" s="7">
        <f>$B12 * IFERROR(VLOOKUP("industry|SO2|Respiratory hospital admissions", US_national_yearly!$D:$AM, 31, FALSE) / VLOOKUP("industry|SO2|Respiratory hospital admissions", US_national_yearly!$D:$AM, 10, FALSE), 1)</f>
        <v>1.3670667913105148E-3</v>
      </c>
      <c r="X12" s="7">
        <f>$B12 * IFERROR(VLOOKUP("industry|SO2|Respiratory hospital admissions", US_national_yearly!$D:$AM, 32, FALSE) / VLOOKUP("industry|SO2|Respiratory hospital admissions", US_national_yearly!$D:$AM, 10, FALSE), 1)</f>
        <v>1.3721033258628818E-3</v>
      </c>
      <c r="Y12" s="7">
        <f>$B12 * IFERROR(VLOOKUP("industry|SO2|Respiratory hospital admissions", US_national_yearly!$D:$AM, 33, FALSE) / VLOOKUP("industry|SO2|Respiratory hospital admissions", US_national_yearly!$D:$AM, 10, FALSE), 1)</f>
        <v>1.3771398604152489E-3</v>
      </c>
      <c r="Z12" s="7">
        <f>$B12 * IFERROR(VLOOKUP("industry|SO2|Respiratory hospital admissions", US_national_yearly!$D:$AM, 34, FALSE) / VLOOKUP("industry|SO2|Respiratory hospital admissions", US_national_yearly!$D:$AM, 10, FALSE), 1)</f>
        <v>1.3821763949676158E-3</v>
      </c>
      <c r="AA12" s="7">
        <f>$B12 * IFERROR(VLOOKUP("industry|SO2|Respiratory hospital admissions", US_national_yearly!$D:$AM, 35, FALSE) / VLOOKUP("industry|SO2|Respiratory hospital admissions", US_national_yearly!$D:$AM, 10, FALSE), 1)</f>
        <v>1.3872129295199828E-3</v>
      </c>
      <c r="AB12" s="7">
        <f>$B12 * IFERROR(VLOOKUP("industry|SO2|Respiratory hospital admissions", US_national_yearly!$D:$AM, 36, FALSE) / VLOOKUP("industry|SO2|Respiratory hospital admissions", US_national_yearly!$D:$AM, 10, FALSE), 1)</f>
        <v>1.3922494640723501E-3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6.5250795533702208E-3</v>
      </c>
      <c r="C13" s="7">
        <f>$B13 * IFERROR(VLOOKUP("industry|SO2|Non-fatal heart attacks", US_national_yearly!$D:$AM, 11, FALSE) / VLOOKUP("industry|SO2|Non-fatal heart attacks", US_national_yearly!$D:$AM, 10, FALSE), 1)</f>
        <v>6.7166314204294333E-3</v>
      </c>
      <c r="D13" s="7">
        <f>$B13 * IFERROR(VLOOKUP("industry|SO2|Non-fatal heart attacks", US_national_yearly!$D:$AM, 12, FALSE) / VLOOKUP("industry|SO2|Non-fatal heart attacks", US_national_yearly!$D:$AM, 10, FALSE), 1)</f>
        <v>6.9081832874886449E-3</v>
      </c>
      <c r="E13" s="7">
        <f>$B13 * IFERROR(VLOOKUP("industry|SO2|Non-fatal heart attacks", US_national_yearly!$D:$AM, 13, FALSE) / VLOOKUP("industry|SO2|Non-fatal heart attacks", US_national_yearly!$D:$AM, 10, FALSE), 1)</f>
        <v>7.0997351545478557E-3</v>
      </c>
      <c r="F13" s="7">
        <f>$B13 * IFERROR(VLOOKUP("industry|SO2|Non-fatal heart attacks", US_national_yearly!$D:$AM, 14, FALSE) / VLOOKUP("industry|SO2|Non-fatal heart attacks", US_national_yearly!$D:$AM, 10, FALSE), 1)</f>
        <v>7.291287021607069E-3</v>
      </c>
      <c r="G13" s="7">
        <f>$B13 * IFERROR(VLOOKUP("industry|SO2|Non-fatal heart attacks", US_national_yearly!$D:$AM, 15, FALSE) / VLOOKUP("industry|SO2|Non-fatal heart attacks", US_national_yearly!$D:$AM, 10, FALSE), 1)</f>
        <v>7.4720583231344586E-3</v>
      </c>
      <c r="H13" s="7">
        <f>$B13 * IFERROR(VLOOKUP("industry|SO2|Non-fatal heart attacks", US_national_yearly!$D:$AM, 16, FALSE) / VLOOKUP("industry|SO2|Non-fatal heart attacks", US_national_yearly!$D:$AM, 10, FALSE), 1)</f>
        <v>7.6528296246618499E-3</v>
      </c>
      <c r="I13" s="7">
        <f>$B13 * IFERROR(VLOOKUP("industry|SO2|Non-fatal heart attacks", US_national_yearly!$D:$AM, 17, FALSE) / VLOOKUP("industry|SO2|Non-fatal heart attacks", US_national_yearly!$D:$AM, 10, FALSE), 1)</f>
        <v>7.7985625841291055E-3</v>
      </c>
      <c r="J13" s="7">
        <f>$B13 * IFERROR(VLOOKUP("industry|SO2|Non-fatal heart attacks", US_national_yearly!$D:$AM, 18, FALSE) / VLOOKUP("industry|SO2|Non-fatal heart attacks", US_national_yearly!$D:$AM, 10, FALSE), 1)</f>
        <v>7.9442955435963629E-3</v>
      </c>
      <c r="K13" s="7">
        <f>$B13 * IFERROR(VLOOKUP("industry|SO2|Non-fatal heart attacks", US_national_yearly!$D:$AM, 19, FALSE) / VLOOKUP("industry|SO2|Non-fatal heart attacks", US_national_yearly!$D:$AM, 10, FALSE), 1)</f>
        <v>8.0900285030636194E-3</v>
      </c>
      <c r="L13" s="7">
        <f>$B13 * IFERROR(VLOOKUP("industry|SO2|Non-fatal heart attacks", US_national_yearly!$D:$AM, 20, FALSE) / VLOOKUP("industry|SO2|Non-fatal heart attacks", US_national_yearly!$D:$AM, 10, FALSE), 1)</f>
        <v>8.2357614625308759E-3</v>
      </c>
      <c r="M13" s="7">
        <f>$B13 * IFERROR(VLOOKUP("industry|SO2|Non-fatal heart attacks", US_national_yearly!$D:$AM, 21, FALSE) / VLOOKUP("industry|SO2|Non-fatal heart attacks", US_national_yearly!$D:$AM, 10, FALSE), 1)</f>
        <v>8.3814944219981324E-3</v>
      </c>
      <c r="N13" s="7">
        <f>$B13 * IFERROR(VLOOKUP("industry|SO2|Non-fatal heart attacks", US_national_yearly!$D:$AM, 22, FALSE) / VLOOKUP("industry|SO2|Non-fatal heart attacks", US_national_yearly!$D:$AM, 10, FALSE), 1)</f>
        <v>8.4761703165254811E-3</v>
      </c>
      <c r="O13" s="7">
        <f>$B13 * IFERROR(VLOOKUP("industry|SO2|Non-fatal heart attacks", US_national_yearly!$D:$AM, 23, FALSE) / VLOOKUP("industry|SO2|Non-fatal heart attacks", US_national_yearly!$D:$AM, 10, FALSE), 1)</f>
        <v>8.5708462110528332E-3</v>
      </c>
      <c r="P13" s="7">
        <f>$B13 * IFERROR(VLOOKUP("industry|SO2|Non-fatal heart attacks", US_national_yearly!$D:$AM, 24, FALSE) / VLOOKUP("industry|SO2|Non-fatal heart attacks", US_national_yearly!$D:$AM, 10, FALSE), 1)</f>
        <v>8.6655221055801836E-3</v>
      </c>
      <c r="Q13" s="7">
        <f>$B13 * IFERROR(VLOOKUP("industry|SO2|Non-fatal heart attacks", US_national_yearly!$D:$AM, 25, FALSE) / VLOOKUP("industry|SO2|Non-fatal heart attacks", US_national_yearly!$D:$AM, 10, FALSE), 1)</f>
        <v>8.7601980001075323E-3</v>
      </c>
      <c r="R13" s="7">
        <f>$B13 * IFERROR(VLOOKUP("industry|SO2|Non-fatal heart attacks", US_national_yearly!$D:$AM, 26, FALSE) / VLOOKUP("industry|SO2|Non-fatal heart attacks", US_national_yearly!$D:$AM, 10, FALSE), 1)</f>
        <v>8.8548738946348828E-3</v>
      </c>
      <c r="S13" s="7">
        <f>$B13 * IFERROR(VLOOKUP("industry|SO2|Non-fatal heart attacks", US_national_yearly!$D:$AM, 27, FALSE) / VLOOKUP("industry|SO2|Non-fatal heart attacks", US_national_yearly!$D:$AM, 10, FALSE), 1)</f>
        <v>8.9045990664572416E-3</v>
      </c>
      <c r="T13" s="7">
        <f>$B13 * IFERROR(VLOOKUP("industry|SO2|Non-fatal heart attacks", US_national_yearly!$D:$AM, 28, FALSE) / VLOOKUP("industry|SO2|Non-fatal heart attacks", US_national_yearly!$D:$AM, 10, FALSE), 1)</f>
        <v>8.9543242382796023E-3</v>
      </c>
      <c r="U13" s="7">
        <f>$B13 * IFERROR(VLOOKUP("industry|SO2|Non-fatal heart attacks", US_national_yearly!$D:$AM, 29, FALSE) / VLOOKUP("industry|SO2|Non-fatal heart attacks", US_national_yearly!$D:$AM, 10, FALSE), 1)</f>
        <v>9.0040494101019612E-3</v>
      </c>
      <c r="V13" s="7">
        <f>$B13 * IFERROR(VLOOKUP("industry|SO2|Non-fatal heart attacks", US_national_yearly!$D:$AM, 30, FALSE) / VLOOKUP("industry|SO2|Non-fatal heart attacks", US_national_yearly!$D:$AM, 10, FALSE), 1)</f>
        <v>9.05377458192432E-3</v>
      </c>
      <c r="W13" s="7">
        <f>$B13 * IFERROR(VLOOKUP("industry|SO2|Non-fatal heart attacks", US_national_yearly!$D:$AM, 31, FALSE) / VLOOKUP("industry|SO2|Non-fatal heart attacks", US_national_yearly!$D:$AM, 10, FALSE), 1)</f>
        <v>9.1034997537466807E-3</v>
      </c>
      <c r="X13" s="7">
        <f>$B13 * IFERROR(VLOOKUP("industry|SO2|Non-fatal heart attacks", US_national_yearly!$D:$AM, 32, FALSE) / VLOOKUP("industry|SO2|Non-fatal heart attacks", US_national_yearly!$D:$AM, 10, FALSE), 1)</f>
        <v>9.1412645868216048E-3</v>
      </c>
      <c r="Y13" s="7">
        <f>$B13 * IFERROR(VLOOKUP("industry|SO2|Non-fatal heart attacks", US_national_yearly!$D:$AM, 33, FALSE) / VLOOKUP("industry|SO2|Non-fatal heart attacks", US_national_yearly!$D:$AM, 10, FALSE), 1)</f>
        <v>9.1790294198965273E-3</v>
      </c>
      <c r="Z13" s="7">
        <f>$B13 * IFERROR(VLOOKUP("industry|SO2|Non-fatal heart attacks", US_national_yearly!$D:$AM, 34, FALSE) / VLOOKUP("industry|SO2|Non-fatal heart attacks", US_national_yearly!$D:$AM, 10, FALSE), 1)</f>
        <v>9.2167942529714515E-3</v>
      </c>
      <c r="AA13" s="7">
        <f>$B13 * IFERROR(VLOOKUP("industry|SO2|Non-fatal heart attacks", US_national_yearly!$D:$AM, 35, FALSE) / VLOOKUP("industry|SO2|Non-fatal heart attacks", US_national_yearly!$D:$AM, 10, FALSE), 1)</f>
        <v>9.2545590860463774E-3</v>
      </c>
      <c r="AB13" s="7">
        <f>$B13 * IFERROR(VLOOKUP("industry|SO2|Non-fatal heart attacks", US_national_yearly!$D:$AM, 36, FALSE) / VLOOKUP("industry|SO2|Non-fatal heart attacks", US_national_yearly!$D:$AM, 10, FALSE), 1)</f>
        <v>9.2923239191213015E-3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5.2100090442821667</v>
      </c>
      <c r="C14" s="7">
        <f>$B14 * IFERROR(VLOOKUP("industry|SO2|Minor restricted activity days", US_national_yearly!$D:$AM, 11, FALSE) / VLOOKUP("industry|SO2|Minor restricted activity days", US_national_yearly!$D:$AM, 10, FALSE), 1)</f>
        <v>5.2230413038339147</v>
      </c>
      <c r="D14" s="7">
        <f>$B14 * IFERROR(VLOOKUP("industry|SO2|Minor restricted activity days", US_national_yearly!$D:$AM, 12, FALSE) / VLOOKUP("industry|SO2|Minor restricted activity days", US_national_yearly!$D:$AM, 10, FALSE), 1)</f>
        <v>5.2360735633856619</v>
      </c>
      <c r="E14" s="7">
        <f>$B14 * IFERROR(VLOOKUP("industry|SO2|Minor restricted activity days", US_national_yearly!$D:$AM, 13, FALSE) / VLOOKUP("industry|SO2|Minor restricted activity days", US_national_yearly!$D:$AM, 10, FALSE), 1)</f>
        <v>5.2491058229374099</v>
      </c>
      <c r="F14" s="7">
        <f>$B14 * IFERROR(VLOOKUP("industry|SO2|Minor restricted activity days", US_national_yearly!$D:$AM, 14, FALSE) / VLOOKUP("industry|SO2|Minor restricted activity days", US_national_yearly!$D:$AM, 10, FALSE), 1)</f>
        <v>5.2621380824891579</v>
      </c>
      <c r="G14" s="7">
        <f>$B14 * IFERROR(VLOOKUP("industry|SO2|Minor restricted activity days", US_national_yearly!$D:$AM, 15, FALSE) / VLOOKUP("industry|SO2|Minor restricted activity days", US_national_yearly!$D:$AM, 10, FALSE), 1)</f>
        <v>5.2813097780984304</v>
      </c>
      <c r="H14" s="7">
        <f>$B14 * IFERROR(VLOOKUP("industry|SO2|Minor restricted activity days", US_national_yearly!$D:$AM, 16, FALSE) / VLOOKUP("industry|SO2|Minor restricted activity days", US_national_yearly!$D:$AM, 10, FALSE), 1)</f>
        <v>5.3004814737077011</v>
      </c>
      <c r="I14" s="7">
        <f>$B14 * IFERROR(VLOOKUP("industry|SO2|Minor restricted activity days", US_national_yearly!$D:$AM, 17, FALSE) / VLOOKUP("industry|SO2|Minor restricted activity days", US_national_yearly!$D:$AM, 10, FALSE), 1)</f>
        <v>5.3331750137222</v>
      </c>
      <c r="J14" s="7">
        <f>$B14 * IFERROR(VLOOKUP("industry|SO2|Minor restricted activity days", US_national_yearly!$D:$AM, 18, FALSE) / VLOOKUP("industry|SO2|Minor restricted activity days", US_national_yearly!$D:$AM, 10, FALSE), 1)</f>
        <v>5.365868553736699</v>
      </c>
      <c r="K14" s="7">
        <f>$B14 * IFERROR(VLOOKUP("industry|SO2|Minor restricted activity days", US_national_yearly!$D:$AM, 19, FALSE) / VLOOKUP("industry|SO2|Minor restricted activity days", US_national_yearly!$D:$AM, 10, FALSE), 1)</f>
        <v>5.398562093751198</v>
      </c>
      <c r="L14" s="7">
        <f>$B14 * IFERROR(VLOOKUP("industry|SO2|Minor restricted activity days", US_national_yearly!$D:$AM, 20, FALSE) / VLOOKUP("industry|SO2|Minor restricted activity days", US_national_yearly!$D:$AM, 10, FALSE), 1)</f>
        <v>5.431255633765697</v>
      </c>
      <c r="M14" s="7">
        <f>$B14 * IFERROR(VLOOKUP("industry|SO2|Minor restricted activity days", US_national_yearly!$D:$AM, 21, FALSE) / VLOOKUP("industry|SO2|Minor restricted activity days", US_national_yearly!$D:$AM, 10, FALSE), 1)</f>
        <v>5.463949173780196</v>
      </c>
      <c r="N14" s="7">
        <f>$B14 * IFERROR(VLOOKUP("industry|SO2|Minor restricted activity days", US_national_yearly!$D:$AM, 22, FALSE) / VLOOKUP("industry|SO2|Minor restricted activity days", US_national_yearly!$D:$AM, 10, FALSE), 1)</f>
        <v>5.5087759491011887</v>
      </c>
      <c r="O14" s="7">
        <f>$B14 * IFERROR(VLOOKUP("industry|SO2|Minor restricted activity days", US_national_yearly!$D:$AM, 23, FALSE) / VLOOKUP("industry|SO2|Minor restricted activity days", US_national_yearly!$D:$AM, 10, FALSE), 1)</f>
        <v>5.5536027244221806</v>
      </c>
      <c r="P14" s="7">
        <f>$B14 * IFERROR(VLOOKUP("industry|SO2|Minor restricted activity days", US_national_yearly!$D:$AM, 24, FALSE) / VLOOKUP("industry|SO2|Minor restricted activity days", US_national_yearly!$D:$AM, 10, FALSE), 1)</f>
        <v>5.5984294997431734</v>
      </c>
      <c r="Q14" s="7">
        <f>$B14 * IFERROR(VLOOKUP("industry|SO2|Minor restricted activity days", US_national_yearly!$D:$AM, 25, FALSE) / VLOOKUP("industry|SO2|Minor restricted activity days", US_national_yearly!$D:$AM, 10, FALSE), 1)</f>
        <v>5.643256275064167</v>
      </c>
      <c r="R14" s="7">
        <f>$B14 * IFERROR(VLOOKUP("industry|SO2|Minor restricted activity days", US_national_yearly!$D:$AM, 26, FALSE) / VLOOKUP("industry|SO2|Minor restricted activity days", US_national_yearly!$D:$AM, 10, FALSE), 1)</f>
        <v>5.6880830503851598</v>
      </c>
      <c r="S14" s="7">
        <f>$B14 * IFERROR(VLOOKUP("industry|SO2|Minor restricted activity days", US_national_yearly!$D:$AM, 27, FALSE) / VLOOKUP("industry|SO2|Minor restricted activity days", US_national_yearly!$D:$AM, 10, FALSE), 1)</f>
        <v>5.7338323948995464</v>
      </c>
      <c r="T14" s="7">
        <f>$B14 * IFERROR(VLOOKUP("industry|SO2|Minor restricted activity days", US_national_yearly!$D:$AM, 28, FALSE) / VLOOKUP("industry|SO2|Minor restricted activity days", US_national_yearly!$D:$AM, 10, FALSE), 1)</f>
        <v>5.7795817394139339</v>
      </c>
      <c r="U14" s="7">
        <f>$B14 * IFERROR(VLOOKUP("industry|SO2|Minor restricted activity days", US_national_yearly!$D:$AM, 29, FALSE) / VLOOKUP("industry|SO2|Minor restricted activity days", US_national_yearly!$D:$AM, 10, FALSE), 1)</f>
        <v>5.8253310839283214</v>
      </c>
      <c r="V14" s="7">
        <f>$B14 * IFERROR(VLOOKUP("industry|SO2|Minor restricted activity days", US_national_yearly!$D:$AM, 30, FALSE) / VLOOKUP("industry|SO2|Minor restricted activity days", US_national_yearly!$D:$AM, 10, FALSE), 1)</f>
        <v>5.8710804284427089</v>
      </c>
      <c r="W14" s="7">
        <f>$B14 * IFERROR(VLOOKUP("industry|SO2|Minor restricted activity days", US_national_yearly!$D:$AM, 31, FALSE) / VLOOKUP("industry|SO2|Minor restricted activity days", US_national_yearly!$D:$AM, 10, FALSE), 1)</f>
        <v>5.9168297729570956</v>
      </c>
      <c r="X14" s="7">
        <f>$B14 * IFERROR(VLOOKUP("industry|SO2|Minor restricted activity days", US_national_yearly!$D:$AM, 32, FALSE) / VLOOKUP("industry|SO2|Minor restricted activity days", US_national_yearly!$D:$AM, 10, FALSE), 1)</f>
        <v>5.9570568105085577</v>
      </c>
      <c r="Y14" s="7">
        <f>$B14 * IFERROR(VLOOKUP("industry|SO2|Minor restricted activity days", US_national_yearly!$D:$AM, 33, FALSE) / VLOOKUP("industry|SO2|Minor restricted activity days", US_national_yearly!$D:$AM, 10, FALSE), 1)</f>
        <v>5.9972838480600181</v>
      </c>
      <c r="Z14" s="7">
        <f>$B14 * IFERROR(VLOOKUP("industry|SO2|Minor restricted activity days", US_national_yearly!$D:$AM, 34, FALSE) / VLOOKUP("industry|SO2|Minor restricted activity days", US_national_yearly!$D:$AM, 10, FALSE), 1)</f>
        <v>6.0375108856114794</v>
      </c>
      <c r="AA14" s="7">
        <f>$B14 * IFERROR(VLOOKUP("industry|SO2|Minor restricted activity days", US_national_yearly!$D:$AM, 35, FALSE) / VLOOKUP("industry|SO2|Minor restricted activity days", US_national_yearly!$D:$AM, 10, FALSE), 1)</f>
        <v>6.0777379231629398</v>
      </c>
      <c r="AB14" s="7">
        <f>$B14 * IFERROR(VLOOKUP("industry|SO2|Minor restricted activity days", US_national_yearly!$D:$AM, 36, FALSE) / VLOOKUP("industry|SO2|Minor restricted activity days", US_national_yearly!$D:$AM, 10, FALSE), 1)</f>
        <v>6.117964960714402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0.87790332251458658</v>
      </c>
      <c r="C15" s="7">
        <f>$B15 * IFERROR(VLOOKUP("industry|SO2|Work loss days", US_national_yearly!$D:$AM, 11, FALSE) / VLOOKUP("industry|SO2|Work loss days", US_national_yearly!$D:$AM, 10, FALSE), 1)</f>
        <v>0.88072656041702335</v>
      </c>
      <c r="D15" s="7">
        <f>$B15 * IFERROR(VLOOKUP("industry|SO2|Work loss days", US_national_yearly!$D:$AM, 12, FALSE) / VLOOKUP("industry|SO2|Work loss days", US_national_yearly!$D:$AM, 10, FALSE), 1)</f>
        <v>0.88354979831946057</v>
      </c>
      <c r="E15" s="7">
        <f>$B15 * IFERROR(VLOOKUP("industry|SO2|Work loss days", US_national_yearly!$D:$AM, 13, FALSE) / VLOOKUP("industry|SO2|Work loss days", US_national_yearly!$D:$AM, 10, FALSE), 1)</f>
        <v>0.88637303622189745</v>
      </c>
      <c r="F15" s="7">
        <f>$B15 * IFERROR(VLOOKUP("industry|SO2|Work loss days", US_national_yearly!$D:$AM, 14, FALSE) / VLOOKUP("industry|SO2|Work loss days", US_national_yearly!$D:$AM, 10, FALSE), 1)</f>
        <v>0.88919627412433455</v>
      </c>
      <c r="G15" s="7">
        <f>$B15 * IFERROR(VLOOKUP("industry|SO2|Work loss days", US_national_yearly!$D:$AM, 15, FALSE) / VLOOKUP("industry|SO2|Work loss days", US_national_yearly!$D:$AM, 10, FALSE), 1)</f>
        <v>0.89288136253376871</v>
      </c>
      <c r="H15" s="7">
        <f>$B15 * IFERROR(VLOOKUP("industry|SO2|Work loss days", US_national_yearly!$D:$AM, 16, FALSE) / VLOOKUP("industry|SO2|Work loss days", US_national_yearly!$D:$AM, 10, FALSE), 1)</f>
        <v>0.89656645094320309</v>
      </c>
      <c r="I15" s="7">
        <f>$B15 * IFERROR(VLOOKUP("industry|SO2|Work loss days", US_national_yearly!$D:$AM, 17, FALSE) / VLOOKUP("industry|SO2|Work loss days", US_national_yearly!$D:$AM, 10, FALSE), 1)</f>
        <v>0.90195301179195564</v>
      </c>
      <c r="J15" s="7">
        <f>$B15 * IFERROR(VLOOKUP("industry|SO2|Work loss days", US_national_yearly!$D:$AM, 18, FALSE) / VLOOKUP("industry|SO2|Work loss days", US_national_yearly!$D:$AM, 10, FALSE), 1)</f>
        <v>0.90733957264070797</v>
      </c>
      <c r="K15" s="7">
        <f>$B15 * IFERROR(VLOOKUP("industry|SO2|Work loss days", US_national_yearly!$D:$AM, 19, FALSE) / VLOOKUP("industry|SO2|Work loss days", US_national_yearly!$D:$AM, 10, FALSE), 1)</f>
        <v>0.91272613348946041</v>
      </c>
      <c r="L15" s="7">
        <f>$B15 * IFERROR(VLOOKUP("industry|SO2|Work loss days", US_national_yearly!$D:$AM, 20, FALSE) / VLOOKUP("industry|SO2|Work loss days", US_national_yearly!$D:$AM, 10, FALSE), 1)</f>
        <v>0.91811269433821296</v>
      </c>
      <c r="M15" s="7">
        <f>$B15 * IFERROR(VLOOKUP("industry|SO2|Work loss days", US_national_yearly!$D:$AM, 21, FALSE) / VLOOKUP("industry|SO2|Work loss days", US_national_yearly!$D:$AM, 10, FALSE), 1)</f>
        <v>0.9234992551869653</v>
      </c>
      <c r="N15" s="7">
        <f>$B15 * IFERROR(VLOOKUP("industry|SO2|Work loss days", US_national_yearly!$D:$AM, 22, FALSE) / VLOOKUP("industry|SO2|Work loss days", US_national_yearly!$D:$AM, 10, FALSE), 1)</f>
        <v>0.93026936916795377</v>
      </c>
      <c r="O15" s="7">
        <f>$B15 * IFERROR(VLOOKUP("industry|SO2|Work loss days", US_national_yearly!$D:$AM, 23, FALSE) / VLOOKUP("industry|SO2|Work loss days", US_national_yearly!$D:$AM, 10, FALSE), 1)</f>
        <v>0.93703948314894225</v>
      </c>
      <c r="P15" s="7">
        <f>$B15 * IFERROR(VLOOKUP("industry|SO2|Work loss days", US_national_yearly!$D:$AM, 24, FALSE) / VLOOKUP("industry|SO2|Work loss days", US_national_yearly!$D:$AM, 10, FALSE), 1)</f>
        <v>0.94380959712993084</v>
      </c>
      <c r="Q15" s="7">
        <f>$B15 * IFERROR(VLOOKUP("industry|SO2|Work loss days", US_national_yearly!$D:$AM, 25, FALSE) / VLOOKUP("industry|SO2|Work loss days", US_national_yearly!$D:$AM, 10, FALSE), 1)</f>
        <v>0.95057971111091932</v>
      </c>
      <c r="R15" s="7">
        <f>$B15 * IFERROR(VLOOKUP("industry|SO2|Work loss days", US_national_yearly!$D:$AM, 26, FALSE) / VLOOKUP("industry|SO2|Work loss days", US_national_yearly!$D:$AM, 10, FALSE), 1)</f>
        <v>0.9573498250919078</v>
      </c>
      <c r="S15" s="7">
        <f>$B15 * IFERROR(VLOOKUP("industry|SO2|Work loss days", US_national_yearly!$D:$AM, 27, FALSE) / VLOOKUP("industry|SO2|Work loss days", US_national_yearly!$D:$AM, 10, FALSE), 1)</f>
        <v>0.96492530362250217</v>
      </c>
      <c r="T15" s="7">
        <f>$B15 * IFERROR(VLOOKUP("industry|SO2|Work loss days", US_national_yearly!$D:$AM, 28, FALSE) / VLOOKUP("industry|SO2|Work loss days", US_national_yearly!$D:$AM, 10, FALSE), 1)</f>
        <v>0.97250078215309677</v>
      </c>
      <c r="U15" s="7">
        <f>$B15 * IFERROR(VLOOKUP("industry|SO2|Work loss days", US_national_yearly!$D:$AM, 29, FALSE) / VLOOKUP("industry|SO2|Work loss days", US_national_yearly!$D:$AM, 10, FALSE), 1)</f>
        <v>0.98007626068369147</v>
      </c>
      <c r="V15" s="7">
        <f>$B15 * IFERROR(VLOOKUP("industry|SO2|Work loss days", US_national_yearly!$D:$AM, 30, FALSE) / VLOOKUP("industry|SO2|Work loss days", US_national_yearly!$D:$AM, 10, FALSE), 1)</f>
        <v>0.98765173921428595</v>
      </c>
      <c r="W15" s="7">
        <f>$B15 * IFERROR(VLOOKUP("industry|SO2|Work loss days", US_national_yearly!$D:$AM, 31, FALSE) / VLOOKUP("industry|SO2|Work loss days", US_national_yearly!$D:$AM, 10, FALSE), 1)</f>
        <v>0.99522721774488054</v>
      </c>
      <c r="X15" s="7">
        <f>$B15 * IFERROR(VLOOKUP("industry|SO2|Work loss days", US_national_yearly!$D:$AM, 32, FALSE) / VLOOKUP("industry|SO2|Work loss days", US_national_yearly!$D:$AM, 10, FALSE), 1)</f>
        <v>1.0020313072175253</v>
      </c>
      <c r="Y15" s="7">
        <f>$B15 * IFERROR(VLOOKUP("industry|SO2|Work loss days", US_national_yearly!$D:$AM, 33, FALSE) / VLOOKUP("industry|SO2|Work loss days", US_national_yearly!$D:$AM, 10, FALSE), 1)</f>
        <v>1.0088353966901704</v>
      </c>
      <c r="Z15" s="7">
        <f>$B15 * IFERROR(VLOOKUP("industry|SO2|Work loss days", US_national_yearly!$D:$AM, 34, FALSE) / VLOOKUP("industry|SO2|Work loss days", US_national_yearly!$D:$AM, 10, FALSE), 1)</f>
        <v>1.0156394861628149</v>
      </c>
      <c r="AA15" s="7">
        <f>$B15 * IFERROR(VLOOKUP("industry|SO2|Work loss days", US_national_yearly!$D:$AM, 35, FALSE) / VLOOKUP("industry|SO2|Work loss days", US_national_yearly!$D:$AM, 10, FALSE), 1)</f>
        <v>1.02244357563546</v>
      </c>
      <c r="AB15" s="7">
        <f>$B15 * IFERROR(VLOOKUP("industry|SO2|Work loss days", US_national_yearly!$D:$AM, 36, FALSE) / VLOOKUP("industry|SO2|Work loss days", US_national_yearly!$D:$AM, 10, FALSE), 1)</f>
        <v>1.0292476651081048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1.5014217629344114E-3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1.5468205478329719E-3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1.5922193327315326E-3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1.6376181176300936E-3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1.6830169025286543E-3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1.7265253133898714E-3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1.7700337242510884E-3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1.8073654642835324E-3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1.8446972043159766E-3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1.8820289443484209E-3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1.9193606843808651E-3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1.9566924244133091E-3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1.9817739110008577E-3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2.0068553975884063E-3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2.0319368841759549E-3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2.0570183707635035E-3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2.0820998573510521E-3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2.0953619750892221E-3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2.1086240928273924E-3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2.1218862105655619E-3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2.1351483283037322E-3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2.1484104460419021E-3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2.1573791539152114E-3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2.1663478617885206E-3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2.1753165696618308E-3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2.1842852775351405E-3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2.1932539854084498E-3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2.8536029290727381E-4</v>
      </c>
      <c r="C2" s="7">
        <f>$B2 * IFERROR(VLOOKUP("LULUCF|PM25|Premature mortality", US_national_yearly!$D:$AM, 11, FALSE) / VLOOKUP("LULUCF|PM25|Premature mortality", US_national_yearly!$D:$AM, 10, FALSE), 1)</f>
        <v>2.8889813517619895E-4</v>
      </c>
      <c r="D2" s="7">
        <f>$B2 * IFERROR(VLOOKUP("LULUCF|PM25|Premature mortality", US_national_yearly!$D:$AM, 12, FALSE) / VLOOKUP("LULUCF|PM25|Premature mortality", US_national_yearly!$D:$AM, 10, FALSE), 1)</f>
        <v>2.9243597744512399E-4</v>
      </c>
      <c r="E2" s="7">
        <f>$B2 * IFERROR(VLOOKUP("LULUCF|PM25|Premature mortality", US_national_yearly!$D:$AM, 13, FALSE) / VLOOKUP("LULUCF|PM25|Premature mortality", US_national_yearly!$D:$AM, 10, FALSE), 1)</f>
        <v>2.9597381971404902E-4</v>
      </c>
      <c r="F2" s="7">
        <f>$B2 * IFERROR(VLOOKUP("LULUCF|PM25|Premature mortality", US_national_yearly!$D:$AM, 14, FALSE) / VLOOKUP("LULUCF|PM25|Premature mortality", US_national_yearly!$D:$AM, 10, FALSE), 1)</f>
        <v>2.9951166198297411E-4</v>
      </c>
      <c r="G2" s="7">
        <f>$B2 * IFERROR(VLOOKUP("LULUCF|PM25|Premature mortality", US_national_yearly!$D:$AM, 15, FALSE) / VLOOKUP("LULUCF|PM25|Premature mortality", US_national_yearly!$D:$AM, 10, FALSE), 1)</f>
        <v>3.0640158311993085E-4</v>
      </c>
      <c r="H2" s="7">
        <f>$B2 * IFERROR(VLOOKUP("LULUCF|PM25|Premature mortality", US_national_yearly!$D:$AM, 16, FALSE) / VLOOKUP("LULUCF|PM25|Premature mortality", US_national_yearly!$D:$AM, 10, FALSE), 1)</f>
        <v>3.1329150425688765E-4</v>
      </c>
      <c r="I2" s="7">
        <f>$B2 * IFERROR(VLOOKUP("LULUCF|PM25|Premature mortality", US_national_yearly!$D:$AM, 17, FALSE) / VLOOKUP("LULUCF|PM25|Premature mortality", US_national_yearly!$D:$AM, 10, FALSE), 1)</f>
        <v>3.1781709449180427E-4</v>
      </c>
      <c r="J2" s="7">
        <f>$B2 * IFERROR(VLOOKUP("LULUCF|PM25|Premature mortality", US_national_yearly!$D:$AM, 18, FALSE) / VLOOKUP("LULUCF|PM25|Premature mortality", US_national_yearly!$D:$AM, 10, FALSE), 1)</f>
        <v>3.2234268472672095E-4</v>
      </c>
      <c r="K2" s="7">
        <f>$B2 * IFERROR(VLOOKUP("LULUCF|PM25|Premature mortality", US_national_yearly!$D:$AM, 19, FALSE) / VLOOKUP("LULUCF|PM25|Premature mortality", US_national_yearly!$D:$AM, 10, FALSE), 1)</f>
        <v>3.2686827496163762E-4</v>
      </c>
      <c r="L2" s="7">
        <f>$B2 * IFERROR(VLOOKUP("LULUCF|PM25|Premature mortality", US_national_yearly!$D:$AM, 20, FALSE) / VLOOKUP("LULUCF|PM25|Premature mortality", US_national_yearly!$D:$AM, 10, FALSE), 1)</f>
        <v>3.3139386519655435E-4</v>
      </c>
      <c r="M2" s="7">
        <f>$B2 * IFERROR(VLOOKUP("LULUCF|PM25|Premature mortality", US_national_yearly!$D:$AM, 21, FALSE) / VLOOKUP("LULUCF|PM25|Premature mortality", US_national_yearly!$D:$AM, 10, FALSE), 1)</f>
        <v>3.3591945543147097E-4</v>
      </c>
      <c r="N2" s="7">
        <f>$B2 * IFERROR(VLOOKUP("LULUCF|PM25|Premature mortality", US_national_yearly!$D:$AM, 22, FALSE) / VLOOKUP("LULUCF|PM25|Premature mortality", US_national_yearly!$D:$AM, 10, FALSE), 1)</f>
        <v>3.3943328822204051E-4</v>
      </c>
      <c r="O2" s="7">
        <f>$B2 * IFERROR(VLOOKUP("LULUCF|PM25|Premature mortality", US_national_yearly!$D:$AM, 23, FALSE) / VLOOKUP("LULUCF|PM25|Premature mortality", US_national_yearly!$D:$AM, 10, FALSE), 1)</f>
        <v>3.4294712101261006E-4</v>
      </c>
      <c r="P2" s="7">
        <f>$B2 * IFERROR(VLOOKUP("LULUCF|PM25|Premature mortality", US_national_yearly!$D:$AM, 24, FALSE) / VLOOKUP("LULUCF|PM25|Premature mortality", US_national_yearly!$D:$AM, 10, FALSE), 1)</f>
        <v>3.4646095380317954E-4</v>
      </c>
      <c r="Q2" s="7">
        <f>$B2 * IFERROR(VLOOKUP("LULUCF|PM25|Premature mortality", US_national_yearly!$D:$AM, 25, FALSE) / VLOOKUP("LULUCF|PM25|Premature mortality", US_national_yearly!$D:$AM, 10, FALSE), 1)</f>
        <v>3.4997478659374909E-4</v>
      </c>
      <c r="R2" s="7">
        <f>$B2 * IFERROR(VLOOKUP("LULUCF|PM25|Premature mortality", US_national_yearly!$D:$AM, 26, FALSE) / VLOOKUP("LULUCF|PM25|Premature mortality", US_national_yearly!$D:$AM, 10, FALSE), 1)</f>
        <v>3.5348861938431868E-4</v>
      </c>
      <c r="S2" s="7">
        <f>$B2 * IFERROR(VLOOKUP("LULUCF|PM25|Premature mortality", US_national_yearly!$D:$AM, 27, FALSE) / VLOOKUP("LULUCF|PM25|Premature mortality", US_national_yearly!$D:$AM, 10, FALSE), 1)</f>
        <v>3.5535014359731052E-4</v>
      </c>
      <c r="T2" s="7">
        <f>$B2 * IFERROR(VLOOKUP("LULUCF|PM25|Premature mortality", US_national_yearly!$D:$AM, 28, FALSE) / VLOOKUP("LULUCF|PM25|Premature mortality", US_national_yearly!$D:$AM, 10, FALSE), 1)</f>
        <v>3.5721166781030225E-4</v>
      </c>
      <c r="U2" s="7">
        <f>$B2 * IFERROR(VLOOKUP("LULUCF|PM25|Premature mortality", US_national_yearly!$D:$AM, 29, FALSE) / VLOOKUP("LULUCF|PM25|Premature mortality", US_national_yearly!$D:$AM, 10, FALSE), 1)</f>
        <v>3.5907319202329403E-4</v>
      </c>
      <c r="V2" s="7">
        <f>$B2 * IFERROR(VLOOKUP("LULUCF|PM25|Premature mortality", US_national_yearly!$D:$AM, 30, FALSE) / VLOOKUP("LULUCF|PM25|Premature mortality", US_national_yearly!$D:$AM, 10, FALSE), 1)</f>
        <v>3.6093471623628581E-4</v>
      </c>
      <c r="W2" s="7">
        <f>$B2 * IFERROR(VLOOKUP("LULUCF|PM25|Premature mortality", US_national_yearly!$D:$AM, 31, FALSE) / VLOOKUP("LULUCF|PM25|Premature mortality", US_national_yearly!$D:$AM, 10, FALSE), 1)</f>
        <v>3.627962404492776E-4</v>
      </c>
      <c r="X2" s="7">
        <f>$B2 * IFERROR(VLOOKUP("LULUCF|PM25|Premature mortality", US_national_yearly!$D:$AM, 32, FALSE) / VLOOKUP("LULUCF|PM25|Premature mortality", US_national_yearly!$D:$AM, 10, FALSE), 1)</f>
        <v>3.6312174235780652E-4</v>
      </c>
      <c r="Y2" s="7">
        <f>$B2 * IFERROR(VLOOKUP("LULUCF|PM25|Premature mortality", US_national_yearly!$D:$AM, 33, FALSE) / VLOOKUP("LULUCF|PM25|Premature mortality", US_national_yearly!$D:$AM, 10, FALSE), 1)</f>
        <v>3.6344724426633554E-4</v>
      </c>
      <c r="Z2" s="7">
        <f>$B2 * IFERROR(VLOOKUP("LULUCF|PM25|Premature mortality", US_national_yearly!$D:$AM, 34, FALSE) / VLOOKUP("LULUCF|PM25|Premature mortality", US_national_yearly!$D:$AM, 10, FALSE), 1)</f>
        <v>3.6377274617486446E-4</v>
      </c>
      <c r="AA2" s="7">
        <f>$B2 * IFERROR(VLOOKUP("LULUCF|PM25|Premature mortality", US_national_yearly!$D:$AM, 35, FALSE) / VLOOKUP("LULUCF|PM25|Premature mortality", US_national_yearly!$D:$AM, 10, FALSE), 1)</f>
        <v>3.6409824808339349E-4</v>
      </c>
      <c r="AB2" s="7">
        <f>$B2 * IFERROR(VLOOKUP("LULUCF|PM25|Premature mortality", US_national_yearly!$D:$AM, 36, FALSE) / VLOOKUP("LULUCF|PM25|Premature mortality", US_national_yearly!$D:$AM, 10, FALSE), 1)</f>
        <v>3.6442374999192241E-4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4.930292157386433E-7</v>
      </c>
      <c r="C3" s="7">
        <f>$B3 * IFERROR(VLOOKUP("LULUCF|PM25|Infant mortality", US_national_yearly!$D:$AM, 11, FALSE) / VLOOKUP("LULUCF|PM25|Infant mortality", US_national_yearly!$D:$AM, 10, FALSE), 1)</f>
        <v>4.8873045086976848E-7</v>
      </c>
      <c r="D3" s="7">
        <f>$B3 * IFERROR(VLOOKUP("LULUCF|PM25|Infant mortality", US_national_yearly!$D:$AM, 12, FALSE) / VLOOKUP("LULUCF|PM25|Infant mortality", US_national_yearly!$D:$AM, 10, FALSE), 1)</f>
        <v>4.8443168600089355E-7</v>
      </c>
      <c r="E3" s="7">
        <f>$B3 * IFERROR(VLOOKUP("LULUCF|PM25|Infant mortality", US_national_yearly!$D:$AM, 13, FALSE) / VLOOKUP("LULUCF|PM25|Infant mortality", US_national_yearly!$D:$AM, 10, FALSE), 1)</f>
        <v>4.8013292113201872E-7</v>
      </c>
      <c r="F3" s="7">
        <f>$B3 * IFERROR(VLOOKUP("LULUCF|PM25|Infant mortality", US_national_yearly!$D:$AM, 14, FALSE) / VLOOKUP("LULUCF|PM25|Infant mortality", US_national_yearly!$D:$AM, 10, FALSE), 1)</f>
        <v>4.7583415626314374E-7</v>
      </c>
      <c r="G3" s="7">
        <f>$B3 * IFERROR(VLOOKUP("LULUCF|PM25|Infant mortality", US_national_yearly!$D:$AM, 15, FALSE) / VLOOKUP("LULUCF|PM25|Infant mortality", US_national_yearly!$D:$AM, 10, FALSE), 1)</f>
        <v>3.1645516721478067E-7</v>
      </c>
      <c r="H3" s="7">
        <f>$B3 * IFERROR(VLOOKUP("LULUCF|PM25|Infant mortality", US_national_yearly!$D:$AM, 16, FALSE) / VLOOKUP("LULUCF|PM25|Infant mortality", US_national_yearly!$D:$AM, 10, FALSE), 1)</f>
        <v>1.5707617816641747E-7</v>
      </c>
      <c r="I3" s="7">
        <f>$B3 * IFERROR(VLOOKUP("LULUCF|PM25|Infant mortality", US_national_yearly!$D:$AM, 17, FALSE) / VLOOKUP("LULUCF|PM25|Infant mortality", US_national_yearly!$D:$AM, 10, FALSE), 1)</f>
        <v>1.5604942587539286E-7</v>
      </c>
      <c r="J3" s="7">
        <f>$B3 * IFERROR(VLOOKUP("LULUCF|PM25|Infant mortality", US_national_yearly!$D:$AM, 18, FALSE) / VLOOKUP("LULUCF|PM25|Infant mortality", US_national_yearly!$D:$AM, 10, FALSE), 1)</f>
        <v>1.5502267358436822E-7</v>
      </c>
      <c r="K3" s="7">
        <f>$B3 * IFERROR(VLOOKUP("LULUCF|PM25|Infant mortality", US_national_yearly!$D:$AM, 19, FALSE) / VLOOKUP("LULUCF|PM25|Infant mortality", US_national_yearly!$D:$AM, 10, FALSE), 1)</f>
        <v>1.5399592129334358E-7</v>
      </c>
      <c r="L3" s="7">
        <f>$B3 * IFERROR(VLOOKUP("LULUCF|PM25|Infant mortality", US_national_yearly!$D:$AM, 20, FALSE) / VLOOKUP("LULUCF|PM25|Infant mortality", US_national_yearly!$D:$AM, 10, FALSE), 1)</f>
        <v>1.5296916900231899E-7</v>
      </c>
      <c r="M3" s="7">
        <f>$B3 * IFERROR(VLOOKUP("LULUCF|PM25|Infant mortality", US_national_yearly!$D:$AM, 21, FALSE) / VLOOKUP("LULUCF|PM25|Infant mortality", US_national_yearly!$D:$AM, 10, FALSE), 1)</f>
        <v>1.5194241671129438E-7</v>
      </c>
      <c r="N3" s="7">
        <f>$B3 * IFERROR(VLOOKUP("LULUCF|PM25|Infant mortality", US_national_yearly!$D:$AM, 22, FALSE) / VLOOKUP("LULUCF|PM25|Infant mortality", US_national_yearly!$D:$AM, 10, FALSE), 1)</f>
        <v>1.5129750259995053E-7</v>
      </c>
      <c r="O3" s="7">
        <f>$B3 * IFERROR(VLOOKUP("LULUCF|PM25|Infant mortality", US_national_yearly!$D:$AM, 23, FALSE) / VLOOKUP("LULUCF|PM25|Infant mortality", US_national_yearly!$D:$AM, 10, FALSE), 1)</f>
        <v>1.506525884886067E-7</v>
      </c>
      <c r="P3" s="7">
        <f>$B3 * IFERROR(VLOOKUP("LULUCF|PM25|Infant mortality", US_national_yearly!$D:$AM, 24, FALSE) / VLOOKUP("LULUCF|PM25|Infant mortality", US_national_yearly!$D:$AM, 10, FALSE), 1)</f>
        <v>1.5000767437726282E-7</v>
      </c>
      <c r="Q3" s="7">
        <f>$B3 * IFERROR(VLOOKUP("LULUCF|PM25|Infant mortality", US_national_yearly!$D:$AM, 25, FALSE) / VLOOKUP("LULUCF|PM25|Infant mortality", US_national_yearly!$D:$AM, 10, FALSE), 1)</f>
        <v>1.4936276026591899E-7</v>
      </c>
      <c r="R3" s="7">
        <f>$B3 * IFERROR(VLOOKUP("LULUCF|PM25|Infant mortality", US_national_yearly!$D:$AM, 26, FALSE) / VLOOKUP("LULUCF|PM25|Infant mortality", US_national_yearly!$D:$AM, 10, FALSE), 1)</f>
        <v>1.4871784615457511E-7</v>
      </c>
      <c r="S3" s="7">
        <f>$B3 * IFERROR(VLOOKUP("LULUCF|PM25|Infant mortality", US_national_yearly!$D:$AM, 27, FALSE) / VLOOKUP("LULUCF|PM25|Infant mortality", US_national_yearly!$D:$AM, 10, FALSE), 1)</f>
        <v>1.4791394752848503E-7</v>
      </c>
      <c r="T3" s="7">
        <f>$B3 * IFERROR(VLOOKUP("LULUCF|PM25|Infant mortality", US_national_yearly!$D:$AM, 28, FALSE) / VLOOKUP("LULUCF|PM25|Infant mortality", US_national_yearly!$D:$AM, 10, FALSE), 1)</f>
        <v>1.471100489023949E-7</v>
      </c>
      <c r="U3" s="7">
        <f>$B3 * IFERROR(VLOOKUP("LULUCF|PM25|Infant mortality", US_national_yearly!$D:$AM, 29, FALSE) / VLOOKUP("LULUCF|PM25|Infant mortality", US_national_yearly!$D:$AM, 10, FALSE), 1)</f>
        <v>1.4630615027630482E-7</v>
      </c>
      <c r="V3" s="7">
        <f>$B3 * IFERROR(VLOOKUP("LULUCF|PM25|Infant mortality", US_national_yearly!$D:$AM, 30, FALSE) / VLOOKUP("LULUCF|PM25|Infant mortality", US_national_yearly!$D:$AM, 10, FALSE), 1)</f>
        <v>1.4550225165021472E-7</v>
      </c>
      <c r="W3" s="7">
        <f>$B3 * IFERROR(VLOOKUP("LULUCF|PM25|Infant mortality", US_national_yearly!$D:$AM, 31, FALSE) / VLOOKUP("LULUCF|PM25|Infant mortality", US_national_yearly!$D:$AM, 10, FALSE), 1)</f>
        <v>1.4469835302412458E-7</v>
      </c>
      <c r="X3" s="7">
        <f>$B3 * IFERROR(VLOOKUP("LULUCF|PM25|Infant mortality", US_national_yearly!$D:$AM, 32, FALSE) / VLOOKUP("LULUCF|PM25|Infant mortality", US_national_yearly!$D:$AM, 10, FALSE), 1)</f>
        <v>1.4383164926574244E-7</v>
      </c>
      <c r="Y3" s="7">
        <f>$B3 * IFERROR(VLOOKUP("LULUCF|PM25|Infant mortality", US_national_yearly!$D:$AM, 33, FALSE) / VLOOKUP("LULUCF|PM25|Infant mortality", US_national_yearly!$D:$AM, 10, FALSE), 1)</f>
        <v>1.4296494550736021E-7</v>
      </c>
      <c r="Z3" s="7">
        <f>$B3 * IFERROR(VLOOKUP("LULUCF|PM25|Infant mortality", US_national_yearly!$D:$AM, 34, FALSE) / VLOOKUP("LULUCF|PM25|Infant mortality", US_national_yearly!$D:$AM, 10, FALSE), 1)</f>
        <v>1.4209824174897804E-7</v>
      </c>
      <c r="AA3" s="7">
        <f>$B3 * IFERROR(VLOOKUP("LULUCF|PM25|Infant mortality", US_national_yearly!$D:$AM, 35, FALSE) / VLOOKUP("LULUCF|PM25|Infant mortality", US_national_yearly!$D:$AM, 10, FALSE), 1)</f>
        <v>1.4123153799059586E-7</v>
      </c>
      <c r="AB3" s="7">
        <f>$B3 * IFERROR(VLOOKUP("LULUCF|PM25|Infant mortality", US_national_yearly!$D:$AM, 36, FALSE) / VLOOKUP("LULUCF|PM25|Infant mortality", US_national_yearly!$D:$AM, 10, FALSE), 1)</f>
        <v>1.4036483423221369E-7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6.8627770201285616E-4</v>
      </c>
      <c r="C6" s="7">
        <f>$B6 * IFERROR(VLOOKUP("LULUCF|PM25|Asthma symptoms cough", US_national_yearly!$D:$AM, 11, FALSE) / VLOOKUP("LULUCF|PM25|Asthma symptoms cough", US_national_yearly!$D:$AM, 10, FALSE), 1)</f>
        <v>6.8627770201285616E-4</v>
      </c>
      <c r="D6" s="7">
        <f>$B6 * IFERROR(VLOOKUP("LULUCF|PM25|Asthma symptoms cough", US_national_yearly!$D:$AM, 12, FALSE) / VLOOKUP("LULUCF|PM25|Asthma symptoms cough", US_national_yearly!$D:$AM, 10, FALSE), 1)</f>
        <v>6.8627770201285616E-4</v>
      </c>
      <c r="E6" s="7">
        <f>$B6 * IFERROR(VLOOKUP("LULUCF|PM25|Asthma symptoms cough", US_national_yearly!$D:$AM, 13, FALSE) / VLOOKUP("LULUCF|PM25|Asthma symptoms cough", US_national_yearly!$D:$AM, 10, FALSE), 1)</f>
        <v>6.8627770201285616E-4</v>
      </c>
      <c r="F6" s="7">
        <f>$B6 * IFERROR(VLOOKUP("LULUCF|PM25|Asthma symptoms cough", US_national_yearly!$D:$AM, 14, FALSE) / VLOOKUP("LULUCF|PM25|Asthma symptoms cough", US_national_yearly!$D:$AM, 10, FALSE), 1)</f>
        <v>6.8627770201285616E-4</v>
      </c>
      <c r="G6" s="7">
        <f>$B6 * IFERROR(VLOOKUP("LULUCF|PM25|Asthma symptoms cough", US_national_yearly!$D:$AM, 15, FALSE) / VLOOKUP("LULUCF|PM25|Asthma symptoms cough", US_national_yearly!$D:$AM, 10, FALSE), 1)</f>
        <v>6.8627770201285616E-4</v>
      </c>
      <c r="H6" s="7">
        <f>$B6 * IFERROR(VLOOKUP("LULUCF|PM25|Asthma symptoms cough", US_national_yearly!$D:$AM, 16, FALSE) / VLOOKUP("LULUCF|PM25|Asthma symptoms cough", US_national_yearly!$D:$AM, 10, FALSE), 1)</f>
        <v>6.8627770201285616E-4</v>
      </c>
      <c r="I6" s="7">
        <f>$B6 * IFERROR(VLOOKUP("LULUCF|PM25|Asthma symptoms cough", US_national_yearly!$D:$AM, 17, FALSE) / VLOOKUP("LULUCF|PM25|Asthma symptoms cough", US_national_yearly!$D:$AM, 10, FALSE), 1)</f>
        <v>6.8627770201285616E-4</v>
      </c>
      <c r="J6" s="7">
        <f>$B6 * IFERROR(VLOOKUP("LULUCF|PM25|Asthma symptoms cough", US_national_yearly!$D:$AM, 18, FALSE) / VLOOKUP("LULUCF|PM25|Asthma symptoms cough", US_national_yearly!$D:$AM, 10, FALSE), 1)</f>
        <v>6.8627770201285616E-4</v>
      </c>
      <c r="K6" s="7">
        <f>$B6 * IFERROR(VLOOKUP("LULUCF|PM25|Asthma symptoms cough", US_national_yearly!$D:$AM, 19, FALSE) / VLOOKUP("LULUCF|PM25|Asthma symptoms cough", US_national_yearly!$D:$AM, 10, FALSE), 1)</f>
        <v>6.8627770201285616E-4</v>
      </c>
      <c r="L6" s="7">
        <f>$B6 * IFERROR(VLOOKUP("LULUCF|PM25|Asthma symptoms cough", US_national_yearly!$D:$AM, 20, FALSE) / VLOOKUP("LULUCF|PM25|Asthma symptoms cough", US_national_yearly!$D:$AM, 10, FALSE), 1)</f>
        <v>6.8627770201285616E-4</v>
      </c>
      <c r="M6" s="7">
        <f>$B6 * IFERROR(VLOOKUP("LULUCF|PM25|Asthma symptoms cough", US_national_yearly!$D:$AM, 21, FALSE) / VLOOKUP("LULUCF|PM25|Asthma symptoms cough", US_national_yearly!$D:$AM, 10, FALSE), 1)</f>
        <v>6.8627770201285616E-4</v>
      </c>
      <c r="N6" s="7">
        <f>$B6 * IFERROR(VLOOKUP("LULUCF|PM25|Asthma symptoms cough", US_national_yearly!$D:$AM, 22, FALSE) / VLOOKUP("LULUCF|PM25|Asthma symptoms cough", US_national_yearly!$D:$AM, 10, FALSE), 1)</f>
        <v>6.8627770201285616E-4</v>
      </c>
      <c r="O6" s="7">
        <f>$B6 * IFERROR(VLOOKUP("LULUCF|PM25|Asthma symptoms cough", US_national_yearly!$D:$AM, 23, FALSE) / VLOOKUP("LULUCF|PM25|Asthma symptoms cough", US_national_yearly!$D:$AM, 10, FALSE), 1)</f>
        <v>6.8627770201285616E-4</v>
      </c>
      <c r="P6" s="7">
        <f>$B6 * IFERROR(VLOOKUP("LULUCF|PM25|Asthma symptoms cough", US_national_yearly!$D:$AM, 24, FALSE) / VLOOKUP("LULUCF|PM25|Asthma symptoms cough", US_national_yearly!$D:$AM, 10, FALSE), 1)</f>
        <v>6.8627770201285616E-4</v>
      </c>
      <c r="Q6" s="7">
        <f>$B6 * IFERROR(VLOOKUP("LULUCF|PM25|Asthma symptoms cough", US_national_yearly!$D:$AM, 25, FALSE) / VLOOKUP("LULUCF|PM25|Asthma symptoms cough", US_national_yearly!$D:$AM, 10, FALSE), 1)</f>
        <v>6.8627770201285616E-4</v>
      </c>
      <c r="R6" s="7">
        <f>$B6 * IFERROR(VLOOKUP("LULUCF|PM25|Asthma symptoms cough", US_national_yearly!$D:$AM, 26, FALSE) / VLOOKUP("LULUCF|PM25|Asthma symptoms cough", US_national_yearly!$D:$AM, 10, FALSE), 1)</f>
        <v>6.8627770201285616E-4</v>
      </c>
      <c r="S6" s="7">
        <f>$B6 * IFERROR(VLOOKUP("LULUCF|PM25|Asthma symptoms cough", US_national_yearly!$D:$AM, 27, FALSE) / VLOOKUP("LULUCF|PM25|Asthma symptoms cough", US_national_yearly!$D:$AM, 10, FALSE), 1)</f>
        <v>6.8627770201285616E-4</v>
      </c>
      <c r="T6" s="7">
        <f>$B6 * IFERROR(VLOOKUP("LULUCF|PM25|Asthma symptoms cough", US_national_yearly!$D:$AM, 28, FALSE) / VLOOKUP("LULUCF|PM25|Asthma symptoms cough", US_national_yearly!$D:$AM, 10, FALSE), 1)</f>
        <v>6.8627770201285616E-4</v>
      </c>
      <c r="U6" s="7">
        <f>$B6 * IFERROR(VLOOKUP("LULUCF|PM25|Asthma symptoms cough", US_national_yearly!$D:$AM, 29, FALSE) / VLOOKUP("LULUCF|PM25|Asthma symptoms cough", US_national_yearly!$D:$AM, 10, FALSE), 1)</f>
        <v>6.8627770201285616E-4</v>
      </c>
      <c r="V6" s="7">
        <f>$B6 * IFERROR(VLOOKUP("LULUCF|PM25|Asthma symptoms cough", US_national_yearly!$D:$AM, 30, FALSE) / VLOOKUP("LULUCF|PM25|Asthma symptoms cough", US_national_yearly!$D:$AM, 10, FALSE), 1)</f>
        <v>6.8627770201285616E-4</v>
      </c>
      <c r="W6" s="7">
        <f>$B6 * IFERROR(VLOOKUP("LULUCF|PM25|Asthma symptoms cough", US_national_yearly!$D:$AM, 31, FALSE) / VLOOKUP("LULUCF|PM25|Asthma symptoms cough", US_national_yearly!$D:$AM, 10, FALSE), 1)</f>
        <v>6.8627770201285616E-4</v>
      </c>
      <c r="X6" s="7">
        <f>$B6 * IFERROR(VLOOKUP("LULUCF|PM25|Asthma symptoms cough", US_national_yearly!$D:$AM, 32, FALSE) / VLOOKUP("LULUCF|PM25|Asthma symptoms cough", US_national_yearly!$D:$AM, 10, FALSE), 1)</f>
        <v>6.8627770201285616E-4</v>
      </c>
      <c r="Y6" s="7">
        <f>$B6 * IFERROR(VLOOKUP("LULUCF|PM25|Asthma symptoms cough", US_national_yearly!$D:$AM, 33, FALSE) / VLOOKUP("LULUCF|PM25|Asthma symptoms cough", US_national_yearly!$D:$AM, 10, FALSE), 1)</f>
        <v>6.8627770201285616E-4</v>
      </c>
      <c r="Z6" s="7">
        <f>$B6 * IFERROR(VLOOKUP("LULUCF|PM25|Asthma symptoms cough", US_national_yearly!$D:$AM, 34, FALSE) / VLOOKUP("LULUCF|PM25|Asthma symptoms cough", US_national_yearly!$D:$AM, 10, FALSE), 1)</f>
        <v>6.8627770201285616E-4</v>
      </c>
      <c r="AA6" s="7">
        <f>$B6 * IFERROR(VLOOKUP("LULUCF|PM25|Asthma symptoms cough", US_national_yearly!$D:$AM, 35, FALSE) / VLOOKUP("LULUCF|PM25|Asthma symptoms cough", US_national_yearly!$D:$AM, 10, FALSE), 1)</f>
        <v>6.8627770201285616E-4</v>
      </c>
      <c r="AB6" s="7">
        <f>$B6 * IFERROR(VLOOKUP("LULUCF|PM25|Asthma symptoms cough", US_national_yearly!$D:$AM, 36, FALSE) / VLOOKUP("LULUCF|PM25|Asthma symptoms cough", US_national_yearly!$D:$AM, 10, FALSE), 1)</f>
        <v>6.8627770201285616E-4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9.2417285276755147E-4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9.2417285276755147E-4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9.2417285276755147E-4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9.2417285276755147E-4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9.2417285276755147E-4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9.2417285276755147E-4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9.2417285276755147E-4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9.2417285276755147E-4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9.2417285276755147E-4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9.2417285276755147E-4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9.2417285276755147E-4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9.2417285276755147E-4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9.2417285276755147E-4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9.2417285276755147E-4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9.2417285276755147E-4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9.2417285276755147E-4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9.2417285276755147E-4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9.2417285276755147E-4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9.2417285276755147E-4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9.2417285276755147E-4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9.2417285276755147E-4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9.2417285276755147E-4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9.2417285276755147E-4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9.2417285276755147E-4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9.2417285276755147E-4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9.2417285276755147E-4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9.2417285276755147E-4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1.4119782648707396E-3</v>
      </c>
      <c r="C8" s="7">
        <f>$B8 * IFERROR(VLOOKUP("LULUCF|PM25|Asthma symptoms wheeze", US_national_yearly!$D:$AM, 11, FALSE) / VLOOKUP("LULUCF|PM25|Asthma symptoms wheeze", US_national_yearly!$D:$AM, 10, FALSE), 1)</f>
        <v>1.4119782648707396E-3</v>
      </c>
      <c r="D8" s="7">
        <f>$B8 * IFERROR(VLOOKUP("LULUCF|PM25|Asthma symptoms wheeze", US_national_yearly!$D:$AM, 12, FALSE) / VLOOKUP("LULUCF|PM25|Asthma symptoms wheeze", US_national_yearly!$D:$AM, 10, FALSE), 1)</f>
        <v>1.4119782648707396E-3</v>
      </c>
      <c r="E8" s="7">
        <f>$B8 * IFERROR(VLOOKUP("LULUCF|PM25|Asthma symptoms wheeze", US_national_yearly!$D:$AM, 13, FALSE) / VLOOKUP("LULUCF|PM25|Asthma symptoms wheeze", US_national_yearly!$D:$AM, 10, FALSE), 1)</f>
        <v>1.4119782648707396E-3</v>
      </c>
      <c r="F8" s="7">
        <f>$B8 * IFERROR(VLOOKUP("LULUCF|PM25|Asthma symptoms wheeze", US_national_yearly!$D:$AM, 14, FALSE) / VLOOKUP("LULUCF|PM25|Asthma symptoms wheeze", US_national_yearly!$D:$AM, 10, FALSE), 1)</f>
        <v>1.4119782648707396E-3</v>
      </c>
      <c r="G8" s="7">
        <f>$B8 * IFERROR(VLOOKUP("LULUCF|PM25|Asthma symptoms wheeze", US_national_yearly!$D:$AM, 15, FALSE) / VLOOKUP("LULUCF|PM25|Asthma symptoms wheeze", US_national_yearly!$D:$AM, 10, FALSE), 1)</f>
        <v>1.4119782648707396E-3</v>
      </c>
      <c r="H8" s="7">
        <f>$B8 * IFERROR(VLOOKUP("LULUCF|PM25|Asthma symptoms wheeze", US_national_yearly!$D:$AM, 16, FALSE) / VLOOKUP("LULUCF|PM25|Asthma symptoms wheeze", US_national_yearly!$D:$AM, 10, FALSE), 1)</f>
        <v>1.4119782648707396E-3</v>
      </c>
      <c r="I8" s="7">
        <f>$B8 * IFERROR(VLOOKUP("LULUCF|PM25|Asthma symptoms wheeze", US_national_yearly!$D:$AM, 17, FALSE) / VLOOKUP("LULUCF|PM25|Asthma symptoms wheeze", US_national_yearly!$D:$AM, 10, FALSE), 1)</f>
        <v>1.4119782648707396E-3</v>
      </c>
      <c r="J8" s="7">
        <f>$B8 * IFERROR(VLOOKUP("LULUCF|PM25|Asthma symptoms wheeze", US_national_yearly!$D:$AM, 18, FALSE) / VLOOKUP("LULUCF|PM25|Asthma symptoms wheeze", US_national_yearly!$D:$AM, 10, FALSE), 1)</f>
        <v>1.4119782648707396E-3</v>
      </c>
      <c r="K8" s="7">
        <f>$B8 * IFERROR(VLOOKUP("LULUCF|PM25|Asthma symptoms wheeze", US_national_yearly!$D:$AM, 19, FALSE) / VLOOKUP("LULUCF|PM25|Asthma symptoms wheeze", US_national_yearly!$D:$AM, 10, FALSE), 1)</f>
        <v>1.4119782648707396E-3</v>
      </c>
      <c r="L8" s="7">
        <f>$B8 * IFERROR(VLOOKUP("LULUCF|PM25|Asthma symptoms wheeze", US_national_yearly!$D:$AM, 20, FALSE) / VLOOKUP("LULUCF|PM25|Asthma symptoms wheeze", US_national_yearly!$D:$AM, 10, FALSE), 1)</f>
        <v>1.4119782648707396E-3</v>
      </c>
      <c r="M8" s="7">
        <f>$B8 * IFERROR(VLOOKUP("LULUCF|PM25|Asthma symptoms wheeze", US_national_yearly!$D:$AM, 21, FALSE) / VLOOKUP("LULUCF|PM25|Asthma symptoms wheeze", US_national_yearly!$D:$AM, 10, FALSE), 1)</f>
        <v>1.4119782648707396E-3</v>
      </c>
      <c r="N8" s="7">
        <f>$B8 * IFERROR(VLOOKUP("LULUCF|PM25|Asthma symptoms wheeze", US_national_yearly!$D:$AM, 22, FALSE) / VLOOKUP("LULUCF|PM25|Asthma symptoms wheeze", US_national_yearly!$D:$AM, 10, FALSE), 1)</f>
        <v>1.4119782648707396E-3</v>
      </c>
      <c r="O8" s="7">
        <f>$B8 * IFERROR(VLOOKUP("LULUCF|PM25|Asthma symptoms wheeze", US_national_yearly!$D:$AM, 23, FALSE) / VLOOKUP("LULUCF|PM25|Asthma symptoms wheeze", US_national_yearly!$D:$AM, 10, FALSE), 1)</f>
        <v>1.4119782648707396E-3</v>
      </c>
      <c r="P8" s="7">
        <f>$B8 * IFERROR(VLOOKUP("LULUCF|PM25|Asthma symptoms wheeze", US_national_yearly!$D:$AM, 24, FALSE) / VLOOKUP("LULUCF|PM25|Asthma symptoms wheeze", US_national_yearly!$D:$AM, 10, FALSE), 1)</f>
        <v>1.4119782648707396E-3</v>
      </c>
      <c r="Q8" s="7">
        <f>$B8 * IFERROR(VLOOKUP("LULUCF|PM25|Asthma symptoms wheeze", US_national_yearly!$D:$AM, 25, FALSE) / VLOOKUP("LULUCF|PM25|Asthma symptoms wheeze", US_national_yearly!$D:$AM, 10, FALSE), 1)</f>
        <v>1.4119782648707396E-3</v>
      </c>
      <c r="R8" s="7">
        <f>$B8 * IFERROR(VLOOKUP("LULUCF|PM25|Asthma symptoms wheeze", US_national_yearly!$D:$AM, 26, FALSE) / VLOOKUP("LULUCF|PM25|Asthma symptoms wheeze", US_national_yearly!$D:$AM, 10, FALSE), 1)</f>
        <v>1.4119782648707396E-3</v>
      </c>
      <c r="S8" s="7">
        <f>$B8 * IFERROR(VLOOKUP("LULUCF|PM25|Asthma symptoms wheeze", US_national_yearly!$D:$AM, 27, FALSE) / VLOOKUP("LULUCF|PM25|Asthma symptoms wheeze", US_national_yearly!$D:$AM, 10, FALSE), 1)</f>
        <v>1.4119782648707396E-3</v>
      </c>
      <c r="T8" s="7">
        <f>$B8 * IFERROR(VLOOKUP("LULUCF|PM25|Asthma symptoms wheeze", US_national_yearly!$D:$AM, 28, FALSE) / VLOOKUP("LULUCF|PM25|Asthma symptoms wheeze", US_national_yearly!$D:$AM, 10, FALSE), 1)</f>
        <v>1.4119782648707396E-3</v>
      </c>
      <c r="U8" s="7">
        <f>$B8 * IFERROR(VLOOKUP("LULUCF|PM25|Asthma symptoms wheeze", US_national_yearly!$D:$AM, 29, FALSE) / VLOOKUP("LULUCF|PM25|Asthma symptoms wheeze", US_national_yearly!$D:$AM, 10, FALSE), 1)</f>
        <v>1.4119782648707396E-3</v>
      </c>
      <c r="V8" s="7">
        <f>$B8 * IFERROR(VLOOKUP("LULUCF|PM25|Asthma symptoms wheeze", US_national_yearly!$D:$AM, 30, FALSE) / VLOOKUP("LULUCF|PM25|Asthma symptoms wheeze", US_national_yearly!$D:$AM, 10, FALSE), 1)</f>
        <v>1.4119782648707396E-3</v>
      </c>
      <c r="W8" s="7">
        <f>$B8 * IFERROR(VLOOKUP("LULUCF|PM25|Asthma symptoms wheeze", US_national_yearly!$D:$AM, 31, FALSE) / VLOOKUP("LULUCF|PM25|Asthma symptoms wheeze", US_national_yearly!$D:$AM, 10, FALSE), 1)</f>
        <v>1.4119782648707396E-3</v>
      </c>
      <c r="X8" s="7">
        <f>$B8 * IFERROR(VLOOKUP("LULUCF|PM25|Asthma symptoms wheeze", US_national_yearly!$D:$AM, 32, FALSE) / VLOOKUP("LULUCF|PM25|Asthma symptoms wheeze", US_national_yearly!$D:$AM, 10, FALSE), 1)</f>
        <v>1.4119782648707396E-3</v>
      </c>
      <c r="Y8" s="7">
        <f>$B8 * IFERROR(VLOOKUP("LULUCF|PM25|Asthma symptoms wheeze", US_national_yearly!$D:$AM, 33, FALSE) / VLOOKUP("LULUCF|PM25|Asthma symptoms wheeze", US_national_yearly!$D:$AM, 10, FALSE), 1)</f>
        <v>1.4119782648707396E-3</v>
      </c>
      <c r="Z8" s="7">
        <f>$B8 * IFERROR(VLOOKUP("LULUCF|PM25|Asthma symptoms wheeze", US_national_yearly!$D:$AM, 34, FALSE) / VLOOKUP("LULUCF|PM25|Asthma symptoms wheeze", US_national_yearly!$D:$AM, 10, FALSE), 1)</f>
        <v>1.4119782648707396E-3</v>
      </c>
      <c r="AA8" s="7">
        <f>$B8 * IFERROR(VLOOKUP("LULUCF|PM25|Asthma symptoms wheeze", US_national_yearly!$D:$AM, 35, FALSE) / VLOOKUP("LULUCF|PM25|Asthma symptoms wheeze", US_national_yearly!$D:$AM, 10, FALSE), 1)</f>
        <v>1.4119782648707396E-3</v>
      </c>
      <c r="AB8" s="7">
        <f>$B8 * IFERROR(VLOOKUP("LULUCF|PM25|Asthma symptoms wheeze", US_national_yearly!$D:$AM, 36, FALSE) / VLOOKUP("LULUCF|PM25|Asthma symptoms wheeze", US_national_yearly!$D:$AM, 10, FALSE), 1)</f>
        <v>1.4119782648707396E-3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2.1877042484238472E-5</v>
      </c>
      <c r="C12" s="7">
        <f>$B12 * IFERROR(VLOOKUP("LULUCF|PM25|Respiratory hospital admissions", US_national_yearly!$D:$AM, 11, FALSE) / VLOOKUP("LULUCF|PM25|Respiratory hospital admissions", US_national_yearly!$D:$AM, 10, FALSE), 1)</f>
        <v>2.2002432874064054E-5</v>
      </c>
      <c r="D12" s="7">
        <f>$B12 * IFERROR(VLOOKUP("LULUCF|PM25|Respiratory hospital admissions", US_national_yearly!$D:$AM, 12, FALSE) / VLOOKUP("LULUCF|PM25|Respiratory hospital admissions", US_national_yearly!$D:$AM, 10, FALSE), 1)</f>
        <v>2.2127823263889633E-5</v>
      </c>
      <c r="E12" s="7">
        <f>$B12 * IFERROR(VLOOKUP("LULUCF|PM25|Respiratory hospital admissions", US_national_yearly!$D:$AM, 13, FALSE) / VLOOKUP("LULUCF|PM25|Respiratory hospital admissions", US_national_yearly!$D:$AM, 10, FALSE), 1)</f>
        <v>2.2253213653715219E-5</v>
      </c>
      <c r="F12" s="7">
        <f>$B12 * IFERROR(VLOOKUP("LULUCF|PM25|Respiratory hospital admissions", US_national_yearly!$D:$AM, 14, FALSE) / VLOOKUP("LULUCF|PM25|Respiratory hospital admissions", US_national_yearly!$D:$AM, 10, FALSE), 1)</f>
        <v>2.2378604043540797E-5</v>
      </c>
      <c r="G12" s="7">
        <f>$B12 * IFERROR(VLOOKUP("LULUCF|PM25|Respiratory hospital admissions", US_national_yearly!$D:$AM, 15, FALSE) / VLOOKUP("LULUCF|PM25|Respiratory hospital admissions", US_national_yearly!$D:$AM, 10, FALSE), 1)</f>
        <v>2.2514031013114069E-5</v>
      </c>
      <c r="H12" s="7">
        <f>$B12 * IFERROR(VLOOKUP("LULUCF|PM25|Respiratory hospital admissions", US_national_yearly!$D:$AM, 16, FALSE) / VLOOKUP("LULUCF|PM25|Respiratory hospital admissions", US_national_yearly!$D:$AM, 10, FALSE), 1)</f>
        <v>2.2649457982687344E-5</v>
      </c>
      <c r="I12" s="7">
        <f>$B12 * IFERROR(VLOOKUP("LULUCF|PM25|Respiratory hospital admissions", US_national_yearly!$D:$AM, 17, FALSE) / VLOOKUP("LULUCF|PM25|Respiratory hospital admissions", US_national_yearly!$D:$AM, 10, FALSE), 1)</f>
        <v>2.2778853306768413E-5</v>
      </c>
      <c r="J12" s="7">
        <f>$B12 * IFERROR(VLOOKUP("LULUCF|PM25|Respiratory hospital admissions", US_national_yearly!$D:$AM, 18, FALSE) / VLOOKUP("LULUCF|PM25|Respiratory hospital admissions", US_national_yearly!$D:$AM, 10, FALSE), 1)</f>
        <v>2.2908248630849495E-5</v>
      </c>
      <c r="K12" s="7">
        <f>$B12 * IFERROR(VLOOKUP("LULUCF|PM25|Respiratory hospital admissions", US_national_yearly!$D:$AM, 19, FALSE) / VLOOKUP("LULUCF|PM25|Respiratory hospital admissions", US_national_yearly!$D:$AM, 10, FALSE), 1)</f>
        <v>2.3037643954930571E-5</v>
      </c>
      <c r="L12" s="7">
        <f>$B12 * IFERROR(VLOOKUP("LULUCF|PM25|Respiratory hospital admissions", US_national_yearly!$D:$AM, 20, FALSE) / VLOOKUP("LULUCF|PM25|Respiratory hospital admissions", US_national_yearly!$D:$AM, 10, FALSE), 1)</f>
        <v>2.3167039279011654E-5</v>
      </c>
      <c r="M12" s="7">
        <f>$B12 * IFERROR(VLOOKUP("LULUCF|PM25|Respiratory hospital admissions", US_national_yearly!$D:$AM, 21, FALSE) / VLOOKUP("LULUCF|PM25|Respiratory hospital admissions", US_national_yearly!$D:$AM, 10, FALSE), 1)</f>
        <v>2.3296434603092723E-5</v>
      </c>
      <c r="N12" s="7">
        <f>$B12 * IFERROR(VLOOKUP("LULUCF|PM25|Respiratory hospital admissions", US_national_yearly!$D:$AM, 22, FALSE) / VLOOKUP("LULUCF|PM25|Respiratory hospital admissions", US_national_yearly!$D:$AM, 10, FALSE), 1)</f>
        <v>2.3389305403177935E-5</v>
      </c>
      <c r="O12" s="7">
        <f>$B12 * IFERROR(VLOOKUP("LULUCF|PM25|Respiratory hospital admissions", US_national_yearly!$D:$AM, 23, FALSE) / VLOOKUP("LULUCF|PM25|Respiratory hospital admissions", US_national_yearly!$D:$AM, 10, FALSE), 1)</f>
        <v>2.3482176203263145E-5</v>
      </c>
      <c r="P12" s="7">
        <f>$B12 * IFERROR(VLOOKUP("LULUCF|PM25|Respiratory hospital admissions", US_national_yearly!$D:$AM, 24, FALSE) / VLOOKUP("LULUCF|PM25|Respiratory hospital admissions", US_national_yearly!$D:$AM, 10, FALSE), 1)</f>
        <v>2.3575047003348347E-5</v>
      </c>
      <c r="Q12" s="7">
        <f>$B12 * IFERROR(VLOOKUP("LULUCF|PM25|Respiratory hospital admissions", US_national_yearly!$D:$AM, 25, FALSE) / VLOOKUP("LULUCF|PM25|Respiratory hospital admissions", US_national_yearly!$D:$AM, 10, FALSE), 1)</f>
        <v>2.3667917803433553E-5</v>
      </c>
      <c r="R12" s="7">
        <f>$B12 * IFERROR(VLOOKUP("LULUCF|PM25|Respiratory hospital admissions", US_national_yearly!$D:$AM, 26, FALSE) / VLOOKUP("LULUCF|PM25|Respiratory hospital admissions", US_national_yearly!$D:$AM, 10, FALSE), 1)</f>
        <v>2.3760788603518766E-5</v>
      </c>
      <c r="S12" s="7">
        <f>$B12 * IFERROR(VLOOKUP("LULUCF|PM25|Respiratory hospital admissions", US_national_yearly!$D:$AM, 27, FALSE) / VLOOKUP("LULUCF|PM25|Respiratory hospital admissions", US_national_yearly!$D:$AM, 10, FALSE), 1)</f>
        <v>2.3849213842587407E-5</v>
      </c>
      <c r="T12" s="7">
        <f>$B12 * IFERROR(VLOOKUP("LULUCF|PM25|Respiratory hospital admissions", US_national_yearly!$D:$AM, 28, FALSE) / VLOOKUP("LULUCF|PM25|Respiratory hospital admissions", US_national_yearly!$D:$AM, 10, FALSE), 1)</f>
        <v>2.3937639081656052E-5</v>
      </c>
      <c r="U12" s="7">
        <f>$B12 * IFERROR(VLOOKUP("LULUCF|PM25|Respiratory hospital admissions", US_national_yearly!$D:$AM, 29, FALSE) / VLOOKUP("LULUCF|PM25|Respiratory hospital admissions", US_national_yearly!$D:$AM, 10, FALSE), 1)</f>
        <v>2.402606432072469E-5</v>
      </c>
      <c r="V12" s="7">
        <f>$B12 * IFERROR(VLOOKUP("LULUCF|PM25|Respiratory hospital admissions", US_national_yearly!$D:$AM, 30, FALSE) / VLOOKUP("LULUCF|PM25|Respiratory hospital admissions", US_national_yearly!$D:$AM, 10, FALSE), 1)</f>
        <v>2.4114489559793332E-5</v>
      </c>
      <c r="W12" s="7">
        <f>$B12 * IFERROR(VLOOKUP("LULUCF|PM25|Respiratory hospital admissions", US_national_yearly!$D:$AM, 31, FALSE) / VLOOKUP("LULUCF|PM25|Respiratory hospital admissions", US_national_yearly!$D:$AM, 10, FALSE), 1)</f>
        <v>2.4202914798861973E-5</v>
      </c>
      <c r="X12" s="7">
        <f>$B12 * IFERROR(VLOOKUP("LULUCF|PM25|Respiratory hospital admissions", US_national_yearly!$D:$AM, 32, FALSE) / VLOOKUP("LULUCF|PM25|Respiratory hospital admissions", US_national_yearly!$D:$AM, 10, FALSE), 1)</f>
        <v>2.4287981006813401E-5</v>
      </c>
      <c r="Y12" s="7">
        <f>$B12 * IFERROR(VLOOKUP("LULUCF|PM25|Respiratory hospital admissions", US_national_yearly!$D:$AM, 33, FALSE) / VLOOKUP("LULUCF|PM25|Respiratory hospital admissions", US_national_yearly!$D:$AM, 10, FALSE), 1)</f>
        <v>2.4373047214764825E-5</v>
      </c>
      <c r="Z12" s="7">
        <f>$B12 * IFERROR(VLOOKUP("LULUCF|PM25|Respiratory hospital admissions", US_national_yearly!$D:$AM, 34, FALSE) / VLOOKUP("LULUCF|PM25|Respiratory hospital admissions", US_national_yearly!$D:$AM, 10, FALSE), 1)</f>
        <v>2.4458113422716249E-5</v>
      </c>
      <c r="AA12" s="7">
        <f>$B12 * IFERROR(VLOOKUP("LULUCF|PM25|Respiratory hospital admissions", US_national_yearly!$D:$AM, 35, FALSE) / VLOOKUP("LULUCF|PM25|Respiratory hospital admissions", US_national_yearly!$D:$AM, 10, FALSE), 1)</f>
        <v>2.4543179630667669E-5</v>
      </c>
      <c r="AB12" s="7">
        <f>$B12 * IFERROR(VLOOKUP("LULUCF|PM25|Respiratory hospital admissions", US_national_yearly!$D:$AM, 36, FALSE) / VLOOKUP("LULUCF|PM25|Respiratory hospital admissions", US_national_yearly!$D:$AM, 10, FALSE), 1)</f>
        <v>2.4628245838619097E-5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1.1502501492344208E-4</v>
      </c>
      <c r="C13" s="7">
        <f>$B13 * IFERROR(VLOOKUP("LULUCF|PM25|Non-fatal heart attacks", US_national_yearly!$D:$AM, 11, FALSE) / VLOOKUP("LULUCF|PM25|Non-fatal heart attacks", US_national_yearly!$D:$AM, 10, FALSE), 1)</f>
        <v>1.1836909734872129E-4</v>
      </c>
      <c r="D13" s="7">
        <f>$B13 * IFERROR(VLOOKUP("LULUCF|PM25|Non-fatal heart attacks", US_national_yearly!$D:$AM, 12, FALSE) / VLOOKUP("LULUCF|PM25|Non-fatal heart attacks", US_national_yearly!$D:$AM, 10, FALSE), 1)</f>
        <v>1.217131797740005E-4</v>
      </c>
      <c r="E13" s="7">
        <f>$B13 * IFERROR(VLOOKUP("LULUCF|PM25|Non-fatal heart attacks", US_national_yearly!$D:$AM, 13, FALSE) / VLOOKUP("LULUCF|PM25|Non-fatal heart attacks", US_national_yearly!$D:$AM, 10, FALSE), 1)</f>
        <v>1.2505726219927968E-4</v>
      </c>
      <c r="F13" s="7">
        <f>$B13 * IFERROR(VLOOKUP("LULUCF|PM25|Non-fatal heart attacks", US_national_yearly!$D:$AM, 14, FALSE) / VLOOKUP("LULUCF|PM25|Non-fatal heart attacks", US_national_yearly!$D:$AM, 10, FALSE), 1)</f>
        <v>1.2840134462455892E-4</v>
      </c>
      <c r="G13" s="7">
        <f>$B13 * IFERROR(VLOOKUP("LULUCF|PM25|Non-fatal heart attacks", US_national_yearly!$D:$AM, 15, FALSE) / VLOOKUP("LULUCF|PM25|Non-fatal heart attacks", US_national_yearly!$D:$AM, 10, FALSE), 1)</f>
        <v>1.315550257603895E-4</v>
      </c>
      <c r="H13" s="7">
        <f>$B13 * IFERROR(VLOOKUP("LULUCF|PM25|Non-fatal heart attacks", US_national_yearly!$D:$AM, 16, FALSE) / VLOOKUP("LULUCF|PM25|Non-fatal heart attacks", US_national_yearly!$D:$AM, 10, FALSE), 1)</f>
        <v>1.3470870689622009E-4</v>
      </c>
      <c r="I13" s="7">
        <f>$B13 * IFERROR(VLOOKUP("LULUCF|PM25|Non-fatal heart attacks", US_national_yearly!$D:$AM, 17, FALSE) / VLOOKUP("LULUCF|PM25|Non-fatal heart attacks", US_national_yearly!$D:$AM, 10, FALSE), 1)</f>
        <v>1.3724321712624391E-4</v>
      </c>
      <c r="J13" s="7">
        <f>$B13 * IFERROR(VLOOKUP("LULUCF|PM25|Non-fatal heart attacks", US_national_yearly!$D:$AM, 18, FALSE) / VLOOKUP("LULUCF|PM25|Non-fatal heart attacks", US_national_yearly!$D:$AM, 10, FALSE), 1)</f>
        <v>1.3977772735626772E-4</v>
      </c>
      <c r="K13" s="7">
        <f>$B13 * IFERROR(VLOOKUP("LULUCF|PM25|Non-fatal heart attacks", US_national_yearly!$D:$AM, 19, FALSE) / VLOOKUP("LULUCF|PM25|Non-fatal heart attacks", US_national_yearly!$D:$AM, 10, FALSE), 1)</f>
        <v>1.4231223758629156E-4</v>
      </c>
      <c r="L13" s="7">
        <f>$B13 * IFERROR(VLOOKUP("LULUCF|PM25|Non-fatal heart attacks", US_national_yearly!$D:$AM, 20, FALSE) / VLOOKUP("LULUCF|PM25|Non-fatal heart attacks", US_national_yearly!$D:$AM, 10, FALSE), 1)</f>
        <v>1.4484674781631534E-4</v>
      </c>
      <c r="M13" s="7">
        <f>$B13 * IFERROR(VLOOKUP("LULUCF|PM25|Non-fatal heart attacks", US_national_yearly!$D:$AM, 21, FALSE) / VLOOKUP("LULUCF|PM25|Non-fatal heart attacks", US_national_yearly!$D:$AM, 10, FALSE), 1)</f>
        <v>1.4738125804633918E-4</v>
      </c>
      <c r="N13" s="7">
        <f>$B13 * IFERROR(VLOOKUP("LULUCF|PM25|Non-fatal heart attacks", US_national_yearly!$D:$AM, 22, FALSE) / VLOOKUP("LULUCF|PM25|Non-fatal heart attacks", US_national_yearly!$D:$AM, 10, FALSE), 1)</f>
        <v>1.4901576687327615E-4</v>
      </c>
      <c r="O13" s="7">
        <f>$B13 * IFERROR(VLOOKUP("LULUCF|PM25|Non-fatal heart attacks", US_national_yearly!$D:$AM, 23, FALSE) / VLOOKUP("LULUCF|PM25|Non-fatal heart attacks", US_national_yearly!$D:$AM, 10, FALSE), 1)</f>
        <v>1.5065027570021312E-4</v>
      </c>
      <c r="P13" s="7">
        <f>$B13 * IFERROR(VLOOKUP("LULUCF|PM25|Non-fatal heart attacks", US_national_yearly!$D:$AM, 24, FALSE) / VLOOKUP("LULUCF|PM25|Non-fatal heart attacks", US_national_yearly!$D:$AM, 10, FALSE), 1)</f>
        <v>1.5228478452715009E-4</v>
      </c>
      <c r="Q13" s="7">
        <f>$B13 * IFERROR(VLOOKUP("LULUCF|PM25|Non-fatal heart attacks", US_national_yearly!$D:$AM, 25, FALSE) / VLOOKUP("LULUCF|PM25|Non-fatal heart attacks", US_national_yearly!$D:$AM, 10, FALSE), 1)</f>
        <v>1.5391929335408704E-4</v>
      </c>
      <c r="R13" s="7">
        <f>$B13 * IFERROR(VLOOKUP("LULUCF|PM25|Non-fatal heart attacks", US_national_yearly!$D:$AM, 26, FALSE) / VLOOKUP("LULUCF|PM25|Non-fatal heart attacks", US_national_yearly!$D:$AM, 10, FALSE), 1)</f>
        <v>1.5555380218102401E-4</v>
      </c>
      <c r="S13" s="7">
        <f>$B13 * IFERROR(VLOOKUP("LULUCF|PM25|Non-fatal heart attacks", US_national_yearly!$D:$AM, 27, FALSE) / VLOOKUP("LULUCF|PM25|Non-fatal heart attacks", US_national_yearly!$D:$AM, 10, FALSE), 1)</f>
        <v>1.5641458122684981E-4</v>
      </c>
      <c r="T13" s="7">
        <f>$B13 * IFERROR(VLOOKUP("LULUCF|PM25|Non-fatal heart attacks", US_national_yearly!$D:$AM, 28, FALSE) / VLOOKUP("LULUCF|PM25|Non-fatal heart attacks", US_national_yearly!$D:$AM, 10, FALSE), 1)</f>
        <v>1.5727536027267567E-4</v>
      </c>
      <c r="U13" s="7">
        <f>$B13 * IFERROR(VLOOKUP("LULUCF|PM25|Non-fatal heart attacks", US_national_yearly!$D:$AM, 29, FALSE) / VLOOKUP("LULUCF|PM25|Non-fatal heart attacks", US_national_yearly!$D:$AM, 10, FALSE), 1)</f>
        <v>1.5813613931850152E-4</v>
      </c>
      <c r="V13" s="7">
        <f>$B13 * IFERROR(VLOOKUP("LULUCF|PM25|Non-fatal heart attacks", US_national_yearly!$D:$AM, 30, FALSE) / VLOOKUP("LULUCF|PM25|Non-fatal heart attacks", US_national_yearly!$D:$AM, 10, FALSE), 1)</f>
        <v>1.5899691836432735E-4</v>
      </c>
      <c r="W13" s="7">
        <f>$B13 * IFERROR(VLOOKUP("LULUCF|PM25|Non-fatal heart attacks", US_national_yearly!$D:$AM, 31, FALSE) / VLOOKUP("LULUCF|PM25|Non-fatal heart attacks", US_national_yearly!$D:$AM, 10, FALSE), 1)</f>
        <v>1.5985769741015318E-4</v>
      </c>
      <c r="X13" s="7">
        <f>$B13 * IFERROR(VLOOKUP("LULUCF|PM25|Non-fatal heart attacks", US_national_yearly!$D:$AM, 32, FALSE) / VLOOKUP("LULUCF|PM25|Non-fatal heart attacks", US_national_yearly!$D:$AM, 10, FALSE), 1)</f>
        <v>1.6051115317202699E-4</v>
      </c>
      <c r="Y13" s="7">
        <f>$B13 * IFERROR(VLOOKUP("LULUCF|PM25|Non-fatal heart attacks", US_national_yearly!$D:$AM, 33, FALSE) / VLOOKUP("LULUCF|PM25|Non-fatal heart attacks", US_national_yearly!$D:$AM, 10, FALSE), 1)</f>
        <v>1.611646089339008E-4</v>
      </c>
      <c r="Z13" s="7">
        <f>$B13 * IFERROR(VLOOKUP("LULUCF|PM25|Non-fatal heart attacks", US_national_yearly!$D:$AM, 34, FALSE) / VLOOKUP("LULUCF|PM25|Non-fatal heart attacks", US_national_yearly!$D:$AM, 10, FALSE), 1)</f>
        <v>1.618180646957746E-4</v>
      </c>
      <c r="AA13" s="7">
        <f>$B13 * IFERROR(VLOOKUP("LULUCF|PM25|Non-fatal heart attacks", US_national_yearly!$D:$AM, 35, FALSE) / VLOOKUP("LULUCF|PM25|Non-fatal heart attacks", US_national_yearly!$D:$AM, 10, FALSE), 1)</f>
        <v>1.6247152045764844E-4</v>
      </c>
      <c r="AB13" s="7">
        <f>$B13 * IFERROR(VLOOKUP("LULUCF|PM25|Non-fatal heart attacks", US_national_yearly!$D:$AM, 36, FALSE) / VLOOKUP("LULUCF|PM25|Non-fatal heart attacks", US_national_yearly!$D:$AM, 10, FALSE), 1)</f>
        <v>1.6312497621952224E-4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9.2604799928657014E-2</v>
      </c>
      <c r="C14" s="7">
        <f>$B14 * IFERROR(VLOOKUP("LULUCF|PM25|Minor restricted activity days", US_national_yearly!$D:$AM, 11, FALSE) / VLOOKUP("LULUCF|PM25|Minor restricted activity days", US_national_yearly!$D:$AM, 10, FALSE), 1)</f>
        <v>9.2830951832167871E-2</v>
      </c>
      <c r="D14" s="7">
        <f>$B14 * IFERROR(VLOOKUP("LULUCF|PM25|Minor restricted activity days", US_national_yearly!$D:$AM, 12, FALSE) / VLOOKUP("LULUCF|PM25|Minor restricted activity days", US_national_yearly!$D:$AM, 10, FALSE), 1)</f>
        <v>9.3057103735678715E-2</v>
      </c>
      <c r="E14" s="7">
        <f>$B14 * IFERROR(VLOOKUP("LULUCF|PM25|Minor restricted activity days", US_national_yearly!$D:$AM, 13, FALSE) / VLOOKUP("LULUCF|PM25|Minor restricted activity days", US_national_yearly!$D:$AM, 10, FALSE), 1)</f>
        <v>9.3283255639189586E-2</v>
      </c>
      <c r="F14" s="7">
        <f>$B14 * IFERROR(VLOOKUP("LULUCF|PM25|Minor restricted activity days", US_national_yearly!$D:$AM, 14, FALSE) / VLOOKUP("LULUCF|PM25|Minor restricted activity days", US_national_yearly!$D:$AM, 10, FALSE), 1)</f>
        <v>9.3509407542700415E-2</v>
      </c>
      <c r="G14" s="7">
        <f>$B14 * IFERROR(VLOOKUP("LULUCF|PM25|Minor restricted activity days", US_national_yearly!$D:$AM, 15, FALSE) / VLOOKUP("LULUCF|PM25|Minor restricted activity days", US_national_yearly!$D:$AM, 10, FALSE), 1)</f>
        <v>9.3843087908190723E-2</v>
      </c>
      <c r="H14" s="7">
        <f>$B14 * IFERROR(VLOOKUP("LULUCF|PM25|Minor restricted activity days", US_national_yearly!$D:$AM, 16, FALSE) / VLOOKUP("LULUCF|PM25|Minor restricted activity days", US_national_yearly!$D:$AM, 10, FALSE), 1)</f>
        <v>9.417676827368103E-2</v>
      </c>
      <c r="I14" s="7">
        <f>$B14 * IFERROR(VLOOKUP("LULUCF|PM25|Minor restricted activity days", US_national_yearly!$D:$AM, 17, FALSE) / VLOOKUP("LULUCF|PM25|Minor restricted activity days", US_national_yearly!$D:$AM, 10, FALSE), 1)</f>
        <v>9.4747208896696883E-2</v>
      </c>
      <c r="J14" s="7">
        <f>$B14 * IFERROR(VLOOKUP("LULUCF|PM25|Minor restricted activity days", US_national_yearly!$D:$AM, 18, FALSE) / VLOOKUP("LULUCF|PM25|Minor restricted activity days", US_national_yearly!$D:$AM, 10, FALSE), 1)</f>
        <v>9.5317649519712694E-2</v>
      </c>
      <c r="K14" s="7">
        <f>$B14 * IFERROR(VLOOKUP("LULUCF|PM25|Minor restricted activity days", US_national_yearly!$D:$AM, 19, FALSE) / VLOOKUP("LULUCF|PM25|Minor restricted activity days", US_national_yearly!$D:$AM, 10, FALSE), 1)</f>
        <v>9.5888090142728546E-2</v>
      </c>
      <c r="L14" s="7">
        <f>$B14 * IFERROR(VLOOKUP("LULUCF|PM25|Minor restricted activity days", US_national_yearly!$D:$AM, 20, FALSE) / VLOOKUP("LULUCF|PM25|Minor restricted activity days", US_national_yearly!$D:$AM, 10, FALSE), 1)</f>
        <v>9.6458530765744385E-2</v>
      </c>
      <c r="M14" s="7">
        <f>$B14 * IFERROR(VLOOKUP("LULUCF|PM25|Minor restricted activity days", US_national_yearly!$D:$AM, 21, FALSE) / VLOOKUP("LULUCF|PM25|Minor restricted activity days", US_national_yearly!$D:$AM, 10, FALSE), 1)</f>
        <v>9.7028971388760224E-2</v>
      </c>
      <c r="N14" s="7">
        <f>$B14 * IFERROR(VLOOKUP("LULUCF|PM25|Minor restricted activity days", US_national_yearly!$D:$AM, 22, FALSE) / VLOOKUP("LULUCF|PM25|Minor restricted activity days", US_national_yearly!$D:$AM, 10, FALSE), 1)</f>
        <v>9.7806025091833851E-2</v>
      </c>
      <c r="O14" s="7">
        <f>$B14 * IFERROR(VLOOKUP("LULUCF|PM25|Minor restricted activity days", US_national_yearly!$D:$AM, 23, FALSE) / VLOOKUP("LULUCF|PM25|Minor restricted activity days", US_national_yearly!$D:$AM, 10, FALSE), 1)</f>
        <v>9.8583078794907464E-2</v>
      </c>
      <c r="P14" s="7">
        <f>$B14 * IFERROR(VLOOKUP("LULUCF|PM25|Minor restricted activity days", US_national_yearly!$D:$AM, 24, FALSE) / VLOOKUP("LULUCF|PM25|Minor restricted activity days", US_national_yearly!$D:$AM, 10, FALSE), 1)</f>
        <v>9.9360132497981105E-2</v>
      </c>
      <c r="Q14" s="7">
        <f>$B14 * IFERROR(VLOOKUP("LULUCF|PM25|Minor restricted activity days", US_national_yearly!$D:$AM, 25, FALSE) / VLOOKUP("LULUCF|PM25|Minor restricted activity days", US_national_yearly!$D:$AM, 10, FALSE), 1)</f>
        <v>0.10013718620105472</v>
      </c>
      <c r="R14" s="7">
        <f>$B14 * IFERROR(VLOOKUP("LULUCF|PM25|Minor restricted activity days", US_national_yearly!$D:$AM, 26, FALSE) / VLOOKUP("LULUCF|PM25|Minor restricted activity days", US_national_yearly!$D:$AM, 10, FALSE), 1)</f>
        <v>0.10091423990412833</v>
      </c>
      <c r="S14" s="7">
        <f>$B14 * IFERROR(VLOOKUP("LULUCF|PM25|Minor restricted activity days", US_national_yearly!$D:$AM, 27, FALSE) / VLOOKUP("LULUCF|PM25|Minor restricted activity days", US_national_yearly!$D:$AM, 10, FALSE), 1)</f>
        <v>0.10169664492143053</v>
      </c>
      <c r="T14" s="7">
        <f>$B14 * IFERROR(VLOOKUP("LULUCF|PM25|Minor restricted activity days", US_national_yearly!$D:$AM, 28, FALSE) / VLOOKUP("LULUCF|PM25|Minor restricted activity days", US_national_yearly!$D:$AM, 10, FALSE), 1)</f>
        <v>0.10247904993873273</v>
      </c>
      <c r="U14" s="7">
        <f>$B14 * IFERROR(VLOOKUP("LULUCF|PM25|Minor restricted activity days", US_national_yearly!$D:$AM, 29, FALSE) / VLOOKUP("LULUCF|PM25|Minor restricted activity days", US_national_yearly!$D:$AM, 10, FALSE), 1)</f>
        <v>0.10326145495603493</v>
      </c>
      <c r="V14" s="7">
        <f>$B14 * IFERROR(VLOOKUP("LULUCF|PM25|Minor restricted activity days", US_national_yearly!$D:$AM, 30, FALSE) / VLOOKUP("LULUCF|PM25|Minor restricted activity days", US_national_yearly!$D:$AM, 10, FALSE), 1)</f>
        <v>0.10404385997333714</v>
      </c>
      <c r="W14" s="7">
        <f>$B14 * IFERROR(VLOOKUP("LULUCF|PM25|Minor restricted activity days", US_national_yearly!$D:$AM, 31, FALSE) / VLOOKUP("LULUCF|PM25|Minor restricted activity days", US_national_yearly!$D:$AM, 10, FALSE), 1)</f>
        <v>0.10482626499063935</v>
      </c>
      <c r="X14" s="7">
        <f>$B14 * IFERROR(VLOOKUP("LULUCF|PM25|Minor restricted activity days", US_national_yearly!$D:$AM, 32, FALSE) / VLOOKUP("LULUCF|PM25|Minor restricted activity days", US_national_yearly!$D:$AM, 10, FALSE), 1)</f>
        <v>0.10550547125709997</v>
      </c>
      <c r="Y14" s="7">
        <f>$B14 * IFERROR(VLOOKUP("LULUCF|PM25|Minor restricted activity days", US_national_yearly!$D:$AM, 33, FALSE) / VLOOKUP("LULUCF|PM25|Minor restricted activity days", US_national_yearly!$D:$AM, 10, FALSE), 1)</f>
        <v>0.1061846775235606</v>
      </c>
      <c r="Z14" s="7">
        <f>$B14 * IFERROR(VLOOKUP("LULUCF|PM25|Minor restricted activity days", US_national_yearly!$D:$AM, 34, FALSE) / VLOOKUP("LULUCF|PM25|Minor restricted activity days", US_national_yearly!$D:$AM, 10, FALSE), 1)</f>
        <v>0.10686388379002124</v>
      </c>
      <c r="AA14" s="7">
        <f>$B14 * IFERROR(VLOOKUP("LULUCF|PM25|Minor restricted activity days", US_national_yearly!$D:$AM, 35, FALSE) / VLOOKUP("LULUCF|PM25|Minor restricted activity days", US_national_yearly!$D:$AM, 10, FALSE), 1)</f>
        <v>0.10754309005648184</v>
      </c>
      <c r="AB14" s="7">
        <f>$B14 * IFERROR(VLOOKUP("LULUCF|PM25|Minor restricted activity days", US_national_yearly!$D:$AM, 36, FALSE) / VLOOKUP("LULUCF|PM25|Minor restricted activity days", US_national_yearly!$D:$AM, 10, FALSE), 1)</f>
        <v>0.10822229632294247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1.5600925298071007E-2</v>
      </c>
      <c r="C15" s="7">
        <f>$B15 * IFERROR(VLOOKUP("LULUCF|PM25|Work loss days", US_national_yearly!$D:$AM, 11, FALSE) / VLOOKUP("LULUCF|PM25|Work loss days", US_national_yearly!$D:$AM, 10, FALSE), 1)</f>
        <v>1.5649282547497353E-2</v>
      </c>
      <c r="D15" s="7">
        <f>$B15 * IFERROR(VLOOKUP("LULUCF|PM25|Work loss days", US_national_yearly!$D:$AM, 12, FALSE) / VLOOKUP("LULUCF|PM25|Work loss days", US_national_yearly!$D:$AM, 10, FALSE), 1)</f>
        <v>1.5697639796923707E-2</v>
      </c>
      <c r="E15" s="7">
        <f>$B15 * IFERROR(VLOOKUP("LULUCF|PM25|Work loss days", US_national_yearly!$D:$AM, 13, FALSE) / VLOOKUP("LULUCF|PM25|Work loss days", US_national_yearly!$D:$AM, 10, FALSE), 1)</f>
        <v>1.5745997046350053E-2</v>
      </c>
      <c r="F15" s="7">
        <f>$B15 * IFERROR(VLOOKUP("LULUCF|PM25|Work loss days", US_national_yearly!$D:$AM, 14, FALSE) / VLOOKUP("LULUCF|PM25|Work loss days", US_national_yearly!$D:$AM, 10, FALSE), 1)</f>
        <v>1.5794354295776403E-2</v>
      </c>
      <c r="G15" s="7">
        <f>$B15 * IFERROR(VLOOKUP("LULUCF|PM25|Work loss days", US_national_yearly!$D:$AM, 15, FALSE) / VLOOKUP("LULUCF|PM25|Work loss days", US_national_yearly!$D:$AM, 10, FALSE), 1)</f>
        <v>1.5857753735496811E-2</v>
      </c>
      <c r="H15" s="7">
        <f>$B15 * IFERROR(VLOOKUP("LULUCF|PM25|Work loss days", US_national_yearly!$D:$AM, 16, FALSE) / VLOOKUP("LULUCF|PM25|Work loss days", US_national_yearly!$D:$AM, 10, FALSE), 1)</f>
        <v>1.5921153175217223E-2</v>
      </c>
      <c r="I15" s="7">
        <f>$B15 * IFERROR(VLOOKUP("LULUCF|PM25|Work loss days", US_national_yearly!$D:$AM, 17, FALSE) / VLOOKUP("LULUCF|PM25|Work loss days", US_national_yearly!$D:$AM, 10, FALSE), 1)</f>
        <v>1.601451582318706E-2</v>
      </c>
      <c r="J15" s="7">
        <f>$B15 * IFERROR(VLOOKUP("LULUCF|PM25|Work loss days", US_national_yearly!$D:$AM, 18, FALSE) / VLOOKUP("LULUCF|PM25|Work loss days", US_national_yearly!$D:$AM, 10, FALSE), 1)</f>
        <v>1.6107878471156901E-2</v>
      </c>
      <c r="K15" s="7">
        <f>$B15 * IFERROR(VLOOKUP("LULUCF|PM25|Work loss days", US_national_yearly!$D:$AM, 19, FALSE) / VLOOKUP("LULUCF|PM25|Work loss days", US_national_yearly!$D:$AM, 10, FALSE), 1)</f>
        <v>1.6201241119126741E-2</v>
      </c>
      <c r="L15" s="7">
        <f>$B15 * IFERROR(VLOOKUP("LULUCF|PM25|Work loss days", US_national_yearly!$D:$AM, 20, FALSE) / VLOOKUP("LULUCF|PM25|Work loss days", US_national_yearly!$D:$AM, 10, FALSE), 1)</f>
        <v>1.6294603767096578E-2</v>
      </c>
      <c r="M15" s="7">
        <f>$B15 * IFERROR(VLOOKUP("LULUCF|PM25|Work loss days", US_national_yearly!$D:$AM, 21, FALSE) / VLOOKUP("LULUCF|PM25|Work loss days", US_national_yearly!$D:$AM, 10, FALSE), 1)</f>
        <v>1.6387966415066419E-2</v>
      </c>
      <c r="N15" s="7">
        <f>$B15 * IFERROR(VLOOKUP("LULUCF|PM25|Work loss days", US_national_yearly!$D:$AM, 22, FALSE) / VLOOKUP("LULUCF|PM25|Work loss days", US_national_yearly!$D:$AM, 10, FALSE), 1)</f>
        <v>1.6505470374043353E-2</v>
      </c>
      <c r="O15" s="7">
        <f>$B15 * IFERROR(VLOOKUP("LULUCF|PM25|Work loss days", US_national_yearly!$D:$AM, 23, FALSE) / VLOOKUP("LULUCF|PM25|Work loss days", US_national_yearly!$D:$AM, 10, FALSE), 1)</f>
        <v>1.6622974333020284E-2</v>
      </c>
      <c r="P15" s="7">
        <f>$B15 * IFERROR(VLOOKUP("LULUCF|PM25|Work loss days", US_national_yearly!$D:$AM, 24, FALSE) / VLOOKUP("LULUCF|PM25|Work loss days", US_national_yearly!$D:$AM, 10, FALSE), 1)</f>
        <v>1.6740478291997218E-2</v>
      </c>
      <c r="Q15" s="7">
        <f>$B15 * IFERROR(VLOOKUP("LULUCF|PM25|Work loss days", US_national_yearly!$D:$AM, 25, FALSE) / VLOOKUP("LULUCF|PM25|Work loss days", US_national_yearly!$D:$AM, 10, FALSE), 1)</f>
        <v>1.6857982250974148E-2</v>
      </c>
      <c r="R15" s="7">
        <f>$B15 * IFERROR(VLOOKUP("LULUCF|PM25|Work loss days", US_national_yearly!$D:$AM, 26, FALSE) / VLOOKUP("LULUCF|PM25|Work loss days", US_national_yearly!$D:$AM, 10, FALSE), 1)</f>
        <v>1.6975486209951082E-2</v>
      </c>
      <c r="S15" s="7">
        <f>$B15 * IFERROR(VLOOKUP("LULUCF|PM25|Work loss days", US_national_yearly!$D:$AM, 27, FALSE) / VLOOKUP("LULUCF|PM25|Work loss days", US_national_yearly!$D:$AM, 10, FALSE), 1)</f>
        <v>1.710545060522933E-2</v>
      </c>
      <c r="T15" s="7">
        <f>$B15 * IFERROR(VLOOKUP("LULUCF|PM25|Work loss days", US_national_yearly!$D:$AM, 28, FALSE) / VLOOKUP("LULUCF|PM25|Work loss days", US_national_yearly!$D:$AM, 10, FALSE), 1)</f>
        <v>1.7235415000507581E-2</v>
      </c>
      <c r="U15" s="7">
        <f>$B15 * IFERROR(VLOOKUP("LULUCF|PM25|Work loss days", US_national_yearly!$D:$AM, 29, FALSE) / VLOOKUP("LULUCF|PM25|Work loss days", US_national_yearly!$D:$AM, 10, FALSE), 1)</f>
        <v>1.7365379395785824E-2</v>
      </c>
      <c r="V15" s="7">
        <f>$B15 * IFERROR(VLOOKUP("LULUCF|PM25|Work loss days", US_national_yearly!$D:$AM, 30, FALSE) / VLOOKUP("LULUCF|PM25|Work loss days", US_national_yearly!$D:$AM, 10, FALSE), 1)</f>
        <v>1.7495343791064075E-2</v>
      </c>
      <c r="W15" s="7">
        <f>$B15 * IFERROR(VLOOKUP("LULUCF|PM25|Work loss days", US_national_yearly!$D:$AM, 31, FALSE) / VLOOKUP("LULUCF|PM25|Work loss days", US_national_yearly!$D:$AM, 10, FALSE), 1)</f>
        <v>1.7625308186342323E-2</v>
      </c>
      <c r="X15" s="7">
        <f>$B15 * IFERROR(VLOOKUP("LULUCF|PM25|Work loss days", US_national_yearly!$D:$AM, 32, FALSE) / VLOOKUP("LULUCF|PM25|Work loss days", US_national_yearly!$D:$AM, 10, FALSE), 1)</f>
        <v>1.7740621656822317E-2</v>
      </c>
      <c r="Y15" s="7">
        <f>$B15 * IFERROR(VLOOKUP("LULUCF|PM25|Work loss days", US_national_yearly!$D:$AM, 33, FALSE) / VLOOKUP("LULUCF|PM25|Work loss days", US_national_yearly!$D:$AM, 10, FALSE), 1)</f>
        <v>1.7855935127302311E-2</v>
      </c>
      <c r="Z15" s="7">
        <f>$B15 * IFERROR(VLOOKUP("LULUCF|PM25|Work loss days", US_national_yearly!$D:$AM, 34, FALSE) / VLOOKUP("LULUCF|PM25|Work loss days", US_national_yearly!$D:$AM, 10, FALSE), 1)</f>
        <v>1.7971248597782308E-2</v>
      </c>
      <c r="AA15" s="7">
        <f>$B15 * IFERROR(VLOOKUP("LULUCF|PM25|Work loss days", US_national_yearly!$D:$AM, 35, FALSE) / VLOOKUP("LULUCF|PM25|Work loss days", US_national_yearly!$D:$AM, 10, FALSE), 1)</f>
        <v>1.8086562068262306E-2</v>
      </c>
      <c r="AB15" s="7">
        <f>$B15 * IFERROR(VLOOKUP("LULUCF|PM25|Work loss days", US_national_yearly!$D:$AM, 36, FALSE) / VLOOKUP("LULUCF|PM25|Work loss days", US_national_yearly!$D:$AM, 10, FALSE), 1)</f>
        <v>1.82018755387423E-2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2.6239565559848693E-5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2.7023622076068336E-5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2.7807678592287983E-5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2.8591735108507629E-5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2.937579162472728E-5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3.0126777713797986E-5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3.0877763802868707E-5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3.152004833703109E-5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3.2162332871193467E-5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3.2804617405355844E-5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3.3446901939518228E-5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3.4089186473680605E-5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3.4517412236818827E-5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3.4945637999957056E-5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3.5373863763095271E-5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3.58020895262335E-5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3.6230315289371722E-5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3.6456886697686756E-5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3.6683458106001776E-5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3.6910029514316803E-5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3.7136600922631823E-5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3.736317233094685E-5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3.7515703183338064E-5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3.7668234035729272E-5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3.7820764888120486E-5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3.7973295740511694E-5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3.8125826592902908E-5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2.8536029290727381E-4</v>
      </c>
      <c r="C2" s="7">
        <f>$B2 * IFERROR(VLOOKUP("LULUCF|NOx|Premature mortality", US_national_yearly!$D:$AM, 11, FALSE) / VLOOKUP("LULUCF|NOx|Premature mortality", US_national_yearly!$D:$AM, 10, FALSE), 1)</f>
        <v>2.8955175327891264E-4</v>
      </c>
      <c r="D2" s="7">
        <f>$B2 * IFERROR(VLOOKUP("LULUCF|NOx|Premature mortality", US_national_yearly!$D:$AM, 12, FALSE) / VLOOKUP("LULUCF|NOx|Premature mortality", US_national_yearly!$D:$AM, 10, FALSE), 1)</f>
        <v>2.9374321365055142E-4</v>
      </c>
      <c r="E2" s="7">
        <f>$B2 * IFERROR(VLOOKUP("LULUCF|NOx|Premature mortality", US_national_yearly!$D:$AM, 13, FALSE) / VLOOKUP("LULUCF|NOx|Premature mortality", US_national_yearly!$D:$AM, 10, FALSE), 1)</f>
        <v>2.9793467402219024E-4</v>
      </c>
      <c r="F2" s="7">
        <f>$B2 * IFERROR(VLOOKUP("LULUCF|NOx|Premature mortality", US_national_yearly!$D:$AM, 14, FALSE) / VLOOKUP("LULUCF|NOx|Premature mortality", US_national_yearly!$D:$AM, 10, FALSE), 1)</f>
        <v>3.0212613439382907E-4</v>
      </c>
      <c r="G2" s="7">
        <f>$B2 * IFERROR(VLOOKUP("LULUCF|NOx|Premature mortality", US_national_yearly!$D:$AM, 15, FALSE) / VLOOKUP("LULUCF|NOx|Premature mortality", US_national_yearly!$D:$AM, 10, FALSE), 1)</f>
        <v>3.0965498818397576E-4</v>
      </c>
      <c r="H2" s="7">
        <f>$B2 * IFERROR(VLOOKUP("LULUCF|NOx|Premature mortality", US_national_yearly!$D:$AM, 16, FALSE) / VLOOKUP("LULUCF|NOx|Premature mortality", US_national_yearly!$D:$AM, 10, FALSE), 1)</f>
        <v>3.1718384197412249E-4</v>
      </c>
      <c r="I2" s="7">
        <f>$B2 * IFERROR(VLOOKUP("LULUCF|NOx|Premature mortality", US_national_yearly!$D:$AM, 17, FALSE) / VLOOKUP("LULUCF|NOx|Premature mortality", US_national_yearly!$D:$AM, 10, FALSE), 1)</f>
        <v>3.2204385990774163E-4</v>
      </c>
      <c r="J2" s="7">
        <f>$B2 * IFERROR(VLOOKUP("LULUCF|NOx|Premature mortality", US_national_yearly!$D:$AM, 18, FALSE) / VLOOKUP("LULUCF|NOx|Premature mortality", US_national_yearly!$D:$AM, 10, FALSE), 1)</f>
        <v>3.2690387784136088E-4</v>
      </c>
      <c r="K2" s="7">
        <f>$B2 * IFERROR(VLOOKUP("LULUCF|NOx|Premature mortality", US_national_yearly!$D:$AM, 19, FALSE) / VLOOKUP("LULUCF|NOx|Premature mortality", US_national_yearly!$D:$AM, 10, FALSE), 1)</f>
        <v>3.3176389577498002E-4</v>
      </c>
      <c r="L2" s="7">
        <f>$B2 * IFERROR(VLOOKUP("LULUCF|NOx|Premature mortality", US_national_yearly!$D:$AM, 20, FALSE) / VLOOKUP("LULUCF|NOx|Premature mortality", US_national_yearly!$D:$AM, 10, FALSE), 1)</f>
        <v>3.3662391370859916E-4</v>
      </c>
      <c r="M2" s="7">
        <f>$B2 * IFERROR(VLOOKUP("LULUCF|NOx|Premature mortality", US_national_yearly!$D:$AM, 21, FALSE) / VLOOKUP("LULUCF|NOx|Premature mortality", US_national_yearly!$D:$AM, 10, FALSE), 1)</f>
        <v>3.4148393164221835E-4</v>
      </c>
      <c r="N2" s="7">
        <f>$B2 * IFERROR(VLOOKUP("LULUCF|NOx|Premature mortality", US_national_yearly!$D:$AM, 22, FALSE) / VLOOKUP("LULUCF|NOx|Premature mortality", US_national_yearly!$D:$AM, 10, FALSE), 1)</f>
        <v>3.4508421403391137E-4</v>
      </c>
      <c r="O2" s="7">
        <f>$B2 * IFERROR(VLOOKUP("LULUCF|NOx|Premature mortality", US_national_yearly!$D:$AM, 23, FALSE) / VLOOKUP("LULUCF|NOx|Premature mortality", US_national_yearly!$D:$AM, 10, FALSE), 1)</f>
        <v>3.4868449642560433E-4</v>
      </c>
      <c r="P2" s="7">
        <f>$B2 * IFERROR(VLOOKUP("LULUCF|NOx|Premature mortality", US_national_yearly!$D:$AM, 24, FALSE) / VLOOKUP("LULUCF|NOx|Premature mortality", US_national_yearly!$D:$AM, 10, FALSE), 1)</f>
        <v>3.5228477881729729E-4</v>
      </c>
      <c r="Q2" s="7">
        <f>$B2 * IFERROR(VLOOKUP("LULUCF|NOx|Premature mortality", US_national_yearly!$D:$AM, 25, FALSE) / VLOOKUP("LULUCF|NOx|Premature mortality", US_national_yearly!$D:$AM, 10, FALSE), 1)</f>
        <v>3.5588506120899036E-4</v>
      </c>
      <c r="R2" s="7">
        <f>$B2 * IFERROR(VLOOKUP("LULUCF|NOx|Premature mortality", US_national_yearly!$D:$AM, 26, FALSE) / VLOOKUP("LULUCF|NOx|Premature mortality", US_national_yearly!$D:$AM, 10, FALSE), 1)</f>
        <v>3.5948534360068332E-4</v>
      </c>
      <c r="S2" s="7">
        <f>$B2 * IFERROR(VLOOKUP("LULUCF|NOx|Premature mortality", US_national_yearly!$D:$AM, 27, FALSE) / VLOOKUP("LULUCF|NOx|Premature mortality", US_national_yearly!$D:$AM, 10, FALSE), 1)</f>
        <v>3.6112170820206969E-4</v>
      </c>
      <c r="T2" s="7">
        <f>$B2 * IFERROR(VLOOKUP("LULUCF|NOx|Premature mortality", US_national_yearly!$D:$AM, 28, FALSE) / VLOOKUP("LULUCF|NOx|Premature mortality", US_national_yearly!$D:$AM, 10, FALSE), 1)</f>
        <v>3.6275807280345611E-4</v>
      </c>
      <c r="U2" s="7">
        <f>$B2 * IFERROR(VLOOKUP("LULUCF|NOx|Premature mortality", US_national_yearly!$D:$AM, 29, FALSE) / VLOOKUP("LULUCF|NOx|Premature mortality", US_national_yearly!$D:$AM, 10, FALSE), 1)</f>
        <v>3.6439443740484247E-4</v>
      </c>
      <c r="V2" s="7">
        <f>$B2 * IFERROR(VLOOKUP("LULUCF|NOx|Premature mortality", US_national_yearly!$D:$AM, 30, FALSE) / VLOOKUP("LULUCF|NOx|Premature mortality", US_national_yearly!$D:$AM, 10, FALSE), 1)</f>
        <v>3.6603080200622878E-4</v>
      </c>
      <c r="W2" s="7">
        <f>$B2 * IFERROR(VLOOKUP("LULUCF|NOx|Premature mortality", US_national_yearly!$D:$AM, 31, FALSE) / VLOOKUP("LULUCF|NOx|Premature mortality", US_national_yearly!$D:$AM, 10, FALSE), 1)</f>
        <v>3.676671666076152E-4</v>
      </c>
      <c r="X2" s="7">
        <f>$B2 * IFERROR(VLOOKUP("LULUCF|NOx|Premature mortality", US_national_yearly!$D:$AM, 32, FALSE) / VLOOKUP("LULUCF|NOx|Premature mortality", US_national_yearly!$D:$AM, 10, FALSE), 1)</f>
        <v>3.6772384933812644E-4</v>
      </c>
      <c r="Y2" s="7">
        <f>$B2 * IFERROR(VLOOKUP("LULUCF|NOx|Premature mortality", US_national_yearly!$D:$AM, 33, FALSE) / VLOOKUP("LULUCF|NOx|Premature mortality", US_national_yearly!$D:$AM, 10, FALSE), 1)</f>
        <v>3.6778053206863769E-4</v>
      </c>
      <c r="Z2" s="7">
        <f>$B2 * IFERROR(VLOOKUP("LULUCF|NOx|Premature mortality", US_national_yearly!$D:$AM, 34, FALSE) / VLOOKUP("LULUCF|NOx|Premature mortality", US_national_yearly!$D:$AM, 10, FALSE), 1)</f>
        <v>3.6783721479914883E-4</v>
      </c>
      <c r="AA2" s="7">
        <f>$B2 * IFERROR(VLOOKUP("LULUCF|NOx|Premature mortality", US_national_yearly!$D:$AM, 35, FALSE) / VLOOKUP("LULUCF|NOx|Premature mortality", US_national_yearly!$D:$AM, 10, FALSE), 1)</f>
        <v>3.6789389752966013E-4</v>
      </c>
      <c r="AB2" s="7">
        <f>$B2 * IFERROR(VLOOKUP("LULUCF|NOx|Premature mortality", US_national_yearly!$D:$AM, 36, FALSE) / VLOOKUP("LULUCF|NOx|Premature mortality", US_national_yearly!$D:$AM, 10, FALSE), 1)</f>
        <v>3.6795058026017137E-4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4.930292157386433E-7</v>
      </c>
      <c r="C3" s="7">
        <f>$B3 * IFERROR(VLOOKUP("LULUCF|NOx|Infant mortality", US_national_yearly!$D:$AM, 11, FALSE) / VLOOKUP("LULUCF|NOx|Infant mortality", US_national_yearly!$D:$AM, 10, FALSE), 1)</f>
        <v>4.8833185614017229E-7</v>
      </c>
      <c r="D3" s="7">
        <f>$B3 * IFERROR(VLOOKUP("LULUCF|NOx|Infant mortality", US_national_yearly!$D:$AM, 12, FALSE) / VLOOKUP("LULUCF|NOx|Infant mortality", US_national_yearly!$D:$AM, 10, FALSE), 1)</f>
        <v>4.8363449654170118E-7</v>
      </c>
      <c r="E3" s="7">
        <f>$B3 * IFERROR(VLOOKUP("LULUCF|NOx|Infant mortality", US_national_yearly!$D:$AM, 13, FALSE) / VLOOKUP("LULUCF|NOx|Infant mortality", US_national_yearly!$D:$AM, 10, FALSE), 1)</f>
        <v>4.7893713694323017E-7</v>
      </c>
      <c r="F3" s="7">
        <f>$B3 * IFERROR(VLOOKUP("LULUCF|NOx|Infant mortality", US_national_yearly!$D:$AM, 14, FALSE) / VLOOKUP("LULUCF|NOx|Infant mortality", US_national_yearly!$D:$AM, 10, FALSE), 1)</f>
        <v>4.7423977734475922E-7</v>
      </c>
      <c r="G3" s="7">
        <f>$B3 * IFERROR(VLOOKUP("LULUCF|NOx|Infant mortality", US_national_yearly!$D:$AM, 15, FALSE) / VLOOKUP("LULUCF|NOx|Infant mortality", US_national_yearly!$D:$AM, 10, FALSE), 1)</f>
        <v>3.1482378262766535E-7</v>
      </c>
      <c r="H3" s="7">
        <f>$B3 * IFERROR(VLOOKUP("LULUCF|NOx|Infant mortality", US_national_yearly!$D:$AM, 16, FALSE) / VLOOKUP("LULUCF|NOx|Infant mortality", US_national_yearly!$D:$AM, 10, FALSE), 1)</f>
        <v>1.5540778791057149E-7</v>
      </c>
      <c r="I3" s="7">
        <f>$B3 * IFERROR(VLOOKUP("LULUCF|NOx|Infant mortality", US_national_yearly!$D:$AM, 17, FALSE) / VLOOKUP("LULUCF|NOx|Infant mortality", US_national_yearly!$D:$AM, 10, FALSE), 1)</f>
        <v>1.543089064660832E-7</v>
      </c>
      <c r="J3" s="7">
        <f>$B3 * IFERROR(VLOOKUP("LULUCF|NOx|Infant mortality", US_national_yearly!$D:$AM, 18, FALSE) / VLOOKUP("LULUCF|NOx|Infant mortality", US_national_yearly!$D:$AM, 10, FALSE), 1)</f>
        <v>1.5321002502159486E-7</v>
      </c>
      <c r="K3" s="7">
        <f>$B3 * IFERROR(VLOOKUP("LULUCF|NOx|Infant mortality", US_national_yearly!$D:$AM, 19, FALSE) / VLOOKUP("LULUCF|NOx|Infant mortality", US_national_yearly!$D:$AM, 10, FALSE), 1)</f>
        <v>1.5211114357710657E-7</v>
      </c>
      <c r="L3" s="7">
        <f>$B3 * IFERROR(VLOOKUP("LULUCF|NOx|Infant mortality", US_national_yearly!$D:$AM, 20, FALSE) / VLOOKUP("LULUCF|NOx|Infant mortality", US_national_yearly!$D:$AM, 10, FALSE), 1)</f>
        <v>1.5101226213261828E-7</v>
      </c>
      <c r="M3" s="7">
        <f>$B3 * IFERROR(VLOOKUP("LULUCF|NOx|Infant mortality", US_national_yearly!$D:$AM, 21, FALSE) / VLOOKUP("LULUCF|NOx|Infant mortality", US_national_yearly!$D:$AM, 10, FALSE), 1)</f>
        <v>1.4991338068812997E-7</v>
      </c>
      <c r="N3" s="7">
        <f>$B3 * IFERROR(VLOOKUP("LULUCF|NOx|Infant mortality", US_national_yearly!$D:$AM, 22, FALSE) / VLOOKUP("LULUCF|NOx|Infant mortality", US_national_yearly!$D:$AM, 10, FALSE), 1)</f>
        <v>1.4918398913224213E-7</v>
      </c>
      <c r="O3" s="7">
        <f>$B3 * IFERROR(VLOOKUP("LULUCF|NOx|Infant mortality", US_national_yearly!$D:$AM, 23, FALSE) / VLOOKUP("LULUCF|NOx|Infant mortality", US_national_yearly!$D:$AM, 10, FALSE), 1)</f>
        <v>1.4845459757635429E-7</v>
      </c>
      <c r="P3" s="7">
        <f>$B3 * IFERROR(VLOOKUP("LULUCF|NOx|Infant mortality", US_national_yearly!$D:$AM, 24, FALSE) / VLOOKUP("LULUCF|NOx|Infant mortality", US_national_yearly!$D:$AM, 10, FALSE), 1)</f>
        <v>1.4772520602046645E-7</v>
      </c>
      <c r="Q3" s="7">
        <f>$B3 * IFERROR(VLOOKUP("LULUCF|NOx|Infant mortality", US_national_yearly!$D:$AM, 25, FALSE) / VLOOKUP("LULUCF|NOx|Infant mortality", US_national_yearly!$D:$AM, 10, FALSE), 1)</f>
        <v>1.4699581446457863E-7</v>
      </c>
      <c r="R3" s="7">
        <f>$B3 * IFERROR(VLOOKUP("LULUCF|NOx|Infant mortality", US_national_yearly!$D:$AM, 26, FALSE) / VLOOKUP("LULUCF|NOx|Infant mortality", US_national_yearly!$D:$AM, 10, FALSE), 1)</f>
        <v>1.4626642290869079E-7</v>
      </c>
      <c r="S3" s="7">
        <f>$B3 * IFERROR(VLOOKUP("LULUCF|NOx|Infant mortality", US_national_yearly!$D:$AM, 27, FALSE) / VLOOKUP("LULUCF|NOx|Infant mortality", US_national_yearly!$D:$AM, 10, FALSE), 1)</f>
        <v>1.4538957826787794E-7</v>
      </c>
      <c r="T3" s="7">
        <f>$B3 * IFERROR(VLOOKUP("LULUCF|NOx|Infant mortality", US_national_yearly!$D:$AM, 28, FALSE) / VLOOKUP("LULUCF|NOx|Infant mortality", US_national_yearly!$D:$AM, 10, FALSE), 1)</f>
        <v>1.4451273362706506E-7</v>
      </c>
      <c r="U3" s="7">
        <f>$B3 * IFERROR(VLOOKUP("LULUCF|NOx|Infant mortality", US_national_yearly!$D:$AM, 29, FALSE) / VLOOKUP("LULUCF|NOx|Infant mortality", US_national_yearly!$D:$AM, 10, FALSE), 1)</f>
        <v>1.436358889862522E-7</v>
      </c>
      <c r="V3" s="7">
        <f>$B3 * IFERROR(VLOOKUP("LULUCF|NOx|Infant mortality", US_national_yearly!$D:$AM, 30, FALSE) / VLOOKUP("LULUCF|NOx|Infant mortality", US_national_yearly!$D:$AM, 10, FALSE), 1)</f>
        <v>1.4275904434543935E-7</v>
      </c>
      <c r="W3" s="7">
        <f>$B3 * IFERROR(VLOOKUP("LULUCF|NOx|Infant mortality", US_national_yearly!$D:$AM, 31, FALSE) / VLOOKUP("LULUCF|NOx|Infant mortality", US_national_yearly!$D:$AM, 10, FALSE), 1)</f>
        <v>1.4188219970462649E-7</v>
      </c>
      <c r="X3" s="7">
        <f>$B3 * IFERROR(VLOOKUP("LULUCF|NOx|Infant mortality", US_national_yearly!$D:$AM, 32, FALSE) / VLOOKUP("LULUCF|NOx|Infant mortality", US_national_yearly!$D:$AM, 10, FALSE), 1)</f>
        <v>1.4095357882752949E-7</v>
      </c>
      <c r="Y3" s="7">
        <f>$B3 * IFERROR(VLOOKUP("LULUCF|NOx|Infant mortality", US_national_yearly!$D:$AM, 33, FALSE) / VLOOKUP("LULUCF|NOx|Infant mortality", US_national_yearly!$D:$AM, 10, FALSE), 1)</f>
        <v>1.4002495795043244E-7</v>
      </c>
      <c r="Z3" s="7">
        <f>$B3 * IFERROR(VLOOKUP("LULUCF|NOx|Infant mortality", US_national_yearly!$D:$AM, 34, FALSE) / VLOOKUP("LULUCF|NOx|Infant mortality", US_national_yearly!$D:$AM, 10, FALSE), 1)</f>
        <v>1.3909633707333542E-7</v>
      </c>
      <c r="AA3" s="7">
        <f>$B3 * IFERROR(VLOOKUP("LULUCF|NOx|Infant mortality", US_national_yearly!$D:$AM, 35, FALSE) / VLOOKUP("LULUCF|NOx|Infant mortality", US_national_yearly!$D:$AM, 10, FALSE), 1)</f>
        <v>1.381677161962384E-7</v>
      </c>
      <c r="AB3" s="7">
        <f>$B3 * IFERROR(VLOOKUP("LULUCF|NOx|Infant mortality", US_national_yearly!$D:$AM, 36, FALSE) / VLOOKUP("LULUCF|NOx|Infant mortality", US_national_yearly!$D:$AM, 10, FALSE), 1)</f>
        <v>1.3723909531914137E-7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6.8627770201285616E-4</v>
      </c>
      <c r="C6" s="7">
        <f>$B6 * IFERROR(VLOOKUP("LULUCF|NOx|Asthma symptoms cough", US_national_yearly!$D:$AM, 11, FALSE) / VLOOKUP("LULUCF|NOx|Asthma symptoms cough", US_national_yearly!$D:$AM, 10, FALSE), 1)</f>
        <v>6.9566024021899993E-4</v>
      </c>
      <c r="D6" s="7">
        <f>$B6 * IFERROR(VLOOKUP("LULUCF|NOx|Asthma symptoms cough", US_national_yearly!$D:$AM, 12, FALSE) / VLOOKUP("LULUCF|NOx|Asthma symptoms cough", US_national_yearly!$D:$AM, 10, FALSE), 1)</f>
        <v>7.050427784251437E-4</v>
      </c>
      <c r="E6" s="7">
        <f>$B6 * IFERROR(VLOOKUP("LULUCF|NOx|Asthma symptoms cough", US_national_yearly!$D:$AM, 13, FALSE) / VLOOKUP("LULUCF|NOx|Asthma symptoms cough", US_national_yearly!$D:$AM, 10, FALSE), 1)</f>
        <v>7.1442531663128757E-4</v>
      </c>
      <c r="F6" s="7">
        <f>$B6 * IFERROR(VLOOKUP("LULUCF|NOx|Asthma symptoms cough", US_national_yearly!$D:$AM, 14, FALSE) / VLOOKUP("LULUCF|NOx|Asthma symptoms cough", US_national_yearly!$D:$AM, 10, FALSE), 1)</f>
        <v>7.2380785483743134E-4</v>
      </c>
      <c r="G6" s="7">
        <f>$B6 * IFERROR(VLOOKUP("LULUCF|NOx|Asthma symptoms cough", US_national_yearly!$D:$AM, 15, FALSE) / VLOOKUP("LULUCF|NOx|Asthma symptoms cough", US_national_yearly!$D:$AM, 10, FALSE), 1)</f>
        <v>7.312985004739016E-4</v>
      </c>
      <c r="H6" s="7">
        <f>$B6 * IFERROR(VLOOKUP("LULUCF|NOx|Asthma symptoms cough", US_national_yearly!$D:$AM, 16, FALSE) / VLOOKUP("LULUCF|NOx|Asthma symptoms cough", US_national_yearly!$D:$AM, 10, FALSE), 1)</f>
        <v>7.3878914611037207E-4</v>
      </c>
      <c r="I6" s="7">
        <f>$B6 * IFERROR(VLOOKUP("LULUCF|NOx|Asthma symptoms cough", US_national_yearly!$D:$AM, 17, FALSE) / VLOOKUP("LULUCF|NOx|Asthma symptoms cough", US_national_yearly!$D:$AM, 10, FALSE), 1)</f>
        <v>7.4136731925403797E-4</v>
      </c>
      <c r="J6" s="7">
        <f>$B6 * IFERROR(VLOOKUP("LULUCF|NOx|Asthma symptoms cough", US_national_yearly!$D:$AM, 18, FALSE) / VLOOKUP("LULUCF|NOx|Asthma symptoms cough", US_national_yearly!$D:$AM, 10, FALSE), 1)</f>
        <v>7.4394549239770397E-4</v>
      </c>
      <c r="K6" s="7">
        <f>$B6 * IFERROR(VLOOKUP("LULUCF|NOx|Asthma symptoms cough", US_national_yearly!$D:$AM, 19, FALSE) / VLOOKUP("LULUCF|NOx|Asthma symptoms cough", US_national_yearly!$D:$AM, 10, FALSE), 1)</f>
        <v>7.4652366554136987E-4</v>
      </c>
      <c r="L6" s="7">
        <f>$B6 * IFERROR(VLOOKUP("LULUCF|NOx|Asthma symptoms cough", US_national_yearly!$D:$AM, 20, FALSE) / VLOOKUP("LULUCF|NOx|Asthma symptoms cough", US_national_yearly!$D:$AM, 10, FALSE), 1)</f>
        <v>7.4910183868503576E-4</v>
      </c>
      <c r="M6" s="7">
        <f>$B6 * IFERROR(VLOOKUP("LULUCF|NOx|Asthma symptoms cough", US_national_yearly!$D:$AM, 21, FALSE) / VLOOKUP("LULUCF|NOx|Asthma symptoms cough", US_national_yearly!$D:$AM, 10, FALSE), 1)</f>
        <v>7.5168001182870188E-4</v>
      </c>
      <c r="N6" s="7">
        <f>$B6 * IFERROR(VLOOKUP("LULUCF|NOx|Asthma symptoms cough", US_national_yearly!$D:$AM, 22, FALSE) / VLOOKUP("LULUCF|NOx|Asthma symptoms cough", US_national_yearly!$D:$AM, 10, FALSE), 1)</f>
        <v>7.546695955782971E-4</v>
      </c>
      <c r="O6" s="7">
        <f>$B6 * IFERROR(VLOOKUP("LULUCF|NOx|Asthma symptoms cough", US_national_yearly!$D:$AM, 23, FALSE) / VLOOKUP("LULUCF|NOx|Asthma symptoms cough", US_national_yearly!$D:$AM, 10, FALSE), 1)</f>
        <v>7.5765917932789242E-4</v>
      </c>
      <c r="P6" s="7">
        <f>$B6 * IFERROR(VLOOKUP("LULUCF|NOx|Asthma symptoms cough", US_national_yearly!$D:$AM, 24, FALSE) / VLOOKUP("LULUCF|NOx|Asthma symptoms cough", US_national_yearly!$D:$AM, 10, FALSE), 1)</f>
        <v>7.6064876307748764E-4</v>
      </c>
      <c r="Q6" s="7">
        <f>$B6 * IFERROR(VLOOKUP("LULUCF|NOx|Asthma symptoms cough", US_national_yearly!$D:$AM, 25, FALSE) / VLOOKUP("LULUCF|NOx|Asthma symptoms cough", US_national_yearly!$D:$AM, 10, FALSE), 1)</f>
        <v>7.6363834682708308E-4</v>
      </c>
      <c r="R6" s="7">
        <f>$B6 * IFERROR(VLOOKUP("LULUCF|NOx|Asthma symptoms cough", US_national_yearly!$D:$AM, 26, FALSE) / VLOOKUP("LULUCF|NOx|Asthma symptoms cough", US_national_yearly!$D:$AM, 10, FALSE), 1)</f>
        <v>7.666279305766783E-4</v>
      </c>
      <c r="S6" s="7">
        <f>$B6 * IFERROR(VLOOKUP("LULUCF|NOx|Asthma symptoms cough", US_national_yearly!$D:$AM, 27, FALSE) / VLOOKUP("LULUCF|NOx|Asthma symptoms cough", US_national_yearly!$D:$AM, 10, FALSE), 1)</f>
        <v>7.7053327912901841E-4</v>
      </c>
      <c r="T6" s="7">
        <f>$B6 * IFERROR(VLOOKUP("LULUCF|NOx|Asthma symptoms cough", US_national_yearly!$D:$AM, 28, FALSE) / VLOOKUP("LULUCF|NOx|Asthma symptoms cough", US_national_yearly!$D:$AM, 10, FALSE), 1)</f>
        <v>7.744386276813584E-4</v>
      </c>
      <c r="U6" s="7">
        <f>$B6 * IFERROR(VLOOKUP("LULUCF|NOx|Asthma symptoms cough", US_national_yearly!$D:$AM, 29, FALSE) / VLOOKUP("LULUCF|NOx|Asthma symptoms cough", US_national_yearly!$D:$AM, 10, FALSE), 1)</f>
        <v>7.7834397623369829E-4</v>
      </c>
      <c r="V6" s="7">
        <f>$B6 * IFERROR(VLOOKUP("LULUCF|NOx|Asthma symptoms cough", US_national_yearly!$D:$AM, 30, FALSE) / VLOOKUP("LULUCF|NOx|Asthma symptoms cough", US_national_yearly!$D:$AM, 10, FALSE), 1)</f>
        <v>7.8224932478603839E-4</v>
      </c>
      <c r="W6" s="7">
        <f>$B6 * IFERROR(VLOOKUP("LULUCF|NOx|Asthma symptoms cough", US_national_yearly!$D:$AM, 31, FALSE) / VLOOKUP("LULUCF|NOx|Asthma symptoms cough", US_national_yearly!$D:$AM, 10, FALSE), 1)</f>
        <v>7.8615467333837839E-4</v>
      </c>
      <c r="X6" s="7">
        <f>$B6 * IFERROR(VLOOKUP("LULUCF|NOx|Asthma symptoms cough", US_national_yearly!$D:$AM, 32, FALSE) / VLOOKUP("LULUCF|NOx|Asthma symptoms cough", US_national_yearly!$D:$AM, 10, FALSE), 1)</f>
        <v>7.8978330328564785E-4</v>
      </c>
      <c r="Y6" s="7">
        <f>$B6 * IFERROR(VLOOKUP("LULUCF|NOx|Asthma symptoms cough", US_national_yearly!$D:$AM, 33, FALSE) / VLOOKUP("LULUCF|NOx|Asthma symptoms cough", US_national_yearly!$D:$AM, 10, FALSE), 1)</f>
        <v>7.9341193323291743E-4</v>
      </c>
      <c r="Z6" s="7">
        <f>$B6 * IFERROR(VLOOKUP("LULUCF|NOx|Asthma symptoms cough", US_national_yearly!$D:$AM, 34, FALSE) / VLOOKUP("LULUCF|NOx|Asthma symptoms cough", US_national_yearly!$D:$AM, 10, FALSE), 1)</f>
        <v>7.97040563180187E-4</v>
      </c>
      <c r="AA6" s="7">
        <f>$B6 * IFERROR(VLOOKUP("LULUCF|NOx|Asthma symptoms cough", US_national_yearly!$D:$AM, 35, FALSE) / VLOOKUP("LULUCF|NOx|Asthma symptoms cough", US_national_yearly!$D:$AM, 10, FALSE), 1)</f>
        <v>8.0066919312745647E-4</v>
      </c>
      <c r="AB6" s="7">
        <f>$B6 * IFERROR(VLOOKUP("LULUCF|NOx|Asthma symptoms cough", US_national_yearly!$D:$AM, 36, FALSE) / VLOOKUP("LULUCF|NOx|Asthma symptoms cough", US_national_yearly!$D:$AM, 10, FALSE), 1)</f>
        <v>8.0429782307472625E-4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9.2417285276755147E-4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9.3680780661780283E-4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9.4944276046805397E-4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9.6207771431830534E-4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9.7471266816855659E-4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9.8479991319370247E-4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9.9488715821884825E-4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9.9835904373447122E-4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1.0018309292500942E-3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1.0053028147657172E-3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1.0087747002813401E-3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1.0122465857969631E-3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1.0162724956077908E-3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1.0202984054186186E-3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1.0243243152294461E-3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1.0283502250402739E-3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1.0323761348511016E-3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1.0376352553215543E-3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1.042894375792007E-3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1.0481534962624595E-3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1.0534126167329118E-3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1.0586717372033645E-3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1.0635582157768003E-3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1.0684446943502362E-3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1.0733311729236722E-3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1.078217651497108E-3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1.0831041300705438E-3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1.4119782648707396E-3</v>
      </c>
      <c r="C8" s="7">
        <f>$B8 * IFERROR(VLOOKUP("LULUCF|NOx|Asthma symptoms wheeze", US_national_yearly!$D:$AM, 11, FALSE) / VLOOKUP("LULUCF|NOx|Asthma symptoms wheeze", US_national_yearly!$D:$AM, 10, FALSE), 1)</f>
        <v>1.4312823162712241E-3</v>
      </c>
      <c r="D8" s="7">
        <f>$B8 * IFERROR(VLOOKUP("LULUCF|NOx|Asthma symptoms wheeze", US_national_yearly!$D:$AM, 12, FALSE) / VLOOKUP("LULUCF|NOx|Asthma symptoms wheeze", US_national_yearly!$D:$AM, 10, FALSE), 1)</f>
        <v>1.4505863676717093E-3</v>
      </c>
      <c r="E8" s="7">
        <f>$B8 * IFERROR(VLOOKUP("LULUCF|NOx|Asthma symptoms wheeze", US_national_yearly!$D:$AM, 13, FALSE) / VLOOKUP("LULUCF|NOx|Asthma symptoms wheeze", US_national_yearly!$D:$AM, 10, FALSE), 1)</f>
        <v>1.4698904190721938E-3</v>
      </c>
      <c r="F8" s="7">
        <f>$B8 * IFERROR(VLOOKUP("LULUCF|NOx|Asthma symptoms wheeze", US_national_yearly!$D:$AM, 14, FALSE) / VLOOKUP("LULUCF|NOx|Asthma symptoms wheeze", US_national_yearly!$D:$AM, 10, FALSE), 1)</f>
        <v>1.4891944704726783E-3</v>
      </c>
      <c r="G8" s="7">
        <f>$B8 * IFERROR(VLOOKUP("LULUCF|NOx|Asthma symptoms wheeze", US_national_yearly!$D:$AM, 15, FALSE) / VLOOKUP("LULUCF|NOx|Asthma symptoms wheeze", US_national_yearly!$D:$AM, 10, FALSE), 1)</f>
        <v>1.5046060579685092E-3</v>
      </c>
      <c r="H8" s="7">
        <f>$B8 * IFERROR(VLOOKUP("LULUCF|NOx|Asthma symptoms wheeze", US_national_yearly!$D:$AM, 16, FALSE) / VLOOKUP("LULUCF|NOx|Asthma symptoms wheeze", US_national_yearly!$D:$AM, 10, FALSE), 1)</f>
        <v>1.5200176454643404E-3</v>
      </c>
      <c r="I8" s="7">
        <f>$B8 * IFERROR(VLOOKUP("LULUCF|NOx|Asthma symptoms wheeze", US_national_yearly!$D:$AM, 17, FALSE) / VLOOKUP("LULUCF|NOx|Asthma symptoms wheeze", US_national_yearly!$D:$AM, 10, FALSE), 1)</f>
        <v>1.5253220935797741E-3</v>
      </c>
      <c r="J8" s="7">
        <f>$B8 * IFERROR(VLOOKUP("LULUCF|NOx|Asthma symptoms wheeze", US_national_yearly!$D:$AM, 18, FALSE) / VLOOKUP("LULUCF|NOx|Asthma symptoms wheeze", US_national_yearly!$D:$AM, 10, FALSE), 1)</f>
        <v>1.5306265416952082E-3</v>
      </c>
      <c r="K8" s="7">
        <f>$B8 * IFERROR(VLOOKUP("LULUCF|NOx|Asthma symptoms wheeze", US_national_yearly!$D:$AM, 19, FALSE) / VLOOKUP("LULUCF|NOx|Asthma symptoms wheeze", US_national_yearly!$D:$AM, 10, FALSE), 1)</f>
        <v>1.5359309898106417E-3</v>
      </c>
      <c r="L8" s="7">
        <f>$B8 * IFERROR(VLOOKUP("LULUCF|NOx|Asthma symptoms wheeze", US_national_yearly!$D:$AM, 20, FALSE) / VLOOKUP("LULUCF|NOx|Asthma symptoms wheeze", US_national_yearly!$D:$AM, 10, FALSE), 1)</f>
        <v>1.5412354379260758E-3</v>
      </c>
      <c r="M8" s="7">
        <f>$B8 * IFERROR(VLOOKUP("LULUCF|NOx|Asthma symptoms wheeze", US_national_yearly!$D:$AM, 21, FALSE) / VLOOKUP("LULUCF|NOx|Asthma symptoms wheeze", US_national_yearly!$D:$AM, 10, FALSE), 1)</f>
        <v>1.5465398860415095E-3</v>
      </c>
      <c r="N8" s="7">
        <f>$B8 * IFERROR(VLOOKUP("LULUCF|NOx|Asthma symptoms wheeze", US_national_yearly!$D:$AM, 22, FALSE) / VLOOKUP("LULUCF|NOx|Asthma symptoms wheeze", US_national_yearly!$D:$AM, 10, FALSE), 1)</f>
        <v>1.552690788641577E-3</v>
      </c>
      <c r="O8" s="7">
        <f>$B8 * IFERROR(VLOOKUP("LULUCF|NOx|Asthma symptoms wheeze", US_national_yearly!$D:$AM, 23, FALSE) / VLOOKUP("LULUCF|NOx|Asthma symptoms wheeze", US_national_yearly!$D:$AM, 10, FALSE), 1)</f>
        <v>1.5588416912416449E-3</v>
      </c>
      <c r="P8" s="7">
        <f>$B8 * IFERROR(VLOOKUP("LULUCF|NOx|Asthma symptoms wheeze", US_national_yearly!$D:$AM, 24, FALSE) / VLOOKUP("LULUCF|NOx|Asthma symptoms wheeze", US_national_yearly!$D:$AM, 10, FALSE), 1)</f>
        <v>1.5649925938417126E-3</v>
      </c>
      <c r="Q8" s="7">
        <f>$B8 * IFERROR(VLOOKUP("LULUCF|NOx|Asthma symptoms wheeze", US_national_yearly!$D:$AM, 25, FALSE) / VLOOKUP("LULUCF|NOx|Asthma symptoms wheeze", US_national_yearly!$D:$AM, 10, FALSE), 1)</f>
        <v>1.5711434964417806E-3</v>
      </c>
      <c r="R8" s="7">
        <f>$B8 * IFERROR(VLOOKUP("LULUCF|NOx|Asthma symptoms wheeze", US_national_yearly!$D:$AM, 26, FALSE) / VLOOKUP("LULUCF|NOx|Asthma symptoms wheeze", US_national_yearly!$D:$AM, 10, FALSE), 1)</f>
        <v>1.5772943990418481E-3</v>
      </c>
      <c r="S8" s="7">
        <f>$B8 * IFERROR(VLOOKUP("LULUCF|NOx|Asthma symptoms wheeze", US_national_yearly!$D:$AM, 27, FALSE) / VLOOKUP("LULUCF|NOx|Asthma symptoms wheeze", US_national_yearly!$D:$AM, 10, FALSE), 1)</f>
        <v>1.5853294368807383E-3</v>
      </c>
      <c r="T8" s="7">
        <f>$B8 * IFERROR(VLOOKUP("LULUCF|NOx|Asthma symptoms wheeze", US_national_yearly!$D:$AM, 28, FALSE) / VLOOKUP("LULUCF|NOx|Asthma symptoms wheeze", US_national_yearly!$D:$AM, 10, FALSE), 1)</f>
        <v>1.5933644747196285E-3</v>
      </c>
      <c r="U8" s="7">
        <f>$B8 * IFERROR(VLOOKUP("LULUCF|NOx|Asthma symptoms wheeze", US_national_yearly!$D:$AM, 29, FALSE) / VLOOKUP("LULUCF|NOx|Asthma symptoms wheeze", US_national_yearly!$D:$AM, 10, FALSE), 1)</f>
        <v>1.6013995125585187E-3</v>
      </c>
      <c r="V8" s="7">
        <f>$B8 * IFERROR(VLOOKUP("LULUCF|NOx|Asthma symptoms wheeze", US_national_yearly!$D:$AM, 30, FALSE) / VLOOKUP("LULUCF|NOx|Asthma symptoms wheeze", US_national_yearly!$D:$AM, 10, FALSE), 1)</f>
        <v>1.6094345503974094E-3</v>
      </c>
      <c r="W8" s="7">
        <f>$B8 * IFERROR(VLOOKUP("LULUCF|NOx|Asthma symptoms wheeze", US_national_yearly!$D:$AM, 31, FALSE) / VLOOKUP("LULUCF|NOx|Asthma symptoms wheeze", US_national_yearly!$D:$AM, 10, FALSE), 1)</f>
        <v>1.6174695882362994E-3</v>
      </c>
      <c r="X8" s="7">
        <f>$B8 * IFERROR(VLOOKUP("LULUCF|NOx|Asthma symptoms wheeze", US_national_yearly!$D:$AM, 32, FALSE) / VLOOKUP("LULUCF|NOx|Asthma symptoms wheeze", US_national_yearly!$D:$AM, 10, FALSE), 1)</f>
        <v>1.6249352929049044E-3</v>
      </c>
      <c r="Y8" s="7">
        <f>$B8 * IFERROR(VLOOKUP("LULUCF|NOx|Asthma symptoms wheeze", US_national_yearly!$D:$AM, 33, FALSE) / VLOOKUP("LULUCF|NOx|Asthma symptoms wheeze", US_national_yearly!$D:$AM, 10, FALSE), 1)</f>
        <v>1.6324009975735093E-3</v>
      </c>
      <c r="Z8" s="7">
        <f>$B8 * IFERROR(VLOOKUP("LULUCF|NOx|Asthma symptoms wheeze", US_national_yearly!$D:$AM, 34, FALSE) / VLOOKUP("LULUCF|NOx|Asthma symptoms wheeze", US_national_yearly!$D:$AM, 10, FALSE), 1)</f>
        <v>1.6398667022421145E-3</v>
      </c>
      <c r="AA8" s="7">
        <f>$B8 * IFERROR(VLOOKUP("LULUCF|NOx|Asthma symptoms wheeze", US_national_yearly!$D:$AM, 35, FALSE) / VLOOKUP("LULUCF|NOx|Asthma symptoms wheeze", US_national_yearly!$D:$AM, 10, FALSE), 1)</f>
        <v>1.6473324069107194E-3</v>
      </c>
      <c r="AB8" s="7">
        <f>$B8 * IFERROR(VLOOKUP("LULUCF|NOx|Asthma symptoms wheeze", US_national_yearly!$D:$AM, 36, FALSE) / VLOOKUP("LULUCF|NOx|Asthma symptoms wheeze", US_national_yearly!$D:$AM, 10, FALSE), 1)</f>
        <v>1.6547981115793244E-3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2.1877042484238472E-5</v>
      </c>
      <c r="C12" s="7">
        <f>$B12 * IFERROR(VLOOKUP("LULUCF|NOx|Respiratory hospital admissions", US_national_yearly!$D:$AM, 11, FALSE) / VLOOKUP("LULUCF|NOx|Respiratory hospital admissions", US_national_yearly!$D:$AM, 10, FALSE), 1)</f>
        <v>2.242275797369217E-5</v>
      </c>
      <c r="D12" s="7">
        <f>$B12 * IFERROR(VLOOKUP("LULUCF|NOx|Respiratory hospital admissions", US_national_yearly!$D:$AM, 12, FALSE) / VLOOKUP("LULUCF|NOx|Respiratory hospital admissions", US_national_yearly!$D:$AM, 10, FALSE), 1)</f>
        <v>2.296847346314587E-5</v>
      </c>
      <c r="E12" s="7">
        <f>$B12 * IFERROR(VLOOKUP("LULUCF|NOx|Respiratory hospital admissions", US_national_yearly!$D:$AM, 13, FALSE) / VLOOKUP("LULUCF|NOx|Respiratory hospital admissions", US_national_yearly!$D:$AM, 10, FALSE), 1)</f>
        <v>2.3514188952599575E-5</v>
      </c>
      <c r="F12" s="7">
        <f>$B12 * IFERROR(VLOOKUP("LULUCF|NOx|Respiratory hospital admissions", US_national_yearly!$D:$AM, 14, FALSE) / VLOOKUP("LULUCF|NOx|Respiratory hospital admissions", US_national_yearly!$D:$AM, 10, FALSE), 1)</f>
        <v>2.4059904442053275E-5</v>
      </c>
      <c r="G12" s="7">
        <f>$B12 * IFERROR(VLOOKUP("LULUCF|NOx|Respiratory hospital admissions", US_national_yearly!$D:$AM, 15, FALSE) / VLOOKUP("LULUCF|NOx|Respiratory hospital admissions", US_national_yearly!$D:$AM, 10, FALSE), 1)</f>
        <v>2.458162702391532E-5</v>
      </c>
      <c r="H12" s="7">
        <f>$B12 * IFERROR(VLOOKUP("LULUCF|NOx|Respiratory hospital admissions", US_national_yearly!$D:$AM, 16, FALSE) / VLOOKUP("LULUCF|NOx|Respiratory hospital admissions", US_national_yearly!$D:$AM, 10, FALSE), 1)</f>
        <v>2.5103349605777362E-5</v>
      </c>
      <c r="I12" s="7">
        <f>$B12 * IFERROR(VLOOKUP("LULUCF|NOx|Respiratory hospital admissions", US_national_yearly!$D:$AM, 17, FALSE) / VLOOKUP("LULUCF|NOx|Respiratory hospital admissions", US_national_yearly!$D:$AM, 10, FALSE), 1)</f>
        <v>2.5546302803309088E-5</v>
      </c>
      <c r="J12" s="7">
        <f>$B12 * IFERROR(VLOOKUP("LULUCF|NOx|Respiratory hospital admissions", US_national_yearly!$D:$AM, 18, FALSE) / VLOOKUP("LULUCF|NOx|Respiratory hospital admissions", US_national_yearly!$D:$AM, 10, FALSE), 1)</f>
        <v>2.5989256000840811E-5</v>
      </c>
      <c r="K12" s="7">
        <f>$B12 * IFERROR(VLOOKUP("LULUCF|NOx|Respiratory hospital admissions", US_national_yearly!$D:$AM, 19, FALSE) / VLOOKUP("LULUCF|NOx|Respiratory hospital admissions", US_national_yearly!$D:$AM, 10, FALSE), 1)</f>
        <v>2.6432209198372537E-5</v>
      </c>
      <c r="L12" s="7">
        <f>$B12 * IFERROR(VLOOKUP("LULUCF|NOx|Respiratory hospital admissions", US_national_yearly!$D:$AM, 20, FALSE) / VLOOKUP("LULUCF|NOx|Respiratory hospital admissions", US_national_yearly!$D:$AM, 10, FALSE), 1)</f>
        <v>2.6875162395904263E-5</v>
      </c>
      <c r="M12" s="7">
        <f>$B12 * IFERROR(VLOOKUP("LULUCF|NOx|Respiratory hospital admissions", US_national_yearly!$D:$AM, 21, FALSE) / VLOOKUP("LULUCF|NOx|Respiratory hospital admissions", US_national_yearly!$D:$AM, 10, FALSE), 1)</f>
        <v>2.7318115593435989E-5</v>
      </c>
      <c r="N12" s="7">
        <f>$B12 * IFERROR(VLOOKUP("LULUCF|NOx|Respiratory hospital admissions", US_national_yearly!$D:$AM, 22, FALSE) / VLOOKUP("LULUCF|NOx|Respiratory hospital admissions", US_national_yearly!$D:$AM, 10, FALSE), 1)</f>
        <v>2.761423778116308E-5</v>
      </c>
      <c r="O12" s="7">
        <f>$B12 * IFERROR(VLOOKUP("LULUCF|NOx|Respiratory hospital admissions", US_national_yearly!$D:$AM, 23, FALSE) / VLOOKUP("LULUCF|NOx|Respiratory hospital admissions", US_national_yearly!$D:$AM, 10, FALSE), 1)</f>
        <v>2.7910359968890181E-5</v>
      </c>
      <c r="P12" s="7">
        <f>$B12 * IFERROR(VLOOKUP("LULUCF|NOx|Respiratory hospital admissions", US_national_yearly!$D:$AM, 24, FALSE) / VLOOKUP("LULUCF|NOx|Respiratory hospital admissions", US_national_yearly!$D:$AM, 10, FALSE), 1)</f>
        <v>2.8206482156617279E-5</v>
      </c>
      <c r="Q12" s="7">
        <f>$B12 * IFERROR(VLOOKUP("LULUCF|NOx|Respiratory hospital admissions", US_national_yearly!$D:$AM, 25, FALSE) / VLOOKUP("LULUCF|NOx|Respiratory hospital admissions", US_national_yearly!$D:$AM, 10, FALSE), 1)</f>
        <v>2.850260434434438E-5</v>
      </c>
      <c r="R12" s="7">
        <f>$B12 * IFERROR(VLOOKUP("LULUCF|NOx|Respiratory hospital admissions", US_national_yearly!$D:$AM, 26, FALSE) / VLOOKUP("LULUCF|NOx|Respiratory hospital admissions", US_national_yearly!$D:$AM, 10, FALSE), 1)</f>
        <v>2.8798726532071478E-5</v>
      </c>
      <c r="S12" s="7">
        <f>$B12 * IFERROR(VLOOKUP("LULUCF|NOx|Respiratory hospital admissions", US_national_yearly!$D:$AM, 27, FALSE) / VLOOKUP("LULUCF|NOx|Respiratory hospital admissions", US_national_yearly!$D:$AM, 10, FALSE), 1)</f>
        <v>2.8957380776273814E-5</v>
      </c>
      <c r="T12" s="7">
        <f>$B12 * IFERROR(VLOOKUP("LULUCF|NOx|Respiratory hospital admissions", US_national_yearly!$D:$AM, 28, FALSE) / VLOOKUP("LULUCF|NOx|Respiratory hospital admissions", US_national_yearly!$D:$AM, 10, FALSE), 1)</f>
        <v>2.9116035020476147E-5</v>
      </c>
      <c r="U12" s="7">
        <f>$B12 * IFERROR(VLOOKUP("LULUCF|NOx|Respiratory hospital admissions", US_national_yearly!$D:$AM, 29, FALSE) / VLOOKUP("LULUCF|NOx|Respiratory hospital admissions", US_national_yearly!$D:$AM, 10, FALSE), 1)</f>
        <v>2.9274689264678483E-5</v>
      </c>
      <c r="V12" s="7">
        <f>$B12 * IFERROR(VLOOKUP("LULUCF|NOx|Respiratory hospital admissions", US_national_yearly!$D:$AM, 30, FALSE) / VLOOKUP("LULUCF|NOx|Respiratory hospital admissions", US_national_yearly!$D:$AM, 10, FALSE), 1)</f>
        <v>2.9433343508880816E-5</v>
      </c>
      <c r="W12" s="7">
        <f>$B12 * IFERROR(VLOOKUP("LULUCF|NOx|Respiratory hospital admissions", US_national_yearly!$D:$AM, 31, FALSE) / VLOOKUP("LULUCF|NOx|Respiratory hospital admissions", US_national_yearly!$D:$AM, 10, FALSE), 1)</f>
        <v>2.9591997753083155E-5</v>
      </c>
      <c r="X12" s="7">
        <f>$B12 * IFERROR(VLOOKUP("LULUCF|NOx|Respiratory hospital admissions", US_national_yearly!$D:$AM, 32, FALSE) / VLOOKUP("LULUCF|NOx|Respiratory hospital admissions", US_national_yearly!$D:$AM, 10, FALSE), 1)</f>
        <v>2.9700417317193718E-5</v>
      </c>
      <c r="Y12" s="7">
        <f>$B12 * IFERROR(VLOOKUP("LULUCF|NOx|Respiratory hospital admissions", US_national_yearly!$D:$AM, 33, FALSE) / VLOOKUP("LULUCF|NOx|Respiratory hospital admissions", US_national_yearly!$D:$AM, 10, FALSE), 1)</f>
        <v>2.9808836881304283E-5</v>
      </c>
      <c r="Z12" s="7">
        <f>$B12 * IFERROR(VLOOKUP("LULUCF|NOx|Respiratory hospital admissions", US_national_yearly!$D:$AM, 34, FALSE) / VLOOKUP("LULUCF|NOx|Respiratory hospital admissions", US_national_yearly!$D:$AM, 10, FALSE), 1)</f>
        <v>2.9917256445414852E-5</v>
      </c>
      <c r="AA12" s="7">
        <f>$B12 * IFERROR(VLOOKUP("LULUCF|NOx|Respiratory hospital admissions", US_national_yearly!$D:$AM, 35, FALSE) / VLOOKUP("LULUCF|NOx|Respiratory hospital admissions", US_national_yearly!$D:$AM, 10, FALSE), 1)</f>
        <v>3.0025676009525418E-5</v>
      </c>
      <c r="AB12" s="7">
        <f>$B12 * IFERROR(VLOOKUP("LULUCF|NOx|Respiratory hospital admissions", US_national_yearly!$D:$AM, 36, FALSE) / VLOOKUP("LULUCF|NOx|Respiratory hospital admissions", US_national_yearly!$D:$AM, 10, FALSE), 1)</f>
        <v>3.013409557363598E-5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1.1502501492344208E-4</v>
      </c>
      <c r="C13" s="7">
        <f>$B13 * IFERROR(VLOOKUP("LULUCF|NOx|Non-fatal heart attacks", US_national_yearly!$D:$AM, 11, FALSE) / VLOOKUP("LULUCF|NOx|Non-fatal heart attacks", US_national_yearly!$D:$AM, 10, FALSE), 1)</f>
        <v>1.183134787565992E-4</v>
      </c>
      <c r="D13" s="7">
        <f>$B13 * IFERROR(VLOOKUP("LULUCF|NOx|Non-fatal heart attacks", US_national_yearly!$D:$AM, 12, FALSE) / VLOOKUP("LULUCF|NOx|Non-fatal heart attacks", US_national_yearly!$D:$AM, 10, FALSE), 1)</f>
        <v>1.2160194258975631E-4</v>
      </c>
      <c r="E13" s="7">
        <f>$B13 * IFERROR(VLOOKUP("LULUCF|NOx|Non-fatal heart attacks", US_national_yearly!$D:$AM, 13, FALSE) / VLOOKUP("LULUCF|NOx|Non-fatal heart attacks", US_national_yearly!$D:$AM, 10, FALSE), 1)</f>
        <v>1.248904064229134E-4</v>
      </c>
      <c r="F13" s="7">
        <f>$B13 * IFERROR(VLOOKUP("LULUCF|NOx|Non-fatal heart attacks", US_national_yearly!$D:$AM, 14, FALSE) / VLOOKUP("LULUCF|NOx|Non-fatal heart attacks", US_national_yearly!$D:$AM, 10, FALSE), 1)</f>
        <v>1.281788702560705E-4</v>
      </c>
      <c r="G13" s="7">
        <f>$B13 * IFERROR(VLOOKUP("LULUCF|NOx|Non-fatal heart attacks", US_national_yearly!$D:$AM, 15, FALSE) / VLOOKUP("LULUCF|NOx|Non-fatal heart attacks", US_national_yearly!$D:$AM, 10, FALSE), 1)</f>
        <v>1.3125193287358649E-4</v>
      </c>
      <c r="H13" s="7">
        <f>$B13 * IFERROR(VLOOKUP("LULUCF|NOx|Non-fatal heart attacks", US_national_yearly!$D:$AM, 16, FALSE) / VLOOKUP("LULUCF|NOx|Non-fatal heart attacks", US_national_yearly!$D:$AM, 10, FALSE), 1)</f>
        <v>1.3432499549110248E-4</v>
      </c>
      <c r="I13" s="7">
        <f>$B13 * IFERROR(VLOOKUP("LULUCF|NOx|Non-fatal heart attacks", US_national_yearly!$D:$AM, 17, FALSE) / VLOOKUP("LULUCF|NOx|Non-fatal heart attacks", US_national_yearly!$D:$AM, 10, FALSE), 1)</f>
        <v>1.3674775408041554E-4</v>
      </c>
      <c r="J13" s="7">
        <f>$B13 * IFERROR(VLOOKUP("LULUCF|NOx|Non-fatal heart attacks", US_national_yearly!$D:$AM, 18, FALSE) / VLOOKUP("LULUCF|NOx|Non-fatal heart attacks", US_national_yearly!$D:$AM, 10, FALSE), 1)</f>
        <v>1.3917051266972862E-4</v>
      </c>
      <c r="K13" s="7">
        <f>$B13 * IFERROR(VLOOKUP("LULUCF|NOx|Non-fatal heart attacks", US_national_yearly!$D:$AM, 19, FALSE) / VLOOKUP("LULUCF|NOx|Non-fatal heart attacks", US_national_yearly!$D:$AM, 10, FALSE), 1)</f>
        <v>1.4159327125904159E-4</v>
      </c>
      <c r="L13" s="7">
        <f>$B13 * IFERROR(VLOOKUP("LULUCF|NOx|Non-fatal heart attacks", US_national_yearly!$D:$AM, 20, FALSE) / VLOOKUP("LULUCF|NOx|Non-fatal heart attacks", US_national_yearly!$D:$AM, 10, FALSE), 1)</f>
        <v>1.4401602984835476E-4</v>
      </c>
      <c r="M13" s="7">
        <f>$B13 * IFERROR(VLOOKUP("LULUCF|NOx|Non-fatal heart attacks", US_national_yearly!$D:$AM, 21, FALSE) / VLOOKUP("LULUCF|NOx|Non-fatal heart attacks", US_national_yearly!$D:$AM, 10, FALSE), 1)</f>
        <v>1.4643878843766778E-4</v>
      </c>
      <c r="N13" s="7">
        <f>$B13 * IFERROR(VLOOKUP("LULUCF|NOx|Non-fatal heart attacks", US_national_yearly!$D:$AM, 22, FALSE) / VLOOKUP("LULUCF|NOx|Non-fatal heart attacks", US_national_yearly!$D:$AM, 10, FALSE), 1)</f>
        <v>1.4789639347897521E-4</v>
      </c>
      <c r="O13" s="7">
        <f>$B13 * IFERROR(VLOOKUP("LULUCF|NOx|Non-fatal heart attacks", US_national_yearly!$D:$AM, 23, FALSE) / VLOOKUP("LULUCF|NOx|Non-fatal heart attacks", US_national_yearly!$D:$AM, 10, FALSE), 1)</f>
        <v>1.4935399852028264E-4</v>
      </c>
      <c r="P13" s="7">
        <f>$B13 * IFERROR(VLOOKUP("LULUCF|NOx|Non-fatal heart attacks", US_national_yearly!$D:$AM, 24, FALSE) / VLOOKUP("LULUCF|NOx|Non-fatal heart attacks", US_national_yearly!$D:$AM, 10, FALSE), 1)</f>
        <v>1.5081160356159007E-4</v>
      </c>
      <c r="Q13" s="7">
        <f>$B13 * IFERROR(VLOOKUP("LULUCF|NOx|Non-fatal heart attacks", US_national_yearly!$D:$AM, 25, FALSE) / VLOOKUP("LULUCF|NOx|Non-fatal heart attacks", US_national_yearly!$D:$AM, 10, FALSE), 1)</f>
        <v>1.5226920860289753E-4</v>
      </c>
      <c r="R13" s="7">
        <f>$B13 * IFERROR(VLOOKUP("LULUCF|NOx|Non-fatal heart attacks", US_national_yearly!$D:$AM, 26, FALSE) / VLOOKUP("LULUCF|NOx|Non-fatal heart attacks", US_national_yearly!$D:$AM, 10, FALSE), 1)</f>
        <v>1.5372681364420496E-4</v>
      </c>
      <c r="S13" s="7">
        <f>$B13 * IFERROR(VLOOKUP("LULUCF|NOx|Non-fatal heart attacks", US_national_yearly!$D:$AM, 27, FALSE) / VLOOKUP("LULUCF|NOx|Non-fatal heart attacks", US_national_yearly!$D:$AM, 10, FALSE), 1)</f>
        <v>1.5438799337228073E-4</v>
      </c>
      <c r="T13" s="7">
        <f>$B13 * IFERROR(VLOOKUP("LULUCF|NOx|Non-fatal heart attacks", US_national_yearly!$D:$AM, 28, FALSE) / VLOOKUP("LULUCF|NOx|Non-fatal heart attacks", US_national_yearly!$D:$AM, 10, FALSE), 1)</f>
        <v>1.5504917310035649E-4</v>
      </c>
      <c r="U13" s="7">
        <f>$B13 * IFERROR(VLOOKUP("LULUCF|NOx|Non-fatal heart attacks", US_national_yearly!$D:$AM, 29, FALSE) / VLOOKUP("LULUCF|NOx|Non-fatal heart attacks", US_national_yearly!$D:$AM, 10, FALSE), 1)</f>
        <v>1.5571035282843225E-4</v>
      </c>
      <c r="V13" s="7">
        <f>$B13 * IFERROR(VLOOKUP("LULUCF|NOx|Non-fatal heart attacks", US_national_yearly!$D:$AM, 30, FALSE) / VLOOKUP("LULUCF|NOx|Non-fatal heart attacks", US_national_yearly!$D:$AM, 10, FALSE), 1)</f>
        <v>1.5637153255650802E-4</v>
      </c>
      <c r="W13" s="7">
        <f>$B13 * IFERROR(VLOOKUP("LULUCF|NOx|Non-fatal heart attacks", US_national_yearly!$D:$AM, 31, FALSE) / VLOOKUP("LULUCF|NOx|Non-fatal heart attacks", US_national_yearly!$D:$AM, 10, FALSE), 1)</f>
        <v>1.5703271228458378E-4</v>
      </c>
      <c r="X13" s="7">
        <f>$B13 * IFERROR(VLOOKUP("LULUCF|NOx|Non-fatal heart attacks", US_national_yearly!$D:$AM, 32, FALSE) / VLOOKUP("LULUCF|NOx|Non-fatal heart attacks", US_national_yearly!$D:$AM, 10, FALSE), 1)</f>
        <v>1.5747454736897811E-4</v>
      </c>
      <c r="Y13" s="7">
        <f>$B13 * IFERROR(VLOOKUP("LULUCF|NOx|Non-fatal heart attacks", US_national_yearly!$D:$AM, 33, FALSE) / VLOOKUP("LULUCF|NOx|Non-fatal heart attacks", US_national_yearly!$D:$AM, 10, FALSE), 1)</f>
        <v>1.5791638245337249E-4</v>
      </c>
      <c r="Z13" s="7">
        <f>$B13 * IFERROR(VLOOKUP("LULUCF|NOx|Non-fatal heart attacks", US_national_yearly!$D:$AM, 34, FALSE) / VLOOKUP("LULUCF|NOx|Non-fatal heart attacks", US_national_yearly!$D:$AM, 10, FALSE), 1)</f>
        <v>1.5835821753776679E-4</v>
      </c>
      <c r="AA13" s="7">
        <f>$B13 * IFERROR(VLOOKUP("LULUCF|NOx|Non-fatal heart attacks", US_national_yearly!$D:$AM, 35, FALSE) / VLOOKUP("LULUCF|NOx|Non-fatal heart attacks", US_national_yearly!$D:$AM, 10, FALSE), 1)</f>
        <v>1.5880005262216114E-4</v>
      </c>
      <c r="AB13" s="7">
        <f>$B13 * IFERROR(VLOOKUP("LULUCF|NOx|Non-fatal heart attacks", US_national_yearly!$D:$AM, 36, FALSE) / VLOOKUP("LULUCF|NOx|Non-fatal heart attacks", US_national_yearly!$D:$AM, 10, FALSE), 1)</f>
        <v>1.592418877065555E-4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9.2604799928657014E-2</v>
      </c>
      <c r="C14" s="7">
        <f>$B14 * IFERROR(VLOOKUP("LULUCF|NOx|Minor restricted activity days", US_national_yearly!$D:$AM, 11, FALSE) / VLOOKUP("LULUCF|NOx|Minor restricted activity days", US_national_yearly!$D:$AM, 10, FALSE), 1)</f>
        <v>9.2746778627757598E-2</v>
      </c>
      <c r="D14" s="7">
        <f>$B14 * IFERROR(VLOOKUP("LULUCF|NOx|Minor restricted activity days", US_national_yearly!$D:$AM, 12, FALSE) / VLOOKUP("LULUCF|NOx|Minor restricted activity days", US_national_yearly!$D:$AM, 10, FALSE), 1)</f>
        <v>9.2888757326858196E-2</v>
      </c>
      <c r="E14" s="7">
        <f>$B14 * IFERROR(VLOOKUP("LULUCF|NOx|Minor restricted activity days", US_national_yearly!$D:$AM, 13, FALSE) / VLOOKUP("LULUCF|NOx|Minor restricted activity days", US_national_yearly!$D:$AM, 10, FALSE), 1)</f>
        <v>9.3030736025958793E-2</v>
      </c>
      <c r="F14" s="7">
        <f>$B14 * IFERROR(VLOOKUP("LULUCF|NOx|Minor restricted activity days", US_national_yearly!$D:$AM, 14, FALSE) / VLOOKUP("LULUCF|NOx|Minor restricted activity days", US_national_yearly!$D:$AM, 10, FALSE), 1)</f>
        <v>9.3172714725059363E-2</v>
      </c>
      <c r="G14" s="7">
        <f>$B14 * IFERROR(VLOOKUP("LULUCF|NOx|Minor restricted activity days", US_national_yearly!$D:$AM, 15, FALSE) / VLOOKUP("LULUCF|NOx|Minor restricted activity days", US_national_yearly!$D:$AM, 10, FALSE), 1)</f>
        <v>9.3429094461800782E-2</v>
      </c>
      <c r="H14" s="7">
        <f>$B14 * IFERROR(VLOOKUP("LULUCF|NOx|Minor restricted activity days", US_national_yearly!$D:$AM, 16, FALSE) / VLOOKUP("LULUCF|NOx|Minor restricted activity days", US_national_yearly!$D:$AM, 10, FALSE), 1)</f>
        <v>9.3685474198542174E-2</v>
      </c>
      <c r="I14" s="7">
        <f>$B14 * IFERROR(VLOOKUP("LULUCF|NOx|Minor restricted activity days", US_national_yearly!$D:$AM, 17, FALSE) / VLOOKUP("LULUCF|NOx|Minor restricted activity days", US_national_yearly!$D:$AM, 10, FALSE), 1)</f>
        <v>9.4186942825304515E-2</v>
      </c>
      <c r="J14" s="7">
        <f>$B14 * IFERROR(VLOOKUP("LULUCF|NOx|Minor restricted activity days", US_national_yearly!$D:$AM, 18, FALSE) / VLOOKUP("LULUCF|NOx|Minor restricted activity days", US_national_yearly!$D:$AM, 10, FALSE), 1)</f>
        <v>9.4688411452066829E-2</v>
      </c>
      <c r="K14" s="7">
        <f>$B14 * IFERROR(VLOOKUP("LULUCF|NOx|Minor restricted activity days", US_national_yearly!$D:$AM, 19, FALSE) / VLOOKUP("LULUCF|NOx|Minor restricted activity days", US_national_yearly!$D:$AM, 10, FALSE), 1)</f>
        <v>9.518988007882917E-2</v>
      </c>
      <c r="L14" s="7">
        <f>$B14 * IFERROR(VLOOKUP("LULUCF|NOx|Minor restricted activity days", US_national_yearly!$D:$AM, 20, FALSE) / VLOOKUP("LULUCF|NOx|Minor restricted activity days", US_national_yearly!$D:$AM, 10, FALSE), 1)</f>
        <v>9.5691348705591497E-2</v>
      </c>
      <c r="M14" s="7">
        <f>$B14 * IFERROR(VLOOKUP("LULUCF|NOx|Minor restricted activity days", US_national_yearly!$D:$AM, 21, FALSE) / VLOOKUP("LULUCF|NOx|Minor restricted activity days", US_national_yearly!$D:$AM, 10, FALSE), 1)</f>
        <v>9.6192817332353839E-2</v>
      </c>
      <c r="N14" s="7">
        <f>$B14 * IFERROR(VLOOKUP("LULUCF|NOx|Minor restricted activity days", US_national_yearly!$D:$AM, 22, FALSE) / VLOOKUP("LULUCF|NOx|Minor restricted activity days", US_national_yearly!$D:$AM, 10, FALSE), 1)</f>
        <v>9.6910806700329186E-2</v>
      </c>
      <c r="O14" s="7">
        <f>$B14 * IFERROR(VLOOKUP("LULUCF|NOx|Minor restricted activity days", US_national_yearly!$D:$AM, 23, FALSE) / VLOOKUP("LULUCF|NOx|Minor restricted activity days", US_national_yearly!$D:$AM, 10, FALSE), 1)</f>
        <v>9.7628796068304532E-2</v>
      </c>
      <c r="P14" s="7">
        <f>$B14 * IFERROR(VLOOKUP("LULUCF|NOx|Minor restricted activity days", US_national_yearly!$D:$AM, 24, FALSE) / VLOOKUP("LULUCF|NOx|Minor restricted activity days", US_national_yearly!$D:$AM, 10, FALSE), 1)</f>
        <v>9.8346785436279879E-2</v>
      </c>
      <c r="Q14" s="7">
        <f>$B14 * IFERROR(VLOOKUP("LULUCF|NOx|Minor restricted activity days", US_national_yearly!$D:$AM, 25, FALSE) / VLOOKUP("LULUCF|NOx|Minor restricted activity days", US_national_yearly!$D:$AM, 10, FALSE), 1)</f>
        <v>9.9064774804255226E-2</v>
      </c>
      <c r="R14" s="7">
        <f>$B14 * IFERROR(VLOOKUP("LULUCF|NOx|Minor restricted activity days", US_national_yearly!$D:$AM, 26, FALSE) / VLOOKUP("LULUCF|NOx|Minor restricted activity days", US_national_yearly!$D:$AM, 10, FALSE), 1)</f>
        <v>9.9782764172230573E-2</v>
      </c>
      <c r="S14" s="7">
        <f>$B14 * IFERROR(VLOOKUP("LULUCF|NOx|Minor restricted activity days", US_national_yearly!$D:$AM, 27, FALSE) / VLOOKUP("LULUCF|NOx|Minor restricted activity days", US_national_yearly!$D:$AM, 10, FALSE), 1)</f>
        <v>0.10050060258447804</v>
      </c>
      <c r="T14" s="7">
        <f>$B14 * IFERROR(VLOOKUP("LULUCF|NOx|Minor restricted activity days", US_national_yearly!$D:$AM, 28, FALSE) / VLOOKUP("LULUCF|NOx|Minor restricted activity days", US_national_yearly!$D:$AM, 10, FALSE), 1)</f>
        <v>0.1012184409967255</v>
      </c>
      <c r="U14" s="7">
        <f>$B14 * IFERROR(VLOOKUP("LULUCF|NOx|Minor restricted activity days", US_national_yearly!$D:$AM, 29, FALSE) / VLOOKUP("LULUCF|NOx|Minor restricted activity days", US_national_yearly!$D:$AM, 10, FALSE), 1)</f>
        <v>0.10193627940897297</v>
      </c>
      <c r="V14" s="7">
        <f>$B14 * IFERROR(VLOOKUP("LULUCF|NOx|Minor restricted activity days", US_national_yearly!$D:$AM, 30, FALSE) / VLOOKUP("LULUCF|NOx|Minor restricted activity days", US_national_yearly!$D:$AM, 10, FALSE), 1)</f>
        <v>0.10265411782122044</v>
      </c>
      <c r="W14" s="7">
        <f>$B14 * IFERROR(VLOOKUP("LULUCF|NOx|Minor restricted activity days", US_national_yearly!$D:$AM, 31, FALSE) / VLOOKUP("LULUCF|NOx|Minor restricted activity days", US_national_yearly!$D:$AM, 10, FALSE), 1)</f>
        <v>0.1033719562334679</v>
      </c>
      <c r="X14" s="7">
        <f>$B14 * IFERROR(VLOOKUP("LULUCF|NOx|Minor restricted activity days", US_national_yearly!$D:$AM, 32, FALSE) / VLOOKUP("LULUCF|NOx|Minor restricted activity days", US_national_yearly!$D:$AM, 10, FALSE), 1)</f>
        <v>0.10397886126437311</v>
      </c>
      <c r="Y14" s="7">
        <f>$B14 * IFERROR(VLOOKUP("LULUCF|NOx|Minor restricted activity days", US_national_yearly!$D:$AM, 33, FALSE) / VLOOKUP("LULUCF|NOx|Minor restricted activity days", US_national_yearly!$D:$AM, 10, FALSE), 1)</f>
        <v>0.10458576629527831</v>
      </c>
      <c r="Z14" s="7">
        <f>$B14 * IFERROR(VLOOKUP("LULUCF|NOx|Minor restricted activity days", US_national_yearly!$D:$AM, 34, FALSE) / VLOOKUP("LULUCF|NOx|Minor restricted activity days", US_national_yearly!$D:$AM, 10, FALSE), 1)</f>
        <v>0.10519267132618353</v>
      </c>
      <c r="AA14" s="7">
        <f>$B14 * IFERROR(VLOOKUP("LULUCF|NOx|Minor restricted activity days", US_national_yearly!$D:$AM, 35, FALSE) / VLOOKUP("LULUCF|NOx|Minor restricted activity days", US_national_yearly!$D:$AM, 10, FALSE), 1)</f>
        <v>0.10579957635708874</v>
      </c>
      <c r="AB14" s="7">
        <f>$B14 * IFERROR(VLOOKUP("LULUCF|NOx|Minor restricted activity days", US_national_yearly!$D:$AM, 36, FALSE) / VLOOKUP("LULUCF|NOx|Minor restricted activity days", US_national_yearly!$D:$AM, 10, FALSE), 1)</f>
        <v>0.10640648138799394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1.5600925298071007E-2</v>
      </c>
      <c r="C15" s="7">
        <f>$B15 * IFERROR(VLOOKUP("LULUCF|NOx|Work loss days", US_national_yearly!$D:$AM, 11, FALSE) / VLOOKUP("LULUCF|NOx|Work loss days", US_national_yearly!$D:$AM, 10, FALSE), 1)</f>
        <v>1.56356287171198E-2</v>
      </c>
      <c r="D15" s="7">
        <f>$B15 * IFERROR(VLOOKUP("LULUCF|NOx|Work loss days", US_national_yearly!$D:$AM, 12, FALSE) / VLOOKUP("LULUCF|NOx|Work loss days", US_national_yearly!$D:$AM, 10, FALSE), 1)</f>
        <v>1.5670332136168596E-2</v>
      </c>
      <c r="E15" s="7">
        <f>$B15 * IFERROR(VLOOKUP("LULUCF|NOx|Work loss days", US_national_yearly!$D:$AM, 13, FALSE) / VLOOKUP("LULUCF|NOx|Work loss days", US_national_yearly!$D:$AM, 10, FALSE), 1)</f>
        <v>1.5705035555217392E-2</v>
      </c>
      <c r="F15" s="7">
        <f>$B15 * IFERROR(VLOOKUP("LULUCF|NOx|Work loss days", US_national_yearly!$D:$AM, 14, FALSE) / VLOOKUP("LULUCF|NOx|Work loss days", US_national_yearly!$D:$AM, 10, FALSE), 1)</f>
        <v>1.5739738974266188E-2</v>
      </c>
      <c r="G15" s="7">
        <f>$B15 * IFERROR(VLOOKUP("LULUCF|NOx|Work loss days", US_national_yearly!$D:$AM, 15, FALSE) / VLOOKUP("LULUCF|NOx|Work loss days", US_national_yearly!$D:$AM, 10, FALSE), 1)</f>
        <v>1.5790406262113001E-2</v>
      </c>
      <c r="H15" s="7">
        <f>$B15 * IFERROR(VLOOKUP("LULUCF|NOx|Work loss days", US_national_yearly!$D:$AM, 16, FALSE) / VLOOKUP("LULUCF|NOx|Work loss days", US_national_yearly!$D:$AM, 10, FALSE), 1)</f>
        <v>1.5841073549959818E-2</v>
      </c>
      <c r="I15" s="7">
        <f>$B15 * IFERROR(VLOOKUP("LULUCF|NOx|Work loss days", US_national_yearly!$D:$AM, 17, FALSE) / VLOOKUP("LULUCF|NOx|Work loss days", US_national_yearly!$D:$AM, 10, FALSE), 1)</f>
        <v>1.5923151810296344E-2</v>
      </c>
      <c r="J15" s="7">
        <f>$B15 * IFERROR(VLOOKUP("LULUCF|NOx|Work loss days", US_national_yearly!$D:$AM, 18, FALSE) / VLOOKUP("LULUCF|NOx|Work loss days", US_national_yearly!$D:$AM, 10, FALSE), 1)</f>
        <v>1.6005230070632873E-2</v>
      </c>
      <c r="K15" s="7">
        <f>$B15 * IFERROR(VLOOKUP("LULUCF|NOx|Work loss days", US_national_yearly!$D:$AM, 19, FALSE) / VLOOKUP("LULUCF|NOx|Work loss days", US_national_yearly!$D:$AM, 10, FALSE), 1)</f>
        <v>1.6087308330969399E-2</v>
      </c>
      <c r="L15" s="7">
        <f>$B15 * IFERROR(VLOOKUP("LULUCF|NOx|Work loss days", US_national_yearly!$D:$AM, 20, FALSE) / VLOOKUP("LULUCF|NOx|Work loss days", US_national_yearly!$D:$AM, 10, FALSE), 1)</f>
        <v>1.6169386591305925E-2</v>
      </c>
      <c r="M15" s="7">
        <f>$B15 * IFERROR(VLOOKUP("LULUCF|NOx|Work loss days", US_national_yearly!$D:$AM, 21, FALSE) / VLOOKUP("LULUCF|NOx|Work loss days", US_national_yearly!$D:$AM, 10, FALSE), 1)</f>
        <v>1.6251464851642455E-2</v>
      </c>
      <c r="N15" s="7">
        <f>$B15 * IFERROR(VLOOKUP("LULUCF|NOx|Work loss days", US_national_yearly!$D:$AM, 22, FALSE) / VLOOKUP("LULUCF|NOx|Work loss days", US_national_yearly!$D:$AM, 10, FALSE), 1)</f>
        <v>1.6358284670924046E-2</v>
      </c>
      <c r="O15" s="7">
        <f>$B15 * IFERROR(VLOOKUP("LULUCF|NOx|Work loss days", US_national_yearly!$D:$AM, 23, FALSE) / VLOOKUP("LULUCF|NOx|Work loss days", US_national_yearly!$D:$AM, 10, FALSE), 1)</f>
        <v>1.6465104490205638E-2</v>
      </c>
      <c r="P15" s="7">
        <f>$B15 * IFERROR(VLOOKUP("LULUCF|NOx|Work loss days", US_national_yearly!$D:$AM, 24, FALSE) / VLOOKUP("LULUCF|NOx|Work loss days", US_national_yearly!$D:$AM, 10, FALSE), 1)</f>
        <v>1.6571924309487233E-2</v>
      </c>
      <c r="Q15" s="7">
        <f>$B15 * IFERROR(VLOOKUP("LULUCF|NOx|Work loss days", US_national_yearly!$D:$AM, 25, FALSE) / VLOOKUP("LULUCF|NOx|Work loss days", US_national_yearly!$D:$AM, 10, FALSE), 1)</f>
        <v>1.6678744128768821E-2</v>
      </c>
      <c r="R15" s="7">
        <f>$B15 * IFERROR(VLOOKUP("LULUCF|NOx|Work loss days", US_national_yearly!$D:$AM, 26, FALSE) / VLOOKUP("LULUCF|NOx|Work loss days", US_national_yearly!$D:$AM, 10, FALSE), 1)</f>
        <v>1.6785563948050416E-2</v>
      </c>
      <c r="S15" s="7">
        <f>$B15 * IFERROR(VLOOKUP("LULUCF|NOx|Work loss days", US_national_yearly!$D:$AM, 27, FALSE) / VLOOKUP("LULUCF|NOx|Work loss days", US_national_yearly!$D:$AM, 10, FALSE), 1)</f>
        <v>1.6904654388353157E-2</v>
      </c>
      <c r="T15" s="7">
        <f>$B15 * IFERROR(VLOOKUP("LULUCF|NOx|Work loss days", US_national_yearly!$D:$AM, 28, FALSE) / VLOOKUP("LULUCF|NOx|Work loss days", US_national_yearly!$D:$AM, 10, FALSE), 1)</f>
        <v>1.7023744828655898E-2</v>
      </c>
      <c r="U15" s="7">
        <f>$B15 * IFERROR(VLOOKUP("LULUCF|NOx|Work loss days", US_national_yearly!$D:$AM, 29, FALSE) / VLOOKUP("LULUCF|NOx|Work loss days", US_national_yearly!$D:$AM, 10, FALSE), 1)</f>
        <v>1.7142835268958639E-2</v>
      </c>
      <c r="V15" s="7">
        <f>$B15 * IFERROR(VLOOKUP("LULUCF|NOx|Work loss days", US_national_yearly!$D:$AM, 30, FALSE) / VLOOKUP("LULUCF|NOx|Work loss days", US_national_yearly!$D:$AM, 10, FALSE), 1)</f>
        <v>1.726192570926138E-2</v>
      </c>
      <c r="W15" s="7">
        <f>$B15 * IFERROR(VLOOKUP("LULUCF|NOx|Work loss days", US_national_yearly!$D:$AM, 31, FALSE) / VLOOKUP("LULUCF|NOx|Work loss days", US_national_yearly!$D:$AM, 10, FALSE), 1)</f>
        <v>1.7381016149564121E-2</v>
      </c>
      <c r="X15" s="7">
        <f>$B15 * IFERROR(VLOOKUP("LULUCF|NOx|Work loss days", US_national_yearly!$D:$AM, 32, FALSE) / VLOOKUP("LULUCF|NOx|Work loss days", US_national_yearly!$D:$AM, 10, FALSE), 1)</f>
        <v>1.7484380302232788E-2</v>
      </c>
      <c r="Y15" s="7">
        <f>$B15 * IFERROR(VLOOKUP("LULUCF|NOx|Work loss days", US_national_yearly!$D:$AM, 33, FALSE) / VLOOKUP("LULUCF|NOx|Work loss days", US_national_yearly!$D:$AM, 10, FALSE), 1)</f>
        <v>1.7587744454901459E-2</v>
      </c>
      <c r="Z15" s="7">
        <f>$B15 * IFERROR(VLOOKUP("LULUCF|NOx|Work loss days", US_national_yearly!$D:$AM, 34, FALSE) / VLOOKUP("LULUCF|NOx|Work loss days", US_national_yearly!$D:$AM, 10, FALSE), 1)</f>
        <v>1.7691108607570127E-2</v>
      </c>
      <c r="AA15" s="7">
        <f>$B15 * IFERROR(VLOOKUP("LULUCF|NOx|Work loss days", US_national_yearly!$D:$AM, 35, FALSE) / VLOOKUP("LULUCF|NOx|Work loss days", US_national_yearly!$D:$AM, 10, FALSE), 1)</f>
        <v>1.7794472760238794E-2</v>
      </c>
      <c r="AB15" s="7">
        <f>$B15 * IFERROR(VLOOKUP("LULUCF|NOx|Work loss days", US_national_yearly!$D:$AM, 36, FALSE) / VLOOKUP("LULUCF|NOx|Work loss days", US_national_yearly!$D:$AM, 10, FALSE), 1)</f>
        <v>1.7897836912907465E-2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2.6239565559848693E-5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2.7010605530226049E-5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2.7781645500603402E-5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2.8552685470980755E-5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2.9323725441358112E-5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3.0056085902791064E-5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3.0788446364224022E-5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3.1404305013868491E-5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3.2020163663512953E-5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3.2636022313157416E-5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3.3251880962801885E-5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3.3867739612446354E-5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3.4252856432413489E-5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3.4637973252380631E-5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3.5023090072347767E-5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3.5408206892314909E-5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3.5793323712282045E-5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3.5969041941740046E-5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3.6144760171198054E-5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3.6320478400656049E-5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3.6496196630114058E-5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3.6671914859572059E-5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3.6769708146348777E-5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3.6867501433125488E-5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3.6965294719902206E-5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3.7063088006678924E-5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3.7160881293455635E-5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2.8536029290727381E-4</v>
      </c>
      <c r="C2" s="7">
        <f>$B2 * IFERROR(VLOOKUP("LULUCF|SO2|Premature mortality", US_national_yearly!$D:$AM, 11, FALSE) / VLOOKUP("LULUCF|SO2|Premature mortality", US_national_yearly!$D:$AM, 10, FALSE), 1)</f>
        <v>2.8897422661863998E-4</v>
      </c>
      <c r="D2" s="7">
        <f>$B2 * IFERROR(VLOOKUP("LULUCF|SO2|Premature mortality", US_national_yearly!$D:$AM, 12, FALSE) / VLOOKUP("LULUCF|SO2|Premature mortality", US_national_yearly!$D:$AM, 10, FALSE), 1)</f>
        <v>2.9258816033000615E-4</v>
      </c>
      <c r="E2" s="7">
        <f>$B2 * IFERROR(VLOOKUP("LULUCF|SO2|Premature mortality", US_national_yearly!$D:$AM, 13, FALSE) / VLOOKUP("LULUCF|SO2|Premature mortality", US_national_yearly!$D:$AM, 10, FALSE), 1)</f>
        <v>2.9620209404137231E-4</v>
      </c>
      <c r="F2" s="7">
        <f>$B2 * IFERROR(VLOOKUP("LULUCF|SO2|Premature mortality", US_national_yearly!$D:$AM, 14, FALSE) / VLOOKUP("LULUCF|SO2|Premature mortality", US_national_yearly!$D:$AM, 10, FALSE), 1)</f>
        <v>2.9981602775273843E-4</v>
      </c>
      <c r="G2" s="7">
        <f>$B2 * IFERROR(VLOOKUP("LULUCF|SO2|Premature mortality", US_national_yearly!$D:$AM, 15, FALSE) / VLOOKUP("LULUCF|SO2|Premature mortality", US_national_yearly!$D:$AM, 10, FALSE), 1)</f>
        <v>3.0677987319899762E-4</v>
      </c>
      <c r="H2" s="7">
        <f>$B2 * IFERROR(VLOOKUP("LULUCF|SO2|Premature mortality", US_national_yearly!$D:$AM, 16, FALSE) / VLOOKUP("LULUCF|SO2|Premature mortality", US_national_yearly!$D:$AM, 10, FALSE), 1)</f>
        <v>3.1374371864525676E-4</v>
      </c>
      <c r="I2" s="7">
        <f>$B2 * IFERROR(VLOOKUP("LULUCF|SO2|Premature mortality", US_national_yearly!$D:$AM, 17, FALSE) / VLOOKUP("LULUCF|SO2|Premature mortality", US_national_yearly!$D:$AM, 10, FALSE), 1)</f>
        <v>3.1834585441894601E-4</v>
      </c>
      <c r="J2" s="7">
        <f>$B2 * IFERROR(VLOOKUP("LULUCF|SO2|Premature mortality", US_national_yearly!$D:$AM, 18, FALSE) / VLOOKUP("LULUCF|SO2|Premature mortality", US_national_yearly!$D:$AM, 10, FALSE), 1)</f>
        <v>3.2294799019263521E-4</v>
      </c>
      <c r="K2" s="7">
        <f>$B2 * IFERROR(VLOOKUP("LULUCF|SO2|Premature mortality", US_national_yearly!$D:$AM, 19, FALSE) / VLOOKUP("LULUCF|SO2|Premature mortality", US_national_yearly!$D:$AM, 10, FALSE), 1)</f>
        <v>3.2755012596632436E-4</v>
      </c>
      <c r="L2" s="7">
        <f>$B2 * IFERROR(VLOOKUP("LULUCF|SO2|Premature mortality", US_national_yearly!$D:$AM, 20, FALSE) / VLOOKUP("LULUCF|SO2|Premature mortality", US_national_yearly!$D:$AM, 10, FALSE), 1)</f>
        <v>3.3215226174001362E-4</v>
      </c>
      <c r="M2" s="7">
        <f>$B2 * IFERROR(VLOOKUP("LULUCF|SO2|Premature mortality", US_national_yearly!$D:$AM, 21, FALSE) / VLOOKUP("LULUCF|SO2|Premature mortality", US_national_yearly!$D:$AM, 10, FALSE), 1)</f>
        <v>3.3675439751370282E-4</v>
      </c>
      <c r="N2" s="7">
        <f>$B2 * IFERROR(VLOOKUP("LULUCF|SO2|Premature mortality", US_national_yearly!$D:$AM, 22, FALSE) / VLOOKUP("LULUCF|SO2|Premature mortality", US_national_yearly!$D:$AM, 10, FALSE), 1)</f>
        <v>3.4035025677487047E-4</v>
      </c>
      <c r="O2" s="7">
        <f>$B2 * IFERROR(VLOOKUP("LULUCF|SO2|Premature mortality", US_national_yearly!$D:$AM, 23, FALSE) / VLOOKUP("LULUCF|SO2|Premature mortality", US_national_yearly!$D:$AM, 10, FALSE), 1)</f>
        <v>3.4394611603603807E-4</v>
      </c>
      <c r="P2" s="7">
        <f>$B2 * IFERROR(VLOOKUP("LULUCF|SO2|Premature mortality", US_national_yearly!$D:$AM, 24, FALSE) / VLOOKUP("LULUCF|SO2|Premature mortality", US_national_yearly!$D:$AM, 10, FALSE), 1)</f>
        <v>3.4754197529720572E-4</v>
      </c>
      <c r="Q2" s="7">
        <f>$B2 * IFERROR(VLOOKUP("LULUCF|SO2|Premature mortality", US_national_yearly!$D:$AM, 25, FALSE) / VLOOKUP("LULUCF|SO2|Premature mortality", US_national_yearly!$D:$AM, 10, FALSE), 1)</f>
        <v>3.5113783455837337E-4</v>
      </c>
      <c r="R2" s="7">
        <f>$B2 * IFERROR(VLOOKUP("LULUCF|SO2|Premature mortality", US_national_yearly!$D:$AM, 26, FALSE) / VLOOKUP("LULUCF|SO2|Premature mortality", US_national_yearly!$D:$AM, 10, FALSE), 1)</f>
        <v>3.5473369381954092E-4</v>
      </c>
      <c r="S2" s="7">
        <f>$B2 * IFERROR(VLOOKUP("LULUCF|SO2|Premature mortality", US_national_yearly!$D:$AM, 27, FALSE) / VLOOKUP("LULUCF|SO2|Premature mortality", US_national_yearly!$D:$AM, 10, FALSE), 1)</f>
        <v>3.5665932433347875E-4</v>
      </c>
      <c r="T2" s="7">
        <f>$B2 * IFERROR(VLOOKUP("LULUCF|SO2|Premature mortality", US_national_yearly!$D:$AM, 28, FALSE) / VLOOKUP("LULUCF|SO2|Premature mortality", US_national_yearly!$D:$AM, 10, FALSE), 1)</f>
        <v>3.5858495484741647E-4</v>
      </c>
      <c r="U2" s="7">
        <f>$B2 * IFERROR(VLOOKUP("LULUCF|SO2|Premature mortality", US_national_yearly!$D:$AM, 29, FALSE) / VLOOKUP("LULUCF|SO2|Premature mortality", US_national_yearly!$D:$AM, 10, FALSE), 1)</f>
        <v>3.6051058536135425E-4</v>
      </c>
      <c r="V2" s="7">
        <f>$B2 * IFERROR(VLOOKUP("LULUCF|SO2|Premature mortality", US_national_yearly!$D:$AM, 30, FALSE) / VLOOKUP("LULUCF|SO2|Premature mortality", US_national_yearly!$D:$AM, 10, FALSE), 1)</f>
        <v>3.6243621587529198E-4</v>
      </c>
      <c r="W2" s="7">
        <f>$B2 * IFERROR(VLOOKUP("LULUCF|SO2|Premature mortality", US_national_yearly!$D:$AM, 31, FALSE) / VLOOKUP("LULUCF|SO2|Premature mortality", US_national_yearly!$D:$AM, 10, FALSE), 1)</f>
        <v>3.6436184638922981E-4</v>
      </c>
      <c r="X2" s="7">
        <f>$B2 * IFERROR(VLOOKUP("LULUCF|SO2|Premature mortality", US_national_yearly!$D:$AM, 32, FALSE) / VLOOKUP("LULUCF|SO2|Premature mortality", US_national_yearly!$D:$AM, 10, FALSE), 1)</f>
        <v>3.6475304411819705E-4</v>
      </c>
      <c r="Y2" s="7">
        <f>$B2 * IFERROR(VLOOKUP("LULUCF|SO2|Premature mortality", US_national_yearly!$D:$AM, 33, FALSE) / VLOOKUP("LULUCF|SO2|Premature mortality", US_national_yearly!$D:$AM, 10, FALSE), 1)</f>
        <v>3.6514424184716434E-4</v>
      </c>
      <c r="Z2" s="7">
        <f>$B2 * IFERROR(VLOOKUP("LULUCF|SO2|Premature mortality", US_national_yearly!$D:$AM, 34, FALSE) / VLOOKUP("LULUCF|SO2|Premature mortality", US_national_yearly!$D:$AM, 10, FALSE), 1)</f>
        <v>3.6553543957613163E-4</v>
      </c>
      <c r="AA2" s="7">
        <f>$B2 * IFERROR(VLOOKUP("LULUCF|SO2|Premature mortality", US_national_yearly!$D:$AM, 35, FALSE) / VLOOKUP("LULUCF|SO2|Premature mortality", US_national_yearly!$D:$AM, 10, FALSE), 1)</f>
        <v>3.6592663730509892E-4</v>
      </c>
      <c r="AB2" s="7">
        <f>$B2 * IFERROR(VLOOKUP("LULUCF|SO2|Premature mortality", US_national_yearly!$D:$AM, 36, FALSE) / VLOOKUP("LULUCF|SO2|Premature mortality", US_national_yearly!$D:$AM, 10, FALSE), 1)</f>
        <v>3.6631783503406615E-4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4.930292157386433E-7</v>
      </c>
      <c r="C3" s="7">
        <f>$B3 * IFERROR(VLOOKUP("LULUCF|SO2|Infant mortality", US_national_yearly!$D:$AM, 11, FALSE) / VLOOKUP("LULUCF|SO2|Infant mortality", US_national_yearly!$D:$AM, 10, FALSE), 1)</f>
        <v>4.8879400484417277E-7</v>
      </c>
      <c r="D3" s="7">
        <f>$B3 * IFERROR(VLOOKUP("LULUCF|SO2|Infant mortality", US_national_yearly!$D:$AM, 12, FALSE) / VLOOKUP("LULUCF|SO2|Infant mortality", US_national_yearly!$D:$AM, 10, FALSE), 1)</f>
        <v>4.8455879394970224E-7</v>
      </c>
      <c r="E3" s="7">
        <f>$B3 * IFERROR(VLOOKUP("LULUCF|SO2|Infant mortality", US_national_yearly!$D:$AM, 13, FALSE) / VLOOKUP("LULUCF|SO2|Infant mortality", US_national_yearly!$D:$AM, 10, FALSE), 1)</f>
        <v>4.8032358305523171E-7</v>
      </c>
      <c r="F3" s="7">
        <f>$B3 * IFERROR(VLOOKUP("LULUCF|SO2|Infant mortality", US_national_yearly!$D:$AM, 14, FALSE) / VLOOKUP("LULUCF|SO2|Infant mortality", US_national_yearly!$D:$AM, 10, FALSE), 1)</f>
        <v>4.7608837216076118E-7</v>
      </c>
      <c r="G3" s="7">
        <f>$B3 * IFERROR(VLOOKUP("LULUCF|SO2|Infant mortality", US_national_yearly!$D:$AM, 15, FALSE) / VLOOKUP("LULUCF|SO2|Infant mortality", US_national_yearly!$D:$AM, 10, FALSE), 1)</f>
        <v>3.1711320076910933E-7</v>
      </c>
      <c r="H3" s="7">
        <f>$B3 * IFERROR(VLOOKUP("LULUCF|SO2|Infant mortality", US_national_yearly!$D:$AM, 16, FALSE) / VLOOKUP("LULUCF|SO2|Infant mortality", US_national_yearly!$D:$AM, 10, FALSE), 1)</f>
        <v>1.5813802937745777E-7</v>
      </c>
      <c r="I3" s="7">
        <f>$B3 * IFERROR(VLOOKUP("LULUCF|SO2|Infant mortality", US_national_yearly!$D:$AM, 17, FALSE) / VLOOKUP("LULUCF|SO2|Infant mortality", US_national_yearly!$D:$AM, 10, FALSE), 1)</f>
        <v>1.5714598176558812E-7</v>
      </c>
      <c r="J3" s="7">
        <f>$B3 * IFERROR(VLOOKUP("LULUCF|SO2|Infant mortality", US_national_yearly!$D:$AM, 18, FALSE) / VLOOKUP("LULUCF|SO2|Infant mortality", US_national_yearly!$D:$AM, 10, FALSE), 1)</f>
        <v>1.5615393415371844E-7</v>
      </c>
      <c r="K3" s="7">
        <f>$B3 * IFERROR(VLOOKUP("LULUCF|SO2|Infant mortality", US_national_yearly!$D:$AM, 19, FALSE) / VLOOKUP("LULUCF|SO2|Infant mortality", US_national_yearly!$D:$AM, 10, FALSE), 1)</f>
        <v>1.5516188654184878E-7</v>
      </c>
      <c r="L3" s="7">
        <f>$B3 * IFERROR(VLOOKUP("LULUCF|SO2|Infant mortality", US_national_yearly!$D:$AM, 20, FALSE) / VLOOKUP("LULUCF|SO2|Infant mortality", US_national_yearly!$D:$AM, 10, FALSE), 1)</f>
        <v>1.5416983892997913E-7</v>
      </c>
      <c r="M3" s="7">
        <f>$B3 * IFERROR(VLOOKUP("LULUCF|SO2|Infant mortality", US_national_yearly!$D:$AM, 21, FALSE) / VLOOKUP("LULUCF|SO2|Infant mortality", US_national_yearly!$D:$AM, 10, FALSE), 1)</f>
        <v>1.5317779131810948E-7</v>
      </c>
      <c r="N3" s="7">
        <f>$B3 * IFERROR(VLOOKUP("LULUCF|SO2|Infant mortality", US_national_yearly!$D:$AM, 22, FALSE) / VLOOKUP("LULUCF|SO2|Infant mortality", US_national_yearly!$D:$AM, 10, FALSE), 1)</f>
        <v>1.5255509045926427E-7</v>
      </c>
      <c r="O3" s="7">
        <f>$B3 * IFERROR(VLOOKUP("LULUCF|SO2|Infant mortality", US_national_yearly!$D:$AM, 23, FALSE) / VLOOKUP("LULUCF|SO2|Infant mortality", US_national_yearly!$D:$AM, 10, FALSE), 1)</f>
        <v>1.5193238960041906E-7</v>
      </c>
      <c r="P3" s="7">
        <f>$B3 * IFERROR(VLOOKUP("LULUCF|SO2|Infant mortality", US_national_yearly!$D:$AM, 24, FALSE) / VLOOKUP("LULUCF|SO2|Infant mortality", US_national_yearly!$D:$AM, 10, FALSE), 1)</f>
        <v>1.5130968874157383E-7</v>
      </c>
      <c r="Q3" s="7">
        <f>$B3 * IFERROR(VLOOKUP("LULUCF|SO2|Infant mortality", US_national_yearly!$D:$AM, 25, FALSE) / VLOOKUP("LULUCF|SO2|Infant mortality", US_national_yearly!$D:$AM, 10, FALSE), 1)</f>
        <v>1.5068698788272862E-7</v>
      </c>
      <c r="R3" s="7">
        <f>$B3 * IFERROR(VLOOKUP("LULUCF|SO2|Infant mortality", US_national_yearly!$D:$AM, 26, FALSE) / VLOOKUP("LULUCF|SO2|Infant mortality", US_national_yearly!$D:$AM, 10, FALSE), 1)</f>
        <v>1.5006428702388339E-7</v>
      </c>
      <c r="S3" s="7">
        <f>$B3 * IFERROR(VLOOKUP("LULUCF|SO2|Infant mortality", US_national_yearly!$D:$AM, 27, FALSE) / VLOOKUP("LULUCF|SO2|Infant mortality", US_national_yearly!$D:$AM, 10, FALSE), 1)</f>
        <v>1.4928244815985487E-7</v>
      </c>
      <c r="T3" s="7">
        <f>$B3 * IFERROR(VLOOKUP("LULUCF|SO2|Infant mortality", US_national_yearly!$D:$AM, 28, FALSE) / VLOOKUP("LULUCF|SO2|Infant mortality", US_national_yearly!$D:$AM, 10, FALSE), 1)</f>
        <v>1.4850060929582636E-7</v>
      </c>
      <c r="U3" s="7">
        <f>$B3 * IFERROR(VLOOKUP("LULUCF|SO2|Infant mortality", US_national_yearly!$D:$AM, 29, FALSE) / VLOOKUP("LULUCF|SO2|Infant mortality", US_national_yearly!$D:$AM, 10, FALSE), 1)</f>
        <v>1.4771877043179777E-7</v>
      </c>
      <c r="V3" s="7">
        <f>$B3 * IFERROR(VLOOKUP("LULUCF|SO2|Infant mortality", US_national_yearly!$D:$AM, 30, FALSE) / VLOOKUP("LULUCF|SO2|Infant mortality", US_national_yearly!$D:$AM, 10, FALSE), 1)</f>
        <v>1.4693693156776928E-7</v>
      </c>
      <c r="W3" s="7">
        <f>$B3 * IFERROR(VLOOKUP("LULUCF|SO2|Infant mortality", US_national_yearly!$D:$AM, 31, FALSE) / VLOOKUP("LULUCF|SO2|Infant mortality", US_national_yearly!$D:$AM, 10, FALSE), 1)</f>
        <v>1.4615509270374072E-7</v>
      </c>
      <c r="X3" s="7">
        <f>$B3 * IFERROR(VLOOKUP("LULUCF|SO2|Infant mortality", US_national_yearly!$D:$AM, 32, FALSE) / VLOOKUP("LULUCF|SO2|Infant mortality", US_national_yearly!$D:$AM, 10, FALSE), 1)</f>
        <v>1.4530030149353557E-7</v>
      </c>
      <c r="Y3" s="7">
        <f>$B3 * IFERROR(VLOOKUP("LULUCF|SO2|Infant mortality", US_national_yearly!$D:$AM, 33, FALSE) / VLOOKUP("LULUCF|SO2|Infant mortality", US_national_yearly!$D:$AM, 10, FALSE), 1)</f>
        <v>1.4444551028333037E-7</v>
      </c>
      <c r="Z3" s="7">
        <f>$B3 * IFERROR(VLOOKUP("LULUCF|SO2|Infant mortality", US_national_yearly!$D:$AM, 34, FALSE) / VLOOKUP("LULUCF|SO2|Infant mortality", US_national_yearly!$D:$AM, 10, FALSE), 1)</f>
        <v>1.4359071907312522E-7</v>
      </c>
      <c r="AA3" s="7">
        <f>$B3 * IFERROR(VLOOKUP("LULUCF|SO2|Infant mortality", US_national_yearly!$D:$AM, 35, FALSE) / VLOOKUP("LULUCF|SO2|Infant mortality", US_national_yearly!$D:$AM, 10, FALSE), 1)</f>
        <v>1.4273592786292002E-7</v>
      </c>
      <c r="AB3" s="7">
        <f>$B3 * IFERROR(VLOOKUP("LULUCF|SO2|Infant mortality", US_national_yearly!$D:$AM, 36, FALSE) / VLOOKUP("LULUCF|SO2|Infant mortality", US_national_yearly!$D:$AM, 10, FALSE), 1)</f>
        <v>1.4188113665271487E-7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6.8627770201285616E-4</v>
      </c>
      <c r="C6" s="7">
        <f>$B6 * IFERROR(VLOOKUP("LULUCF|SO2|Asthma symptoms cough", US_national_yearly!$D:$AM, 11, FALSE) / VLOOKUP("LULUCF|SO2|Asthma symptoms cough", US_national_yearly!$D:$AM, 10, FALSE), 1)</f>
        <v>6.8627770201285616E-4</v>
      </c>
      <c r="D6" s="7">
        <f>$B6 * IFERROR(VLOOKUP("LULUCF|SO2|Asthma symptoms cough", US_national_yearly!$D:$AM, 12, FALSE) / VLOOKUP("LULUCF|SO2|Asthma symptoms cough", US_national_yearly!$D:$AM, 10, FALSE), 1)</f>
        <v>6.8627770201285616E-4</v>
      </c>
      <c r="E6" s="7">
        <f>$B6 * IFERROR(VLOOKUP("LULUCF|SO2|Asthma symptoms cough", US_national_yearly!$D:$AM, 13, FALSE) / VLOOKUP("LULUCF|SO2|Asthma symptoms cough", US_national_yearly!$D:$AM, 10, FALSE), 1)</f>
        <v>6.8627770201285616E-4</v>
      </c>
      <c r="F6" s="7">
        <f>$B6 * IFERROR(VLOOKUP("LULUCF|SO2|Asthma symptoms cough", US_national_yearly!$D:$AM, 14, FALSE) / VLOOKUP("LULUCF|SO2|Asthma symptoms cough", US_national_yearly!$D:$AM, 10, FALSE), 1)</f>
        <v>6.8627770201285616E-4</v>
      </c>
      <c r="G6" s="7">
        <f>$B6 * IFERROR(VLOOKUP("LULUCF|SO2|Asthma symptoms cough", US_national_yearly!$D:$AM, 15, FALSE) / VLOOKUP("LULUCF|SO2|Asthma symptoms cough", US_national_yearly!$D:$AM, 10, FALSE), 1)</f>
        <v>6.8627770201285616E-4</v>
      </c>
      <c r="H6" s="7">
        <f>$B6 * IFERROR(VLOOKUP("LULUCF|SO2|Asthma symptoms cough", US_national_yearly!$D:$AM, 16, FALSE) / VLOOKUP("LULUCF|SO2|Asthma symptoms cough", US_national_yearly!$D:$AM, 10, FALSE), 1)</f>
        <v>6.8627770201285616E-4</v>
      </c>
      <c r="I6" s="7">
        <f>$B6 * IFERROR(VLOOKUP("LULUCF|SO2|Asthma symptoms cough", US_national_yearly!$D:$AM, 17, FALSE) / VLOOKUP("LULUCF|SO2|Asthma symptoms cough", US_national_yearly!$D:$AM, 10, FALSE), 1)</f>
        <v>6.8627770201285616E-4</v>
      </c>
      <c r="J6" s="7">
        <f>$B6 * IFERROR(VLOOKUP("LULUCF|SO2|Asthma symptoms cough", US_national_yearly!$D:$AM, 18, FALSE) / VLOOKUP("LULUCF|SO2|Asthma symptoms cough", US_national_yearly!$D:$AM, 10, FALSE), 1)</f>
        <v>6.8627770201285616E-4</v>
      </c>
      <c r="K6" s="7">
        <f>$B6 * IFERROR(VLOOKUP("LULUCF|SO2|Asthma symptoms cough", US_national_yearly!$D:$AM, 19, FALSE) / VLOOKUP("LULUCF|SO2|Asthma symptoms cough", US_national_yearly!$D:$AM, 10, FALSE), 1)</f>
        <v>6.8627770201285616E-4</v>
      </c>
      <c r="L6" s="7">
        <f>$B6 * IFERROR(VLOOKUP("LULUCF|SO2|Asthma symptoms cough", US_national_yearly!$D:$AM, 20, FALSE) / VLOOKUP("LULUCF|SO2|Asthma symptoms cough", US_national_yearly!$D:$AM, 10, FALSE), 1)</f>
        <v>6.8627770201285616E-4</v>
      </c>
      <c r="M6" s="7">
        <f>$B6 * IFERROR(VLOOKUP("LULUCF|SO2|Asthma symptoms cough", US_national_yearly!$D:$AM, 21, FALSE) / VLOOKUP("LULUCF|SO2|Asthma symptoms cough", US_national_yearly!$D:$AM, 10, FALSE), 1)</f>
        <v>6.8627770201285616E-4</v>
      </c>
      <c r="N6" s="7">
        <f>$B6 * IFERROR(VLOOKUP("LULUCF|SO2|Asthma symptoms cough", US_national_yearly!$D:$AM, 22, FALSE) / VLOOKUP("LULUCF|SO2|Asthma symptoms cough", US_national_yearly!$D:$AM, 10, FALSE), 1)</f>
        <v>6.8627770201285616E-4</v>
      </c>
      <c r="O6" s="7">
        <f>$B6 * IFERROR(VLOOKUP("LULUCF|SO2|Asthma symptoms cough", US_national_yearly!$D:$AM, 23, FALSE) / VLOOKUP("LULUCF|SO2|Asthma symptoms cough", US_national_yearly!$D:$AM, 10, FALSE), 1)</f>
        <v>6.8627770201285616E-4</v>
      </c>
      <c r="P6" s="7">
        <f>$B6 * IFERROR(VLOOKUP("LULUCF|SO2|Asthma symptoms cough", US_national_yearly!$D:$AM, 24, FALSE) / VLOOKUP("LULUCF|SO2|Asthma symptoms cough", US_national_yearly!$D:$AM, 10, FALSE), 1)</f>
        <v>6.8627770201285616E-4</v>
      </c>
      <c r="Q6" s="7">
        <f>$B6 * IFERROR(VLOOKUP("LULUCF|SO2|Asthma symptoms cough", US_national_yearly!$D:$AM, 25, FALSE) / VLOOKUP("LULUCF|SO2|Asthma symptoms cough", US_national_yearly!$D:$AM, 10, FALSE), 1)</f>
        <v>6.8627770201285616E-4</v>
      </c>
      <c r="R6" s="7">
        <f>$B6 * IFERROR(VLOOKUP("LULUCF|SO2|Asthma symptoms cough", US_national_yearly!$D:$AM, 26, FALSE) / VLOOKUP("LULUCF|SO2|Asthma symptoms cough", US_national_yearly!$D:$AM, 10, FALSE), 1)</f>
        <v>6.8627770201285616E-4</v>
      </c>
      <c r="S6" s="7">
        <f>$B6 * IFERROR(VLOOKUP("LULUCF|SO2|Asthma symptoms cough", US_national_yearly!$D:$AM, 27, FALSE) / VLOOKUP("LULUCF|SO2|Asthma symptoms cough", US_national_yearly!$D:$AM, 10, FALSE), 1)</f>
        <v>6.8627770201285616E-4</v>
      </c>
      <c r="T6" s="7">
        <f>$B6 * IFERROR(VLOOKUP("LULUCF|SO2|Asthma symptoms cough", US_national_yearly!$D:$AM, 28, FALSE) / VLOOKUP("LULUCF|SO2|Asthma symptoms cough", US_national_yearly!$D:$AM, 10, FALSE), 1)</f>
        <v>6.8627770201285616E-4</v>
      </c>
      <c r="U6" s="7">
        <f>$B6 * IFERROR(VLOOKUP("LULUCF|SO2|Asthma symptoms cough", US_national_yearly!$D:$AM, 29, FALSE) / VLOOKUP("LULUCF|SO2|Asthma symptoms cough", US_national_yearly!$D:$AM, 10, FALSE), 1)</f>
        <v>6.8627770201285616E-4</v>
      </c>
      <c r="V6" s="7">
        <f>$B6 * IFERROR(VLOOKUP("LULUCF|SO2|Asthma symptoms cough", US_national_yearly!$D:$AM, 30, FALSE) / VLOOKUP("LULUCF|SO2|Asthma symptoms cough", US_national_yearly!$D:$AM, 10, FALSE), 1)</f>
        <v>6.8627770201285616E-4</v>
      </c>
      <c r="W6" s="7">
        <f>$B6 * IFERROR(VLOOKUP("LULUCF|SO2|Asthma symptoms cough", US_national_yearly!$D:$AM, 31, FALSE) / VLOOKUP("LULUCF|SO2|Asthma symptoms cough", US_national_yearly!$D:$AM, 10, FALSE), 1)</f>
        <v>6.8627770201285616E-4</v>
      </c>
      <c r="X6" s="7">
        <f>$B6 * IFERROR(VLOOKUP("LULUCF|SO2|Asthma symptoms cough", US_national_yearly!$D:$AM, 32, FALSE) / VLOOKUP("LULUCF|SO2|Asthma symptoms cough", US_national_yearly!$D:$AM, 10, FALSE), 1)</f>
        <v>6.8627770201285616E-4</v>
      </c>
      <c r="Y6" s="7">
        <f>$B6 * IFERROR(VLOOKUP("LULUCF|SO2|Asthma symptoms cough", US_national_yearly!$D:$AM, 33, FALSE) / VLOOKUP("LULUCF|SO2|Asthma symptoms cough", US_national_yearly!$D:$AM, 10, FALSE), 1)</f>
        <v>6.8627770201285616E-4</v>
      </c>
      <c r="Z6" s="7">
        <f>$B6 * IFERROR(VLOOKUP("LULUCF|SO2|Asthma symptoms cough", US_national_yearly!$D:$AM, 34, FALSE) / VLOOKUP("LULUCF|SO2|Asthma symptoms cough", US_national_yearly!$D:$AM, 10, FALSE), 1)</f>
        <v>6.8627770201285616E-4</v>
      </c>
      <c r="AA6" s="7">
        <f>$B6 * IFERROR(VLOOKUP("LULUCF|SO2|Asthma symptoms cough", US_national_yearly!$D:$AM, 35, FALSE) / VLOOKUP("LULUCF|SO2|Asthma symptoms cough", US_national_yearly!$D:$AM, 10, FALSE), 1)</f>
        <v>6.8627770201285616E-4</v>
      </c>
      <c r="AB6" s="7">
        <f>$B6 * IFERROR(VLOOKUP("LULUCF|SO2|Asthma symptoms cough", US_national_yearly!$D:$AM, 36, FALSE) / VLOOKUP("LULUCF|SO2|Asthma symptoms cough", US_national_yearly!$D:$AM, 10, FALSE), 1)</f>
        <v>6.8627770201285616E-4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9.2417285276755147E-4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9.2417285276755147E-4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9.2417285276755147E-4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9.2417285276755147E-4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9.2417285276755147E-4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9.2417285276755147E-4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9.2417285276755147E-4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9.2417285276755147E-4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9.2417285276755147E-4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9.2417285276755147E-4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9.2417285276755147E-4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9.2417285276755147E-4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9.2417285276755147E-4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9.2417285276755147E-4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9.2417285276755147E-4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9.2417285276755147E-4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9.2417285276755147E-4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9.2417285276755147E-4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9.2417285276755147E-4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9.2417285276755147E-4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9.2417285276755147E-4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9.2417285276755147E-4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9.2417285276755147E-4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9.2417285276755147E-4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9.2417285276755147E-4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9.2417285276755147E-4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9.2417285276755147E-4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1.4119782648707396E-3</v>
      </c>
      <c r="C8" s="7">
        <f>$B8 * IFERROR(VLOOKUP("LULUCF|SO2|Asthma symptoms wheeze", US_national_yearly!$D:$AM, 11, FALSE) / VLOOKUP("LULUCF|SO2|Asthma symptoms wheeze", US_national_yearly!$D:$AM, 10, FALSE), 1)</f>
        <v>1.4119782648707396E-3</v>
      </c>
      <c r="D8" s="7">
        <f>$B8 * IFERROR(VLOOKUP("LULUCF|SO2|Asthma symptoms wheeze", US_national_yearly!$D:$AM, 12, FALSE) / VLOOKUP("LULUCF|SO2|Asthma symptoms wheeze", US_national_yearly!$D:$AM, 10, FALSE), 1)</f>
        <v>1.4119782648707396E-3</v>
      </c>
      <c r="E8" s="7">
        <f>$B8 * IFERROR(VLOOKUP("LULUCF|SO2|Asthma symptoms wheeze", US_national_yearly!$D:$AM, 13, FALSE) / VLOOKUP("LULUCF|SO2|Asthma symptoms wheeze", US_national_yearly!$D:$AM, 10, FALSE), 1)</f>
        <v>1.4119782648707396E-3</v>
      </c>
      <c r="F8" s="7">
        <f>$B8 * IFERROR(VLOOKUP("LULUCF|SO2|Asthma symptoms wheeze", US_national_yearly!$D:$AM, 14, FALSE) / VLOOKUP("LULUCF|SO2|Asthma symptoms wheeze", US_national_yearly!$D:$AM, 10, FALSE), 1)</f>
        <v>1.4119782648707396E-3</v>
      </c>
      <c r="G8" s="7">
        <f>$B8 * IFERROR(VLOOKUP("LULUCF|SO2|Asthma symptoms wheeze", US_national_yearly!$D:$AM, 15, FALSE) / VLOOKUP("LULUCF|SO2|Asthma symptoms wheeze", US_national_yearly!$D:$AM, 10, FALSE), 1)</f>
        <v>1.4119782648707396E-3</v>
      </c>
      <c r="H8" s="7">
        <f>$B8 * IFERROR(VLOOKUP("LULUCF|SO2|Asthma symptoms wheeze", US_national_yearly!$D:$AM, 16, FALSE) / VLOOKUP("LULUCF|SO2|Asthma symptoms wheeze", US_national_yearly!$D:$AM, 10, FALSE), 1)</f>
        <v>1.4119782648707396E-3</v>
      </c>
      <c r="I8" s="7">
        <f>$B8 * IFERROR(VLOOKUP("LULUCF|SO2|Asthma symptoms wheeze", US_national_yearly!$D:$AM, 17, FALSE) / VLOOKUP("LULUCF|SO2|Asthma symptoms wheeze", US_national_yearly!$D:$AM, 10, FALSE), 1)</f>
        <v>1.4119782648707396E-3</v>
      </c>
      <c r="J8" s="7">
        <f>$B8 * IFERROR(VLOOKUP("LULUCF|SO2|Asthma symptoms wheeze", US_national_yearly!$D:$AM, 18, FALSE) / VLOOKUP("LULUCF|SO2|Asthma symptoms wheeze", US_national_yearly!$D:$AM, 10, FALSE), 1)</f>
        <v>1.4119782648707396E-3</v>
      </c>
      <c r="K8" s="7">
        <f>$B8 * IFERROR(VLOOKUP("LULUCF|SO2|Asthma symptoms wheeze", US_national_yearly!$D:$AM, 19, FALSE) / VLOOKUP("LULUCF|SO2|Asthma symptoms wheeze", US_national_yearly!$D:$AM, 10, FALSE), 1)</f>
        <v>1.4119782648707396E-3</v>
      </c>
      <c r="L8" s="7">
        <f>$B8 * IFERROR(VLOOKUP("LULUCF|SO2|Asthma symptoms wheeze", US_national_yearly!$D:$AM, 20, FALSE) / VLOOKUP("LULUCF|SO2|Asthma symptoms wheeze", US_national_yearly!$D:$AM, 10, FALSE), 1)</f>
        <v>1.4119782648707396E-3</v>
      </c>
      <c r="M8" s="7">
        <f>$B8 * IFERROR(VLOOKUP("LULUCF|SO2|Asthma symptoms wheeze", US_national_yearly!$D:$AM, 21, FALSE) / VLOOKUP("LULUCF|SO2|Asthma symptoms wheeze", US_national_yearly!$D:$AM, 10, FALSE), 1)</f>
        <v>1.4119782648707396E-3</v>
      </c>
      <c r="N8" s="7">
        <f>$B8 * IFERROR(VLOOKUP("LULUCF|SO2|Asthma symptoms wheeze", US_national_yearly!$D:$AM, 22, FALSE) / VLOOKUP("LULUCF|SO2|Asthma symptoms wheeze", US_national_yearly!$D:$AM, 10, FALSE), 1)</f>
        <v>1.4119782648707396E-3</v>
      </c>
      <c r="O8" s="7">
        <f>$B8 * IFERROR(VLOOKUP("LULUCF|SO2|Asthma symptoms wheeze", US_national_yearly!$D:$AM, 23, FALSE) / VLOOKUP("LULUCF|SO2|Asthma symptoms wheeze", US_national_yearly!$D:$AM, 10, FALSE), 1)</f>
        <v>1.4119782648707396E-3</v>
      </c>
      <c r="P8" s="7">
        <f>$B8 * IFERROR(VLOOKUP("LULUCF|SO2|Asthma symptoms wheeze", US_national_yearly!$D:$AM, 24, FALSE) / VLOOKUP("LULUCF|SO2|Asthma symptoms wheeze", US_national_yearly!$D:$AM, 10, FALSE), 1)</f>
        <v>1.4119782648707396E-3</v>
      </c>
      <c r="Q8" s="7">
        <f>$B8 * IFERROR(VLOOKUP("LULUCF|SO2|Asthma symptoms wheeze", US_national_yearly!$D:$AM, 25, FALSE) / VLOOKUP("LULUCF|SO2|Asthma symptoms wheeze", US_national_yearly!$D:$AM, 10, FALSE), 1)</f>
        <v>1.4119782648707396E-3</v>
      </c>
      <c r="R8" s="7">
        <f>$B8 * IFERROR(VLOOKUP("LULUCF|SO2|Asthma symptoms wheeze", US_national_yearly!$D:$AM, 26, FALSE) / VLOOKUP("LULUCF|SO2|Asthma symptoms wheeze", US_national_yearly!$D:$AM, 10, FALSE), 1)</f>
        <v>1.4119782648707396E-3</v>
      </c>
      <c r="S8" s="7">
        <f>$B8 * IFERROR(VLOOKUP("LULUCF|SO2|Asthma symptoms wheeze", US_national_yearly!$D:$AM, 27, FALSE) / VLOOKUP("LULUCF|SO2|Asthma symptoms wheeze", US_national_yearly!$D:$AM, 10, FALSE), 1)</f>
        <v>1.4119782648707396E-3</v>
      </c>
      <c r="T8" s="7">
        <f>$B8 * IFERROR(VLOOKUP("LULUCF|SO2|Asthma symptoms wheeze", US_national_yearly!$D:$AM, 28, FALSE) / VLOOKUP("LULUCF|SO2|Asthma symptoms wheeze", US_national_yearly!$D:$AM, 10, FALSE), 1)</f>
        <v>1.4119782648707396E-3</v>
      </c>
      <c r="U8" s="7">
        <f>$B8 * IFERROR(VLOOKUP("LULUCF|SO2|Asthma symptoms wheeze", US_national_yearly!$D:$AM, 29, FALSE) / VLOOKUP("LULUCF|SO2|Asthma symptoms wheeze", US_national_yearly!$D:$AM, 10, FALSE), 1)</f>
        <v>1.4119782648707396E-3</v>
      </c>
      <c r="V8" s="7">
        <f>$B8 * IFERROR(VLOOKUP("LULUCF|SO2|Asthma symptoms wheeze", US_national_yearly!$D:$AM, 30, FALSE) / VLOOKUP("LULUCF|SO2|Asthma symptoms wheeze", US_national_yearly!$D:$AM, 10, FALSE), 1)</f>
        <v>1.4119782648707396E-3</v>
      </c>
      <c r="W8" s="7">
        <f>$B8 * IFERROR(VLOOKUP("LULUCF|SO2|Asthma symptoms wheeze", US_national_yearly!$D:$AM, 31, FALSE) / VLOOKUP("LULUCF|SO2|Asthma symptoms wheeze", US_national_yearly!$D:$AM, 10, FALSE), 1)</f>
        <v>1.4119782648707396E-3</v>
      </c>
      <c r="X8" s="7">
        <f>$B8 * IFERROR(VLOOKUP("LULUCF|SO2|Asthma symptoms wheeze", US_national_yearly!$D:$AM, 32, FALSE) / VLOOKUP("LULUCF|SO2|Asthma symptoms wheeze", US_national_yearly!$D:$AM, 10, FALSE), 1)</f>
        <v>1.4119782648707396E-3</v>
      </c>
      <c r="Y8" s="7">
        <f>$B8 * IFERROR(VLOOKUP("LULUCF|SO2|Asthma symptoms wheeze", US_national_yearly!$D:$AM, 33, FALSE) / VLOOKUP("LULUCF|SO2|Asthma symptoms wheeze", US_national_yearly!$D:$AM, 10, FALSE), 1)</f>
        <v>1.4119782648707396E-3</v>
      </c>
      <c r="Z8" s="7">
        <f>$B8 * IFERROR(VLOOKUP("LULUCF|SO2|Asthma symptoms wheeze", US_national_yearly!$D:$AM, 34, FALSE) / VLOOKUP("LULUCF|SO2|Asthma symptoms wheeze", US_national_yearly!$D:$AM, 10, FALSE), 1)</f>
        <v>1.4119782648707396E-3</v>
      </c>
      <c r="AA8" s="7">
        <f>$B8 * IFERROR(VLOOKUP("LULUCF|SO2|Asthma symptoms wheeze", US_national_yearly!$D:$AM, 35, FALSE) / VLOOKUP("LULUCF|SO2|Asthma symptoms wheeze", US_national_yearly!$D:$AM, 10, FALSE), 1)</f>
        <v>1.4119782648707396E-3</v>
      </c>
      <c r="AB8" s="7">
        <f>$B8 * IFERROR(VLOOKUP("LULUCF|SO2|Asthma symptoms wheeze", US_national_yearly!$D:$AM, 36, FALSE) / VLOOKUP("LULUCF|SO2|Asthma symptoms wheeze", US_national_yearly!$D:$AM, 10, FALSE), 1)</f>
        <v>1.4119782648707396E-3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2.1877042484238472E-5</v>
      </c>
      <c r="C12" s="7">
        <f>$B12 * IFERROR(VLOOKUP("LULUCF|SO2|Respiratory hospital admissions", US_national_yearly!$D:$AM, 11, FALSE) / VLOOKUP("LULUCF|SO2|Respiratory hospital admissions", US_national_yearly!$D:$AM, 10, FALSE), 1)</f>
        <v>2.2006074367987939E-5</v>
      </c>
      <c r="D12" s="7">
        <f>$B12 * IFERROR(VLOOKUP("LULUCF|SO2|Respiratory hospital admissions", US_national_yearly!$D:$AM, 12, FALSE) / VLOOKUP("LULUCF|SO2|Respiratory hospital admissions", US_national_yearly!$D:$AM, 10, FALSE), 1)</f>
        <v>2.2135106251737403E-5</v>
      </c>
      <c r="E12" s="7">
        <f>$B12 * IFERROR(VLOOKUP("LULUCF|SO2|Respiratory hospital admissions", US_national_yearly!$D:$AM, 13, FALSE) / VLOOKUP("LULUCF|SO2|Respiratory hospital admissions", US_national_yearly!$D:$AM, 10, FALSE), 1)</f>
        <v>2.226413813548687E-5</v>
      </c>
      <c r="F12" s="7">
        <f>$B12 * IFERROR(VLOOKUP("LULUCF|SO2|Respiratory hospital admissions", US_national_yearly!$D:$AM, 14, FALSE) / VLOOKUP("LULUCF|SO2|Respiratory hospital admissions", US_national_yearly!$D:$AM, 10, FALSE), 1)</f>
        <v>2.2393170019236334E-5</v>
      </c>
      <c r="G12" s="7">
        <f>$B12 * IFERROR(VLOOKUP("LULUCF|SO2|Respiratory hospital admissions", US_national_yearly!$D:$AM, 15, FALSE) / VLOOKUP("LULUCF|SO2|Respiratory hospital admissions", US_national_yearly!$D:$AM, 10, FALSE), 1)</f>
        <v>2.2533836536459436E-5</v>
      </c>
      <c r="H12" s="7">
        <f>$B12 * IFERROR(VLOOKUP("LULUCF|SO2|Respiratory hospital admissions", US_national_yearly!$D:$AM, 16, FALSE) / VLOOKUP("LULUCF|SO2|Respiratory hospital admissions", US_national_yearly!$D:$AM, 10, FALSE), 1)</f>
        <v>2.2674503053682539E-5</v>
      </c>
      <c r="I12" s="7">
        <f>$B12 * IFERROR(VLOOKUP("LULUCF|SO2|Respiratory hospital admissions", US_national_yearly!$D:$AM, 17, FALSE) / VLOOKUP("LULUCF|SO2|Respiratory hospital admissions", US_national_yearly!$D:$AM, 10, FALSE), 1)</f>
        <v>2.2813216988001077E-5</v>
      </c>
      <c r="J12" s="7">
        <f>$B12 * IFERROR(VLOOKUP("LULUCF|SO2|Respiratory hospital admissions", US_national_yearly!$D:$AM, 18, FALSE) / VLOOKUP("LULUCF|SO2|Respiratory hospital admissions", US_national_yearly!$D:$AM, 10, FALSE), 1)</f>
        <v>2.2951930922319623E-5</v>
      </c>
      <c r="K12" s="7">
        <f>$B12 * IFERROR(VLOOKUP("LULUCF|SO2|Respiratory hospital admissions", US_national_yearly!$D:$AM, 19, FALSE) / VLOOKUP("LULUCF|SO2|Respiratory hospital admissions", US_national_yearly!$D:$AM, 10, FALSE), 1)</f>
        <v>2.3090644856638158E-5</v>
      </c>
      <c r="L12" s="7">
        <f>$B12 * IFERROR(VLOOKUP("LULUCF|SO2|Respiratory hospital admissions", US_national_yearly!$D:$AM, 20, FALSE) / VLOOKUP("LULUCF|SO2|Respiratory hospital admissions", US_national_yearly!$D:$AM, 10, FALSE), 1)</f>
        <v>2.3229358790956703E-5</v>
      </c>
      <c r="M12" s="7">
        <f>$B12 * IFERROR(VLOOKUP("LULUCF|SO2|Respiratory hospital admissions", US_national_yearly!$D:$AM, 21, FALSE) / VLOOKUP("LULUCF|SO2|Respiratory hospital admissions", US_national_yearly!$D:$AM, 10, FALSE), 1)</f>
        <v>2.3368072725275238E-5</v>
      </c>
      <c r="N12" s="7">
        <f>$B12 * IFERROR(VLOOKUP("LULUCF|SO2|Respiratory hospital admissions", US_national_yearly!$D:$AM, 22, FALSE) / VLOOKUP("LULUCF|SO2|Respiratory hospital admissions", US_national_yearly!$D:$AM, 10, FALSE), 1)</f>
        <v>2.3469329615423147E-5</v>
      </c>
      <c r="O12" s="7">
        <f>$B12 * IFERROR(VLOOKUP("LULUCF|SO2|Respiratory hospital admissions", US_national_yearly!$D:$AM, 23, FALSE) / VLOOKUP("LULUCF|SO2|Respiratory hospital admissions", US_national_yearly!$D:$AM, 10, FALSE), 1)</f>
        <v>2.3570586505571048E-5</v>
      </c>
      <c r="P12" s="7">
        <f>$B12 * IFERROR(VLOOKUP("LULUCF|SO2|Respiratory hospital admissions", US_national_yearly!$D:$AM, 24, FALSE) / VLOOKUP("LULUCF|SO2|Respiratory hospital admissions", US_national_yearly!$D:$AM, 10, FALSE), 1)</f>
        <v>2.367184339571895E-5</v>
      </c>
      <c r="Q12" s="7">
        <f>$B12 * IFERROR(VLOOKUP("LULUCF|SO2|Respiratory hospital admissions", US_national_yearly!$D:$AM, 25, FALSE) / VLOOKUP("LULUCF|SO2|Respiratory hospital admissions", US_national_yearly!$D:$AM, 10, FALSE), 1)</f>
        <v>2.3773100285866855E-5</v>
      </c>
      <c r="R12" s="7">
        <f>$B12 * IFERROR(VLOOKUP("LULUCF|SO2|Respiratory hospital admissions", US_national_yearly!$D:$AM, 26, FALSE) / VLOOKUP("LULUCF|SO2|Respiratory hospital admissions", US_national_yearly!$D:$AM, 10, FALSE), 1)</f>
        <v>2.387435717601476E-5</v>
      </c>
      <c r="S12" s="7">
        <f>$B12 * IFERROR(VLOOKUP("LULUCF|SO2|Respiratory hospital admissions", US_national_yearly!$D:$AM, 27, FALSE) / VLOOKUP("LULUCF|SO2|Respiratory hospital admissions", US_national_yearly!$D:$AM, 10, FALSE), 1)</f>
        <v>2.3970948523097125E-5</v>
      </c>
      <c r="T12" s="7">
        <f>$B12 * IFERROR(VLOOKUP("LULUCF|SO2|Respiratory hospital admissions", US_national_yearly!$D:$AM, 28, FALSE) / VLOOKUP("LULUCF|SO2|Respiratory hospital admissions", US_national_yearly!$D:$AM, 10, FALSE), 1)</f>
        <v>2.4067539870179491E-5</v>
      </c>
      <c r="U12" s="7">
        <f>$B12 * IFERROR(VLOOKUP("LULUCF|SO2|Respiratory hospital admissions", US_national_yearly!$D:$AM, 29, FALSE) / VLOOKUP("LULUCF|SO2|Respiratory hospital admissions", US_national_yearly!$D:$AM, 10, FALSE), 1)</f>
        <v>2.416413121726186E-5</v>
      </c>
      <c r="V12" s="7">
        <f>$B12 * IFERROR(VLOOKUP("LULUCF|SO2|Respiratory hospital admissions", US_national_yearly!$D:$AM, 30, FALSE) / VLOOKUP("LULUCF|SO2|Respiratory hospital admissions", US_national_yearly!$D:$AM, 10, FALSE), 1)</f>
        <v>2.4260722564344225E-5</v>
      </c>
      <c r="W12" s="7">
        <f>$B12 * IFERROR(VLOOKUP("LULUCF|SO2|Respiratory hospital admissions", US_national_yearly!$D:$AM, 31, FALSE) / VLOOKUP("LULUCF|SO2|Respiratory hospital admissions", US_national_yearly!$D:$AM, 10, FALSE), 1)</f>
        <v>2.4357313911426594E-5</v>
      </c>
      <c r="X12" s="7">
        <f>$B12 * IFERROR(VLOOKUP("LULUCF|SO2|Respiratory hospital admissions", US_national_yearly!$D:$AM, 32, FALSE) / VLOOKUP("LULUCF|SO2|Respiratory hospital admissions", US_national_yearly!$D:$AM, 10, FALSE), 1)</f>
        <v>2.4448963241393177E-5</v>
      </c>
      <c r="Y12" s="7">
        <f>$B12 * IFERROR(VLOOKUP("LULUCF|SO2|Respiratory hospital admissions", US_national_yearly!$D:$AM, 33, FALSE) / VLOOKUP("LULUCF|SO2|Respiratory hospital admissions", US_national_yearly!$D:$AM, 10, FALSE), 1)</f>
        <v>2.4540612571359759E-5</v>
      </c>
      <c r="Z12" s="7">
        <f>$B12 * IFERROR(VLOOKUP("LULUCF|SO2|Respiratory hospital admissions", US_national_yearly!$D:$AM, 34, FALSE) / VLOOKUP("LULUCF|SO2|Respiratory hospital admissions", US_national_yearly!$D:$AM, 10, FALSE), 1)</f>
        <v>2.4632261901326341E-5</v>
      </c>
      <c r="AA12" s="7">
        <f>$B12 * IFERROR(VLOOKUP("LULUCF|SO2|Respiratory hospital admissions", US_national_yearly!$D:$AM, 35, FALSE) / VLOOKUP("LULUCF|SO2|Respiratory hospital admissions", US_national_yearly!$D:$AM, 10, FALSE), 1)</f>
        <v>2.4723911231292923E-5</v>
      </c>
      <c r="AB12" s="7">
        <f>$B12 * IFERROR(VLOOKUP("LULUCF|SO2|Respiratory hospital admissions", US_national_yearly!$D:$AM, 36, FALSE) / VLOOKUP("LULUCF|SO2|Respiratory hospital admissions", US_national_yearly!$D:$AM, 10, FALSE), 1)</f>
        <v>2.4815560561259508E-5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1.1502501492344208E-4</v>
      </c>
      <c r="C13" s="7">
        <f>$B13 * IFERROR(VLOOKUP("LULUCF|SO2|Non-fatal heart attacks", US_national_yearly!$D:$AM, 11, FALSE) / VLOOKUP("LULUCF|SO2|Non-fatal heart attacks", US_national_yearly!$D:$AM, 10, FALSE), 1)</f>
        <v>1.1840173156783219E-4</v>
      </c>
      <c r="D13" s="7">
        <f>$B13 * IFERROR(VLOOKUP("LULUCF|SO2|Non-fatal heart attacks", US_national_yearly!$D:$AM, 12, FALSE) / VLOOKUP("LULUCF|SO2|Non-fatal heart attacks", US_national_yearly!$D:$AM, 10, FALSE), 1)</f>
        <v>1.2177844821222229E-4</v>
      </c>
      <c r="E13" s="7">
        <f>$B13 * IFERROR(VLOOKUP("LULUCF|SO2|Non-fatal heart attacks", US_national_yearly!$D:$AM, 13, FALSE) / VLOOKUP("LULUCF|SO2|Non-fatal heart attacks", US_national_yearly!$D:$AM, 10, FALSE), 1)</f>
        <v>1.2515516485661239E-4</v>
      </c>
      <c r="F13" s="7">
        <f>$B13 * IFERROR(VLOOKUP("LULUCF|SO2|Non-fatal heart attacks", US_national_yearly!$D:$AM, 14, FALSE) / VLOOKUP("LULUCF|SO2|Non-fatal heart attacks", US_national_yearly!$D:$AM, 10, FALSE), 1)</f>
        <v>1.2853188150100246E-4</v>
      </c>
      <c r="G13" s="7">
        <f>$B13 * IFERROR(VLOOKUP("LULUCF|SO2|Non-fatal heart attacks", US_national_yearly!$D:$AM, 15, FALSE) / VLOOKUP("LULUCF|SO2|Non-fatal heart attacks", US_national_yearly!$D:$AM, 10, FALSE), 1)</f>
        <v>1.3171643850626503E-4</v>
      </c>
      <c r="H13" s="7">
        <f>$B13 * IFERROR(VLOOKUP("LULUCF|SO2|Non-fatal heart attacks", US_national_yearly!$D:$AM, 16, FALSE) / VLOOKUP("LULUCF|SO2|Non-fatal heart attacks", US_national_yearly!$D:$AM, 10, FALSE), 1)</f>
        <v>1.349009955115276E-4</v>
      </c>
      <c r="I13" s="7">
        <f>$B13 * IFERROR(VLOOKUP("LULUCF|SO2|Non-fatal heart attacks", US_national_yearly!$D:$AM, 17, FALSE) / VLOOKUP("LULUCF|SO2|Non-fatal heart attacks", US_national_yearly!$D:$AM, 10, FALSE), 1)</f>
        <v>1.3746356558831381E-4</v>
      </c>
      <c r="J13" s="7">
        <f>$B13 * IFERROR(VLOOKUP("LULUCF|SO2|Non-fatal heart attacks", US_national_yearly!$D:$AM, 18, FALSE) / VLOOKUP("LULUCF|SO2|Non-fatal heart attacks", US_national_yearly!$D:$AM, 10, FALSE), 1)</f>
        <v>1.4002613566510002E-4</v>
      </c>
      <c r="K13" s="7">
        <f>$B13 * IFERROR(VLOOKUP("LULUCF|SO2|Non-fatal heart attacks", US_national_yearly!$D:$AM, 19, FALSE) / VLOOKUP("LULUCF|SO2|Non-fatal heart attacks", US_national_yearly!$D:$AM, 10, FALSE), 1)</f>
        <v>1.4258870574188623E-4</v>
      </c>
      <c r="L13" s="7">
        <f>$B13 * IFERROR(VLOOKUP("LULUCF|SO2|Non-fatal heart attacks", US_national_yearly!$D:$AM, 20, FALSE) / VLOOKUP("LULUCF|SO2|Non-fatal heart attacks", US_national_yearly!$D:$AM, 10, FALSE), 1)</f>
        <v>1.4515127581867247E-4</v>
      </c>
      <c r="M13" s="7">
        <f>$B13 * IFERROR(VLOOKUP("LULUCF|SO2|Non-fatal heart attacks", US_national_yearly!$D:$AM, 21, FALSE) / VLOOKUP("LULUCF|SO2|Non-fatal heart attacks", US_national_yearly!$D:$AM, 10, FALSE), 1)</f>
        <v>1.4771384589545871E-4</v>
      </c>
      <c r="N13" s="7">
        <f>$B13 * IFERROR(VLOOKUP("LULUCF|SO2|Non-fatal heart attacks", US_national_yearly!$D:$AM, 22, FALSE) / VLOOKUP("LULUCF|SO2|Non-fatal heart attacks", US_national_yearly!$D:$AM, 10, FALSE), 1)</f>
        <v>1.4937775360627012E-4</v>
      </c>
      <c r="O13" s="7">
        <f>$B13 * IFERROR(VLOOKUP("LULUCF|SO2|Non-fatal heart attacks", US_national_yearly!$D:$AM, 23, FALSE) / VLOOKUP("LULUCF|SO2|Non-fatal heart attacks", US_national_yearly!$D:$AM, 10, FALSE), 1)</f>
        <v>1.5104166131708159E-4</v>
      </c>
      <c r="P13" s="7">
        <f>$B13 * IFERROR(VLOOKUP("LULUCF|SO2|Non-fatal heart attacks", US_national_yearly!$D:$AM, 24, FALSE) / VLOOKUP("LULUCF|SO2|Non-fatal heart attacks", US_national_yearly!$D:$AM, 10, FALSE), 1)</f>
        <v>1.5270556902789302E-4</v>
      </c>
      <c r="Q13" s="7">
        <f>$B13 * IFERROR(VLOOKUP("LULUCF|SO2|Non-fatal heart attacks", US_national_yearly!$D:$AM, 25, FALSE) / VLOOKUP("LULUCF|SO2|Non-fatal heart attacks", US_national_yearly!$D:$AM, 10, FALSE), 1)</f>
        <v>1.5436947673870446E-4</v>
      </c>
      <c r="R13" s="7">
        <f>$B13 * IFERROR(VLOOKUP("LULUCF|SO2|Non-fatal heart attacks", US_national_yearly!$D:$AM, 26, FALSE) / VLOOKUP("LULUCF|SO2|Non-fatal heart attacks", US_national_yearly!$D:$AM, 10, FALSE), 1)</f>
        <v>1.560333844495159E-4</v>
      </c>
      <c r="S13" s="7">
        <f>$B13 * IFERROR(VLOOKUP("LULUCF|SO2|Non-fatal heart attacks", US_national_yearly!$D:$AM, 27, FALSE) / VLOOKUP("LULUCF|SO2|Non-fatal heart attacks", US_national_yearly!$D:$AM, 10, FALSE), 1)</f>
        <v>1.569021013062007E-4</v>
      </c>
      <c r="T13" s="7">
        <f>$B13 * IFERROR(VLOOKUP("LULUCF|SO2|Non-fatal heart attacks", US_national_yearly!$D:$AM, 28, FALSE) / VLOOKUP("LULUCF|SO2|Non-fatal heart attacks", US_national_yearly!$D:$AM, 10, FALSE), 1)</f>
        <v>1.5777081816288548E-4</v>
      </c>
      <c r="U13" s="7">
        <f>$B13 * IFERROR(VLOOKUP("LULUCF|SO2|Non-fatal heart attacks", US_national_yearly!$D:$AM, 29, FALSE) / VLOOKUP("LULUCF|SO2|Non-fatal heart attacks", US_national_yearly!$D:$AM, 10, FALSE), 1)</f>
        <v>1.5863953501957026E-4</v>
      </c>
      <c r="V13" s="7">
        <f>$B13 * IFERROR(VLOOKUP("LULUCF|SO2|Non-fatal heart attacks", US_national_yearly!$D:$AM, 30, FALSE) / VLOOKUP("LULUCF|SO2|Non-fatal heart attacks", US_national_yearly!$D:$AM, 10, FALSE), 1)</f>
        <v>1.5950825187625503E-4</v>
      </c>
      <c r="W13" s="7">
        <f>$B13 * IFERROR(VLOOKUP("LULUCF|SO2|Non-fatal heart attacks", US_national_yearly!$D:$AM, 31, FALSE) / VLOOKUP("LULUCF|SO2|Non-fatal heart attacks", US_national_yearly!$D:$AM, 10, FALSE), 1)</f>
        <v>1.6037696873293984E-4</v>
      </c>
      <c r="X13" s="7">
        <f>$B13 * IFERROR(VLOOKUP("LULUCF|SO2|Non-fatal heart attacks", US_national_yearly!$D:$AM, 32, FALSE) / VLOOKUP("LULUCF|SO2|Non-fatal heart attacks", US_national_yearly!$D:$AM, 10, FALSE), 1)</f>
        <v>1.610327739697278E-4</v>
      </c>
      <c r="Y13" s="7">
        <f>$B13 * IFERROR(VLOOKUP("LULUCF|SO2|Non-fatal heart attacks", US_national_yearly!$D:$AM, 33, FALSE) / VLOOKUP("LULUCF|SO2|Non-fatal heart attacks", US_national_yearly!$D:$AM, 10, FALSE), 1)</f>
        <v>1.6168857920651579E-4</v>
      </c>
      <c r="Z13" s="7">
        <f>$B13 * IFERROR(VLOOKUP("LULUCF|SO2|Non-fatal heart attacks", US_national_yearly!$D:$AM, 34, FALSE) / VLOOKUP("LULUCF|SO2|Non-fatal heart attacks", US_national_yearly!$D:$AM, 10, FALSE), 1)</f>
        <v>1.6234438444330375E-4</v>
      </c>
      <c r="AA13" s="7">
        <f>$B13 * IFERROR(VLOOKUP("LULUCF|SO2|Non-fatal heart attacks", US_national_yearly!$D:$AM, 35, FALSE) / VLOOKUP("LULUCF|SO2|Non-fatal heart attacks", US_national_yearly!$D:$AM, 10, FALSE), 1)</f>
        <v>1.6300018968009171E-4</v>
      </c>
      <c r="AB13" s="7">
        <f>$B13 * IFERROR(VLOOKUP("LULUCF|SO2|Non-fatal heart attacks", US_national_yearly!$D:$AM, 36, FALSE) / VLOOKUP("LULUCF|SO2|Non-fatal heart attacks", US_national_yearly!$D:$AM, 10, FALSE), 1)</f>
        <v>1.6365599491687969E-4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9.2604799928657014E-2</v>
      </c>
      <c r="C14" s="7">
        <f>$B14 * IFERROR(VLOOKUP("LULUCF|SO2|Minor restricted activity days", US_national_yearly!$D:$AM, 11, FALSE) / VLOOKUP("LULUCF|SO2|Minor restricted activity days", US_national_yearly!$D:$AM, 10, FALSE), 1)</f>
        <v>9.2838225774068805E-2</v>
      </c>
      <c r="D14" s="7">
        <f>$B14 * IFERROR(VLOOKUP("LULUCF|SO2|Minor restricted activity days", US_national_yearly!$D:$AM, 12, FALSE) / VLOOKUP("LULUCF|SO2|Minor restricted activity days", US_national_yearly!$D:$AM, 10, FALSE), 1)</f>
        <v>9.3071651619480569E-2</v>
      </c>
      <c r="E14" s="7">
        <f>$B14 * IFERROR(VLOOKUP("LULUCF|SO2|Minor restricted activity days", US_national_yearly!$D:$AM, 13, FALSE) / VLOOKUP("LULUCF|SO2|Minor restricted activity days", US_national_yearly!$D:$AM, 10, FALSE), 1)</f>
        <v>9.3305077464892361E-2</v>
      </c>
      <c r="F14" s="7">
        <f>$B14 * IFERROR(VLOOKUP("LULUCF|SO2|Minor restricted activity days", US_national_yearly!$D:$AM, 14, FALSE) / VLOOKUP("LULUCF|SO2|Minor restricted activity days", US_national_yearly!$D:$AM, 10, FALSE), 1)</f>
        <v>9.3538503310304139E-2</v>
      </c>
      <c r="G14" s="7">
        <f>$B14 * IFERROR(VLOOKUP("LULUCF|SO2|Minor restricted activity days", US_national_yearly!$D:$AM, 15, FALSE) / VLOOKUP("LULUCF|SO2|Minor restricted activity days", US_national_yearly!$D:$AM, 10, FALSE), 1)</f>
        <v>9.3882083222867174E-2</v>
      </c>
      <c r="H14" s="7">
        <f>$B14 * IFERROR(VLOOKUP("LULUCF|SO2|Minor restricted activity days", US_national_yearly!$D:$AM, 16, FALSE) / VLOOKUP("LULUCF|SO2|Minor restricted activity days", US_national_yearly!$D:$AM, 10, FALSE), 1)</f>
        <v>9.422566313543021E-2</v>
      </c>
      <c r="I14" s="7">
        <f>$B14 * IFERROR(VLOOKUP("LULUCF|SO2|Minor restricted activity days", US_national_yearly!$D:$AM, 17, FALSE) / VLOOKUP("LULUCF|SO2|Minor restricted activity days", US_national_yearly!$D:$AM, 10, FALSE), 1)</f>
        <v>9.4811606650906419E-2</v>
      </c>
      <c r="J14" s="7">
        <f>$B14 * IFERROR(VLOOKUP("LULUCF|SO2|Minor restricted activity days", US_national_yearly!$D:$AM, 18, FALSE) / VLOOKUP("LULUCF|SO2|Minor restricted activity days", US_national_yearly!$D:$AM, 10, FALSE), 1)</f>
        <v>9.5397550166382628E-2</v>
      </c>
      <c r="K14" s="7">
        <f>$B14 * IFERROR(VLOOKUP("LULUCF|SO2|Minor restricted activity days", US_national_yearly!$D:$AM, 19, FALSE) / VLOOKUP("LULUCF|SO2|Minor restricted activity days", US_national_yearly!$D:$AM, 10, FALSE), 1)</f>
        <v>9.5983493681858864E-2</v>
      </c>
      <c r="L14" s="7">
        <f>$B14 * IFERROR(VLOOKUP("LULUCF|SO2|Minor restricted activity days", US_national_yearly!$D:$AM, 20, FALSE) / VLOOKUP("LULUCF|SO2|Minor restricted activity days", US_national_yearly!$D:$AM, 10, FALSE), 1)</f>
        <v>9.6569437197335073E-2</v>
      </c>
      <c r="M14" s="7">
        <f>$B14 * IFERROR(VLOOKUP("LULUCF|SO2|Minor restricted activity days", US_national_yearly!$D:$AM, 21, FALSE) / VLOOKUP("LULUCF|SO2|Minor restricted activity days", US_national_yearly!$D:$AM, 10, FALSE), 1)</f>
        <v>9.7155380712811282E-2</v>
      </c>
      <c r="N14" s="7">
        <f>$B14 * IFERROR(VLOOKUP("LULUCF|SO2|Minor restricted activity days", US_national_yearly!$D:$AM, 22, FALSE) / VLOOKUP("LULUCF|SO2|Minor restricted activity days", US_national_yearly!$D:$AM, 10, FALSE), 1)</f>
        <v>9.7956857422084834E-2</v>
      </c>
      <c r="O14" s="7">
        <f>$B14 * IFERROR(VLOOKUP("LULUCF|SO2|Minor restricted activity days", US_national_yearly!$D:$AM, 23, FALSE) / VLOOKUP("LULUCF|SO2|Minor restricted activity days", US_national_yearly!$D:$AM, 10, FALSE), 1)</f>
        <v>9.87583341313584E-2</v>
      </c>
      <c r="P14" s="7">
        <f>$B14 * IFERROR(VLOOKUP("LULUCF|SO2|Minor restricted activity days", US_national_yearly!$D:$AM, 24, FALSE) / VLOOKUP("LULUCF|SO2|Minor restricted activity days", US_national_yearly!$D:$AM, 10, FALSE), 1)</f>
        <v>9.9559810840631965E-2</v>
      </c>
      <c r="Q14" s="7">
        <f>$B14 * IFERROR(VLOOKUP("LULUCF|SO2|Minor restricted activity days", US_national_yearly!$D:$AM, 25, FALSE) / VLOOKUP("LULUCF|SO2|Minor restricted activity days", US_national_yearly!$D:$AM, 10, FALSE), 1)</f>
        <v>0.10036128754990553</v>
      </c>
      <c r="R14" s="7">
        <f>$B14 * IFERROR(VLOOKUP("LULUCF|SO2|Minor restricted activity days", US_national_yearly!$D:$AM, 26, FALSE) / VLOOKUP("LULUCF|SO2|Minor restricted activity days", US_national_yearly!$D:$AM, 10, FALSE), 1)</f>
        <v>0.1011627642591791</v>
      </c>
      <c r="S14" s="7">
        <f>$B14 * IFERROR(VLOOKUP("LULUCF|SO2|Minor restricted activity days", US_national_yearly!$D:$AM, 27, FALSE) / VLOOKUP("LULUCF|SO2|Minor restricted activity days", US_national_yearly!$D:$AM, 10, FALSE), 1)</f>
        <v>0.10197994820795472</v>
      </c>
      <c r="T14" s="7">
        <f>$B14 * IFERROR(VLOOKUP("LULUCF|SO2|Minor restricted activity days", US_national_yearly!$D:$AM, 28, FALSE) / VLOOKUP("LULUCF|SO2|Minor restricted activity days", US_national_yearly!$D:$AM, 10, FALSE), 1)</f>
        <v>0.10279713215673036</v>
      </c>
      <c r="U14" s="7">
        <f>$B14 * IFERROR(VLOOKUP("LULUCF|SO2|Minor restricted activity days", US_national_yearly!$D:$AM, 29, FALSE) / VLOOKUP("LULUCF|SO2|Minor restricted activity days", US_national_yearly!$D:$AM, 10, FALSE), 1)</f>
        <v>0.10361431610550599</v>
      </c>
      <c r="V14" s="7">
        <f>$B14 * IFERROR(VLOOKUP("LULUCF|SO2|Minor restricted activity days", US_national_yearly!$D:$AM, 30, FALSE) / VLOOKUP("LULUCF|SO2|Minor restricted activity days", US_national_yearly!$D:$AM, 10, FALSE), 1)</f>
        <v>0.10443150005428162</v>
      </c>
      <c r="W14" s="7">
        <f>$B14 * IFERROR(VLOOKUP("LULUCF|SO2|Minor restricted activity days", US_national_yearly!$D:$AM, 31, FALSE) / VLOOKUP("LULUCF|SO2|Minor restricted activity days", US_national_yearly!$D:$AM, 10, FALSE), 1)</f>
        <v>0.10524868400305727</v>
      </c>
      <c r="X14" s="7">
        <f>$B14 * IFERROR(VLOOKUP("LULUCF|SO2|Minor restricted activity days", US_national_yearly!$D:$AM, 32, FALSE) / VLOOKUP("LULUCF|SO2|Minor restricted activity days", US_national_yearly!$D:$AM, 10, FALSE), 1)</f>
        <v>0.10596733216558378</v>
      </c>
      <c r="Y14" s="7">
        <f>$B14 * IFERROR(VLOOKUP("LULUCF|SO2|Minor restricted activity days", US_national_yearly!$D:$AM, 33, FALSE) / VLOOKUP("LULUCF|SO2|Minor restricted activity days", US_national_yearly!$D:$AM, 10, FALSE), 1)</f>
        <v>0.10668598032811029</v>
      </c>
      <c r="Z14" s="7">
        <f>$B14 * IFERROR(VLOOKUP("LULUCF|SO2|Minor restricted activity days", US_national_yearly!$D:$AM, 34, FALSE) / VLOOKUP("LULUCF|SO2|Minor restricted activity days", US_national_yearly!$D:$AM, 10, FALSE), 1)</f>
        <v>0.10740462849063681</v>
      </c>
      <c r="AA14" s="7">
        <f>$B14 * IFERROR(VLOOKUP("LULUCF|SO2|Minor restricted activity days", US_national_yearly!$D:$AM, 35, FALSE) / VLOOKUP("LULUCF|SO2|Minor restricted activity days", US_national_yearly!$D:$AM, 10, FALSE), 1)</f>
        <v>0.10812327665316331</v>
      </c>
      <c r="AB14" s="7">
        <f>$B14 * IFERROR(VLOOKUP("LULUCF|SO2|Minor restricted activity days", US_national_yearly!$D:$AM, 36, FALSE) / VLOOKUP("LULUCF|SO2|Minor restricted activity days", US_national_yearly!$D:$AM, 10, FALSE), 1)</f>
        <v>0.10884192481568983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1.5600925298071007E-2</v>
      </c>
      <c r="C15" s="7">
        <f>$B15 * IFERROR(VLOOKUP("LULUCF|SO2|Work loss days", US_national_yearly!$D:$AM, 11, FALSE) / VLOOKUP("LULUCF|SO2|Work loss days", US_national_yearly!$D:$AM, 10, FALSE), 1)</f>
        <v>1.565146981648901E-2</v>
      </c>
      <c r="D15" s="7">
        <f>$B15 * IFERROR(VLOOKUP("LULUCF|SO2|Work loss days", US_national_yearly!$D:$AM, 12, FALSE) / VLOOKUP("LULUCF|SO2|Work loss days", US_national_yearly!$D:$AM, 10, FALSE), 1)</f>
        <v>1.5702014334907009E-2</v>
      </c>
      <c r="E15" s="7">
        <f>$B15 * IFERROR(VLOOKUP("LULUCF|SO2|Work loss days", US_national_yearly!$D:$AM, 13, FALSE) / VLOOKUP("LULUCF|SO2|Work loss days", US_national_yearly!$D:$AM, 10, FALSE), 1)</f>
        <v>1.5752558853325011E-2</v>
      </c>
      <c r="F15" s="7">
        <f>$B15 * IFERROR(VLOOKUP("LULUCF|SO2|Work loss days", US_national_yearly!$D:$AM, 14, FALSE) / VLOOKUP("LULUCF|SO2|Work loss days", US_national_yearly!$D:$AM, 10, FALSE), 1)</f>
        <v>1.5803103371743014E-2</v>
      </c>
      <c r="G15" s="7">
        <f>$B15 * IFERROR(VLOOKUP("LULUCF|SO2|Work loss days", US_national_yearly!$D:$AM, 15, FALSE) / VLOOKUP("LULUCF|SO2|Work loss days", US_national_yearly!$D:$AM, 10, FALSE), 1)</f>
        <v>1.5869145969573246E-2</v>
      </c>
      <c r="H15" s="7">
        <f>$B15 * IFERROR(VLOOKUP("LULUCF|SO2|Work loss days", US_national_yearly!$D:$AM, 16, FALSE) / VLOOKUP("LULUCF|SO2|Work loss days", US_national_yearly!$D:$AM, 10, FALSE), 1)</f>
        <v>1.5935188567403478E-2</v>
      </c>
      <c r="I15" s="7">
        <f>$B15 * IFERROR(VLOOKUP("LULUCF|SO2|Work loss days", US_national_yearly!$D:$AM, 17, FALSE) / VLOOKUP("LULUCF|SO2|Work loss days", US_national_yearly!$D:$AM, 10, FALSE), 1)</f>
        <v>1.6031800022449954E-2</v>
      </c>
      <c r="J15" s="7">
        <f>$B15 * IFERROR(VLOOKUP("LULUCF|SO2|Work loss days", US_national_yearly!$D:$AM, 18, FALSE) / VLOOKUP("LULUCF|SO2|Work loss days", US_national_yearly!$D:$AM, 10, FALSE), 1)</f>
        <v>1.6128411477496427E-2</v>
      </c>
      <c r="K15" s="7">
        <f>$B15 * IFERROR(VLOOKUP("LULUCF|SO2|Work loss days", US_national_yearly!$D:$AM, 19, FALSE) / VLOOKUP("LULUCF|SO2|Work loss days", US_national_yearly!$D:$AM, 10, FALSE), 1)</f>
        <v>1.6225022932542903E-2</v>
      </c>
      <c r="L15" s="7">
        <f>$B15 * IFERROR(VLOOKUP("LULUCF|SO2|Work loss days", US_national_yearly!$D:$AM, 20, FALSE) / VLOOKUP("LULUCF|SO2|Work loss days", US_national_yearly!$D:$AM, 10, FALSE), 1)</f>
        <v>1.6321634387589379E-2</v>
      </c>
      <c r="M15" s="7">
        <f>$B15 * IFERROR(VLOOKUP("LULUCF|SO2|Work loss days", US_national_yearly!$D:$AM, 21, FALSE) / VLOOKUP("LULUCF|SO2|Work loss days", US_national_yearly!$D:$AM, 10, FALSE), 1)</f>
        <v>1.6418245842635855E-2</v>
      </c>
      <c r="N15" s="7">
        <f>$B15 * IFERROR(VLOOKUP("LULUCF|SO2|Work loss days", US_national_yearly!$D:$AM, 22, FALSE) / VLOOKUP("LULUCF|SO2|Work loss days", US_national_yearly!$D:$AM, 10, FALSE), 1)</f>
        <v>1.6539380951321989E-2</v>
      </c>
      <c r="O15" s="7">
        <f>$B15 * IFERROR(VLOOKUP("LULUCF|SO2|Work loss days", US_national_yearly!$D:$AM, 23, FALSE) / VLOOKUP("LULUCF|SO2|Work loss days", US_national_yearly!$D:$AM, 10, FALSE), 1)</f>
        <v>1.6660516060008124E-2</v>
      </c>
      <c r="P15" s="7">
        <f>$B15 * IFERROR(VLOOKUP("LULUCF|SO2|Work loss days", US_national_yearly!$D:$AM, 24, FALSE) / VLOOKUP("LULUCF|SO2|Work loss days", US_national_yearly!$D:$AM, 10, FALSE), 1)</f>
        <v>1.6781651168694255E-2</v>
      </c>
      <c r="Q15" s="7">
        <f>$B15 * IFERROR(VLOOKUP("LULUCF|SO2|Work loss days", US_national_yearly!$D:$AM, 25, FALSE) / VLOOKUP("LULUCF|SO2|Work loss days", US_national_yearly!$D:$AM, 10, FALSE), 1)</f>
        <v>1.6902786277380389E-2</v>
      </c>
      <c r="R15" s="7">
        <f>$B15 * IFERROR(VLOOKUP("LULUCF|SO2|Work loss days", US_national_yearly!$D:$AM, 26, FALSE) / VLOOKUP("LULUCF|SO2|Work loss days", US_national_yearly!$D:$AM, 10, FALSE), 1)</f>
        <v>1.702392138606652E-2</v>
      </c>
      <c r="S15" s="7">
        <f>$B15 * IFERROR(VLOOKUP("LULUCF|SO2|Work loss days", US_national_yearly!$D:$AM, 27, FALSE) / VLOOKUP("LULUCF|SO2|Work loss days", US_national_yearly!$D:$AM, 10, FALSE), 1)</f>
        <v>1.7159289470645923E-2</v>
      </c>
      <c r="T15" s="7">
        <f>$B15 * IFERROR(VLOOKUP("LULUCF|SO2|Work loss days", US_national_yearly!$D:$AM, 28, FALSE) / VLOOKUP("LULUCF|SO2|Work loss days", US_national_yearly!$D:$AM, 10, FALSE), 1)</f>
        <v>1.7294657555225329E-2</v>
      </c>
      <c r="U15" s="7">
        <f>$B15 * IFERROR(VLOOKUP("LULUCF|SO2|Work loss days", US_national_yearly!$D:$AM, 29, FALSE) / VLOOKUP("LULUCF|SO2|Work loss days", US_national_yearly!$D:$AM, 10, FALSE), 1)</f>
        <v>1.7430025639804728E-2</v>
      </c>
      <c r="V15" s="7">
        <f>$B15 * IFERROR(VLOOKUP("LULUCF|SO2|Work loss days", US_national_yearly!$D:$AM, 30, FALSE) / VLOOKUP("LULUCF|SO2|Work loss days", US_national_yearly!$D:$AM, 10, FALSE), 1)</f>
        <v>1.7565393724384131E-2</v>
      </c>
      <c r="W15" s="7">
        <f>$B15 * IFERROR(VLOOKUP("LULUCF|SO2|Work loss days", US_national_yearly!$D:$AM, 31, FALSE) / VLOOKUP("LULUCF|SO2|Work loss days", US_national_yearly!$D:$AM, 10, FALSE), 1)</f>
        <v>1.7700761808963537E-2</v>
      </c>
      <c r="X15" s="7">
        <f>$B15 * IFERROR(VLOOKUP("LULUCF|SO2|Work loss days", US_national_yearly!$D:$AM, 32, FALSE) / VLOOKUP("LULUCF|SO2|Work loss days", US_national_yearly!$D:$AM, 10, FALSE), 1)</f>
        <v>1.782230369023723E-2</v>
      </c>
      <c r="Y15" s="7">
        <f>$B15 * IFERROR(VLOOKUP("LULUCF|SO2|Work loss days", US_national_yearly!$D:$AM, 33, FALSE) / VLOOKUP("LULUCF|SO2|Work loss days", US_national_yearly!$D:$AM, 10, FALSE), 1)</f>
        <v>1.7943845571510929E-2</v>
      </c>
      <c r="Z15" s="7">
        <f>$B15 * IFERROR(VLOOKUP("LULUCF|SO2|Work loss days", US_national_yearly!$D:$AM, 34, FALSE) / VLOOKUP("LULUCF|SO2|Work loss days", US_national_yearly!$D:$AM, 10, FALSE), 1)</f>
        <v>1.8065387452784628E-2</v>
      </c>
      <c r="AA15" s="7">
        <f>$B15 * IFERROR(VLOOKUP("LULUCF|SO2|Work loss days", US_national_yearly!$D:$AM, 35, FALSE) / VLOOKUP("LULUCF|SO2|Work loss days", US_national_yearly!$D:$AM, 10, FALSE), 1)</f>
        <v>1.8186929334058324E-2</v>
      </c>
      <c r="AB15" s="7">
        <f>$B15 * IFERROR(VLOOKUP("LULUCF|SO2|Work loss days", US_national_yearly!$D:$AM, 36, FALSE) / VLOOKUP("LULUCF|SO2|Work loss days", US_national_yearly!$D:$AM, 10, FALSE), 1)</f>
        <v>1.8308471215332023E-2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2.6239565559848693E-5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2.703315050474214E-5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2.782673544963559E-5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2.8620320394529037E-5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2.941390533942249E-5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3.0174084258496653E-5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3.093426317757082E-5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3.1585588163596335E-5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3.2236913149621843E-5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3.2888238135647358E-5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3.3539563121672873E-5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3.4190888107698374E-5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3.4628430133137761E-5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3.5065972158577141E-5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3.550351418401652E-5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3.5941056209455893E-5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3.6378598234895279E-5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3.6608714187255084E-5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3.6838830139614888E-5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3.7068946091974692E-5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3.7299062044334497E-5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3.7529177996694308E-5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3.7683662442565637E-5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3.7838146888436973E-5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3.799263133430831E-5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3.8147115780179653E-5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3.8301600226050982E-5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2026-06-15T17:14:36Z</dcterms:modified>
</cp:coreProperties>
</file>