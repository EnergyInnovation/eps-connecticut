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0973B127-9C39-462A-ABDF-2DD261CA7B18}"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Y45" i="9" s="1"/>
  <c r="X25" i="9"/>
  <c r="W25" i="9"/>
  <c r="V25" i="9"/>
  <c r="U25" i="9"/>
  <c r="T25" i="9"/>
  <c r="S25" i="9"/>
  <c r="R25" i="9"/>
  <c r="Q25" i="9"/>
  <c r="P25" i="9"/>
  <c r="O25" i="9"/>
  <c r="N25" i="9"/>
  <c r="M25" i="9"/>
  <c r="L25" i="9"/>
  <c r="K25" i="9"/>
  <c r="J25" i="9"/>
  <c r="I25" i="9"/>
  <c r="H25" i="9"/>
  <c r="G25" i="9"/>
  <c r="F25" i="9"/>
  <c r="F45" i="9" s="1"/>
  <c r="E25" i="9"/>
  <c r="E45" i="9" s="1"/>
  <c r="D25" i="9"/>
  <c r="D45" i="9" s="1"/>
  <c r="C25" i="9"/>
  <c r="C45" i="9" s="1"/>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M15" i="9" l="1"/>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AA61" i="9" s="1"/>
  <c r="AA5" i="11" s="1"/>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S51" i="9" s="1"/>
  <c r="S5" i="10" s="1"/>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C50" i="9" s="1"/>
  <c r="F10" i="9"/>
  <c r="F11" i="9"/>
  <c r="D55" i="9" s="1"/>
  <c r="D9" i="10" s="1"/>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G53" i="9" s="1"/>
  <c r="G7" i="10" s="1"/>
  <c r="N15" i="9"/>
  <c r="O15" i="9"/>
  <c r="P15" i="9"/>
  <c r="F5" i="9"/>
  <c r="G49" i="9" s="1"/>
  <c r="G3" i="10" s="1"/>
  <c r="G51" i="9" l="1"/>
  <c r="G5" i="10" s="1"/>
  <c r="Y55" i="9"/>
  <c r="Y9" i="10" s="1"/>
  <c r="L48" i="9"/>
  <c r="W58" i="9"/>
  <c r="W2" i="11" s="1"/>
  <c r="I53" i="9"/>
  <c r="I7" i="10" s="1"/>
  <c r="L53" i="9"/>
  <c r="L7" i="10" s="1"/>
  <c r="M63" i="9"/>
  <c r="M7" i="11" s="1"/>
  <c r="T58" i="9"/>
  <c r="T2" i="11" s="1"/>
  <c r="T59" i="9"/>
  <c r="T3" i="11" s="1"/>
  <c r="S59" i="9"/>
  <c r="S3" i="11" s="1"/>
  <c r="T63" i="9"/>
  <c r="T7" i="11" s="1"/>
  <c r="K48" i="9"/>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B64" i="9"/>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R68" i="9" s="1"/>
  <c r="Y50" i="9"/>
  <c r="Y4" i="10" s="1"/>
  <c r="Y53" i="9"/>
  <c r="Y7" i="10" s="1"/>
  <c r="G58" i="9"/>
  <c r="G2" i="11" s="1"/>
  <c r="J50" i="9"/>
  <c r="J4" i="10" s="1"/>
  <c r="AA58" i="9"/>
  <c r="K53" i="9"/>
  <c r="K7" i="10" s="1"/>
  <c r="Z50" i="9"/>
  <c r="Z4" i="10" s="1"/>
  <c r="L54" i="9"/>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Z49" i="9"/>
  <c r="Z3" i="10" s="1"/>
  <c r="C64" i="9"/>
  <c r="C8" i="11" s="1"/>
  <c r="K61" i="9"/>
  <c r="K5" i="11" s="1"/>
  <c r="Q64" i="9"/>
  <c r="S48" i="9"/>
  <c r="S2" i="10" s="1"/>
  <c r="T49" i="9"/>
  <c r="T3" i="10" s="1"/>
  <c r="S58" i="9"/>
  <c r="S71" i="9" s="1"/>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V73" i="9" s="1"/>
  <c r="AB51" i="9"/>
  <c r="AB5" i="10" s="1"/>
  <c r="W65" i="9"/>
  <c r="W9" i="11" s="1"/>
  <c r="Q50" i="9"/>
  <c r="Q4" i="10" s="1"/>
  <c r="Z61" i="9"/>
  <c r="Z5" i="11" s="1"/>
  <c r="J64" i="9"/>
  <c r="J73" i="9" s="1"/>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I4" i="11"/>
  <c r="S62" i="9"/>
  <c r="S6" i="11" s="1"/>
  <c r="AB62" i="9"/>
  <c r="AB6" i="11" s="1"/>
  <c r="AA49" i="9"/>
  <c r="AA3" i="10" s="1"/>
  <c r="H53" i="9"/>
  <c r="H7" i="10" s="1"/>
  <c r="R62" i="9"/>
  <c r="R6" i="11" s="1"/>
  <c r="AA4" i="11"/>
  <c r="AB49" i="9"/>
  <c r="AB3" i="10" s="1"/>
  <c r="S52" i="9"/>
  <c r="S6" i="10" s="1"/>
  <c r="L2" i="10"/>
  <c r="G62" i="9"/>
  <c r="G6" i="11" s="1"/>
  <c r="Z62" i="9"/>
  <c r="Z6" i="11" s="1"/>
  <c r="O4" i="10"/>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K2" i="10"/>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B8" i="11"/>
  <c r="D62" i="9"/>
  <c r="D6" i="11" s="1"/>
  <c r="D8" i="11"/>
  <c r="Q62" i="9"/>
  <c r="Q6" i="11" s="1"/>
  <c r="M62" i="9"/>
  <c r="M6" i="11" s="1"/>
  <c r="V2" i="11"/>
  <c r="L8" i="10"/>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2" i="10"/>
  <c r="Z68" i="9"/>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AA2" i="11"/>
  <c r="P63" i="9"/>
  <c r="P7" i="11" s="1"/>
  <c r="S53" i="9"/>
  <c r="S7" i="10" s="1"/>
  <c r="W52" i="9"/>
  <c r="W6" i="10" s="1"/>
  <c r="O59" i="9"/>
  <c r="O3" i="11" s="1"/>
  <c r="V8" i="11" l="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<sst xmlns="http://schemas.openxmlformats.org/spreadsheetml/2006/main" count="5677" uniqueCount="335">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</sst>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58</v>
      </c>
    </row>
    <row r="2" spans="1:2" x14ac:dyDescent="0.25">
      <c r="A2" s="3" t="s">
        <v>2</v>
      </c>
      <c r="B2" s="4" t="str">
        <f>IFERROR(INDEX(Geography!B:B, MATCH($B$1, Geography!C:C, 0)), "")</f>
        <v>CT</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1803811</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3675069</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0.9900470114635963</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1871258</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3675069</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1.0097855263143172</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2840852</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3675069</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1.0286561133792729</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490303</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3675069</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0.97658914840647337</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200963</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3675069</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0.84686763493885031</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142951</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3675069</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0.82156306621132458</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706806</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3675069</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0.98557377500329357</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2968263</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3675069</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1.0034976614965272</v>
      </c>
    </row>
    <row r="12" spans="1:28" x14ac:dyDescent="0.25">
      <c r="A12" s="4" t="s">
        <v>319</v>
      </c>
    </row>
    <row r="13" spans="1:28" x14ac:dyDescent="0.25">
      <c r="A13" s="4" t="s">
        <v>320</v>
      </c>
      <c r="B13" s="37">
        <f>INDEX(Census_pop_2020_2025!G:G, MATCH("."&amp;About!$B$1, Census_pop_2020_2025!A:A, 0))</f>
        <v>3674449</v>
      </c>
      <c r="C13" s="37">
        <f>INDEX(Census_pop_2020_2025!H:H, MATCH("."&amp;About!$B$1, Census_pop_2020_2025!A:A, 0))</f>
        <v>3688496</v>
      </c>
      <c r="D13" s="37">
        <f>INDEX(Census_pop_2020_2025!H:H, MATCH("."&amp;About!$B$1, Census_pop_2020_2025!A:A, 0))+0.2*(INDEX(Cooper_pop_2030_2050!D:D, MATCH(About!$B$1, Cooper_pop_2030_2050!B:B, 0))-INDEX(Census_pop_2020_2025!H:H, MATCH("."&amp;About!$B$1, Census_pop_2020_2025!A:A, 0)))</f>
        <v>3676791.0272770855</v>
      </c>
      <c r="E13" s="37">
        <f>INDEX(Census_pop_2020_2025!H:H, MATCH("."&amp;About!$B$1, Census_pop_2020_2025!A:A, 0))+0.4*(INDEX(Cooper_pop_2030_2050!D:D, MATCH(About!$B$1, Cooper_pop_2030_2050!B:B, 0))-INDEX(Census_pop_2020_2025!H:H, MATCH("."&amp;About!$B$1, Census_pop_2020_2025!A:A, 0)))</f>
        <v>3665086.0545541709</v>
      </c>
      <c r="F13" s="37">
        <f>INDEX(Census_pop_2020_2025!H:H, MATCH("."&amp;About!$B$1, Census_pop_2020_2025!A:A, 0))+0.6*(INDEX(Cooper_pop_2030_2050!D:D, MATCH(About!$B$1, Cooper_pop_2030_2050!B:B, 0))-INDEX(Census_pop_2020_2025!H:H, MATCH("."&amp;About!$B$1, Census_pop_2020_2025!A:A, 0)))</f>
        <v>3653381.0818312569</v>
      </c>
      <c r="G13" s="37">
        <f>INDEX(Census_pop_2020_2025!H:H, MATCH("."&amp;About!$B$1, Census_pop_2020_2025!A:A, 0))+0.8*(INDEX(Cooper_pop_2030_2050!D:D, MATCH(About!$B$1, Cooper_pop_2030_2050!B:B, 0))-INDEX(Census_pop_2020_2025!H:H, MATCH("."&amp;About!$B$1, Census_pop_2020_2025!A:A, 0)))</f>
        <v>3641676.1091083423</v>
      </c>
      <c r="H13" s="37">
        <f>INDEX(Cooper_pop_2030_2050!D:D, MATCH(About!$B$1, Cooper_pop_2030_2050!B:B, 0))</f>
        <v>3629971.1363854278</v>
      </c>
      <c r="I13" s="37">
        <f>INDEX(Cooper_pop_2030_2050!D:D, MATCH(About!$B$1, Cooper_pop_2030_2050!B:B, 0))+0.1*(INDEX(Cooper_pop_2030_2050!E:E, MATCH(About!$B$1, Cooper_pop_2030_2050!B:B, 0))-INDEX(Cooper_pop_2030_2050!D:D, MATCH(About!$B$1, Cooper_pop_2030_2050!B:B, 0)))</f>
        <v>3619086.9257206195</v>
      </c>
      <c r="J13" s="37">
        <f>INDEX(Cooper_pop_2030_2050!D:D, MATCH(About!$B$1, Cooper_pop_2030_2050!B:B, 0))+0.2*(INDEX(Cooper_pop_2030_2050!E:E, MATCH(About!$B$1, Cooper_pop_2030_2050!B:B, 0))-INDEX(Cooper_pop_2030_2050!D:D, MATCH(About!$B$1, Cooper_pop_2030_2050!B:B, 0)))</f>
        <v>3608202.7150558112</v>
      </c>
      <c r="K13" s="37">
        <f>INDEX(Cooper_pop_2030_2050!D:D, MATCH(About!$B$1, Cooper_pop_2030_2050!B:B, 0))+0.3*(INDEX(Cooper_pop_2030_2050!E:E, MATCH(About!$B$1, Cooper_pop_2030_2050!B:B, 0))-INDEX(Cooper_pop_2030_2050!D:D, MATCH(About!$B$1, Cooper_pop_2030_2050!B:B, 0)))</f>
        <v>3597318.5043910029</v>
      </c>
      <c r="L13" s="37">
        <f>INDEX(Cooper_pop_2030_2050!D:D, MATCH(About!$B$1, Cooper_pop_2030_2050!B:B, 0))+0.4*(INDEX(Cooper_pop_2030_2050!E:E, MATCH(About!$B$1, Cooper_pop_2030_2050!B:B, 0))-INDEX(Cooper_pop_2030_2050!D:D, MATCH(About!$B$1, Cooper_pop_2030_2050!B:B, 0)))</f>
        <v>3586434.2937261946</v>
      </c>
      <c r="M13" s="37">
        <f>INDEX(Cooper_pop_2030_2050!D:D, MATCH(About!$B$1, Cooper_pop_2030_2050!B:B, 0))+0.5*(INDEX(Cooper_pop_2030_2050!E:E, MATCH(About!$B$1, Cooper_pop_2030_2050!B:B, 0))-INDEX(Cooper_pop_2030_2050!D:D, MATCH(About!$B$1, Cooper_pop_2030_2050!B:B, 0)))</f>
        <v>3575550.0830613864</v>
      </c>
      <c r="N13" s="37">
        <f>INDEX(Cooper_pop_2030_2050!D:D, MATCH(About!$B$1, Cooper_pop_2030_2050!B:B, 0))+0.6*(INDEX(Cooper_pop_2030_2050!E:E, MATCH(About!$B$1, Cooper_pop_2030_2050!B:B, 0))-INDEX(Cooper_pop_2030_2050!D:D, MATCH(About!$B$1, Cooper_pop_2030_2050!B:B, 0)))</f>
        <v>3564665.8723965781</v>
      </c>
      <c r="O13" s="37">
        <f>INDEX(Cooper_pop_2030_2050!D:D, MATCH(About!$B$1, Cooper_pop_2030_2050!B:B, 0))+0.7*(INDEX(Cooper_pop_2030_2050!E:E, MATCH(About!$B$1, Cooper_pop_2030_2050!B:B, 0))-INDEX(Cooper_pop_2030_2050!D:D, MATCH(About!$B$1, Cooper_pop_2030_2050!B:B, 0)))</f>
        <v>3553781.6617317698</v>
      </c>
      <c r="P13" s="37">
        <f>INDEX(Cooper_pop_2030_2050!D:D, MATCH(About!$B$1, Cooper_pop_2030_2050!B:B, 0))+0.8*(INDEX(Cooper_pop_2030_2050!E:E, MATCH(About!$B$1, Cooper_pop_2030_2050!B:B, 0))-INDEX(Cooper_pop_2030_2050!D:D, MATCH(About!$B$1, Cooper_pop_2030_2050!B:B, 0)))</f>
        <v>3542897.4510669615</v>
      </c>
      <c r="Q13" s="37">
        <f>INDEX(Cooper_pop_2030_2050!D:D, MATCH(About!$B$1, Cooper_pop_2030_2050!B:B, 0))+0.9*(INDEX(Cooper_pop_2030_2050!E:E, MATCH(About!$B$1, Cooper_pop_2030_2050!B:B, 0))-INDEX(Cooper_pop_2030_2050!D:D, MATCH(About!$B$1, Cooper_pop_2030_2050!B:B, 0)))</f>
        <v>3532013.2404021532</v>
      </c>
      <c r="R13" s="37">
        <f>INDEX(Cooper_pop_2030_2050!E:E, MATCH(About!$B$1, Cooper_pop_2030_2050!B:B, 0))</f>
        <v>3521129.0297373449</v>
      </c>
      <c r="S13" s="37">
        <f>INDEX(Cooper_pop_2030_2050!E:E, MATCH(About!$B$1, Cooper_pop_2030_2050!B:B, 0))+0.1*(INDEX(Cooper_pop_2030_2050!F:F, MATCH(About!$B$1, Cooper_pop_2030_2050!B:B, 0))-INDEX(Cooper_pop_2030_2050!E:E, MATCH(About!$B$1, Cooper_pop_2030_2050!B:B, 0)))</f>
        <v>3506568.8674779176</v>
      </c>
      <c r="T13" s="37">
        <f>INDEX(Cooper_pop_2030_2050!E:E, MATCH(About!$B$1, Cooper_pop_2030_2050!B:B, 0))+0.2*(INDEX(Cooper_pop_2030_2050!F:F, MATCH(About!$B$1, Cooper_pop_2030_2050!B:B, 0))-INDEX(Cooper_pop_2030_2050!E:E, MATCH(About!$B$1, Cooper_pop_2030_2050!B:B, 0)))</f>
        <v>3492008.7052184902</v>
      </c>
      <c r="U13" s="37">
        <f>INDEX(Cooper_pop_2030_2050!E:E, MATCH(About!$B$1, Cooper_pop_2030_2050!B:B, 0))+0.3*(INDEX(Cooper_pop_2030_2050!F:F, MATCH(About!$B$1, Cooper_pop_2030_2050!B:B, 0))-INDEX(Cooper_pop_2030_2050!E:E, MATCH(About!$B$1, Cooper_pop_2030_2050!B:B, 0)))</f>
        <v>3477448.5429590633</v>
      </c>
      <c r="V13" s="37">
        <f>INDEX(Cooper_pop_2030_2050!E:E, MATCH(About!$B$1, Cooper_pop_2030_2050!B:B, 0))+0.4*(INDEX(Cooper_pop_2030_2050!F:F, MATCH(About!$B$1, Cooper_pop_2030_2050!B:B, 0))-INDEX(Cooper_pop_2030_2050!E:E, MATCH(About!$B$1, Cooper_pop_2030_2050!B:B, 0)))</f>
        <v>3462888.3806996359</v>
      </c>
      <c r="W13" s="37">
        <f>INDEX(Cooper_pop_2030_2050!E:E, MATCH(About!$B$1, Cooper_pop_2030_2050!B:B, 0))+0.5*(INDEX(Cooper_pop_2030_2050!F:F, MATCH(About!$B$1, Cooper_pop_2030_2050!B:B, 0))-INDEX(Cooper_pop_2030_2050!E:E, MATCH(About!$B$1, Cooper_pop_2030_2050!B:B, 0)))</f>
        <v>3448328.2184402086</v>
      </c>
      <c r="X13" s="37">
        <f>INDEX(Cooper_pop_2030_2050!E:E, MATCH(About!$B$1, Cooper_pop_2030_2050!B:B, 0))+0.6*(INDEX(Cooper_pop_2030_2050!F:F, MATCH(About!$B$1, Cooper_pop_2030_2050!B:B, 0))-INDEX(Cooper_pop_2030_2050!E:E, MATCH(About!$B$1, Cooper_pop_2030_2050!B:B, 0)))</f>
        <v>3433768.0561807812</v>
      </c>
      <c r="Y13" s="37">
        <f>INDEX(Cooper_pop_2030_2050!E:E, MATCH(About!$B$1, Cooper_pop_2030_2050!B:B, 0))+0.7*(INDEX(Cooper_pop_2030_2050!F:F, MATCH(About!$B$1, Cooper_pop_2030_2050!B:B, 0))-INDEX(Cooper_pop_2030_2050!E:E, MATCH(About!$B$1, Cooper_pop_2030_2050!B:B, 0)))</f>
        <v>3419207.8939213539</v>
      </c>
      <c r="Z13" s="37">
        <f>INDEX(Cooper_pop_2030_2050!E:E, MATCH(About!$B$1, Cooper_pop_2030_2050!B:B, 0))+0.8*(INDEX(Cooper_pop_2030_2050!F:F, MATCH(About!$B$1, Cooper_pop_2030_2050!B:B, 0))-INDEX(Cooper_pop_2030_2050!E:E, MATCH(About!$B$1, Cooper_pop_2030_2050!B:B, 0)))</f>
        <v>3404647.731661927</v>
      </c>
      <c r="AA13" s="37">
        <f>INDEX(Cooper_pop_2030_2050!E:E, MATCH(About!$B$1, Cooper_pop_2030_2050!B:B, 0))+0.9*(INDEX(Cooper_pop_2030_2050!F:F, MATCH(About!$B$1, Cooper_pop_2030_2050!B:B, 0))-INDEX(Cooper_pop_2030_2050!E:E, MATCH(About!$B$1, Cooper_pop_2030_2050!B:B, 0)))</f>
        <v>3390087.5694024996</v>
      </c>
      <c r="AB13" s="37">
        <f>INDEX(Cooper_pop_2030_2050!F:F, MATCH(About!$B$1, Cooper_pop_2030_2050!B:B, 0))</f>
        <v>3375527.4071430722</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1.0920189387272374E-2</v>
      </c>
      <c r="C15" s="39">
        <f t="shared" si="1"/>
        <v>1.091218514432467E-2</v>
      </c>
      <c r="D15" s="39">
        <f t="shared" si="1"/>
        <v>1.0829601635121517E-2</v>
      </c>
      <c r="E15" s="39">
        <f t="shared" si="1"/>
        <v>1.074898296934809E-2</v>
      </c>
      <c r="F15" s="39">
        <f t="shared" si="1"/>
        <v>1.0670395786408625E-2</v>
      </c>
      <c r="G15" s="39">
        <f t="shared" si="1"/>
        <v>1.0593850030030192E-2</v>
      </c>
      <c r="H15" s="39">
        <f t="shared" si="1"/>
        <v>1.0519412393659966E-2</v>
      </c>
      <c r="I15" s="39">
        <f t="shared" si="1"/>
        <v>1.0449542693838547E-2</v>
      </c>
      <c r="J15" s="39">
        <f t="shared" si="1"/>
        <v>1.0381969810018184E-2</v>
      </c>
      <c r="K15" s="39">
        <f t="shared" si="1"/>
        <v>1.0316317210278802E-2</v>
      </c>
      <c r="L15" s="39">
        <f t="shared" si="1"/>
        <v>1.0252589743203054E-2</v>
      </c>
      <c r="M15" s="39">
        <f t="shared" si="1"/>
        <v>1.0190785601806401E-2</v>
      </c>
      <c r="N15" s="39">
        <f t="shared" si="1"/>
        <v>1.013089384650937E-2</v>
      </c>
      <c r="O15" s="39">
        <f t="shared" si="1"/>
        <v>1.0072904622668698E-2</v>
      </c>
      <c r="P15" s="39">
        <f t="shared" si="1"/>
        <v>1.0016796108925441E-2</v>
      </c>
      <c r="Q15" s="39">
        <f t="shared" si="1"/>
        <v>9.962527021390645E-3</v>
      </c>
      <c r="R15" s="39">
        <f t="shared" si="1"/>
        <v>9.9100456653631458E-3</v>
      </c>
      <c r="S15" s="39">
        <f t="shared" si="1"/>
        <v>9.8489845589574618E-3</v>
      </c>
      <c r="T15" s="39">
        <f t="shared" si="1"/>
        <v>9.7896145182606777E-3</v>
      </c>
      <c r="U15" s="39">
        <f t="shared" si="1"/>
        <v>9.7318270453724508E-3</v>
      </c>
      <c r="V15" s="39">
        <f t="shared" si="1"/>
        <v>9.6754834928993051E-3</v>
      </c>
      <c r="W15" s="39">
        <f t="shared" si="1"/>
        <v>9.620432203594145E-3</v>
      </c>
      <c r="X15" s="39">
        <f t="shared" si="1"/>
        <v>9.5665206312686955E-3</v>
      </c>
      <c r="Y15" s="39">
        <f t="shared" si="1"/>
        <v>9.5136471952866324E-3</v>
      </c>
      <c r="Z15" s="39">
        <f t="shared" si="1"/>
        <v>9.4616713560567549E-3</v>
      </c>
      <c r="AA15" s="39">
        <f t="shared" si="1"/>
        <v>9.4104533506827442E-3</v>
      </c>
      <c r="AB15" s="39">
        <f t="shared" si="1"/>
        <v>9.3598581874543528E-3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101.74703466390599</v>
      </c>
      <c r="C48" s="37">
        <f t="shared" si="10"/>
        <v>100.9054025549147</v>
      </c>
      <c r="D48" s="37">
        <f t="shared" si="10"/>
        <v>99.369778956503822</v>
      </c>
      <c r="E48" s="37">
        <f t="shared" si="10"/>
        <v>97.863817884840458</v>
      </c>
      <c r="F48" s="37">
        <f t="shared" si="10"/>
        <v>96.366572737263539</v>
      </c>
      <c r="G48" s="37">
        <f t="shared" si="10"/>
        <v>94.878152898982052</v>
      </c>
      <c r="H48" s="37">
        <f t="shared" si="10"/>
        <v>93.399144414579212</v>
      </c>
      <c r="I48" s="37">
        <f t="shared" si="10"/>
        <v>92.002874015639009</v>
      </c>
      <c r="J48" s="37">
        <f t="shared" si="10"/>
        <v>90.565081034939951</v>
      </c>
      <c r="K48" s="37">
        <f t="shared" si="10"/>
        <v>89.165068673819249</v>
      </c>
      <c r="L48" s="37">
        <f t="shared" si="10"/>
        <v>87.73116765208222</v>
      </c>
      <c r="M48" s="37">
        <f t="shared" si="10"/>
        <v>86.334626390328211</v>
      </c>
      <c r="N48" s="37">
        <f t="shared" si="10"/>
        <v>84.984708345870914</v>
      </c>
      <c r="O48" s="37">
        <f t="shared" si="10"/>
        <v>83.540881665096393</v>
      </c>
      <c r="P48" s="37">
        <f t="shared" si="10"/>
        <v>82.153248547445742</v>
      </c>
      <c r="Q48" s="37">
        <f t="shared" si="10"/>
        <v>80.731684302493392</v>
      </c>
      <c r="R48" s="37">
        <f t="shared" si="10"/>
        <v>79.32525869871354</v>
      </c>
      <c r="S48" s="37">
        <f t="shared" si="10"/>
        <v>77.832144589261674</v>
      </c>
      <c r="T48" s="37">
        <f t="shared" si="10"/>
        <v>76.364675167217598</v>
      </c>
      <c r="U48" s="37">
        <f t="shared" si="10"/>
        <v>74.921497811565999</v>
      </c>
      <c r="V48" s="37">
        <f t="shared" si="10"/>
        <v>73.501075122950951</v>
      </c>
      <c r="W48" s="37">
        <f t="shared" si="10"/>
        <v>72.111353431977037</v>
      </c>
      <c r="X48" s="37">
        <f t="shared" si="10"/>
        <v>70.816948689487944</v>
      </c>
      <c r="Y48" s="37">
        <f t="shared" si="10"/>
        <v>69.540166720658092</v>
      </c>
      <c r="Z48" s="37">
        <f t="shared" si="10"/>
        <v>68.326540984760243</v>
      </c>
      <c r="AA48" s="37">
        <f t="shared" si="10"/>
        <v>67.136797505097633</v>
      </c>
      <c r="AB48" s="37">
        <f t="shared" si="10"/>
        <v>65.960367939378841</v>
      </c>
    </row>
    <row r="49" spans="1:28" x14ac:dyDescent="0.25">
      <c r="A49" s="4" t="s">
        <v>216</v>
      </c>
      <c r="B49" s="37">
        <f t="shared" ref="B49:AB49" si="11">B29*B15*$F$5</f>
        <v>82.74697710584293</v>
      </c>
      <c r="C49" s="37">
        <f t="shared" si="11"/>
        <v>82.234547879098258</v>
      </c>
      <c r="D49" s="37">
        <f t="shared" si="11"/>
        <v>81.163837552738926</v>
      </c>
      <c r="E49" s="37">
        <f t="shared" si="11"/>
        <v>80.103755596845332</v>
      </c>
      <c r="F49" s="37">
        <f t="shared" si="11"/>
        <v>79.044015147778936</v>
      </c>
      <c r="G49" s="37">
        <f t="shared" si="11"/>
        <v>78.00628979493743</v>
      </c>
      <c r="H49" s="37">
        <f t="shared" si="11"/>
        <v>76.980173207115925</v>
      </c>
      <c r="I49" s="37">
        <f t="shared" si="11"/>
        <v>75.941282784753611</v>
      </c>
      <c r="J49" s="37">
        <f t="shared" si="11"/>
        <v>74.957474368838234</v>
      </c>
      <c r="K49" s="37">
        <f t="shared" si="11"/>
        <v>73.931349603617051</v>
      </c>
      <c r="L49" s="37">
        <f t="shared" si="11"/>
        <v>72.94665127905202</v>
      </c>
      <c r="M49" s="37">
        <f t="shared" si="11"/>
        <v>71.920359031507857</v>
      </c>
      <c r="N49" s="37">
        <f t="shared" si="11"/>
        <v>70.863417635660852</v>
      </c>
      <c r="O49" s="37">
        <f t="shared" si="11"/>
        <v>69.87802154293901</v>
      </c>
      <c r="P49" s="37">
        <f t="shared" si="11"/>
        <v>68.811091416866972</v>
      </c>
      <c r="Q49" s="37">
        <f t="shared" si="11"/>
        <v>67.784385056979431</v>
      </c>
      <c r="R49" s="37">
        <f t="shared" si="11"/>
        <v>66.726813880888272</v>
      </c>
      <c r="S49" s="37">
        <f t="shared" si="11"/>
        <v>65.619498848974658</v>
      </c>
      <c r="T49" s="37">
        <f t="shared" si="11"/>
        <v>64.512192504052038</v>
      </c>
      <c r="U49" s="37">
        <f t="shared" si="11"/>
        <v>63.423832945203102</v>
      </c>
      <c r="V49" s="37">
        <f t="shared" si="11"/>
        <v>62.372721812766436</v>
      </c>
      <c r="W49" s="37">
        <f t="shared" si="11"/>
        <v>61.347529733229536</v>
      </c>
      <c r="X49" s="37">
        <f t="shared" si="11"/>
        <v>60.327537271161994</v>
      </c>
      <c r="Y49" s="37">
        <f t="shared" si="11"/>
        <v>59.360066481574201</v>
      </c>
      <c r="Z49" s="37">
        <f t="shared" si="11"/>
        <v>58.39562972502317</v>
      </c>
      <c r="AA49" s="37">
        <f t="shared" si="11"/>
        <v>57.471359437752653</v>
      </c>
      <c r="AB49" s="37">
        <f t="shared" si="11"/>
        <v>56.614181463015328</v>
      </c>
    </row>
    <row r="50" spans="1:28" x14ac:dyDescent="0.25">
      <c r="A50" s="4" t="s">
        <v>217</v>
      </c>
      <c r="B50" s="37">
        <f t="shared" ref="B50:AB50" si="12">B30*B15*$F$6</f>
        <v>110.73609274548008</v>
      </c>
      <c r="C50" s="37">
        <f t="shared" si="12"/>
        <v>109.92530819684008</v>
      </c>
      <c r="D50" s="37">
        <f t="shared" si="12"/>
        <v>108.38043663796567</v>
      </c>
      <c r="E50" s="37">
        <f t="shared" si="12"/>
        <v>106.84385906645805</v>
      </c>
      <c r="F50" s="37">
        <f t="shared" si="12"/>
        <v>105.32730676407893</v>
      </c>
      <c r="G50" s="37">
        <f t="shared" si="12"/>
        <v>103.84159710666144</v>
      </c>
      <c r="H50" s="37">
        <f t="shared" si="12"/>
        <v>102.34367371456051</v>
      </c>
      <c r="I50" s="37">
        <f t="shared" si="12"/>
        <v>100.91148032423811</v>
      </c>
      <c r="J50" s="37">
        <f t="shared" si="12"/>
        <v>99.457966637428484</v>
      </c>
      <c r="K50" s="37">
        <f t="shared" si="12"/>
        <v>97.990679500441516</v>
      </c>
      <c r="L50" s="37">
        <f t="shared" si="12"/>
        <v>96.499460423436375</v>
      </c>
      <c r="M50" s="37">
        <f t="shared" si="12"/>
        <v>94.984776833396211</v>
      </c>
      <c r="N50" s="37">
        <f t="shared" si="12"/>
        <v>93.446953208530999</v>
      </c>
      <c r="O50" s="37">
        <f t="shared" si="12"/>
        <v>91.855184362205193</v>
      </c>
      <c r="P50" s="37">
        <f t="shared" si="12"/>
        <v>90.251321893784137</v>
      </c>
      <c r="Q50" s="37">
        <f t="shared" si="12"/>
        <v>88.624827884845757</v>
      </c>
      <c r="R50" s="37">
        <f t="shared" si="12"/>
        <v>86.975455918961686</v>
      </c>
      <c r="S50" s="37">
        <f t="shared" si="12"/>
        <v>85.233938524360042</v>
      </c>
      <c r="T50" s="37">
        <f t="shared" si="12"/>
        <v>83.521797740302233</v>
      </c>
      <c r="U50" s="37">
        <f t="shared" si="12"/>
        <v>81.837500168877071</v>
      </c>
      <c r="V50" s="37">
        <f t="shared" si="12"/>
        <v>80.189268437926529</v>
      </c>
      <c r="W50" s="37">
        <f t="shared" si="12"/>
        <v>78.594956445448062</v>
      </c>
      <c r="X50" s="37">
        <f t="shared" si="12"/>
        <v>77.062207920628012</v>
      </c>
      <c r="Y50" s="37">
        <f t="shared" si="12"/>
        <v>75.569587348987014</v>
      </c>
      <c r="Z50" s="37">
        <f t="shared" si="12"/>
        <v>74.125051129600436</v>
      </c>
      <c r="AA50" s="37">
        <f t="shared" si="12"/>
        <v>72.746104571909754</v>
      </c>
      <c r="AB50" s="37">
        <f t="shared" si="12"/>
        <v>71.411434833033994</v>
      </c>
    </row>
    <row r="51" spans="1:28" x14ac:dyDescent="0.25">
      <c r="A51" s="4" t="s">
        <v>218</v>
      </c>
      <c r="B51" s="37">
        <f t="shared" ref="B51:AB51" si="13">B31*B15*$F$7</f>
        <v>49.888710888531179</v>
      </c>
      <c r="C51" s="37">
        <f t="shared" si="13"/>
        <v>49.180770171769325</v>
      </c>
      <c r="D51" s="37">
        <f t="shared" si="13"/>
        <v>48.152853259147541</v>
      </c>
      <c r="E51" s="37">
        <f t="shared" si="13"/>
        <v>47.122559817854032</v>
      </c>
      <c r="F51" s="37">
        <f t="shared" si="13"/>
        <v>46.090281663405612</v>
      </c>
      <c r="G51" s="37">
        <f t="shared" si="13"/>
        <v>45.076820432257094</v>
      </c>
      <c r="H51" s="37">
        <f t="shared" si="13"/>
        <v>44.051241434526688</v>
      </c>
      <c r="I51" s="37">
        <f t="shared" si="13"/>
        <v>43.064720202586322</v>
      </c>
      <c r="J51" s="37">
        <f t="shared" si="13"/>
        <v>42.096791918632697</v>
      </c>
      <c r="K51" s="37">
        <f t="shared" si="13"/>
        <v>41.145497245191365</v>
      </c>
      <c r="L51" s="37">
        <f t="shared" si="13"/>
        <v>40.230497767055418</v>
      </c>
      <c r="M51" s="37">
        <f t="shared" si="13"/>
        <v>39.360993051383502</v>
      </c>
      <c r="N51" s="37">
        <f t="shared" si="13"/>
        <v>38.506362109266696</v>
      </c>
      <c r="O51" s="37">
        <f t="shared" si="13"/>
        <v>37.695726379358092</v>
      </c>
      <c r="P51" s="37">
        <f t="shared" si="13"/>
        <v>36.898814408061988</v>
      </c>
      <c r="Q51" s="37">
        <f t="shared" si="13"/>
        <v>36.134604526163713</v>
      </c>
      <c r="R51" s="37">
        <f t="shared" si="13"/>
        <v>35.392603459471879</v>
      </c>
      <c r="S51" s="37">
        <f t="shared" si="13"/>
        <v>34.626281195162782</v>
      </c>
      <c r="T51" s="37">
        <f t="shared" si="13"/>
        <v>33.882168547102545</v>
      </c>
      <c r="U51" s="37">
        <f t="shared" si="13"/>
        <v>33.149940443137638</v>
      </c>
      <c r="V51" s="37">
        <f t="shared" si="13"/>
        <v>32.447770482436383</v>
      </c>
      <c r="W51" s="37">
        <f t="shared" si="13"/>
        <v>31.746413552681524</v>
      </c>
      <c r="X51" s="37">
        <f t="shared" si="13"/>
        <v>31.073355346611152</v>
      </c>
      <c r="Y51" s="37">
        <f t="shared" si="13"/>
        <v>30.43706903115477</v>
      </c>
      <c r="Z51" s="37">
        <f t="shared" si="13"/>
        <v>29.80877413563779</v>
      </c>
      <c r="AA51" s="37">
        <f t="shared" si="13"/>
        <v>29.206285970633768</v>
      </c>
      <c r="AB51" s="37">
        <f t="shared" si="13"/>
        <v>28.610503481218096</v>
      </c>
    </row>
    <row r="52" spans="1:28" x14ac:dyDescent="0.25">
      <c r="A52" s="4" t="s">
        <v>219</v>
      </c>
      <c r="B52" s="37">
        <f t="shared" ref="B52:AB52" si="14">B32*B15*$F$8</f>
        <v>7.9624892201154553</v>
      </c>
      <c r="C52" s="37">
        <f t="shared" si="14"/>
        <v>7.9843764313633736</v>
      </c>
      <c r="D52" s="37">
        <f t="shared" si="14"/>
        <v>7.9514643205645843</v>
      </c>
      <c r="E52" s="37">
        <f t="shared" si="14"/>
        <v>7.9286831989525748</v>
      </c>
      <c r="F52" s="37">
        <f t="shared" si="14"/>
        <v>7.9068612380601779</v>
      </c>
      <c r="G52" s="37">
        <f t="shared" si="14"/>
        <v>7.8860264847292836</v>
      </c>
      <c r="H52" s="37">
        <f t="shared" si="14"/>
        <v>7.8662495570777127</v>
      </c>
      <c r="I52" s="37">
        <f t="shared" si="14"/>
        <v>7.8493996229960263</v>
      </c>
      <c r="J52" s="37">
        <f t="shared" si="14"/>
        <v>7.8338094091438304</v>
      </c>
      <c r="K52" s="37">
        <f t="shared" si="14"/>
        <v>7.8366899759615469</v>
      </c>
      <c r="L52" s="37">
        <f t="shared" si="14"/>
        <v>7.8230103714700405</v>
      </c>
      <c r="M52" s="37">
        <f t="shared" si="14"/>
        <v>7.8103730831974616</v>
      </c>
      <c r="N52" s="37">
        <f t="shared" si="14"/>
        <v>7.7987892354534374</v>
      </c>
      <c r="O52" s="37">
        <f t="shared" si="14"/>
        <v>7.7882706431795814</v>
      </c>
      <c r="P52" s="37">
        <f t="shared" si="14"/>
        <v>7.7703367942742165</v>
      </c>
      <c r="Q52" s="37">
        <f t="shared" si="14"/>
        <v>7.7619863608899262</v>
      </c>
      <c r="R52" s="37">
        <f t="shared" si="14"/>
        <v>7.7378821738506494</v>
      </c>
      <c r="S52" s="37">
        <f t="shared" si="14"/>
        <v>7.7152272904940444</v>
      </c>
      <c r="T52" s="37">
        <f t="shared" si="14"/>
        <v>7.7018816477654379</v>
      </c>
      <c r="U52" s="37">
        <f t="shared" si="14"/>
        <v>7.6729010681536591</v>
      </c>
      <c r="V52" s="37">
        <f t="shared" si="14"/>
        <v>7.6530594702351014</v>
      </c>
      <c r="W52" s="37">
        <f t="shared" si="14"/>
        <v>7.6339570093044431</v>
      </c>
      <c r="X52" s="37">
        <f t="shared" si="14"/>
        <v>7.6073805227988673</v>
      </c>
      <c r="Y52" s="37">
        <f t="shared" si="14"/>
        <v>7.5975623056198609</v>
      </c>
      <c r="Z52" s="37">
        <f t="shared" si="14"/>
        <v>7.5720801654594645</v>
      </c>
      <c r="AA52" s="37">
        <f t="shared" si="14"/>
        <v>7.547029729036935</v>
      </c>
      <c r="AB52" s="37">
        <f t="shared" si="14"/>
        <v>7.5223063572773041</v>
      </c>
    </row>
    <row r="53" spans="1:28" x14ac:dyDescent="0.25">
      <c r="A53" s="4" t="s">
        <v>220</v>
      </c>
      <c r="B53" s="37">
        <f t="shared" ref="B53:AB53" si="15">B33*B15*$F$9</f>
        <v>13.618925651902874</v>
      </c>
      <c r="C53" s="37">
        <f t="shared" si="15"/>
        <v>13.725488926228911</v>
      </c>
      <c r="D53" s="37">
        <f t="shared" si="15"/>
        <v>13.710586317529515</v>
      </c>
      <c r="E53" s="37">
        <f t="shared" si="15"/>
        <v>13.714492382994788</v>
      </c>
      <c r="F53" s="37">
        <f t="shared" si="15"/>
        <v>13.710654417073499</v>
      </c>
      <c r="G53" s="37">
        <f t="shared" si="15"/>
        <v>13.690630532178588</v>
      </c>
      <c r="H53" s="37">
        <f t="shared" si="15"/>
        <v>13.706784071590432</v>
      </c>
      <c r="I53" s="37">
        <f t="shared" si="15"/>
        <v>13.693008546009546</v>
      </c>
      <c r="J53" s="37">
        <f t="shared" si="15"/>
        <v>13.689755935443266</v>
      </c>
      <c r="K53" s="37">
        <f t="shared" si="15"/>
        <v>13.66251438124792</v>
      </c>
      <c r="L53" s="37">
        <f t="shared" si="15"/>
        <v>13.645501486972938</v>
      </c>
      <c r="M53" s="37">
        <f t="shared" si="15"/>
        <v>13.605106232448714</v>
      </c>
      <c r="N53" s="37">
        <f t="shared" si="15"/>
        <v>13.583410521983474</v>
      </c>
      <c r="O53" s="37">
        <f t="shared" si="15"/>
        <v>13.54703672900207</v>
      </c>
      <c r="P53" s="37">
        <f t="shared" si="15"/>
        <v>13.496264748774419</v>
      </c>
      <c r="Q53" s="37">
        <f t="shared" si="15"/>
        <v>13.431329409174177</v>
      </c>
      <c r="R53" s="37">
        <f t="shared" si="15"/>
        <v>13.368716560139449</v>
      </c>
      <c r="S53" s="37">
        <f t="shared" si="15"/>
        <v>13.286344727359785</v>
      </c>
      <c r="T53" s="37">
        <f t="shared" si="15"/>
        <v>13.174083010423294</v>
      </c>
      <c r="U53" s="37">
        <f t="shared" si="15"/>
        <v>13.08032661559562</v>
      </c>
      <c r="V53" s="37">
        <f t="shared" si="15"/>
        <v>12.972800453141565</v>
      </c>
      <c r="W53" s="37">
        <f t="shared" si="15"/>
        <v>12.867373016965724</v>
      </c>
      <c r="X53" s="37">
        <f t="shared" si="15"/>
        <v>12.779547037071184</v>
      </c>
      <c r="Y53" s="37">
        <f t="shared" si="15"/>
        <v>12.669835141352788</v>
      </c>
      <c r="Z53" s="37">
        <f t="shared" si="15"/>
        <v>12.585069404109911</v>
      </c>
      <c r="AA53" s="37">
        <f t="shared" si="15"/>
        <v>12.478287387490035</v>
      </c>
      <c r="AB53" s="37">
        <f t="shared" si="15"/>
        <v>12.395818632362529</v>
      </c>
    </row>
    <row r="54" spans="1:28" x14ac:dyDescent="0.25">
      <c r="A54" s="4" t="s">
        <v>221</v>
      </c>
      <c r="B54" s="37">
        <f t="shared" ref="B54:AB54" si="16">B34*B15*$F$10</f>
        <v>41.339347400431521</v>
      </c>
      <c r="C54" s="37">
        <f t="shared" si="16"/>
        <v>41.481122843517248</v>
      </c>
      <c r="D54" s="37">
        <f t="shared" si="16"/>
        <v>41.359314040570652</v>
      </c>
      <c r="E54" s="37">
        <f t="shared" si="16"/>
        <v>41.252707823596104</v>
      </c>
      <c r="F54" s="37">
        <f t="shared" si="16"/>
        <v>41.182466194456786</v>
      </c>
      <c r="G54" s="37">
        <f t="shared" si="16"/>
        <v>41.074975693112016</v>
      </c>
      <c r="H54" s="37">
        <f t="shared" si="16"/>
        <v>40.962612742345385</v>
      </c>
      <c r="I54" s="37">
        <f t="shared" si="16"/>
        <v>40.855320716383957</v>
      </c>
      <c r="J54" s="37">
        <f t="shared" si="16"/>
        <v>40.734376964144424</v>
      </c>
      <c r="K54" s="37">
        <f t="shared" si="16"/>
        <v>40.598794346384238</v>
      </c>
      <c r="L54" s="37">
        <f t="shared" si="16"/>
        <v>40.438943674228263</v>
      </c>
      <c r="M54" s="37">
        <f t="shared" si="16"/>
        <v>40.255434311572749</v>
      </c>
      <c r="N54" s="37">
        <f t="shared" si="16"/>
        <v>40.04880534606459</v>
      </c>
      <c r="O54" s="37">
        <f t="shared" si="16"/>
        <v>39.819566033823193</v>
      </c>
      <c r="P54" s="37">
        <f t="shared" si="16"/>
        <v>39.538527675820355</v>
      </c>
      <c r="Q54" s="37">
        <f t="shared" si="16"/>
        <v>39.235946238717005</v>
      </c>
      <c r="R54" s="37">
        <f t="shared" si="16"/>
        <v>38.882749926247449</v>
      </c>
      <c r="S54" s="37">
        <f t="shared" si="16"/>
        <v>38.497568936564903</v>
      </c>
      <c r="T54" s="37">
        <f t="shared" si="16"/>
        <v>38.082184817517678</v>
      </c>
      <c r="U54" s="37">
        <f t="shared" si="16"/>
        <v>37.636785127719698</v>
      </c>
      <c r="V54" s="37">
        <f t="shared" si="16"/>
        <v>37.199556787998482</v>
      </c>
      <c r="W54" s="37">
        <f t="shared" si="16"/>
        <v>36.722413734362583</v>
      </c>
      <c r="X54" s="37">
        <f t="shared" si="16"/>
        <v>36.299770630994558</v>
      </c>
      <c r="Y54" s="37">
        <f t="shared" si="16"/>
        <v>35.87411091585895</v>
      </c>
      <c r="Z54" s="37">
        <f t="shared" si="16"/>
        <v>35.454315943984128</v>
      </c>
      <c r="AA54" s="37">
        <f t="shared" si="16"/>
        <v>35.049076309934364</v>
      </c>
      <c r="AB54" s="37">
        <f t="shared" si="16"/>
        <v>34.666914023531703</v>
      </c>
    </row>
    <row r="55" spans="1:28" x14ac:dyDescent="0.25">
      <c r="A55" s="4" t="s">
        <v>222</v>
      </c>
      <c r="B55" s="37">
        <f t="shared" ref="B55:AB55" si="17">B35*B15*$F$11</f>
        <v>143.2699191259301</v>
      </c>
      <c r="C55" s="37">
        <f t="shared" si="17"/>
        <v>141.76326054110643</v>
      </c>
      <c r="D55" s="37">
        <f t="shared" si="17"/>
        <v>139.2667551207644</v>
      </c>
      <c r="E55" s="37">
        <f t="shared" si="17"/>
        <v>136.79539834280871</v>
      </c>
      <c r="F55" s="37">
        <f t="shared" si="17"/>
        <v>134.2961893594871</v>
      </c>
      <c r="G55" s="37">
        <f t="shared" si="17"/>
        <v>131.86572988404015</v>
      </c>
      <c r="H55" s="37">
        <f t="shared" si="17"/>
        <v>129.46130716292615</v>
      </c>
      <c r="I55" s="37">
        <f t="shared" si="17"/>
        <v>127.12288915750918</v>
      </c>
      <c r="J55" s="37">
        <f t="shared" si="17"/>
        <v>124.81102346444789</v>
      </c>
      <c r="K55" s="37">
        <f t="shared" si="17"/>
        <v>122.51030391675584</v>
      </c>
      <c r="L55" s="37">
        <f t="shared" si="17"/>
        <v>120.24111318176364</v>
      </c>
      <c r="M55" s="37">
        <f t="shared" si="17"/>
        <v>117.99254380435839</v>
      </c>
      <c r="N55" s="37">
        <f t="shared" si="17"/>
        <v>115.78431282467324</v>
      </c>
      <c r="O55" s="37">
        <f t="shared" si="17"/>
        <v>113.57501871764642</v>
      </c>
      <c r="P55" s="37">
        <f t="shared" si="17"/>
        <v>111.39439636155764</v>
      </c>
      <c r="Q55" s="37">
        <f t="shared" si="17"/>
        <v>109.24129005667123</v>
      </c>
      <c r="R55" s="37">
        <f t="shared" si="17"/>
        <v>107.12439081135525</v>
      </c>
      <c r="S55" s="37">
        <f t="shared" si="17"/>
        <v>104.90275757573212</v>
      </c>
      <c r="T55" s="37">
        <f t="shared" si="17"/>
        <v>102.73787847669081</v>
      </c>
      <c r="U55" s="37">
        <f t="shared" si="17"/>
        <v>100.64701171992782</v>
      </c>
      <c r="V55" s="37">
        <f t="shared" si="17"/>
        <v>98.607905298926781</v>
      </c>
      <c r="W55" s="37">
        <f t="shared" si="17"/>
        <v>96.666315244771667</v>
      </c>
      <c r="X55" s="37">
        <f t="shared" si="17"/>
        <v>94.771013242850714</v>
      </c>
      <c r="Y55" s="37">
        <f t="shared" si="17"/>
        <v>92.948839531559202</v>
      </c>
      <c r="Z55" s="37">
        <f t="shared" si="17"/>
        <v>91.187723824974242</v>
      </c>
      <c r="AA55" s="37">
        <f t="shared" si="17"/>
        <v>89.475911146530976</v>
      </c>
      <c r="AB55" s="37">
        <f t="shared" si="17"/>
        <v>87.820770758513447</v>
      </c>
    </row>
    <row r="57" spans="1:28" x14ac:dyDescent="0.25">
      <c r="A57" s="4" t="s">
        <v>327</v>
      </c>
    </row>
    <row r="58" spans="1:28" x14ac:dyDescent="0.25">
      <c r="A58" s="4" t="s">
        <v>215</v>
      </c>
      <c r="B58" s="37">
        <f t="shared" ref="B58:AB58" si="18">B38*B15*$F$4</f>
        <v>16134.413581581568</v>
      </c>
      <c r="C58" s="37">
        <f t="shared" si="18"/>
        <v>16416.261048784425</v>
      </c>
      <c r="D58" s="37">
        <f t="shared" si="18"/>
        <v>16581.061328320571</v>
      </c>
      <c r="E58" s="37">
        <f t="shared" si="18"/>
        <v>16743.343519062895</v>
      </c>
      <c r="F58" s="37">
        <f t="shared" si="18"/>
        <v>16904.568833197041</v>
      </c>
      <c r="G58" s="37">
        <f t="shared" si="18"/>
        <v>17065.240196922288</v>
      </c>
      <c r="H58" s="37">
        <f t="shared" si="18"/>
        <v>17224.195718621406</v>
      </c>
      <c r="I58" s="37">
        <f t="shared" si="18"/>
        <v>17384.41531908821</v>
      </c>
      <c r="J58" s="37">
        <f t="shared" si="18"/>
        <v>17539.694326387958</v>
      </c>
      <c r="K58" s="37">
        <f t="shared" si="18"/>
        <v>17689.8083020175</v>
      </c>
      <c r="L58" s="37">
        <f t="shared" si="18"/>
        <v>17833.351869905833</v>
      </c>
      <c r="M58" s="37">
        <f t="shared" si="18"/>
        <v>17970.133270370548</v>
      </c>
      <c r="N58" s="37">
        <f t="shared" si="18"/>
        <v>18098.432957482361</v>
      </c>
      <c r="O58" s="37">
        <f t="shared" si="18"/>
        <v>18217.706312128823</v>
      </c>
      <c r="P58" s="37">
        <f t="shared" si="18"/>
        <v>18325.767669945773</v>
      </c>
      <c r="Q58" s="37">
        <f t="shared" si="18"/>
        <v>18422.418009103159</v>
      </c>
      <c r="R58" s="37">
        <f t="shared" si="18"/>
        <v>18505.047368573589</v>
      </c>
      <c r="S58" s="37">
        <f t="shared" si="18"/>
        <v>18554.609913765544</v>
      </c>
      <c r="T58" s="37">
        <f t="shared" si="18"/>
        <v>18589.51131979272</v>
      </c>
      <c r="U58" s="37">
        <f t="shared" si="18"/>
        <v>18610.949045821751</v>
      </c>
      <c r="V58" s="37">
        <f t="shared" si="18"/>
        <v>18614.652576817829</v>
      </c>
      <c r="W58" s="37">
        <f t="shared" si="18"/>
        <v>18601.947978845645</v>
      </c>
      <c r="X58" s="37">
        <f t="shared" si="18"/>
        <v>18572.026565146753</v>
      </c>
      <c r="Y58" s="37">
        <f t="shared" si="18"/>
        <v>18532.732290315613</v>
      </c>
      <c r="Z58" s="37">
        <f t="shared" si="18"/>
        <v>18477.430134165548</v>
      </c>
      <c r="AA58" s="37">
        <f t="shared" si="18"/>
        <v>18407.445276318558</v>
      </c>
      <c r="AB58" s="37">
        <f t="shared" si="18"/>
        <v>18324.611243146323</v>
      </c>
    </row>
    <row r="59" spans="1:28" x14ac:dyDescent="0.25">
      <c r="A59" s="4" t="s">
        <v>216</v>
      </c>
      <c r="B59" s="37">
        <f t="shared" ref="B59:AB59" si="19">B39*B15*$F$5</f>
        <v>15463.429563047899</v>
      </c>
      <c r="C59" s="37">
        <f t="shared" si="19"/>
        <v>15692.804557301382</v>
      </c>
      <c r="D59" s="37">
        <f t="shared" si="19"/>
        <v>15811.747873552307</v>
      </c>
      <c r="E59" s="37">
        <f t="shared" si="19"/>
        <v>15936.92438434543</v>
      </c>
      <c r="F59" s="37">
        <f t="shared" si="19"/>
        <v>16072.678156459973</v>
      </c>
      <c r="G59" s="37">
        <f t="shared" si="19"/>
        <v>16219.63859364</v>
      </c>
      <c r="H59" s="37">
        <f t="shared" si="19"/>
        <v>16379.069435031484</v>
      </c>
      <c r="I59" s="37">
        <f t="shared" si="19"/>
        <v>16552.962666118889</v>
      </c>
      <c r="J59" s="37">
        <f t="shared" si="19"/>
        <v>16736.714548331176</v>
      </c>
      <c r="K59" s="37">
        <f t="shared" si="19"/>
        <v>16925.903806750706</v>
      </c>
      <c r="L59" s="37">
        <f t="shared" si="19"/>
        <v>17120.090397523854</v>
      </c>
      <c r="M59" s="37">
        <f t="shared" si="19"/>
        <v>17318.152843482669</v>
      </c>
      <c r="N59" s="37">
        <f t="shared" si="19"/>
        <v>17516.348364346039</v>
      </c>
      <c r="O59" s="37">
        <f t="shared" si="19"/>
        <v>17711.189762718997</v>
      </c>
      <c r="P59" s="37">
        <f t="shared" si="19"/>
        <v>17901.95949161068</v>
      </c>
      <c r="Q59" s="37">
        <f t="shared" si="19"/>
        <v>18083.813607558746</v>
      </c>
      <c r="R59" s="37">
        <f t="shared" si="19"/>
        <v>18255.517619271435</v>
      </c>
      <c r="S59" s="37">
        <f t="shared" si="19"/>
        <v>18394.673134979483</v>
      </c>
      <c r="T59" s="37">
        <f t="shared" si="19"/>
        <v>18518.992954726626</v>
      </c>
      <c r="U59" s="37">
        <f t="shared" si="19"/>
        <v>18626.992077932071</v>
      </c>
      <c r="V59" s="37">
        <f t="shared" si="19"/>
        <v>18714.708512134534</v>
      </c>
      <c r="W59" s="37">
        <f t="shared" si="19"/>
        <v>18778.678000092081</v>
      </c>
      <c r="X59" s="37">
        <f t="shared" si="19"/>
        <v>18820.220961252133</v>
      </c>
      <c r="Y59" s="37">
        <f t="shared" si="19"/>
        <v>18848.362990189868</v>
      </c>
      <c r="Z59" s="37">
        <f t="shared" si="19"/>
        <v>18855.195962617323</v>
      </c>
      <c r="AA59" s="37">
        <f t="shared" si="19"/>
        <v>18838.100553482989</v>
      </c>
      <c r="AB59" s="37">
        <f t="shared" si="19"/>
        <v>18797.704021093035</v>
      </c>
    </row>
    <row r="60" spans="1:28" x14ac:dyDescent="0.25">
      <c r="A60" s="4" t="s">
        <v>217</v>
      </c>
      <c r="B60" s="37">
        <f t="shared" ref="B60:AB60" si="20">B40*B15*$F$6</f>
        <v>26332.746300518451</v>
      </c>
      <c r="C60" s="37">
        <f t="shared" si="20"/>
        <v>26753.718716459345</v>
      </c>
      <c r="D60" s="37">
        <f t="shared" si="20"/>
        <v>26982.996844317764</v>
      </c>
      <c r="E60" s="37">
        <f t="shared" si="20"/>
        <v>27212.864430357102</v>
      </c>
      <c r="F60" s="37">
        <f t="shared" si="20"/>
        <v>27448.838365411149</v>
      </c>
      <c r="G60" s="37">
        <f t="shared" si="20"/>
        <v>27690.910937966422</v>
      </c>
      <c r="H60" s="37">
        <f t="shared" si="20"/>
        <v>27939.97441608517</v>
      </c>
      <c r="I60" s="37">
        <f t="shared" si="20"/>
        <v>28199.631484314934</v>
      </c>
      <c r="J60" s="37">
        <f t="shared" si="20"/>
        <v>28461.296698723527</v>
      </c>
      <c r="K60" s="37">
        <f t="shared" si="20"/>
        <v>28719.939050869114</v>
      </c>
      <c r="L60" s="37">
        <f t="shared" si="20"/>
        <v>28974.105368389854</v>
      </c>
      <c r="M60" s="37">
        <f t="shared" si="20"/>
        <v>29222.762127497237</v>
      </c>
      <c r="N60" s="37">
        <f t="shared" si="20"/>
        <v>29460.738627586034</v>
      </c>
      <c r="O60" s="37">
        <f t="shared" si="20"/>
        <v>29685.305682227488</v>
      </c>
      <c r="P60" s="37">
        <f t="shared" si="20"/>
        <v>29892.878182319084</v>
      </c>
      <c r="Q60" s="37">
        <f t="shared" si="20"/>
        <v>30079.72569515842</v>
      </c>
      <c r="R60" s="37">
        <f t="shared" si="20"/>
        <v>30242.340572200879</v>
      </c>
      <c r="S60" s="37">
        <f t="shared" si="20"/>
        <v>30346.736860070581</v>
      </c>
      <c r="T60" s="37">
        <f t="shared" si="20"/>
        <v>30422.890353006256</v>
      </c>
      <c r="U60" s="37">
        <f t="shared" si="20"/>
        <v>30471.139561350148</v>
      </c>
      <c r="V60" s="37">
        <f t="shared" si="20"/>
        <v>30483.775725998727</v>
      </c>
      <c r="W60" s="37">
        <f t="shared" si="20"/>
        <v>30458.989471118173</v>
      </c>
      <c r="X60" s="37">
        <f t="shared" si="20"/>
        <v>30397.916615159615</v>
      </c>
      <c r="Y60" s="37">
        <f t="shared" si="20"/>
        <v>30316.469199193332</v>
      </c>
      <c r="Z60" s="37">
        <f t="shared" si="20"/>
        <v>30201.374183646996</v>
      </c>
      <c r="AA60" s="37">
        <f t="shared" si="20"/>
        <v>30051.197995947623</v>
      </c>
      <c r="AB60" s="37">
        <f t="shared" si="20"/>
        <v>29868.937440562295</v>
      </c>
    </row>
    <row r="61" spans="1:28" x14ac:dyDescent="0.25">
      <c r="A61" s="4" t="s">
        <v>218</v>
      </c>
      <c r="B61" s="37">
        <f t="shared" ref="B61:AB61" si="21">B41*B15*$F$7</f>
        <v>3856.9796354830564</v>
      </c>
      <c r="C61" s="37">
        <f t="shared" si="21"/>
        <v>3912.295632819058</v>
      </c>
      <c r="D61" s="37">
        <f t="shared" si="21"/>
        <v>3940.2634793852503</v>
      </c>
      <c r="E61" s="37">
        <f t="shared" si="21"/>
        <v>3968.2360057974238</v>
      </c>
      <c r="F61" s="37">
        <f t="shared" si="21"/>
        <v>3997.506102326251</v>
      </c>
      <c r="G61" s="37">
        <f t="shared" si="21"/>
        <v>4028.1627523800166</v>
      </c>
      <c r="H61" s="37">
        <f t="shared" si="21"/>
        <v>4060.0903293621809</v>
      </c>
      <c r="I61" s="37">
        <f t="shared" si="21"/>
        <v>4094.3833757158945</v>
      </c>
      <c r="J61" s="37">
        <f t="shared" si="21"/>
        <v>4129.875759977057</v>
      </c>
      <c r="K61" s="37">
        <f t="shared" si="21"/>
        <v>4166.2939149822378</v>
      </c>
      <c r="L61" s="37">
        <f t="shared" si="21"/>
        <v>4203.6364511024085</v>
      </c>
      <c r="M61" s="37">
        <f t="shared" si="21"/>
        <v>4241.6819326080677</v>
      </c>
      <c r="N61" s="37">
        <f t="shared" si="21"/>
        <v>4280.627219053813</v>
      </c>
      <c r="O61" s="37">
        <f t="shared" si="21"/>
        <v>4319.3872357424598</v>
      </c>
      <c r="P61" s="37">
        <f t="shared" si="21"/>
        <v>4358.4425680343502</v>
      </c>
      <c r="Q61" s="37">
        <f t="shared" si="21"/>
        <v>4396.911995284474</v>
      </c>
      <c r="R61" s="37">
        <f t="shared" si="21"/>
        <v>4434.7019237105778</v>
      </c>
      <c r="S61" s="37">
        <f t="shared" si="21"/>
        <v>4467.1653922222804</v>
      </c>
      <c r="T61" s="37">
        <f t="shared" si="21"/>
        <v>4498.0204019600587</v>
      </c>
      <c r="U61" s="37">
        <f t="shared" si="21"/>
        <v>4527.352373656644</v>
      </c>
      <c r="V61" s="37">
        <f t="shared" si="21"/>
        <v>4554.6502663269894</v>
      </c>
      <c r="W61" s="37">
        <f t="shared" si="21"/>
        <v>4579.0936714374775</v>
      </c>
      <c r="X61" s="37">
        <f t="shared" si="21"/>
        <v>4600.4074562977103</v>
      </c>
      <c r="Y61" s="37">
        <f t="shared" si="21"/>
        <v>4619.7821907128427</v>
      </c>
      <c r="Z61" s="37">
        <f t="shared" si="21"/>
        <v>4635.9666306751578</v>
      </c>
      <c r="AA61" s="37">
        <f t="shared" si="21"/>
        <v>4648.9551415867563</v>
      </c>
      <c r="AB61" s="37">
        <f t="shared" si="21"/>
        <v>4658.3018479547491</v>
      </c>
    </row>
    <row r="62" spans="1:28" x14ac:dyDescent="0.25">
      <c r="A62" s="4" t="s">
        <v>219</v>
      </c>
      <c r="B62" s="37">
        <f t="shared" ref="B62:AB62" si="22">B42*B15*$F$8</f>
        <v>1126.8910556779658</v>
      </c>
      <c r="C62" s="37">
        <f t="shared" si="22"/>
        <v>1152.5780061024338</v>
      </c>
      <c r="D62" s="37">
        <f t="shared" si="22"/>
        <v>1170.965468882405</v>
      </c>
      <c r="E62" s="37">
        <f t="shared" si="22"/>
        <v>1190.8590869921638</v>
      </c>
      <c r="F62" s="37">
        <f t="shared" si="22"/>
        <v>1212.5781666432217</v>
      </c>
      <c r="G62" s="37">
        <f t="shared" si="22"/>
        <v>1236.0696074630964</v>
      </c>
      <c r="H62" s="37">
        <f t="shared" si="22"/>
        <v>1261.3883052494955</v>
      </c>
      <c r="I62" s="37">
        <f t="shared" si="22"/>
        <v>1288.8147820671006</v>
      </c>
      <c r="J62" s="37">
        <f t="shared" si="22"/>
        <v>1317.3812195605778</v>
      </c>
      <c r="K62" s="37">
        <f t="shared" si="22"/>
        <v>1346.8098699155855</v>
      </c>
      <c r="L62" s="37">
        <f t="shared" si="22"/>
        <v>1377.4315586693915</v>
      </c>
      <c r="M62" s="37">
        <f t="shared" si="22"/>
        <v>1408.9654134693196</v>
      </c>
      <c r="N62" s="37">
        <f t="shared" si="22"/>
        <v>1441.2231143326846</v>
      </c>
      <c r="O62" s="37">
        <f t="shared" si="22"/>
        <v>1473.9451474513364</v>
      </c>
      <c r="P62" s="37">
        <f t="shared" si="22"/>
        <v>1506.9957443663852</v>
      </c>
      <c r="Q62" s="37">
        <f t="shared" si="22"/>
        <v>1540.0877742426173</v>
      </c>
      <c r="R62" s="37">
        <f t="shared" si="22"/>
        <v>1573.0812329548719</v>
      </c>
      <c r="S62" s="37">
        <f t="shared" si="22"/>
        <v>1604.0332872318818</v>
      </c>
      <c r="T62" s="37">
        <f t="shared" si="22"/>
        <v>1634.573077972798</v>
      </c>
      <c r="U62" s="37">
        <f t="shared" si="22"/>
        <v>1664.3519646717068</v>
      </c>
      <c r="V62" s="37">
        <f t="shared" si="22"/>
        <v>1693.4319633543453</v>
      </c>
      <c r="W62" s="37">
        <f t="shared" si="22"/>
        <v>1721.7057961945063</v>
      </c>
      <c r="X62" s="37">
        <f t="shared" si="22"/>
        <v>1749.3248477154659</v>
      </c>
      <c r="Y62" s="37">
        <f t="shared" si="22"/>
        <v>1776.177935535565</v>
      </c>
      <c r="Z62" s="37">
        <f t="shared" si="22"/>
        <v>1802.3233478274735</v>
      </c>
      <c r="AA62" s="37">
        <f t="shared" si="22"/>
        <v>1827.7439632586866</v>
      </c>
      <c r="AB62" s="37">
        <f t="shared" si="22"/>
        <v>1852.3104729125284</v>
      </c>
    </row>
    <row r="63" spans="1:28" x14ac:dyDescent="0.25">
      <c r="A63" s="4" t="s">
        <v>220</v>
      </c>
      <c r="B63" s="37">
        <f t="shared" ref="B63:AB63" si="23">B43*B15*$F$9</f>
        <v>600.49772770672917</v>
      </c>
      <c r="C63" s="37">
        <f t="shared" si="23"/>
        <v>613.32584840633479</v>
      </c>
      <c r="D63" s="37">
        <f t="shared" si="23"/>
        <v>622.36808792829788</v>
      </c>
      <c r="E63" s="37">
        <f t="shared" si="23"/>
        <v>632.45622375101129</v>
      </c>
      <c r="F63" s="37">
        <f t="shared" si="23"/>
        <v>642.53351374642079</v>
      </c>
      <c r="G63" s="37">
        <f t="shared" si="23"/>
        <v>653.51219589266464</v>
      </c>
      <c r="H63" s="37">
        <f t="shared" si="23"/>
        <v>664.78766983283685</v>
      </c>
      <c r="I63" s="37">
        <f t="shared" si="23"/>
        <v>676.38311242285522</v>
      </c>
      <c r="J63" s="37">
        <f t="shared" si="23"/>
        <v>688.18104556970036</v>
      </c>
      <c r="K63" s="37">
        <f t="shared" si="23"/>
        <v>700.91580447569584</v>
      </c>
      <c r="L63" s="37">
        <f t="shared" si="23"/>
        <v>713.90399909159953</v>
      </c>
      <c r="M63" s="37">
        <f t="shared" si="23"/>
        <v>727.35828249243968</v>
      </c>
      <c r="N63" s="37">
        <f t="shared" si="23"/>
        <v>740.95340373684735</v>
      </c>
      <c r="O63" s="37">
        <f t="shared" si="23"/>
        <v>754.74455941261249</v>
      </c>
      <c r="P63" s="37">
        <f t="shared" si="23"/>
        <v>768.92499577224794</v>
      </c>
      <c r="Q63" s="37">
        <f t="shared" si="23"/>
        <v>783.38781255995059</v>
      </c>
      <c r="R63" s="37">
        <f t="shared" si="23"/>
        <v>797.97885430927363</v>
      </c>
      <c r="S63" s="37">
        <f t="shared" si="23"/>
        <v>811.6079386043657</v>
      </c>
      <c r="T63" s="37">
        <f t="shared" si="23"/>
        <v>825.31045672441167</v>
      </c>
      <c r="U63" s="37">
        <f t="shared" si="23"/>
        <v>838.8678902862423</v>
      </c>
      <c r="V63" s="37">
        <f t="shared" si="23"/>
        <v>852.03954348733953</v>
      </c>
      <c r="W63" s="37">
        <f t="shared" si="23"/>
        <v>865.34664297450399</v>
      </c>
      <c r="X63" s="37">
        <f t="shared" si="23"/>
        <v>878.36986304799416</v>
      </c>
      <c r="Y63" s="37">
        <f t="shared" si="23"/>
        <v>891.35924687856539</v>
      </c>
      <c r="Z63" s="37">
        <f t="shared" si="23"/>
        <v>903.97177645049123</v>
      </c>
      <c r="AA63" s="37">
        <f t="shared" si="23"/>
        <v>916.34233848504891</v>
      </c>
      <c r="AB63" s="37">
        <f t="shared" si="23"/>
        <v>928.60983749633931</v>
      </c>
    </row>
    <row r="64" spans="1:28" x14ac:dyDescent="0.25">
      <c r="A64" s="4" t="s">
        <v>221</v>
      </c>
      <c r="B64" s="37">
        <f t="shared" ref="B64:AB64" si="24">B44*B15*$F$10</f>
        <v>2691.6317082462692</v>
      </c>
      <c r="C64" s="37">
        <f t="shared" si="24"/>
        <v>2784.5050646337068</v>
      </c>
      <c r="D64" s="37">
        <f t="shared" si="24"/>
        <v>2859.3641686520659</v>
      </c>
      <c r="E64" s="37">
        <f t="shared" si="24"/>
        <v>2935.5104832233023</v>
      </c>
      <c r="F64" s="37">
        <f t="shared" si="24"/>
        <v>3012.9559198788747</v>
      </c>
      <c r="G64" s="37">
        <f t="shared" si="24"/>
        <v>3092.0456537013129</v>
      </c>
      <c r="H64" s="37">
        <f t="shared" si="24"/>
        <v>3173.7575234876008</v>
      </c>
      <c r="I64" s="37">
        <f t="shared" si="24"/>
        <v>3258.8271801472001</v>
      </c>
      <c r="J64" s="37">
        <f t="shared" si="24"/>
        <v>3345.6829043526973</v>
      </c>
      <c r="K64" s="37">
        <f t="shared" si="24"/>
        <v>3435.0667348703287</v>
      </c>
      <c r="L64" s="37">
        <f t="shared" si="24"/>
        <v>3527.5248272827935</v>
      </c>
      <c r="M64" s="37">
        <f t="shared" si="24"/>
        <v>3622.1554550455749</v>
      </c>
      <c r="N64" s="37">
        <f t="shared" si="24"/>
        <v>3719.8660373231346</v>
      </c>
      <c r="O64" s="37">
        <f t="shared" si="24"/>
        <v>3819.9978897757892</v>
      </c>
      <c r="P64" s="37">
        <f t="shared" si="24"/>
        <v>3922.3502852315878</v>
      </c>
      <c r="Q64" s="37">
        <f t="shared" si="24"/>
        <v>4027.0651948085374</v>
      </c>
      <c r="R64" s="37">
        <f t="shared" si="24"/>
        <v>4133.3017566035878</v>
      </c>
      <c r="S64" s="37">
        <f t="shared" si="24"/>
        <v>4236.5963079933499</v>
      </c>
      <c r="T64" s="37">
        <f t="shared" si="24"/>
        <v>4341.021727252898</v>
      </c>
      <c r="U64" s="37">
        <f t="shared" si="24"/>
        <v>4446.2624705699563</v>
      </c>
      <c r="V64" s="37">
        <f t="shared" si="24"/>
        <v>4551.705727946116</v>
      </c>
      <c r="W64" s="37">
        <f t="shared" si="24"/>
        <v>4656.7111631664757</v>
      </c>
      <c r="X64" s="37">
        <f t="shared" si="24"/>
        <v>4761.8321969094231</v>
      </c>
      <c r="Y64" s="37">
        <f t="shared" si="24"/>
        <v>4866.099049748058</v>
      </c>
      <c r="Z64" s="37">
        <f t="shared" si="24"/>
        <v>4969.4417918055779</v>
      </c>
      <c r="AA64" s="37">
        <f t="shared" si="24"/>
        <v>5070.7452876036268</v>
      </c>
      <c r="AB64" s="37">
        <f t="shared" si="24"/>
        <v>5169.8811317514364</v>
      </c>
    </row>
    <row r="65" spans="1:28" x14ac:dyDescent="0.25">
      <c r="A65" s="4" t="s">
        <v>222</v>
      </c>
      <c r="B65" s="37">
        <f t="shared" ref="B65:AB65" si="25">B45*B15*$F$11</f>
        <v>28980.17109860673</v>
      </c>
      <c r="C65" s="37">
        <f t="shared" si="25"/>
        <v>29399.23202682288</v>
      </c>
      <c r="D65" s="37">
        <f t="shared" si="25"/>
        <v>29608.253415913419</v>
      </c>
      <c r="E65" s="37">
        <f t="shared" si="25"/>
        <v>29819.606266572944</v>
      </c>
      <c r="F65" s="37">
        <f t="shared" si="25"/>
        <v>30039.076531243521</v>
      </c>
      <c r="G65" s="37">
        <f t="shared" si="25"/>
        <v>30267.448000783497</v>
      </c>
      <c r="H65" s="37">
        <f t="shared" si="25"/>
        <v>30503.803246183346</v>
      </c>
      <c r="I65" s="37">
        <f t="shared" si="25"/>
        <v>30752.393224944371</v>
      </c>
      <c r="J65" s="37">
        <f t="shared" si="25"/>
        <v>31003.954200857501</v>
      </c>
      <c r="K65" s="37">
        <f t="shared" si="25"/>
        <v>31253.109408618235</v>
      </c>
      <c r="L65" s="37">
        <f t="shared" si="25"/>
        <v>31497.440987065878</v>
      </c>
      <c r="M65" s="37">
        <f t="shared" si="25"/>
        <v>31736.55820305361</v>
      </c>
      <c r="N65" s="37">
        <f t="shared" si="25"/>
        <v>31964.074753166125</v>
      </c>
      <c r="O65" s="37">
        <f t="shared" si="25"/>
        <v>32176.643799643844</v>
      </c>
      <c r="P65" s="37">
        <f t="shared" si="25"/>
        <v>32371.541282740902</v>
      </c>
      <c r="Q65" s="37">
        <f t="shared" si="25"/>
        <v>32543.60714314241</v>
      </c>
      <c r="R65" s="37">
        <f t="shared" si="25"/>
        <v>32689.82531105393</v>
      </c>
      <c r="S65" s="37">
        <f t="shared" si="25"/>
        <v>32773.177119008666</v>
      </c>
      <c r="T65" s="37">
        <f t="shared" si="25"/>
        <v>32825.77385425142</v>
      </c>
      <c r="U65" s="37">
        <f t="shared" si="25"/>
        <v>32847.674773258288</v>
      </c>
      <c r="V65" s="37">
        <f t="shared" si="25"/>
        <v>32831.237975636068</v>
      </c>
      <c r="W65" s="37">
        <f t="shared" si="25"/>
        <v>32775.016839186042</v>
      </c>
      <c r="X65" s="37">
        <f t="shared" si="25"/>
        <v>32678.940402400538</v>
      </c>
      <c r="Y65" s="37">
        <f t="shared" si="25"/>
        <v>32560.915995715579</v>
      </c>
      <c r="Z65" s="37">
        <f t="shared" si="25"/>
        <v>32406.430777117701</v>
      </c>
      <c r="AA65" s="37">
        <f t="shared" si="25"/>
        <v>32215.3603308577</v>
      </c>
      <c r="AB65" s="37">
        <f t="shared" si="25"/>
        <v>31990.31718637294</v>
      </c>
    </row>
    <row r="67" spans="1:28" x14ac:dyDescent="0.25">
      <c r="A67" s="4" t="s">
        <v>328</v>
      </c>
    </row>
    <row r="68" spans="1:28" x14ac:dyDescent="0.25">
      <c r="A68" s="4" t="s">
        <v>329</v>
      </c>
      <c r="B68" s="40">
        <f t="shared" ref="B68:AB68" si="26">B48+B49</f>
        <v>184.49401176974891</v>
      </c>
      <c r="C68" s="40">
        <f t="shared" si="26"/>
        <v>183.13995043401297</v>
      </c>
      <c r="D68" s="40">
        <f t="shared" si="26"/>
        <v>180.53361650924273</v>
      </c>
      <c r="E68" s="40">
        <f t="shared" si="26"/>
        <v>177.9675734816858</v>
      </c>
      <c r="F68" s="40">
        <f t="shared" si="26"/>
        <v>175.41058788504247</v>
      </c>
      <c r="G68" s="40">
        <f t="shared" si="26"/>
        <v>172.88444269391948</v>
      </c>
      <c r="H68" s="40">
        <f t="shared" si="26"/>
        <v>170.37931762169512</v>
      </c>
      <c r="I68" s="40">
        <f t="shared" si="26"/>
        <v>167.94415680039262</v>
      </c>
      <c r="J68" s="40">
        <f t="shared" si="26"/>
        <v>165.5225554037782</v>
      </c>
      <c r="K68" s="40">
        <f t="shared" si="26"/>
        <v>163.0964182774363</v>
      </c>
      <c r="L68" s="40">
        <f t="shared" si="26"/>
        <v>160.67781893113425</v>
      </c>
      <c r="M68" s="40">
        <f t="shared" si="26"/>
        <v>158.25498542183607</v>
      </c>
      <c r="N68" s="40">
        <f t="shared" si="26"/>
        <v>155.84812598153178</v>
      </c>
      <c r="O68" s="40">
        <f t="shared" si="26"/>
        <v>153.4189032080354</v>
      </c>
      <c r="P68" s="40">
        <f t="shared" si="26"/>
        <v>150.96433996431273</v>
      </c>
      <c r="Q68" s="40">
        <f t="shared" si="26"/>
        <v>148.51606935947282</v>
      </c>
      <c r="R68" s="40">
        <f t="shared" si="26"/>
        <v>146.05207257960183</v>
      </c>
      <c r="S68" s="40">
        <f t="shared" si="26"/>
        <v>143.45164343823632</v>
      </c>
      <c r="T68" s="40">
        <f t="shared" si="26"/>
        <v>140.87686767126962</v>
      </c>
      <c r="U68" s="40">
        <f t="shared" si="26"/>
        <v>138.3453307567691</v>
      </c>
      <c r="V68" s="40">
        <f t="shared" si="26"/>
        <v>135.87379693571739</v>
      </c>
      <c r="W68" s="40">
        <f t="shared" si="26"/>
        <v>133.45888316520657</v>
      </c>
      <c r="X68" s="40">
        <f t="shared" si="26"/>
        <v>131.14448596064994</v>
      </c>
      <c r="Y68" s="40">
        <f t="shared" si="26"/>
        <v>128.9002332022323</v>
      </c>
      <c r="Z68" s="40">
        <f t="shared" si="26"/>
        <v>126.72217070978341</v>
      </c>
      <c r="AA68" s="40">
        <f t="shared" si="26"/>
        <v>124.60815694285029</v>
      </c>
      <c r="AB68" s="40">
        <f t="shared" si="26"/>
        <v>122.57454940239417</v>
      </c>
    </row>
    <row r="69" spans="1:28" x14ac:dyDescent="0.25">
      <c r="A69" s="4" t="s">
        <v>330</v>
      </c>
      <c r="B69" s="40">
        <f t="shared" ref="B69:AB69" si="27">B50+B51+B52+B53</f>
        <v>182.20621850602959</v>
      </c>
      <c r="C69" s="40">
        <f t="shared" si="27"/>
        <v>180.81594372620171</v>
      </c>
      <c r="D69" s="40">
        <f t="shared" si="27"/>
        <v>178.19534053520729</v>
      </c>
      <c r="E69" s="40">
        <f t="shared" si="27"/>
        <v>175.60959446625944</v>
      </c>
      <c r="F69" s="40">
        <f t="shared" si="27"/>
        <v>173.0351040826182</v>
      </c>
      <c r="G69" s="40">
        <f t="shared" si="27"/>
        <v>170.49507455582642</v>
      </c>
      <c r="H69" s="40">
        <f t="shared" si="27"/>
        <v>167.96794877775531</v>
      </c>
      <c r="I69" s="40">
        <f t="shared" si="27"/>
        <v>165.51860869583001</v>
      </c>
      <c r="J69" s="40">
        <f t="shared" si="27"/>
        <v>163.07832390064829</v>
      </c>
      <c r="K69" s="40">
        <f t="shared" si="27"/>
        <v>160.63538110284236</v>
      </c>
      <c r="L69" s="40">
        <f t="shared" si="27"/>
        <v>158.19847004893478</v>
      </c>
      <c r="M69" s="40">
        <f t="shared" si="27"/>
        <v>155.76124920042591</v>
      </c>
      <c r="N69" s="40">
        <f t="shared" si="27"/>
        <v>153.33551507523458</v>
      </c>
      <c r="O69" s="40">
        <f t="shared" si="27"/>
        <v>150.88621811374492</v>
      </c>
      <c r="P69" s="40">
        <f t="shared" si="27"/>
        <v>148.41673784489475</v>
      </c>
      <c r="Q69" s="40">
        <f t="shared" si="27"/>
        <v>145.95274818107356</v>
      </c>
      <c r="R69" s="40">
        <f t="shared" si="27"/>
        <v>143.47465811242367</v>
      </c>
      <c r="S69" s="40">
        <f t="shared" si="27"/>
        <v>140.86179173737665</v>
      </c>
      <c r="T69" s="40">
        <f t="shared" si="27"/>
        <v>138.27993094559352</v>
      </c>
      <c r="U69" s="40">
        <f t="shared" si="27"/>
        <v>135.74066829576398</v>
      </c>
      <c r="V69" s="40">
        <f t="shared" si="27"/>
        <v>133.26289884373958</v>
      </c>
      <c r="W69" s="40">
        <f t="shared" si="27"/>
        <v>130.84270002439973</v>
      </c>
      <c r="X69" s="40">
        <f t="shared" si="27"/>
        <v>128.52249082710921</v>
      </c>
      <c r="Y69" s="40">
        <f t="shared" si="27"/>
        <v>126.27405382711443</v>
      </c>
      <c r="Z69" s="40">
        <f t="shared" si="27"/>
        <v>124.09097483480761</v>
      </c>
      <c r="AA69" s="40">
        <f t="shared" si="27"/>
        <v>121.97770765907049</v>
      </c>
      <c r="AB69" s="40">
        <f t="shared" si="27"/>
        <v>119.94006330389192</v>
      </c>
    </row>
    <row r="70" spans="1:28" x14ac:dyDescent="0.25">
      <c r="A70" s="4" t="s">
        <v>331</v>
      </c>
      <c r="B70" s="40">
        <f t="shared" ref="B70:AB70" si="28">B54+B55</f>
        <v>184.60926652636164</v>
      </c>
      <c r="C70" s="40">
        <f t="shared" si="28"/>
        <v>183.24438338462369</v>
      </c>
      <c r="D70" s="40">
        <f t="shared" si="28"/>
        <v>180.62606916133507</v>
      </c>
      <c r="E70" s="40">
        <f t="shared" si="28"/>
        <v>178.04810616640481</v>
      </c>
      <c r="F70" s="40">
        <f t="shared" si="28"/>
        <v>175.4786555539439</v>
      </c>
      <c r="G70" s="40">
        <f t="shared" si="28"/>
        <v>172.94070557715216</v>
      </c>
      <c r="H70" s="40">
        <f t="shared" si="28"/>
        <v>170.42391990527153</v>
      </c>
      <c r="I70" s="40">
        <f t="shared" si="28"/>
        <v>167.97820987389315</v>
      </c>
      <c r="J70" s="40">
        <f t="shared" si="28"/>
        <v>165.5454004285923</v>
      </c>
      <c r="K70" s="40">
        <f t="shared" si="28"/>
        <v>163.10909826314008</v>
      </c>
      <c r="L70" s="40">
        <f t="shared" si="28"/>
        <v>160.68005685599189</v>
      </c>
      <c r="M70" s="40">
        <f t="shared" si="28"/>
        <v>158.24797811593115</v>
      </c>
      <c r="N70" s="40">
        <f t="shared" si="28"/>
        <v>155.83311817073783</v>
      </c>
      <c r="O70" s="40">
        <f t="shared" si="28"/>
        <v>153.39458475146961</v>
      </c>
      <c r="P70" s="40">
        <f t="shared" si="28"/>
        <v>150.932924037378</v>
      </c>
      <c r="Q70" s="40">
        <f t="shared" si="28"/>
        <v>148.47723629538825</v>
      </c>
      <c r="R70" s="40">
        <f t="shared" si="28"/>
        <v>146.0071407376027</v>
      </c>
      <c r="S70" s="40">
        <f t="shared" si="28"/>
        <v>143.40032651229703</v>
      </c>
      <c r="T70" s="40">
        <f t="shared" si="28"/>
        <v>140.8200632942085</v>
      </c>
      <c r="U70" s="40">
        <f t="shared" si="28"/>
        <v>138.28379684764752</v>
      </c>
      <c r="V70" s="40">
        <f t="shared" si="28"/>
        <v>135.80746208692526</v>
      </c>
      <c r="W70" s="40">
        <f t="shared" si="28"/>
        <v>133.38872897913424</v>
      </c>
      <c r="X70" s="40">
        <f t="shared" si="28"/>
        <v>131.07078387384527</v>
      </c>
      <c r="Y70" s="40">
        <f t="shared" si="28"/>
        <v>128.82295044741815</v>
      </c>
      <c r="Z70" s="40">
        <f t="shared" si="28"/>
        <v>126.64203976895837</v>
      </c>
      <c r="AA70" s="40">
        <f t="shared" si="28"/>
        <v>124.52498745646534</v>
      </c>
      <c r="AB70" s="40">
        <f t="shared" si="28"/>
        <v>122.48768478204515</v>
      </c>
    </row>
    <row r="71" spans="1:28" x14ac:dyDescent="0.25">
      <c r="A71" s="4" t="s">
        <v>332</v>
      </c>
      <c r="B71" s="40">
        <f t="shared" ref="B71:AB71" si="29">B58+B59</f>
        <v>31597.843144629467</v>
      </c>
      <c r="C71" s="40">
        <f t="shared" si="29"/>
        <v>32109.065606085809</v>
      </c>
      <c r="D71" s="40">
        <f t="shared" si="29"/>
        <v>32392.809201872878</v>
      </c>
      <c r="E71" s="40">
        <f t="shared" si="29"/>
        <v>32680.267903408327</v>
      </c>
      <c r="F71" s="40">
        <f t="shared" si="29"/>
        <v>32977.246989657011</v>
      </c>
      <c r="G71" s="40">
        <f t="shared" si="29"/>
        <v>33284.878790562288</v>
      </c>
      <c r="H71" s="40">
        <f t="shared" si="29"/>
        <v>33603.265153652887</v>
      </c>
      <c r="I71" s="40">
        <f t="shared" si="29"/>
        <v>33937.377985207102</v>
      </c>
      <c r="J71" s="40">
        <f t="shared" si="29"/>
        <v>34276.408874719134</v>
      </c>
      <c r="K71" s="40">
        <f t="shared" si="29"/>
        <v>34615.712108768203</v>
      </c>
      <c r="L71" s="40">
        <f t="shared" si="29"/>
        <v>34953.442267429687</v>
      </c>
      <c r="M71" s="40">
        <f t="shared" si="29"/>
        <v>35288.286113853217</v>
      </c>
      <c r="N71" s="40">
        <f t="shared" si="29"/>
        <v>35614.781321828399</v>
      </c>
      <c r="O71" s="40">
        <f t="shared" si="29"/>
        <v>35928.89607484782</v>
      </c>
      <c r="P71" s="40">
        <f t="shared" si="29"/>
        <v>36227.727161556453</v>
      </c>
      <c r="Q71" s="40">
        <f t="shared" si="29"/>
        <v>36506.231616661906</v>
      </c>
      <c r="R71" s="40">
        <f t="shared" si="29"/>
        <v>36760.56498784502</v>
      </c>
      <c r="S71" s="40">
        <f t="shared" si="29"/>
        <v>36949.283048745026</v>
      </c>
      <c r="T71" s="40">
        <f t="shared" si="29"/>
        <v>37108.50427451935</v>
      </c>
      <c r="U71" s="40">
        <f t="shared" si="29"/>
        <v>37237.941123753822</v>
      </c>
      <c r="V71" s="40">
        <f t="shared" si="29"/>
        <v>37329.361088952362</v>
      </c>
      <c r="W71" s="40">
        <f t="shared" si="29"/>
        <v>37380.625978937722</v>
      </c>
      <c r="X71" s="40">
        <f t="shared" si="29"/>
        <v>37392.247526398889</v>
      </c>
      <c r="Y71" s="40">
        <f t="shared" si="29"/>
        <v>37381.095280505484</v>
      </c>
      <c r="Z71" s="40">
        <f t="shared" si="29"/>
        <v>37332.626096782871</v>
      </c>
      <c r="AA71" s="40">
        <f t="shared" si="29"/>
        <v>37245.545829801544</v>
      </c>
      <c r="AB71" s="40">
        <f t="shared" si="29"/>
        <v>37122.315264239354</v>
      </c>
    </row>
    <row r="72" spans="1:28" x14ac:dyDescent="0.25">
      <c r="A72" s="4" t="s">
        <v>333</v>
      </c>
      <c r="B72" s="40">
        <f t="shared" ref="B72:AB72" si="30">B60+B61+B62+B63</f>
        <v>31917.114719386205</v>
      </c>
      <c r="C72" s="40">
        <f t="shared" si="30"/>
        <v>32431.918203787172</v>
      </c>
      <c r="D72" s="40">
        <f t="shared" si="30"/>
        <v>32716.593880513716</v>
      </c>
      <c r="E72" s="40">
        <f t="shared" si="30"/>
        <v>33004.415746897706</v>
      </c>
      <c r="F72" s="40">
        <f t="shared" si="30"/>
        <v>33301.456148127043</v>
      </c>
      <c r="G72" s="40">
        <f t="shared" si="30"/>
        <v>33608.655493702194</v>
      </c>
      <c r="H72" s="40">
        <f t="shared" si="30"/>
        <v>33926.240720529684</v>
      </c>
      <c r="I72" s="40">
        <f t="shared" si="30"/>
        <v>34259.212754520784</v>
      </c>
      <c r="J72" s="40">
        <f t="shared" si="30"/>
        <v>34596.734723830858</v>
      </c>
      <c r="K72" s="40">
        <f t="shared" si="30"/>
        <v>34933.958640242636</v>
      </c>
      <c r="L72" s="40">
        <f t="shared" si="30"/>
        <v>35269.077377253256</v>
      </c>
      <c r="M72" s="40">
        <f t="shared" si="30"/>
        <v>35600.767756067064</v>
      </c>
      <c r="N72" s="40">
        <f t="shared" si="30"/>
        <v>35923.542364709385</v>
      </c>
      <c r="O72" s="40">
        <f t="shared" si="30"/>
        <v>36233.382624833896</v>
      </c>
      <c r="P72" s="40">
        <f t="shared" si="30"/>
        <v>36527.241490492073</v>
      </c>
      <c r="Q72" s="40">
        <f t="shared" si="30"/>
        <v>36800.113277245458</v>
      </c>
      <c r="R72" s="40">
        <f t="shared" si="30"/>
        <v>37048.102583175605</v>
      </c>
      <c r="S72" s="40">
        <f t="shared" si="30"/>
        <v>37229.543478129111</v>
      </c>
      <c r="T72" s="40">
        <f t="shared" si="30"/>
        <v>37380.794289663521</v>
      </c>
      <c r="U72" s="40">
        <f t="shared" si="30"/>
        <v>37501.711789964742</v>
      </c>
      <c r="V72" s="40">
        <f t="shared" si="30"/>
        <v>37583.897499167404</v>
      </c>
      <c r="W72" s="40">
        <f t="shared" si="30"/>
        <v>37625.135581724659</v>
      </c>
      <c r="X72" s="40">
        <f t="shared" si="30"/>
        <v>37626.018782220781</v>
      </c>
      <c r="Y72" s="40">
        <f t="shared" si="30"/>
        <v>37603.788572320307</v>
      </c>
      <c r="Z72" s="40">
        <f t="shared" si="30"/>
        <v>37543.635938600113</v>
      </c>
      <c r="AA72" s="40">
        <f t="shared" si="30"/>
        <v>37444.239439278113</v>
      </c>
      <c r="AB72" s="40">
        <f t="shared" si="30"/>
        <v>37308.159598925908</v>
      </c>
    </row>
    <row r="73" spans="1:28" x14ac:dyDescent="0.25">
      <c r="A73" s="4" t="s">
        <v>334</v>
      </c>
      <c r="B73" s="40">
        <f t="shared" ref="B73:AB73" si="31">B64+B65</f>
        <v>31671.802806853</v>
      </c>
      <c r="C73" s="40">
        <f t="shared" si="31"/>
        <v>32183.737091456587</v>
      </c>
      <c r="D73" s="40">
        <f t="shared" si="31"/>
        <v>32467.617584565487</v>
      </c>
      <c r="E73" s="40">
        <f t="shared" si="31"/>
        <v>32755.116749796245</v>
      </c>
      <c r="F73" s="40">
        <f t="shared" si="31"/>
        <v>33052.032451122395</v>
      </c>
      <c r="G73" s="40">
        <f t="shared" si="31"/>
        <v>33359.49365448481</v>
      </c>
      <c r="H73" s="40">
        <f t="shared" si="31"/>
        <v>33677.560769670949</v>
      </c>
      <c r="I73" s="40">
        <f t="shared" si="31"/>
        <v>34011.220405091575</v>
      </c>
      <c r="J73" s="40">
        <f t="shared" si="31"/>
        <v>34349.637105210197</v>
      </c>
      <c r="K73" s="40">
        <f t="shared" si="31"/>
        <v>34688.176143488563</v>
      </c>
      <c r="L73" s="40">
        <f t="shared" si="31"/>
        <v>35024.965814348674</v>
      </c>
      <c r="M73" s="40">
        <f t="shared" si="31"/>
        <v>35358.713658099186</v>
      </c>
      <c r="N73" s="40">
        <f t="shared" si="31"/>
        <v>35683.940790489258</v>
      </c>
      <c r="O73" s="40">
        <f t="shared" si="31"/>
        <v>35996.64168941963</v>
      </c>
      <c r="P73" s="40">
        <f t="shared" si="31"/>
        <v>36293.891567972489</v>
      </c>
      <c r="Q73" s="40">
        <f t="shared" si="31"/>
        <v>36570.672337950949</v>
      </c>
      <c r="R73" s="40">
        <f t="shared" si="31"/>
        <v>36823.127067657515</v>
      </c>
      <c r="S73" s="40">
        <f t="shared" si="31"/>
        <v>37009.773427002016</v>
      </c>
      <c r="T73" s="40">
        <f t="shared" si="31"/>
        <v>37166.795581504317</v>
      </c>
      <c r="U73" s="40">
        <f t="shared" si="31"/>
        <v>37293.937243828244</v>
      </c>
      <c r="V73" s="40">
        <f t="shared" si="31"/>
        <v>37382.943703582183</v>
      </c>
      <c r="W73" s="40">
        <f t="shared" si="31"/>
        <v>37431.728002352516</v>
      </c>
      <c r="X73" s="40">
        <f t="shared" si="31"/>
        <v>37440.772599309959</v>
      </c>
      <c r="Y73" s="40">
        <f t="shared" si="31"/>
        <v>37427.015045463639</v>
      </c>
      <c r="Z73" s="40">
        <f t="shared" si="31"/>
        <v>37375.872568923282</v>
      </c>
      <c r="AA73" s="40">
        <f t="shared" si="31"/>
        <v>37286.105618461326</v>
      </c>
      <c r="AB73" s="40">
        <f t="shared" si="31"/>
        <v>37160.198318124378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101.74703466390599</v>
      </c>
      <c r="C2" s="37">
        <f>BDbDT_calcs!C48</f>
        <v>100.9054025549147</v>
      </c>
      <c r="D2" s="37">
        <f>BDbDT_calcs!D48</f>
        <v>99.369778956503822</v>
      </c>
      <c r="E2" s="37">
        <f>BDbDT_calcs!E48</f>
        <v>97.863817884840458</v>
      </c>
      <c r="F2" s="37">
        <f>BDbDT_calcs!F48</f>
        <v>96.366572737263539</v>
      </c>
      <c r="G2" s="37">
        <f>BDbDT_calcs!G48</f>
        <v>94.878152898982052</v>
      </c>
      <c r="H2" s="37">
        <f>BDbDT_calcs!H48</f>
        <v>93.399144414579212</v>
      </c>
      <c r="I2" s="37">
        <f>BDbDT_calcs!I48</f>
        <v>92.002874015639009</v>
      </c>
      <c r="J2" s="37">
        <f>BDbDT_calcs!J48</f>
        <v>90.565081034939951</v>
      </c>
      <c r="K2" s="37">
        <f>BDbDT_calcs!K48</f>
        <v>89.165068673819249</v>
      </c>
      <c r="L2" s="37">
        <f>BDbDT_calcs!L48</f>
        <v>87.73116765208222</v>
      </c>
      <c r="M2" s="37">
        <f>BDbDT_calcs!M48</f>
        <v>86.334626390328211</v>
      </c>
      <c r="N2" s="37">
        <f>BDbDT_calcs!N48</f>
        <v>84.984708345870914</v>
      </c>
      <c r="O2" s="37">
        <f>BDbDT_calcs!O48</f>
        <v>83.540881665096393</v>
      </c>
      <c r="P2" s="37">
        <f>BDbDT_calcs!P48</f>
        <v>82.153248547445742</v>
      </c>
      <c r="Q2" s="37">
        <f>BDbDT_calcs!Q48</f>
        <v>80.731684302493392</v>
      </c>
      <c r="R2" s="37">
        <f>BDbDT_calcs!R48</f>
        <v>79.32525869871354</v>
      </c>
      <c r="S2" s="37">
        <f>BDbDT_calcs!S48</f>
        <v>77.832144589261674</v>
      </c>
      <c r="T2" s="37">
        <f>BDbDT_calcs!T48</f>
        <v>76.364675167217598</v>
      </c>
      <c r="U2" s="37">
        <f>BDbDT_calcs!U48</f>
        <v>74.921497811565999</v>
      </c>
      <c r="V2" s="37">
        <f>BDbDT_calcs!V48</f>
        <v>73.501075122950951</v>
      </c>
      <c r="W2" s="37">
        <f>BDbDT_calcs!W48</f>
        <v>72.111353431977037</v>
      </c>
      <c r="X2" s="37">
        <f>BDbDT_calcs!X48</f>
        <v>70.816948689487944</v>
      </c>
      <c r="Y2" s="37">
        <f>BDbDT_calcs!Y48</f>
        <v>69.540166720658092</v>
      </c>
      <c r="Z2" s="37">
        <f>BDbDT_calcs!Z48</f>
        <v>68.326540984760243</v>
      </c>
      <c r="AA2" s="37">
        <f>BDbDT_calcs!AA48</f>
        <v>67.136797505097633</v>
      </c>
      <c r="AB2" s="37">
        <f>BDbDT_calcs!AB48</f>
        <v>65.960367939378841</v>
      </c>
    </row>
    <row r="3" spans="1:28" x14ac:dyDescent="0.25">
      <c r="A3" s="4" t="s">
        <v>216</v>
      </c>
      <c r="B3" s="37">
        <f>BDbDT_calcs!B49</f>
        <v>82.74697710584293</v>
      </c>
      <c r="C3" s="37">
        <f>BDbDT_calcs!C49</f>
        <v>82.234547879098258</v>
      </c>
      <c r="D3" s="37">
        <f>BDbDT_calcs!D49</f>
        <v>81.163837552738926</v>
      </c>
      <c r="E3" s="37">
        <f>BDbDT_calcs!E49</f>
        <v>80.103755596845332</v>
      </c>
      <c r="F3" s="37">
        <f>BDbDT_calcs!F49</f>
        <v>79.044015147778936</v>
      </c>
      <c r="G3" s="37">
        <f>BDbDT_calcs!G49</f>
        <v>78.00628979493743</v>
      </c>
      <c r="H3" s="37">
        <f>BDbDT_calcs!H49</f>
        <v>76.980173207115925</v>
      </c>
      <c r="I3" s="37">
        <f>BDbDT_calcs!I49</f>
        <v>75.941282784753611</v>
      </c>
      <c r="J3" s="37">
        <f>BDbDT_calcs!J49</f>
        <v>74.957474368838234</v>
      </c>
      <c r="K3" s="37">
        <f>BDbDT_calcs!K49</f>
        <v>73.931349603617051</v>
      </c>
      <c r="L3" s="37">
        <f>BDbDT_calcs!L49</f>
        <v>72.94665127905202</v>
      </c>
      <c r="M3" s="37">
        <f>BDbDT_calcs!M49</f>
        <v>71.920359031507857</v>
      </c>
      <c r="N3" s="37">
        <f>BDbDT_calcs!N49</f>
        <v>70.863417635660852</v>
      </c>
      <c r="O3" s="37">
        <f>BDbDT_calcs!O49</f>
        <v>69.87802154293901</v>
      </c>
      <c r="P3" s="37">
        <f>BDbDT_calcs!P49</f>
        <v>68.811091416866972</v>
      </c>
      <c r="Q3" s="37">
        <f>BDbDT_calcs!Q49</f>
        <v>67.784385056979431</v>
      </c>
      <c r="R3" s="37">
        <f>BDbDT_calcs!R49</f>
        <v>66.726813880888272</v>
      </c>
      <c r="S3" s="37">
        <f>BDbDT_calcs!S49</f>
        <v>65.619498848974658</v>
      </c>
      <c r="T3" s="37">
        <f>BDbDT_calcs!T49</f>
        <v>64.512192504052038</v>
      </c>
      <c r="U3" s="37">
        <f>BDbDT_calcs!U49</f>
        <v>63.423832945203102</v>
      </c>
      <c r="V3" s="37">
        <f>BDbDT_calcs!V49</f>
        <v>62.372721812766436</v>
      </c>
      <c r="W3" s="37">
        <f>BDbDT_calcs!W49</f>
        <v>61.347529733229536</v>
      </c>
      <c r="X3" s="37">
        <f>BDbDT_calcs!X49</f>
        <v>60.327537271161994</v>
      </c>
      <c r="Y3" s="37">
        <f>BDbDT_calcs!Y49</f>
        <v>59.360066481574201</v>
      </c>
      <c r="Z3" s="37">
        <f>BDbDT_calcs!Z49</f>
        <v>58.39562972502317</v>
      </c>
      <c r="AA3" s="37">
        <f>BDbDT_calcs!AA49</f>
        <v>57.471359437752653</v>
      </c>
      <c r="AB3" s="37">
        <f>BDbDT_calcs!AB49</f>
        <v>56.614181463015328</v>
      </c>
    </row>
    <row r="4" spans="1:28" x14ac:dyDescent="0.25">
      <c r="A4" s="4" t="s">
        <v>217</v>
      </c>
      <c r="B4" s="37">
        <f>BDbDT_calcs!B50</f>
        <v>110.73609274548008</v>
      </c>
      <c r="C4" s="37">
        <f>BDbDT_calcs!C50</f>
        <v>109.92530819684008</v>
      </c>
      <c r="D4" s="37">
        <f>BDbDT_calcs!D50</f>
        <v>108.38043663796567</v>
      </c>
      <c r="E4" s="37">
        <f>BDbDT_calcs!E50</f>
        <v>106.84385906645805</v>
      </c>
      <c r="F4" s="37">
        <f>BDbDT_calcs!F50</f>
        <v>105.32730676407893</v>
      </c>
      <c r="G4" s="37">
        <f>BDbDT_calcs!G50</f>
        <v>103.84159710666144</v>
      </c>
      <c r="H4" s="37">
        <f>BDbDT_calcs!H50</f>
        <v>102.34367371456051</v>
      </c>
      <c r="I4" s="37">
        <f>BDbDT_calcs!I50</f>
        <v>100.91148032423811</v>
      </c>
      <c r="J4" s="37">
        <f>BDbDT_calcs!J50</f>
        <v>99.457966637428484</v>
      </c>
      <c r="K4" s="37">
        <f>BDbDT_calcs!K50</f>
        <v>97.990679500441516</v>
      </c>
      <c r="L4" s="37">
        <f>BDbDT_calcs!L50</f>
        <v>96.499460423436375</v>
      </c>
      <c r="M4" s="37">
        <f>BDbDT_calcs!M50</f>
        <v>94.984776833396211</v>
      </c>
      <c r="N4" s="37">
        <f>BDbDT_calcs!N50</f>
        <v>93.446953208530999</v>
      </c>
      <c r="O4" s="37">
        <f>BDbDT_calcs!O50</f>
        <v>91.855184362205193</v>
      </c>
      <c r="P4" s="37">
        <f>BDbDT_calcs!P50</f>
        <v>90.251321893784137</v>
      </c>
      <c r="Q4" s="37">
        <f>BDbDT_calcs!Q50</f>
        <v>88.624827884845757</v>
      </c>
      <c r="R4" s="37">
        <f>BDbDT_calcs!R50</f>
        <v>86.975455918961686</v>
      </c>
      <c r="S4" s="37">
        <f>BDbDT_calcs!S50</f>
        <v>85.233938524360042</v>
      </c>
      <c r="T4" s="37">
        <f>BDbDT_calcs!T50</f>
        <v>83.521797740302233</v>
      </c>
      <c r="U4" s="37">
        <f>BDbDT_calcs!U50</f>
        <v>81.837500168877071</v>
      </c>
      <c r="V4" s="37">
        <f>BDbDT_calcs!V50</f>
        <v>80.189268437926529</v>
      </c>
      <c r="W4" s="37">
        <f>BDbDT_calcs!W50</f>
        <v>78.594956445448062</v>
      </c>
      <c r="X4" s="37">
        <f>BDbDT_calcs!X50</f>
        <v>77.062207920628012</v>
      </c>
      <c r="Y4" s="37">
        <f>BDbDT_calcs!Y50</f>
        <v>75.569587348987014</v>
      </c>
      <c r="Z4" s="37">
        <f>BDbDT_calcs!Z50</f>
        <v>74.125051129600436</v>
      </c>
      <c r="AA4" s="37">
        <f>BDbDT_calcs!AA50</f>
        <v>72.746104571909754</v>
      </c>
      <c r="AB4" s="37">
        <f>BDbDT_calcs!AB50</f>
        <v>71.411434833033994</v>
      </c>
    </row>
    <row r="5" spans="1:28" x14ac:dyDescent="0.25">
      <c r="A5" s="4" t="s">
        <v>218</v>
      </c>
      <c r="B5" s="37">
        <f>BDbDT_calcs!B51</f>
        <v>49.888710888531179</v>
      </c>
      <c r="C5" s="37">
        <f>BDbDT_calcs!C51</f>
        <v>49.180770171769325</v>
      </c>
      <c r="D5" s="37">
        <f>BDbDT_calcs!D51</f>
        <v>48.152853259147541</v>
      </c>
      <c r="E5" s="37">
        <f>BDbDT_calcs!E51</f>
        <v>47.122559817854032</v>
      </c>
      <c r="F5" s="37">
        <f>BDbDT_calcs!F51</f>
        <v>46.090281663405612</v>
      </c>
      <c r="G5" s="37">
        <f>BDbDT_calcs!G51</f>
        <v>45.076820432257094</v>
      </c>
      <c r="H5" s="37">
        <f>BDbDT_calcs!H51</f>
        <v>44.051241434526688</v>
      </c>
      <c r="I5" s="37">
        <f>BDbDT_calcs!I51</f>
        <v>43.064720202586322</v>
      </c>
      <c r="J5" s="37">
        <f>BDbDT_calcs!J51</f>
        <v>42.096791918632697</v>
      </c>
      <c r="K5" s="37">
        <f>BDbDT_calcs!K51</f>
        <v>41.145497245191365</v>
      </c>
      <c r="L5" s="37">
        <f>BDbDT_calcs!L51</f>
        <v>40.230497767055418</v>
      </c>
      <c r="M5" s="37">
        <f>BDbDT_calcs!M51</f>
        <v>39.360993051383502</v>
      </c>
      <c r="N5" s="37">
        <f>BDbDT_calcs!N51</f>
        <v>38.506362109266696</v>
      </c>
      <c r="O5" s="37">
        <f>BDbDT_calcs!O51</f>
        <v>37.695726379358092</v>
      </c>
      <c r="P5" s="37">
        <f>BDbDT_calcs!P51</f>
        <v>36.898814408061988</v>
      </c>
      <c r="Q5" s="37">
        <f>BDbDT_calcs!Q51</f>
        <v>36.134604526163713</v>
      </c>
      <c r="R5" s="37">
        <f>BDbDT_calcs!R51</f>
        <v>35.392603459471879</v>
      </c>
      <c r="S5" s="37">
        <f>BDbDT_calcs!S51</f>
        <v>34.626281195162782</v>
      </c>
      <c r="T5" s="37">
        <f>BDbDT_calcs!T51</f>
        <v>33.882168547102545</v>
      </c>
      <c r="U5" s="37">
        <f>BDbDT_calcs!U51</f>
        <v>33.149940443137638</v>
      </c>
      <c r="V5" s="37">
        <f>BDbDT_calcs!V51</f>
        <v>32.447770482436383</v>
      </c>
      <c r="W5" s="37">
        <f>BDbDT_calcs!W51</f>
        <v>31.746413552681524</v>
      </c>
      <c r="X5" s="37">
        <f>BDbDT_calcs!X51</f>
        <v>31.073355346611152</v>
      </c>
      <c r="Y5" s="37">
        <f>BDbDT_calcs!Y51</f>
        <v>30.43706903115477</v>
      </c>
      <c r="Z5" s="37">
        <f>BDbDT_calcs!Z51</f>
        <v>29.80877413563779</v>
      </c>
      <c r="AA5" s="37">
        <f>BDbDT_calcs!AA51</f>
        <v>29.206285970633768</v>
      </c>
      <c r="AB5" s="37">
        <f>BDbDT_calcs!AB51</f>
        <v>28.610503481218096</v>
      </c>
    </row>
    <row r="6" spans="1:28" x14ac:dyDescent="0.25">
      <c r="A6" s="4" t="s">
        <v>219</v>
      </c>
      <c r="B6" s="37">
        <f>BDbDT_calcs!B52</f>
        <v>7.9624892201154553</v>
      </c>
      <c r="C6" s="37">
        <f>BDbDT_calcs!C52</f>
        <v>7.9843764313633736</v>
      </c>
      <c r="D6" s="37">
        <f>BDbDT_calcs!D52</f>
        <v>7.9514643205645843</v>
      </c>
      <c r="E6" s="37">
        <f>BDbDT_calcs!E52</f>
        <v>7.9286831989525748</v>
      </c>
      <c r="F6" s="37">
        <f>BDbDT_calcs!F52</f>
        <v>7.9068612380601779</v>
      </c>
      <c r="G6" s="37">
        <f>BDbDT_calcs!G52</f>
        <v>7.8860264847292836</v>
      </c>
      <c r="H6" s="37">
        <f>BDbDT_calcs!H52</f>
        <v>7.8662495570777127</v>
      </c>
      <c r="I6" s="37">
        <f>BDbDT_calcs!I52</f>
        <v>7.8493996229960263</v>
      </c>
      <c r="J6" s="37">
        <f>BDbDT_calcs!J52</f>
        <v>7.8338094091438304</v>
      </c>
      <c r="K6" s="37">
        <f>BDbDT_calcs!K52</f>
        <v>7.8366899759615469</v>
      </c>
      <c r="L6" s="37">
        <f>BDbDT_calcs!L52</f>
        <v>7.8230103714700405</v>
      </c>
      <c r="M6" s="37">
        <f>BDbDT_calcs!M52</f>
        <v>7.8103730831974616</v>
      </c>
      <c r="N6" s="37">
        <f>BDbDT_calcs!N52</f>
        <v>7.7987892354534374</v>
      </c>
      <c r="O6" s="37">
        <f>BDbDT_calcs!O52</f>
        <v>7.7882706431795814</v>
      </c>
      <c r="P6" s="37">
        <f>BDbDT_calcs!P52</f>
        <v>7.7703367942742165</v>
      </c>
      <c r="Q6" s="37">
        <f>BDbDT_calcs!Q52</f>
        <v>7.7619863608899262</v>
      </c>
      <c r="R6" s="37">
        <f>BDbDT_calcs!R52</f>
        <v>7.7378821738506494</v>
      </c>
      <c r="S6" s="37">
        <f>BDbDT_calcs!S52</f>
        <v>7.7152272904940444</v>
      </c>
      <c r="T6" s="37">
        <f>BDbDT_calcs!T52</f>
        <v>7.7018816477654379</v>
      </c>
      <c r="U6" s="37">
        <f>BDbDT_calcs!U52</f>
        <v>7.6729010681536591</v>
      </c>
      <c r="V6" s="37">
        <f>BDbDT_calcs!V52</f>
        <v>7.6530594702351014</v>
      </c>
      <c r="W6" s="37">
        <f>BDbDT_calcs!W52</f>
        <v>7.6339570093044431</v>
      </c>
      <c r="X6" s="37">
        <f>BDbDT_calcs!X52</f>
        <v>7.6073805227988673</v>
      </c>
      <c r="Y6" s="37">
        <f>BDbDT_calcs!Y52</f>
        <v>7.5975623056198609</v>
      </c>
      <c r="Z6" s="37">
        <f>BDbDT_calcs!Z52</f>
        <v>7.5720801654594645</v>
      </c>
      <c r="AA6" s="37">
        <f>BDbDT_calcs!AA52</f>
        <v>7.547029729036935</v>
      </c>
      <c r="AB6" s="37">
        <f>BDbDT_calcs!AB52</f>
        <v>7.5223063572773041</v>
      </c>
    </row>
    <row r="7" spans="1:28" x14ac:dyDescent="0.25">
      <c r="A7" s="4" t="s">
        <v>220</v>
      </c>
      <c r="B7" s="37">
        <f>BDbDT_calcs!B53</f>
        <v>13.618925651902874</v>
      </c>
      <c r="C7" s="37">
        <f>BDbDT_calcs!C53</f>
        <v>13.725488926228911</v>
      </c>
      <c r="D7" s="37">
        <f>BDbDT_calcs!D53</f>
        <v>13.710586317529515</v>
      </c>
      <c r="E7" s="37">
        <f>BDbDT_calcs!E53</f>
        <v>13.714492382994788</v>
      </c>
      <c r="F7" s="37">
        <f>BDbDT_calcs!F53</f>
        <v>13.710654417073499</v>
      </c>
      <c r="G7" s="37">
        <f>BDbDT_calcs!G53</f>
        <v>13.690630532178588</v>
      </c>
      <c r="H7" s="37">
        <f>BDbDT_calcs!H53</f>
        <v>13.706784071590432</v>
      </c>
      <c r="I7" s="37">
        <f>BDbDT_calcs!I53</f>
        <v>13.693008546009546</v>
      </c>
      <c r="J7" s="37">
        <f>BDbDT_calcs!J53</f>
        <v>13.689755935443266</v>
      </c>
      <c r="K7" s="37">
        <f>BDbDT_calcs!K53</f>
        <v>13.66251438124792</v>
      </c>
      <c r="L7" s="37">
        <f>BDbDT_calcs!L53</f>
        <v>13.645501486972938</v>
      </c>
      <c r="M7" s="37">
        <f>BDbDT_calcs!M53</f>
        <v>13.605106232448714</v>
      </c>
      <c r="N7" s="37">
        <f>BDbDT_calcs!N53</f>
        <v>13.583410521983474</v>
      </c>
      <c r="O7" s="37">
        <f>BDbDT_calcs!O53</f>
        <v>13.54703672900207</v>
      </c>
      <c r="P7" s="37">
        <f>BDbDT_calcs!P53</f>
        <v>13.496264748774419</v>
      </c>
      <c r="Q7" s="37">
        <f>BDbDT_calcs!Q53</f>
        <v>13.431329409174177</v>
      </c>
      <c r="R7" s="37">
        <f>BDbDT_calcs!R53</f>
        <v>13.368716560139449</v>
      </c>
      <c r="S7" s="37">
        <f>BDbDT_calcs!S53</f>
        <v>13.286344727359785</v>
      </c>
      <c r="T7" s="37">
        <f>BDbDT_calcs!T53</f>
        <v>13.174083010423294</v>
      </c>
      <c r="U7" s="37">
        <f>BDbDT_calcs!U53</f>
        <v>13.08032661559562</v>
      </c>
      <c r="V7" s="37">
        <f>BDbDT_calcs!V53</f>
        <v>12.972800453141565</v>
      </c>
      <c r="W7" s="37">
        <f>BDbDT_calcs!W53</f>
        <v>12.867373016965724</v>
      </c>
      <c r="X7" s="37">
        <f>BDbDT_calcs!X53</f>
        <v>12.779547037071184</v>
      </c>
      <c r="Y7" s="37">
        <f>BDbDT_calcs!Y53</f>
        <v>12.669835141352788</v>
      </c>
      <c r="Z7" s="37">
        <f>BDbDT_calcs!Z53</f>
        <v>12.585069404109911</v>
      </c>
      <c r="AA7" s="37">
        <f>BDbDT_calcs!AA53</f>
        <v>12.478287387490035</v>
      </c>
      <c r="AB7" s="37">
        <f>BDbDT_calcs!AB53</f>
        <v>12.395818632362529</v>
      </c>
    </row>
    <row r="8" spans="1:28" x14ac:dyDescent="0.25">
      <c r="A8" s="4" t="s">
        <v>221</v>
      </c>
      <c r="B8" s="37">
        <f>BDbDT_calcs!B54</f>
        <v>41.339347400431521</v>
      </c>
      <c r="C8" s="37">
        <f>BDbDT_calcs!C54</f>
        <v>41.481122843517248</v>
      </c>
      <c r="D8" s="37">
        <f>BDbDT_calcs!D54</f>
        <v>41.359314040570652</v>
      </c>
      <c r="E8" s="37">
        <f>BDbDT_calcs!E54</f>
        <v>41.252707823596104</v>
      </c>
      <c r="F8" s="37">
        <f>BDbDT_calcs!F54</f>
        <v>41.182466194456786</v>
      </c>
      <c r="G8" s="37">
        <f>BDbDT_calcs!G54</f>
        <v>41.074975693112016</v>
      </c>
      <c r="H8" s="37">
        <f>BDbDT_calcs!H54</f>
        <v>40.962612742345385</v>
      </c>
      <c r="I8" s="37">
        <f>BDbDT_calcs!I54</f>
        <v>40.855320716383957</v>
      </c>
      <c r="J8" s="37">
        <f>BDbDT_calcs!J54</f>
        <v>40.734376964144424</v>
      </c>
      <c r="K8" s="37">
        <f>BDbDT_calcs!K54</f>
        <v>40.598794346384238</v>
      </c>
      <c r="L8" s="37">
        <f>BDbDT_calcs!L54</f>
        <v>40.438943674228263</v>
      </c>
      <c r="M8" s="37">
        <f>BDbDT_calcs!M54</f>
        <v>40.255434311572749</v>
      </c>
      <c r="N8" s="37">
        <f>BDbDT_calcs!N54</f>
        <v>40.04880534606459</v>
      </c>
      <c r="O8" s="37">
        <f>BDbDT_calcs!O54</f>
        <v>39.819566033823193</v>
      </c>
      <c r="P8" s="37">
        <f>BDbDT_calcs!P54</f>
        <v>39.538527675820355</v>
      </c>
      <c r="Q8" s="37">
        <f>BDbDT_calcs!Q54</f>
        <v>39.235946238717005</v>
      </c>
      <c r="R8" s="37">
        <f>BDbDT_calcs!R54</f>
        <v>38.882749926247449</v>
      </c>
      <c r="S8" s="37">
        <f>BDbDT_calcs!S54</f>
        <v>38.497568936564903</v>
      </c>
      <c r="T8" s="37">
        <f>BDbDT_calcs!T54</f>
        <v>38.082184817517678</v>
      </c>
      <c r="U8" s="37">
        <f>BDbDT_calcs!U54</f>
        <v>37.636785127719698</v>
      </c>
      <c r="V8" s="37">
        <f>BDbDT_calcs!V54</f>
        <v>37.199556787998482</v>
      </c>
      <c r="W8" s="37">
        <f>BDbDT_calcs!W54</f>
        <v>36.722413734362583</v>
      </c>
      <c r="X8" s="37">
        <f>BDbDT_calcs!X54</f>
        <v>36.299770630994558</v>
      </c>
      <c r="Y8" s="37">
        <f>BDbDT_calcs!Y54</f>
        <v>35.87411091585895</v>
      </c>
      <c r="Z8" s="37">
        <f>BDbDT_calcs!Z54</f>
        <v>35.454315943984128</v>
      </c>
      <c r="AA8" s="37">
        <f>BDbDT_calcs!AA54</f>
        <v>35.049076309934364</v>
      </c>
      <c r="AB8" s="37">
        <f>BDbDT_calcs!AB54</f>
        <v>34.666914023531703</v>
      </c>
    </row>
    <row r="9" spans="1:28" x14ac:dyDescent="0.25">
      <c r="A9" s="4" t="s">
        <v>222</v>
      </c>
      <c r="B9" s="37">
        <f>BDbDT_calcs!B55</f>
        <v>143.2699191259301</v>
      </c>
      <c r="C9" s="37">
        <f>BDbDT_calcs!C55</f>
        <v>141.76326054110643</v>
      </c>
      <c r="D9" s="37">
        <f>BDbDT_calcs!D55</f>
        <v>139.2667551207644</v>
      </c>
      <c r="E9" s="37">
        <f>BDbDT_calcs!E55</f>
        <v>136.79539834280871</v>
      </c>
      <c r="F9" s="37">
        <f>BDbDT_calcs!F55</f>
        <v>134.2961893594871</v>
      </c>
      <c r="G9" s="37">
        <f>BDbDT_calcs!G55</f>
        <v>131.86572988404015</v>
      </c>
      <c r="H9" s="37">
        <f>BDbDT_calcs!H55</f>
        <v>129.46130716292615</v>
      </c>
      <c r="I9" s="37">
        <f>BDbDT_calcs!I55</f>
        <v>127.12288915750918</v>
      </c>
      <c r="J9" s="37">
        <f>BDbDT_calcs!J55</f>
        <v>124.81102346444789</v>
      </c>
      <c r="K9" s="37">
        <f>BDbDT_calcs!K55</f>
        <v>122.51030391675584</v>
      </c>
      <c r="L9" s="37">
        <f>BDbDT_calcs!L55</f>
        <v>120.24111318176364</v>
      </c>
      <c r="M9" s="37">
        <f>BDbDT_calcs!M55</f>
        <v>117.99254380435839</v>
      </c>
      <c r="N9" s="37">
        <f>BDbDT_calcs!N55</f>
        <v>115.78431282467324</v>
      </c>
      <c r="O9" s="37">
        <f>BDbDT_calcs!O55</f>
        <v>113.57501871764642</v>
      </c>
      <c r="P9" s="37">
        <f>BDbDT_calcs!P55</f>
        <v>111.39439636155764</v>
      </c>
      <c r="Q9" s="37">
        <f>BDbDT_calcs!Q55</f>
        <v>109.24129005667123</v>
      </c>
      <c r="R9" s="37">
        <f>BDbDT_calcs!R55</f>
        <v>107.12439081135525</v>
      </c>
      <c r="S9" s="37">
        <f>BDbDT_calcs!S55</f>
        <v>104.90275757573212</v>
      </c>
      <c r="T9" s="37">
        <f>BDbDT_calcs!T55</f>
        <v>102.73787847669081</v>
      </c>
      <c r="U9" s="37">
        <f>BDbDT_calcs!U55</f>
        <v>100.64701171992782</v>
      </c>
      <c r="V9" s="37">
        <f>BDbDT_calcs!V55</f>
        <v>98.607905298926781</v>
      </c>
      <c r="W9" s="37">
        <f>BDbDT_calcs!W55</f>
        <v>96.666315244771667</v>
      </c>
      <c r="X9" s="37">
        <f>BDbDT_calcs!X55</f>
        <v>94.771013242850714</v>
      </c>
      <c r="Y9" s="37">
        <f>BDbDT_calcs!Y55</f>
        <v>92.948839531559202</v>
      </c>
      <c r="Z9" s="37">
        <f>BDbDT_calcs!Z55</f>
        <v>91.187723824974242</v>
      </c>
      <c r="AA9" s="37">
        <f>BDbDT_calcs!AA55</f>
        <v>89.475911146530976</v>
      </c>
      <c r="AB9" s="37">
        <f>BDbDT_calcs!AB55</f>
        <v>87.820770758513447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16134.413581581568</v>
      </c>
      <c r="C2" s="37">
        <f>BDbDT_calcs!C58</f>
        <v>16416.261048784425</v>
      </c>
      <c r="D2" s="37">
        <f>BDbDT_calcs!D58</f>
        <v>16581.061328320571</v>
      </c>
      <c r="E2" s="37">
        <f>BDbDT_calcs!E58</f>
        <v>16743.343519062895</v>
      </c>
      <c r="F2" s="37">
        <f>BDbDT_calcs!F58</f>
        <v>16904.568833197041</v>
      </c>
      <c r="G2" s="37">
        <f>BDbDT_calcs!G58</f>
        <v>17065.240196922288</v>
      </c>
      <c r="H2" s="37">
        <f>BDbDT_calcs!H58</f>
        <v>17224.195718621406</v>
      </c>
      <c r="I2" s="37">
        <f>BDbDT_calcs!I58</f>
        <v>17384.41531908821</v>
      </c>
      <c r="J2" s="37">
        <f>BDbDT_calcs!J58</f>
        <v>17539.694326387958</v>
      </c>
      <c r="K2" s="37">
        <f>BDbDT_calcs!K58</f>
        <v>17689.8083020175</v>
      </c>
      <c r="L2" s="37">
        <f>BDbDT_calcs!L58</f>
        <v>17833.351869905833</v>
      </c>
      <c r="M2" s="37">
        <f>BDbDT_calcs!M58</f>
        <v>17970.133270370548</v>
      </c>
      <c r="N2" s="37">
        <f>BDbDT_calcs!N58</f>
        <v>18098.432957482361</v>
      </c>
      <c r="O2" s="37">
        <f>BDbDT_calcs!O58</f>
        <v>18217.706312128823</v>
      </c>
      <c r="P2" s="37">
        <f>BDbDT_calcs!P58</f>
        <v>18325.767669945773</v>
      </c>
      <c r="Q2" s="37">
        <f>BDbDT_calcs!Q58</f>
        <v>18422.418009103159</v>
      </c>
      <c r="R2" s="37">
        <f>BDbDT_calcs!R58</f>
        <v>18505.047368573589</v>
      </c>
      <c r="S2" s="37">
        <f>BDbDT_calcs!S58</f>
        <v>18554.609913765544</v>
      </c>
      <c r="T2" s="37">
        <f>BDbDT_calcs!T58</f>
        <v>18589.51131979272</v>
      </c>
      <c r="U2" s="37">
        <f>BDbDT_calcs!U58</f>
        <v>18610.949045821751</v>
      </c>
      <c r="V2" s="37">
        <f>BDbDT_calcs!V58</f>
        <v>18614.652576817829</v>
      </c>
      <c r="W2" s="37">
        <f>BDbDT_calcs!W58</f>
        <v>18601.947978845645</v>
      </c>
      <c r="X2" s="37">
        <f>BDbDT_calcs!X58</f>
        <v>18572.026565146753</v>
      </c>
      <c r="Y2" s="37">
        <f>BDbDT_calcs!Y58</f>
        <v>18532.732290315613</v>
      </c>
      <c r="Z2" s="37">
        <f>BDbDT_calcs!Z58</f>
        <v>18477.430134165548</v>
      </c>
      <c r="AA2" s="37">
        <f>BDbDT_calcs!AA58</f>
        <v>18407.445276318558</v>
      </c>
      <c r="AB2" s="37">
        <f>BDbDT_calcs!AB58</f>
        <v>18324.611243146323</v>
      </c>
    </row>
    <row r="3" spans="1:28" x14ac:dyDescent="0.25">
      <c r="A3" s="4" t="s">
        <v>216</v>
      </c>
      <c r="B3" s="37">
        <f>BDbDT_calcs!B59</f>
        <v>15463.429563047899</v>
      </c>
      <c r="C3" s="37">
        <f>BDbDT_calcs!C59</f>
        <v>15692.804557301382</v>
      </c>
      <c r="D3" s="37">
        <f>BDbDT_calcs!D59</f>
        <v>15811.747873552307</v>
      </c>
      <c r="E3" s="37">
        <f>BDbDT_calcs!E59</f>
        <v>15936.92438434543</v>
      </c>
      <c r="F3" s="37">
        <f>BDbDT_calcs!F59</f>
        <v>16072.678156459973</v>
      </c>
      <c r="G3" s="37">
        <f>BDbDT_calcs!G59</f>
        <v>16219.63859364</v>
      </c>
      <c r="H3" s="37">
        <f>BDbDT_calcs!H59</f>
        <v>16379.069435031484</v>
      </c>
      <c r="I3" s="37">
        <f>BDbDT_calcs!I59</f>
        <v>16552.962666118889</v>
      </c>
      <c r="J3" s="37">
        <f>BDbDT_calcs!J59</f>
        <v>16736.714548331176</v>
      </c>
      <c r="K3" s="37">
        <f>BDbDT_calcs!K59</f>
        <v>16925.903806750706</v>
      </c>
      <c r="L3" s="37">
        <f>BDbDT_calcs!L59</f>
        <v>17120.090397523854</v>
      </c>
      <c r="M3" s="37">
        <f>BDbDT_calcs!M59</f>
        <v>17318.152843482669</v>
      </c>
      <c r="N3" s="37">
        <f>BDbDT_calcs!N59</f>
        <v>17516.348364346039</v>
      </c>
      <c r="O3" s="37">
        <f>BDbDT_calcs!O59</f>
        <v>17711.189762718997</v>
      </c>
      <c r="P3" s="37">
        <f>BDbDT_calcs!P59</f>
        <v>17901.95949161068</v>
      </c>
      <c r="Q3" s="37">
        <f>BDbDT_calcs!Q59</f>
        <v>18083.813607558746</v>
      </c>
      <c r="R3" s="37">
        <f>BDbDT_calcs!R59</f>
        <v>18255.517619271435</v>
      </c>
      <c r="S3" s="37">
        <f>BDbDT_calcs!S59</f>
        <v>18394.673134979483</v>
      </c>
      <c r="T3" s="37">
        <f>BDbDT_calcs!T59</f>
        <v>18518.992954726626</v>
      </c>
      <c r="U3" s="37">
        <f>BDbDT_calcs!U59</f>
        <v>18626.992077932071</v>
      </c>
      <c r="V3" s="37">
        <f>BDbDT_calcs!V59</f>
        <v>18714.708512134534</v>
      </c>
      <c r="W3" s="37">
        <f>BDbDT_calcs!W59</f>
        <v>18778.678000092081</v>
      </c>
      <c r="X3" s="37">
        <f>BDbDT_calcs!X59</f>
        <v>18820.220961252133</v>
      </c>
      <c r="Y3" s="37">
        <f>BDbDT_calcs!Y59</f>
        <v>18848.362990189868</v>
      </c>
      <c r="Z3" s="37">
        <f>BDbDT_calcs!Z59</f>
        <v>18855.195962617323</v>
      </c>
      <c r="AA3" s="37">
        <f>BDbDT_calcs!AA59</f>
        <v>18838.100553482989</v>
      </c>
      <c r="AB3" s="37">
        <f>BDbDT_calcs!AB59</f>
        <v>18797.704021093035</v>
      </c>
    </row>
    <row r="4" spans="1:28" x14ac:dyDescent="0.25">
      <c r="A4" s="4" t="s">
        <v>217</v>
      </c>
      <c r="B4" s="37">
        <f>BDbDT_calcs!B60</f>
        <v>26332.746300518451</v>
      </c>
      <c r="C4" s="37">
        <f>BDbDT_calcs!C60</f>
        <v>26753.718716459345</v>
      </c>
      <c r="D4" s="37">
        <f>BDbDT_calcs!D60</f>
        <v>26982.996844317764</v>
      </c>
      <c r="E4" s="37">
        <f>BDbDT_calcs!E60</f>
        <v>27212.864430357102</v>
      </c>
      <c r="F4" s="37">
        <f>BDbDT_calcs!F60</f>
        <v>27448.838365411149</v>
      </c>
      <c r="G4" s="37">
        <f>BDbDT_calcs!G60</f>
        <v>27690.910937966422</v>
      </c>
      <c r="H4" s="37">
        <f>BDbDT_calcs!H60</f>
        <v>27939.97441608517</v>
      </c>
      <c r="I4" s="37">
        <f>BDbDT_calcs!I60</f>
        <v>28199.631484314934</v>
      </c>
      <c r="J4" s="37">
        <f>BDbDT_calcs!J60</f>
        <v>28461.296698723527</v>
      </c>
      <c r="K4" s="37">
        <f>BDbDT_calcs!K60</f>
        <v>28719.939050869114</v>
      </c>
      <c r="L4" s="37">
        <f>BDbDT_calcs!L60</f>
        <v>28974.105368389854</v>
      </c>
      <c r="M4" s="37">
        <f>BDbDT_calcs!M60</f>
        <v>29222.762127497237</v>
      </c>
      <c r="N4" s="37">
        <f>BDbDT_calcs!N60</f>
        <v>29460.738627586034</v>
      </c>
      <c r="O4" s="37">
        <f>BDbDT_calcs!O60</f>
        <v>29685.305682227488</v>
      </c>
      <c r="P4" s="37">
        <f>BDbDT_calcs!P60</f>
        <v>29892.878182319084</v>
      </c>
      <c r="Q4" s="37">
        <f>BDbDT_calcs!Q60</f>
        <v>30079.72569515842</v>
      </c>
      <c r="R4" s="37">
        <f>BDbDT_calcs!R60</f>
        <v>30242.340572200879</v>
      </c>
      <c r="S4" s="37">
        <f>BDbDT_calcs!S60</f>
        <v>30346.736860070581</v>
      </c>
      <c r="T4" s="37">
        <f>BDbDT_calcs!T60</f>
        <v>30422.890353006256</v>
      </c>
      <c r="U4" s="37">
        <f>BDbDT_calcs!U60</f>
        <v>30471.139561350148</v>
      </c>
      <c r="V4" s="37">
        <f>BDbDT_calcs!V60</f>
        <v>30483.775725998727</v>
      </c>
      <c r="W4" s="37">
        <f>BDbDT_calcs!W60</f>
        <v>30458.989471118173</v>
      </c>
      <c r="X4" s="37">
        <f>BDbDT_calcs!X60</f>
        <v>30397.916615159615</v>
      </c>
      <c r="Y4" s="37">
        <f>BDbDT_calcs!Y60</f>
        <v>30316.469199193332</v>
      </c>
      <c r="Z4" s="37">
        <f>BDbDT_calcs!Z60</f>
        <v>30201.374183646996</v>
      </c>
      <c r="AA4" s="37">
        <f>BDbDT_calcs!AA60</f>
        <v>30051.197995947623</v>
      </c>
      <c r="AB4" s="37">
        <f>BDbDT_calcs!AB60</f>
        <v>29868.937440562295</v>
      </c>
    </row>
    <row r="5" spans="1:28" x14ac:dyDescent="0.25">
      <c r="A5" s="4" t="s">
        <v>218</v>
      </c>
      <c r="B5" s="37">
        <f>BDbDT_calcs!B61</f>
        <v>3856.9796354830564</v>
      </c>
      <c r="C5" s="37">
        <f>BDbDT_calcs!C61</f>
        <v>3912.295632819058</v>
      </c>
      <c r="D5" s="37">
        <f>BDbDT_calcs!D61</f>
        <v>3940.2634793852503</v>
      </c>
      <c r="E5" s="37">
        <f>BDbDT_calcs!E61</f>
        <v>3968.2360057974238</v>
      </c>
      <c r="F5" s="37">
        <f>BDbDT_calcs!F61</f>
        <v>3997.506102326251</v>
      </c>
      <c r="G5" s="37">
        <f>BDbDT_calcs!G61</f>
        <v>4028.1627523800166</v>
      </c>
      <c r="H5" s="37">
        <f>BDbDT_calcs!H61</f>
        <v>4060.0903293621809</v>
      </c>
      <c r="I5" s="37">
        <f>BDbDT_calcs!I61</f>
        <v>4094.3833757158945</v>
      </c>
      <c r="J5" s="37">
        <f>BDbDT_calcs!J61</f>
        <v>4129.875759977057</v>
      </c>
      <c r="K5" s="37">
        <f>BDbDT_calcs!K61</f>
        <v>4166.2939149822378</v>
      </c>
      <c r="L5" s="37">
        <f>BDbDT_calcs!L61</f>
        <v>4203.6364511024085</v>
      </c>
      <c r="M5" s="37">
        <f>BDbDT_calcs!M61</f>
        <v>4241.6819326080677</v>
      </c>
      <c r="N5" s="37">
        <f>BDbDT_calcs!N61</f>
        <v>4280.627219053813</v>
      </c>
      <c r="O5" s="37">
        <f>BDbDT_calcs!O61</f>
        <v>4319.3872357424598</v>
      </c>
      <c r="P5" s="37">
        <f>BDbDT_calcs!P61</f>
        <v>4358.4425680343502</v>
      </c>
      <c r="Q5" s="37">
        <f>BDbDT_calcs!Q61</f>
        <v>4396.911995284474</v>
      </c>
      <c r="R5" s="37">
        <f>BDbDT_calcs!R61</f>
        <v>4434.7019237105778</v>
      </c>
      <c r="S5" s="37">
        <f>BDbDT_calcs!S61</f>
        <v>4467.1653922222804</v>
      </c>
      <c r="T5" s="37">
        <f>BDbDT_calcs!T61</f>
        <v>4498.0204019600587</v>
      </c>
      <c r="U5" s="37">
        <f>BDbDT_calcs!U61</f>
        <v>4527.352373656644</v>
      </c>
      <c r="V5" s="37">
        <f>BDbDT_calcs!V61</f>
        <v>4554.6502663269894</v>
      </c>
      <c r="W5" s="37">
        <f>BDbDT_calcs!W61</f>
        <v>4579.0936714374775</v>
      </c>
      <c r="X5" s="37">
        <f>BDbDT_calcs!X61</f>
        <v>4600.4074562977103</v>
      </c>
      <c r="Y5" s="37">
        <f>BDbDT_calcs!Y61</f>
        <v>4619.7821907128427</v>
      </c>
      <c r="Z5" s="37">
        <f>BDbDT_calcs!Z61</f>
        <v>4635.9666306751578</v>
      </c>
      <c r="AA5" s="37">
        <f>BDbDT_calcs!AA61</f>
        <v>4648.9551415867563</v>
      </c>
      <c r="AB5" s="37">
        <f>BDbDT_calcs!AB61</f>
        <v>4658.3018479547491</v>
      </c>
    </row>
    <row r="6" spans="1:28" x14ac:dyDescent="0.25">
      <c r="A6" s="4" t="s">
        <v>219</v>
      </c>
      <c r="B6" s="37">
        <f>BDbDT_calcs!B62</f>
        <v>1126.8910556779658</v>
      </c>
      <c r="C6" s="37">
        <f>BDbDT_calcs!C62</f>
        <v>1152.5780061024338</v>
      </c>
      <c r="D6" s="37">
        <f>BDbDT_calcs!D62</f>
        <v>1170.965468882405</v>
      </c>
      <c r="E6" s="37">
        <f>BDbDT_calcs!E62</f>
        <v>1190.8590869921638</v>
      </c>
      <c r="F6" s="37">
        <f>BDbDT_calcs!F62</f>
        <v>1212.5781666432217</v>
      </c>
      <c r="G6" s="37">
        <f>BDbDT_calcs!G62</f>
        <v>1236.0696074630964</v>
      </c>
      <c r="H6" s="37">
        <f>BDbDT_calcs!H62</f>
        <v>1261.3883052494955</v>
      </c>
      <c r="I6" s="37">
        <f>BDbDT_calcs!I62</f>
        <v>1288.8147820671006</v>
      </c>
      <c r="J6" s="37">
        <f>BDbDT_calcs!J62</f>
        <v>1317.3812195605778</v>
      </c>
      <c r="K6" s="37">
        <f>BDbDT_calcs!K62</f>
        <v>1346.8098699155855</v>
      </c>
      <c r="L6" s="37">
        <f>BDbDT_calcs!L62</f>
        <v>1377.4315586693915</v>
      </c>
      <c r="M6" s="37">
        <f>BDbDT_calcs!M62</f>
        <v>1408.9654134693196</v>
      </c>
      <c r="N6" s="37">
        <f>BDbDT_calcs!N62</f>
        <v>1441.2231143326846</v>
      </c>
      <c r="O6" s="37">
        <f>BDbDT_calcs!O62</f>
        <v>1473.9451474513364</v>
      </c>
      <c r="P6" s="37">
        <f>BDbDT_calcs!P62</f>
        <v>1506.9957443663852</v>
      </c>
      <c r="Q6" s="37">
        <f>BDbDT_calcs!Q62</f>
        <v>1540.0877742426173</v>
      </c>
      <c r="R6" s="37">
        <f>BDbDT_calcs!R62</f>
        <v>1573.0812329548719</v>
      </c>
      <c r="S6" s="37">
        <f>BDbDT_calcs!S62</f>
        <v>1604.0332872318818</v>
      </c>
      <c r="T6" s="37">
        <f>BDbDT_calcs!T62</f>
        <v>1634.573077972798</v>
      </c>
      <c r="U6" s="37">
        <f>BDbDT_calcs!U62</f>
        <v>1664.3519646717068</v>
      </c>
      <c r="V6" s="37">
        <f>BDbDT_calcs!V62</f>
        <v>1693.4319633543453</v>
      </c>
      <c r="W6" s="37">
        <f>BDbDT_calcs!W62</f>
        <v>1721.7057961945063</v>
      </c>
      <c r="X6" s="37">
        <f>BDbDT_calcs!X62</f>
        <v>1749.3248477154659</v>
      </c>
      <c r="Y6" s="37">
        <f>BDbDT_calcs!Y62</f>
        <v>1776.177935535565</v>
      </c>
      <c r="Z6" s="37">
        <f>BDbDT_calcs!Z62</f>
        <v>1802.3233478274735</v>
      </c>
      <c r="AA6" s="37">
        <f>BDbDT_calcs!AA62</f>
        <v>1827.7439632586866</v>
      </c>
      <c r="AB6" s="37">
        <f>BDbDT_calcs!AB62</f>
        <v>1852.3104729125284</v>
      </c>
    </row>
    <row r="7" spans="1:28" x14ac:dyDescent="0.25">
      <c r="A7" s="4" t="s">
        <v>220</v>
      </c>
      <c r="B7" s="37">
        <f>BDbDT_calcs!B63</f>
        <v>600.49772770672917</v>
      </c>
      <c r="C7" s="37">
        <f>BDbDT_calcs!C63</f>
        <v>613.32584840633479</v>
      </c>
      <c r="D7" s="37">
        <f>BDbDT_calcs!D63</f>
        <v>622.36808792829788</v>
      </c>
      <c r="E7" s="37">
        <f>BDbDT_calcs!E63</f>
        <v>632.45622375101129</v>
      </c>
      <c r="F7" s="37">
        <f>BDbDT_calcs!F63</f>
        <v>642.53351374642079</v>
      </c>
      <c r="G7" s="37">
        <f>BDbDT_calcs!G63</f>
        <v>653.51219589266464</v>
      </c>
      <c r="H7" s="37">
        <f>BDbDT_calcs!H63</f>
        <v>664.78766983283685</v>
      </c>
      <c r="I7" s="37">
        <f>BDbDT_calcs!I63</f>
        <v>676.38311242285522</v>
      </c>
      <c r="J7" s="37">
        <f>BDbDT_calcs!J63</f>
        <v>688.18104556970036</v>
      </c>
      <c r="K7" s="37">
        <f>BDbDT_calcs!K63</f>
        <v>700.91580447569584</v>
      </c>
      <c r="L7" s="37">
        <f>BDbDT_calcs!L63</f>
        <v>713.90399909159953</v>
      </c>
      <c r="M7" s="37">
        <f>BDbDT_calcs!M63</f>
        <v>727.35828249243968</v>
      </c>
      <c r="N7" s="37">
        <f>BDbDT_calcs!N63</f>
        <v>740.95340373684735</v>
      </c>
      <c r="O7" s="37">
        <f>BDbDT_calcs!O63</f>
        <v>754.74455941261249</v>
      </c>
      <c r="P7" s="37">
        <f>BDbDT_calcs!P63</f>
        <v>768.92499577224794</v>
      </c>
      <c r="Q7" s="37">
        <f>BDbDT_calcs!Q63</f>
        <v>783.38781255995059</v>
      </c>
      <c r="R7" s="37">
        <f>BDbDT_calcs!R63</f>
        <v>797.97885430927363</v>
      </c>
      <c r="S7" s="37">
        <f>BDbDT_calcs!S63</f>
        <v>811.6079386043657</v>
      </c>
      <c r="T7" s="37">
        <f>BDbDT_calcs!T63</f>
        <v>825.31045672441167</v>
      </c>
      <c r="U7" s="37">
        <f>BDbDT_calcs!U63</f>
        <v>838.8678902862423</v>
      </c>
      <c r="V7" s="37">
        <f>BDbDT_calcs!V63</f>
        <v>852.03954348733953</v>
      </c>
      <c r="W7" s="37">
        <f>BDbDT_calcs!W63</f>
        <v>865.34664297450399</v>
      </c>
      <c r="X7" s="37">
        <f>BDbDT_calcs!X63</f>
        <v>878.36986304799416</v>
      </c>
      <c r="Y7" s="37">
        <f>BDbDT_calcs!Y63</f>
        <v>891.35924687856539</v>
      </c>
      <c r="Z7" s="37">
        <f>BDbDT_calcs!Z63</f>
        <v>903.97177645049123</v>
      </c>
      <c r="AA7" s="37">
        <f>BDbDT_calcs!AA63</f>
        <v>916.34233848504891</v>
      </c>
      <c r="AB7" s="37">
        <f>BDbDT_calcs!AB63</f>
        <v>928.60983749633931</v>
      </c>
    </row>
    <row r="8" spans="1:28" x14ac:dyDescent="0.25">
      <c r="A8" s="4" t="s">
        <v>221</v>
      </c>
      <c r="B8" s="37">
        <f>BDbDT_calcs!B64</f>
        <v>2691.6317082462692</v>
      </c>
      <c r="C8" s="37">
        <f>BDbDT_calcs!C64</f>
        <v>2784.5050646337068</v>
      </c>
      <c r="D8" s="37">
        <f>BDbDT_calcs!D64</f>
        <v>2859.3641686520659</v>
      </c>
      <c r="E8" s="37">
        <f>BDbDT_calcs!E64</f>
        <v>2935.5104832233023</v>
      </c>
      <c r="F8" s="37">
        <f>BDbDT_calcs!F64</f>
        <v>3012.9559198788747</v>
      </c>
      <c r="G8" s="37">
        <f>BDbDT_calcs!G64</f>
        <v>3092.0456537013129</v>
      </c>
      <c r="H8" s="37">
        <f>BDbDT_calcs!H64</f>
        <v>3173.7575234876008</v>
      </c>
      <c r="I8" s="37">
        <f>BDbDT_calcs!I64</f>
        <v>3258.8271801472001</v>
      </c>
      <c r="J8" s="37">
        <f>BDbDT_calcs!J64</f>
        <v>3345.6829043526973</v>
      </c>
      <c r="K8" s="37">
        <f>BDbDT_calcs!K64</f>
        <v>3435.0667348703287</v>
      </c>
      <c r="L8" s="37">
        <f>BDbDT_calcs!L64</f>
        <v>3527.5248272827935</v>
      </c>
      <c r="M8" s="37">
        <f>BDbDT_calcs!M64</f>
        <v>3622.1554550455749</v>
      </c>
      <c r="N8" s="37">
        <f>BDbDT_calcs!N64</f>
        <v>3719.8660373231346</v>
      </c>
      <c r="O8" s="37">
        <f>BDbDT_calcs!O64</f>
        <v>3819.9978897757892</v>
      </c>
      <c r="P8" s="37">
        <f>BDbDT_calcs!P64</f>
        <v>3922.3502852315878</v>
      </c>
      <c r="Q8" s="37">
        <f>BDbDT_calcs!Q64</f>
        <v>4027.0651948085374</v>
      </c>
      <c r="R8" s="37">
        <f>BDbDT_calcs!R64</f>
        <v>4133.3017566035878</v>
      </c>
      <c r="S8" s="37">
        <f>BDbDT_calcs!S64</f>
        <v>4236.5963079933499</v>
      </c>
      <c r="T8" s="37">
        <f>BDbDT_calcs!T64</f>
        <v>4341.021727252898</v>
      </c>
      <c r="U8" s="37">
        <f>BDbDT_calcs!U64</f>
        <v>4446.2624705699563</v>
      </c>
      <c r="V8" s="37">
        <f>BDbDT_calcs!V64</f>
        <v>4551.705727946116</v>
      </c>
      <c r="W8" s="37">
        <f>BDbDT_calcs!W64</f>
        <v>4656.7111631664757</v>
      </c>
      <c r="X8" s="37">
        <f>BDbDT_calcs!X64</f>
        <v>4761.8321969094231</v>
      </c>
      <c r="Y8" s="37">
        <f>BDbDT_calcs!Y64</f>
        <v>4866.099049748058</v>
      </c>
      <c r="Z8" s="37">
        <f>BDbDT_calcs!Z64</f>
        <v>4969.4417918055779</v>
      </c>
      <c r="AA8" s="37">
        <f>BDbDT_calcs!AA64</f>
        <v>5070.7452876036268</v>
      </c>
      <c r="AB8" s="37">
        <f>BDbDT_calcs!AB64</f>
        <v>5169.8811317514364</v>
      </c>
    </row>
    <row r="9" spans="1:28" x14ac:dyDescent="0.25">
      <c r="A9" s="4" t="s">
        <v>222</v>
      </c>
      <c r="B9" s="37">
        <f>BDbDT_calcs!B65</f>
        <v>28980.17109860673</v>
      </c>
      <c r="C9" s="37">
        <f>BDbDT_calcs!C65</f>
        <v>29399.23202682288</v>
      </c>
      <c r="D9" s="37">
        <f>BDbDT_calcs!D65</f>
        <v>29608.253415913419</v>
      </c>
      <c r="E9" s="37">
        <f>BDbDT_calcs!E65</f>
        <v>29819.606266572944</v>
      </c>
      <c r="F9" s="37">
        <f>BDbDT_calcs!F65</f>
        <v>30039.076531243521</v>
      </c>
      <c r="G9" s="37">
        <f>BDbDT_calcs!G65</f>
        <v>30267.448000783497</v>
      </c>
      <c r="H9" s="37">
        <f>BDbDT_calcs!H65</f>
        <v>30503.803246183346</v>
      </c>
      <c r="I9" s="37">
        <f>BDbDT_calcs!I65</f>
        <v>30752.393224944371</v>
      </c>
      <c r="J9" s="37">
        <f>BDbDT_calcs!J65</f>
        <v>31003.954200857501</v>
      </c>
      <c r="K9" s="37">
        <f>BDbDT_calcs!K65</f>
        <v>31253.109408618235</v>
      </c>
      <c r="L9" s="37">
        <f>BDbDT_calcs!L65</f>
        <v>31497.440987065878</v>
      </c>
      <c r="M9" s="37">
        <f>BDbDT_calcs!M65</f>
        <v>31736.55820305361</v>
      </c>
      <c r="N9" s="37">
        <f>BDbDT_calcs!N65</f>
        <v>31964.074753166125</v>
      </c>
      <c r="O9" s="37">
        <f>BDbDT_calcs!O65</f>
        <v>32176.643799643844</v>
      </c>
      <c r="P9" s="37">
        <f>BDbDT_calcs!P65</f>
        <v>32371.541282740902</v>
      </c>
      <c r="Q9" s="37">
        <f>BDbDT_calcs!Q65</f>
        <v>32543.60714314241</v>
      </c>
      <c r="R9" s="37">
        <f>BDbDT_calcs!R65</f>
        <v>32689.82531105393</v>
      </c>
      <c r="S9" s="37">
        <f>BDbDT_calcs!S65</f>
        <v>32773.177119008666</v>
      </c>
      <c r="T9" s="37">
        <f>BDbDT_calcs!T65</f>
        <v>32825.77385425142</v>
      </c>
      <c r="U9" s="37">
        <f>BDbDT_calcs!U65</f>
        <v>32847.674773258288</v>
      </c>
      <c r="V9" s="37">
        <f>BDbDT_calcs!V65</f>
        <v>32831.237975636068</v>
      </c>
      <c r="W9" s="37">
        <f>BDbDT_calcs!W65</f>
        <v>32775.016839186042</v>
      </c>
      <c r="X9" s="37">
        <f>BDbDT_calcs!X65</f>
        <v>32678.940402400538</v>
      </c>
      <c r="Y9" s="37">
        <f>BDbDT_calcs!Y65</f>
        <v>32560.915995715579</v>
      </c>
      <c r="Z9" s="37">
        <f>BDbDT_calcs!Z65</f>
        <v>32406.430777117701</v>
      </c>
      <c r="AA9" s="37">
        <f>BDbDT_calcs!AA65</f>
        <v>32215.3603308577</v>
      </c>
      <c r="AB9" s="37">
        <f>BDbDT_calcs!AB65</f>
        <v>31990.31718637294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2026-08-17T20:28:34Z</dcterms:modified>
</cp:coreProperties>
</file>