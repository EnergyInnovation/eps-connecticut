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CT\add-outputs\NoH\"/>
    </mc:Choice>
  </mc:AlternateContent>
  <xr:revisionPtr revIDLastSave="0" documentId="8_{3430C16D-E795-426C-9BA6-09E027C6D053}"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F2" i="3"/>
  <c r="AB2" i="3"/>
  <c r="G2" i="3"/>
  <c r="AD2" i="3"/>
  <c r="J2" i="3"/>
  <c r="U2" i="3"/>
  <c r="W2" i="3"/>
  <c r="D2" i="3"/>
  <c r="Z2" i="3"/>
  <c r="AC2" i="3"/>
  <c r="AE2" i="3"/>
  <c r="K2" i="3"/>
  <c r="L2" i="3"/>
  <c r="O2" i="3"/>
  <c r="E2" i="3"/>
  <c r="AA2" i="3"/>
  <c r="M2" i="3"/>
  <c r="B2" i="3"/>
  <c r="S2" i="3"/>
  <c r="H2" i="3"/>
  <c r="N2" i="3"/>
  <c r="P2" i="3"/>
  <c r="I2" i="3"/>
  <c r="R2" i="3"/>
  <c r="T2" i="3"/>
  <c r="V2" i="3"/>
  <c r="X2" i="3"/>
  <c r="Q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<sst xmlns="http://schemas.openxmlformats.org/spreadsheetml/2006/main" count="1069" uniqueCount="448">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</sst>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338</v>
      </c>
      <c r="C1" s="68">
        <v>46185</v>
      </c>
      <c r="H1" t="s">
        <v>324</v>
      </c>
      <c r="I1" t="s">
        <v>325</v>
      </c>
    </row>
    <row r="2" spans="1:9" x14ac:dyDescent="0.25">
      <c r="B2" t="str">
        <f>VLOOKUP(B1,H2:I52,2)</f>
        <v>CT</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1347290.4471139887</v>
      </c>
      <c r="C2">
        <f>SUMIFS('state calcs'!C62:C112,'state calcs'!$A$62:$A$112,About!$B$2)</f>
        <v>1361857.6430103506</v>
      </c>
      <c r="D2">
        <f>SUMIFS('state calcs'!D62:D112,'state calcs'!$A$62:$A$112,About!$B$2)</f>
        <v>1368282.8786205917</v>
      </c>
      <c r="E2">
        <f>SUMIFS('state calcs'!E62:E112,'state calcs'!$A$62:$A$112,About!$B$2)</f>
        <v>1374679.0819164251</v>
      </c>
      <c r="F2">
        <f>SUMIFS('state calcs'!F62:F112,'state calcs'!$A$62:$A$112,About!$B$2)</f>
        <v>1381309.960637053</v>
      </c>
      <c r="G2">
        <f>SUMIFS('state calcs'!G62:G112,'state calcs'!$A$62:$A$112,About!$B$2)</f>
        <v>1387852.139628981</v>
      </c>
      <c r="H2">
        <f>SUMIFS('state calcs'!H62:H112,'state calcs'!$A$62:$A$112,About!$B$2)</f>
        <v>1394405.6888034008</v>
      </c>
      <c r="I2">
        <f>SUMIFS('state calcs'!I62:I112,'state calcs'!$A$62:$A$112,About!$B$2)</f>
        <v>1400996.1380883271</v>
      </c>
      <c r="J2">
        <f>SUMIFS('state calcs'!J62:J112,'state calcs'!$A$62:$A$112,About!$B$2)</f>
        <v>1407437.2236463991</v>
      </c>
      <c r="K2">
        <f>SUMIFS('state calcs'!K62:K112,'state calcs'!$A$62:$A$112,About!$B$2)</f>
        <v>1413506.2768201318</v>
      </c>
      <c r="L2">
        <f>SUMIFS('state calcs'!L62:L112,'state calcs'!$A$62:$A$112,About!$B$2)</f>
        <v>1416402.8961676289</v>
      </c>
      <c r="M2">
        <f>SUMIFS('state calcs'!M62:M112,'state calcs'!$A$62:$A$112,About!$B$2)</f>
        <v>1419118.9872410926</v>
      </c>
      <c r="N2">
        <f>SUMIFS('state calcs'!N62:N112,'state calcs'!$A$62:$A$112,About!$B$2)</f>
        <v>1421488.8593100873</v>
      </c>
      <c r="O2">
        <f>SUMIFS('state calcs'!O62:O112,'state calcs'!$A$62:$A$112,About!$B$2)</f>
        <v>1423415.0468862008</v>
      </c>
      <c r="P2">
        <f>SUMIFS('state calcs'!P62:P112,'state calcs'!$A$62:$A$112,About!$B$2)</f>
        <v>1425109.4899114228</v>
      </c>
      <c r="Q2">
        <f>SUMIFS('state calcs'!Q62:Q112,'state calcs'!$A$62:$A$112,About!$B$2)</f>
        <v>1426740.4971554447</v>
      </c>
      <c r="R2">
        <f>SUMIFS('state calcs'!R62:R112,'state calcs'!$A$62:$A$112,About!$B$2)</f>
        <v>1428224.4388919454</v>
      </c>
      <c r="S2">
        <f>SUMIFS('state calcs'!S62:S112,'state calcs'!$A$62:$A$112,About!$B$2)</f>
        <v>1429587.0800052346</v>
      </c>
      <c r="T2">
        <f>SUMIFS('state calcs'!T62:T112,'state calcs'!$A$62:$A$112,About!$B$2)</f>
        <v>1430797.6646008906</v>
      </c>
      <c r="U2">
        <f>SUMIFS('state calcs'!U62:U112,'state calcs'!$A$62:$A$112,About!$B$2)</f>
        <v>1432052.147927928</v>
      </c>
      <c r="V2">
        <f>SUMIFS('state calcs'!V62:V112,'state calcs'!$A$62:$A$112,About!$B$2)</f>
        <v>1432974.7777686927</v>
      </c>
      <c r="W2">
        <f>SUMIFS('state calcs'!W62:W112,'state calcs'!$A$62:$A$112,About!$B$2)</f>
        <v>1433650.090529331</v>
      </c>
      <c r="X2">
        <f>SUMIFS('state calcs'!X62:X112,'state calcs'!$A$62:$A$112,About!$B$2)</f>
        <v>1434158.7126443693</v>
      </c>
      <c r="Y2">
        <f>SUMIFS('state calcs'!Y62:Y112,'state calcs'!$A$62:$A$112,About!$B$2)</f>
        <v>1434510.2339268122</v>
      </c>
      <c r="Z2">
        <f>SUMIFS('state calcs'!Z62:Z112,'state calcs'!$A$62:$A$112,About!$B$2)</f>
        <v>1434716.9394656473</v>
      </c>
      <c r="AA2">
        <f>SUMIFS('state calcs'!AA62:AA112,'state calcs'!$A$62:$A$112,About!$B$2)</f>
        <v>1434744.8878925163</v>
      </c>
      <c r="AB2">
        <f>SUMIFS('state calcs'!AB62:AB112,'state calcs'!$A$62:$A$112,About!$B$2)</f>
        <v>1434656.7891247156</v>
      </c>
      <c r="AC2">
        <f>SUMIFS('state calcs'!AC62:AC112,'state calcs'!$A$62:$A$112,About!$B$2)</f>
        <v>1434387.1728188996</v>
      </c>
      <c r="AD2">
        <f>SUMIFS('state calcs'!AD62:AD112,'state calcs'!$A$62:$A$112,About!$B$2)</f>
        <v>1433928.8928630217</v>
      </c>
      <c r="AE2">
        <f>SUMIFS('state calcs'!AE62:AE112,'state calcs'!$A$62:$A$112,About!$B$2)</f>
        <v>1433312.8069489955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2026-06-12T19:28:09Z</dcterms:modified>
</cp:coreProperties>
</file>