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trans\BAADTbVT\"/>
    </mc:Choice>
  </mc:AlternateContent>
  <xr:revisionPtr revIDLastSave="0" documentId="8_{1AF5E99F-B272-44F0-840F-B3A5EA911A86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<sst xmlns="http://schemas.openxmlformats.org/spreadsheetml/2006/main" count="55499" uniqueCount="1966">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</sst>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80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CT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9932000000000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35549000000000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174824000000000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154579325311653.13</v>
      </c>
      <c r="F21" s="26">
        <f t="shared" ref="F21" si="0">IFERROR(F101*F117*F132/F86,0)</f>
        <v>435419700873.40625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376592515558.16235</v>
      </c>
      <c r="F22" s="33">
        <f t="shared" si="1"/>
        <v>2467819037378.2778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6261741863696.3516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480061193726.73395</v>
      </c>
      <c r="G24" s="22"/>
    </row>
    <row r="25" spans="2:9">
      <c r="D25" s="21" t="s">
        <v>53</v>
      </c>
      <c r="E25" s="90">
        <f t="shared" si="1"/>
        <v>1538042013409.2517</v>
      </c>
      <c r="F25" s="90">
        <f t="shared" si="1"/>
        <v>374947272666.01532</v>
      </c>
      <c r="G25" s="22"/>
    </row>
    <row r="26" spans="2:9">
      <c r="D26" s="23" t="s">
        <v>43</v>
      </c>
      <c r="E26" s="28">
        <f t="shared" si="1"/>
        <v>502707419165.14038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4113653354204.9653</v>
      </c>
      <c r="F27" s="29">
        <f t="shared" si="1"/>
        <v>3662246207065.4912</v>
      </c>
      <c r="G27" s="20"/>
    </row>
    <row r="28" spans="2:9">
      <c r="D28" s="21" t="s">
        <v>50</v>
      </c>
      <c r="E28" s="33">
        <f t="shared" si="1"/>
        <v>359455840073.44733</v>
      </c>
      <c r="F28" s="33">
        <f t="shared" si="1"/>
        <v>46028308992579.125</v>
      </c>
      <c r="G28" s="22"/>
    </row>
    <row r="29" spans="2:9">
      <c r="D29" s="21" t="s">
        <v>73</v>
      </c>
      <c r="E29" s="33"/>
      <c r="F29" s="33"/>
      <c r="G29" s="22">
        <f t="shared" si="1"/>
        <v>2803754315109.7847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230167833712.23102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161469776454064.06</v>
      </c>
      <c r="F32" s="92">
        <f t="shared" ref="F32:G32" si="2">SUM(F21:F31)</f>
        <v>53678970238001.281</v>
      </c>
      <c r="G32" s="92">
        <f t="shared" si="2"/>
        <v>9065496178806.1367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0.95732668184890202</v>
      </c>
      <c r="F37" s="94">
        <f t="shared" ref="F37:G37" si="3">F21/F$32</f>
        <v>8.1115509284706237E-3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2.3322786705244356E-3</v>
      </c>
      <c r="F38" s="110">
        <f t="shared" ref="F38:G47" si="5">F22/F$32</f>
        <v>4.5973665784505298E-2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0.69072246462752129</v>
      </c>
    </row>
    <row r="40" spans="3:41">
      <c r="D40" s="21" t="s">
        <v>54</v>
      </c>
      <c r="E40" s="37">
        <f t="shared" si="4"/>
        <v>0</v>
      </c>
      <c r="F40" s="110">
        <f>F24/F$32</f>
        <v>8.9431893271842474E-3</v>
      </c>
      <c r="G40" s="96">
        <f t="shared" si="5"/>
        <v>0</v>
      </c>
    </row>
    <row r="41" spans="3:41">
      <c r="D41" s="21" t="s">
        <v>53</v>
      </c>
      <c r="E41" s="110">
        <f t="shared" si="4"/>
        <v>9.5252625425341041E-3</v>
      </c>
      <c r="F41" s="37">
        <f t="shared" si="5"/>
        <v>6.9849937695074596E-3</v>
      </c>
      <c r="G41" s="96">
        <f t="shared" si="5"/>
        <v>0</v>
      </c>
    </row>
    <row r="42" spans="3:41">
      <c r="D42" s="23" t="s">
        <v>43</v>
      </c>
      <c r="E42" s="113">
        <f t="shared" si="4"/>
        <v>3.1133220730515704E-3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2.5476305501514356E-2</v>
      </c>
      <c r="F43" s="94">
        <f t="shared" si="5"/>
        <v>6.8224971358948588E-2</v>
      </c>
      <c r="G43" s="95">
        <f t="shared" si="5"/>
        <v>0</v>
      </c>
    </row>
    <row r="44" spans="3:41">
      <c r="D44" s="21" t="s">
        <v>50</v>
      </c>
      <c r="E44" s="37">
        <f t="shared" si="4"/>
        <v>2.2261493634736502E-3</v>
      </c>
      <c r="F44" s="110">
        <f t="shared" si="5"/>
        <v>0.85747377023998916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0.3092775353724786</v>
      </c>
    </row>
    <row r="46" spans="3:41">
      <c r="D46" s="21" t="s">
        <v>55</v>
      </c>
      <c r="E46" s="37">
        <f t="shared" si="4"/>
        <v>0</v>
      </c>
      <c r="F46" s="110">
        <f t="shared" si="5"/>
        <v>4.287858591394641E-3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1</v>
      </c>
      <c r="F48" s="93">
        <f t="shared" ref="F48:G48" si="6">SUM(F37:F47)</f>
        <v>1</v>
      </c>
      <c r="G48" s="93">
        <f t="shared" si="6"/>
        <v>0.99999999999999989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167363679827552.44</v>
      </c>
      <c r="F53" s="89">
        <f>F37*$E$12</f>
        <v>288357523956.20221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407738286295.76392</v>
      </c>
      <c r="F54" s="100">
        <f t="shared" ref="F54:F62" si="8">F38*$E$12</f>
        <v>1634317844973.3789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6860255518680.541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317921437392.07281</v>
      </c>
      <c r="G56" s="101">
        <f t="shared" si="9"/>
        <v>0</v>
      </c>
    </row>
    <row r="57" spans="3:41">
      <c r="D57" s="21" t="s">
        <v>53</v>
      </c>
      <c r="E57" s="100">
        <f t="shared" si="7"/>
        <v>1665244498735.9822</v>
      </c>
      <c r="F57" s="100">
        <f t="shared" si="8"/>
        <v>248309543512.22067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544283418099.16772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4453869632996.7461</v>
      </c>
      <c r="F59" s="89">
        <f t="shared" si="8"/>
        <v>2425329506839.2632</v>
      </c>
      <c r="G59" s="99">
        <f t="shared" si="9"/>
        <v>0</v>
      </c>
    </row>
    <row r="60" spans="3:41">
      <c r="D60" s="21" t="s">
        <v>50</v>
      </c>
      <c r="E60" s="100">
        <f t="shared" si="7"/>
        <v>389184336319.91742</v>
      </c>
      <c r="F60" s="100">
        <f t="shared" si="8"/>
        <v>30482335058261.375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3071744481319.4575</v>
      </c>
    </row>
    <row r="62" spans="3:41">
      <c r="D62" s="21" t="s">
        <v>55</v>
      </c>
      <c r="E62" s="100">
        <f t="shared" si="7"/>
        <v>0</v>
      </c>
      <c r="F62" s="100">
        <f t="shared" si="8"/>
        <v>152429085065.4881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12293.023125381556</v>
      </c>
      <c r="F69" s="104">
        <f t="shared" si="10"/>
        <v>7519.2080662206999</v>
      </c>
      <c r="G69" s="105">
        <f t="shared" si="10"/>
        <v>0</v>
      </c>
    </row>
    <row r="70" spans="2:41">
      <c r="D70" s="21" t="s">
        <v>51</v>
      </c>
      <c r="E70" s="78">
        <f t="shared" si="10"/>
        <v>17714.122895399654</v>
      </c>
      <c r="F70" s="117">
        <f t="shared" si="10"/>
        <v>10835.103326707489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750477.37727864401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261966.32160884756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210.04460862462764</v>
      </c>
      <c r="F73" s="78">
        <f t="shared" si="10"/>
        <v>128.47686849100012</v>
      </c>
      <c r="G73" s="106">
        <f t="shared" si="10"/>
        <v>0</v>
      </c>
    </row>
    <row r="74" spans="2:41">
      <c r="D74" s="23" t="s">
        <v>43</v>
      </c>
      <c r="E74" s="119">
        <f t="shared" si="10"/>
        <v>9524.548567375512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10607.252735543696</v>
      </c>
      <c r="F75" s="104">
        <f t="shared" si="10"/>
        <v>6488.0818587955055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38105.773198679221</v>
      </c>
      <c r="F76" s="117">
        <f t="shared" si="10"/>
        <v>23307.955600725516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974434.1840496303</v>
      </c>
    </row>
    <row r="78" spans="2:41">
      <c r="D78" s="21" t="s">
        <v>55</v>
      </c>
      <c r="E78" s="78">
        <f t="shared" si="10"/>
        <v>0</v>
      </c>
      <c r="F78" s="117">
        <f t="shared" si="10"/>
        <v>11261.593549945654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2511880</v>
      </c>
      <c r="F101" s="76">
        <f>SUMIFS('all_csv_SYVbT-passenger'!F:F,'all_csv_SYVbT-passenger'!$B:$B,$D101,'all_csv_SYVbT-passenger'!$A:$A,About!$B$2)</f>
        <v>8027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925</v>
      </c>
      <c r="F102" s="78">
        <f>SUMIFS('all_csv_SYVbT-passenger'!F:F,'all_csv_SYVbT-passenger'!$B:$B,$D102,'all_csv_SYVbT-passenger'!$A:$A,About!$B$2)</f>
        <v>7352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25</v>
      </c>
      <c r="G103" s="79">
        <f>F103</f>
        <v>25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4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94125</v>
      </c>
      <c r="F105" s="78">
        <f>SUMIFS('all_csv_SYVbT-passenger'!F:F,'all_csv_SYVbT-passenger'!$B:$B,$D105,'all_csv_SYVbT-passenger'!$A:$A,About!$B$2)</f>
        <v>22946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81996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39185</v>
      </c>
      <c r="F107" s="194">
        <f>SUMIFS('all_csv_SYVbT-freight'!F:F,'all_csv_SYVbT-freight'!$B:$B,$D107,'all_csv_SYVbT-freight'!$A:$A,About!$B$2)</f>
        <v>33490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429</v>
      </c>
      <c r="F108" s="197">
        <f>SUMIFS('all_csv_SYVbT-freight'!F:F,'all_csv_SYVbT-freight'!$B:$B,$D108,'all_csv_SYVbT-freight'!$A:$A,About!$B$2)</f>
        <v>61352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7</v>
      </c>
      <c r="G109" s="198">
        <f>F109</f>
        <v>7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13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167363679827552.44</v>
      </c>
      <c r="F149" s="26">
        <f t="shared" si="18"/>
        <v>288357523956.20221</v>
      </c>
      <c r="G149" s="20"/>
    </row>
    <row r="150" spans="2:7">
      <c r="D150" s="21" t="s">
        <v>51</v>
      </c>
      <c r="E150" s="33">
        <f t="shared" si="18"/>
        <v>407738286295.76398</v>
      </c>
      <c r="F150" s="33">
        <f t="shared" si="18"/>
        <v>1634317844973.3789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6860255518680.541</v>
      </c>
    </row>
    <row r="152" spans="2:7">
      <c r="D152" s="21" t="s">
        <v>54</v>
      </c>
      <c r="E152" s="33">
        <f t="shared" si="18"/>
        <v>0</v>
      </c>
      <c r="F152" s="33">
        <f>F120*F104*F72/F89</f>
        <v>317921437392.07281</v>
      </c>
      <c r="G152" s="22"/>
    </row>
    <row r="153" spans="2:7">
      <c r="D153" s="21" t="s">
        <v>53</v>
      </c>
      <c r="E153" s="90">
        <f t="shared" si="18"/>
        <v>1665244498735.9822</v>
      </c>
      <c r="F153" s="90">
        <f t="shared" si="18"/>
        <v>248309543512.22067</v>
      </c>
      <c r="G153" s="22"/>
    </row>
    <row r="154" spans="2:7">
      <c r="D154" s="23" t="s">
        <v>43</v>
      </c>
      <c r="E154" s="28">
        <f t="shared" si="18"/>
        <v>544283418099.16779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4453869632996.7461</v>
      </c>
      <c r="F155" s="29">
        <f t="shared" si="18"/>
        <v>2425329506839.2632</v>
      </c>
      <c r="G155" s="20"/>
    </row>
    <row r="156" spans="2:7">
      <c r="D156" s="21" t="s">
        <v>50</v>
      </c>
      <c r="E156" s="33">
        <f t="shared" si="18"/>
        <v>389184336319.91742</v>
      </c>
      <c r="F156" s="33">
        <f t="shared" si="18"/>
        <v>30482335058261.375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3071744481319.4575</v>
      </c>
    </row>
    <row r="158" spans="2:7">
      <c r="D158" s="21" t="s">
        <v>55</v>
      </c>
      <c r="E158" s="33">
        <f t="shared" si="18"/>
        <v>0</v>
      </c>
      <c r="F158" s="33">
        <f t="shared" si="18"/>
        <v>152429085065.48807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174823999999999.97</v>
      </c>
      <c r="F160" s="92">
        <f>SUM(F149:F159)</f>
        <v>35549000000000</v>
      </c>
      <c r="G160" s="92">
        <f t="shared" ref="G160" si="19">SUM(G149:G159)</f>
        <v>9931999999999.998</v>
      </c>
    </row>
    <row r="161" spans="5:7">
      <c r="E161" s="37">
        <f>E160/E13</f>
        <v>0.99999999999999978</v>
      </c>
      <c r="F161" s="37">
        <f>F160/SUM(E12,E14)</f>
        <v>1</v>
      </c>
      <c r="G161" s="37">
        <f>G160/E11</f>
        <v>0.99999999999999978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12293.023125381556</v>
      </c>
    </row>
    <row r="3" spans="1:2">
      <c r="A3" t="s">
        <v>39</v>
      </c>
      <c r="B3" s="8">
        <f>'BAADTbVT-passengers'!D3</f>
        <v>10835.103326707489</v>
      </c>
    </row>
    <row r="4" spans="1:2">
      <c r="A4" t="s">
        <v>40</v>
      </c>
      <c r="B4" s="8">
        <f>'BAADTbVT-passengers'!D4</f>
        <v>750477.37727864401</v>
      </c>
    </row>
    <row r="5" spans="1:2">
      <c r="A5" t="s">
        <v>41</v>
      </c>
      <c r="B5" s="8">
        <f>SUMIFS('psgr rail calcs'!M:M,'psgr rail calcs'!C:C,About!B2)</f>
        <v>343409.4</v>
      </c>
    </row>
    <row r="6" spans="1:2">
      <c r="A6" t="s">
        <v>42</v>
      </c>
      <c r="B6" s="8">
        <f>'BAADTbVT-passengers'!D6</f>
        <v>210.04460862462764</v>
      </c>
    </row>
    <row r="7" spans="1:2">
      <c r="A7" t="s">
        <v>43</v>
      </c>
      <c r="B7" s="8">
        <f>'BAADTbVT-passengers'!D7</f>
        <v>9524.548567375512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10607.252735543696</v>
      </c>
    </row>
    <row r="3" spans="1:2">
      <c r="A3" t="s">
        <v>39</v>
      </c>
      <c r="B3">
        <f>'BAADTbVT-freight'!D3</f>
        <v>23307.955600725516</v>
      </c>
    </row>
    <row r="4" spans="1:2">
      <c r="A4" t="s">
        <v>40</v>
      </c>
      <c r="B4">
        <f>'BAADTbVT-freight'!D4</f>
        <v>974434.1840496303</v>
      </c>
    </row>
    <row r="5" spans="1:2">
      <c r="A5" t="s">
        <v>41</v>
      </c>
      <c r="B5">
        <f>'BAADTbVT-freight'!D5</f>
        <v>11261.593549945654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12293.023125381556</v>
      </c>
      <c r="C2" s="8">
        <f t="shared" ref="C2:L3" si="0">$B2</f>
        <v>12293.023125381556</v>
      </c>
      <c r="D2" s="8">
        <f t="shared" si="0"/>
        <v>12293.023125381556</v>
      </c>
      <c r="E2" s="8">
        <f t="shared" si="0"/>
        <v>12293.023125381556</v>
      </c>
      <c r="F2" s="8">
        <f t="shared" si="0"/>
        <v>12293.023125381556</v>
      </c>
      <c r="G2" s="8">
        <f t="shared" si="0"/>
        <v>12293.023125381556</v>
      </c>
      <c r="H2" s="8">
        <f t="shared" si="0"/>
        <v>12293.023125381556</v>
      </c>
      <c r="I2" s="8">
        <f t="shared" si="0"/>
        <v>12293.023125381556</v>
      </c>
      <c r="J2" s="8">
        <f t="shared" si="0"/>
        <v>12293.023125381556</v>
      </c>
      <c r="K2" s="8">
        <f t="shared" si="0"/>
        <v>12293.023125381556</v>
      </c>
      <c r="L2" s="8">
        <f t="shared" si="0"/>
        <v>12293.023125381556</v>
      </c>
      <c r="M2" s="8">
        <f t="shared" ref="M2:V3" si="1">$B2</f>
        <v>12293.023125381556</v>
      </c>
      <c r="N2" s="8">
        <f t="shared" si="1"/>
        <v>12293.023125381556</v>
      </c>
      <c r="O2" s="8">
        <f t="shared" si="1"/>
        <v>12293.023125381556</v>
      </c>
      <c r="P2" s="8">
        <f t="shared" si="1"/>
        <v>12293.023125381556</v>
      </c>
      <c r="Q2" s="8">
        <f t="shared" si="1"/>
        <v>12293.023125381556</v>
      </c>
      <c r="R2" s="8">
        <f t="shared" si="1"/>
        <v>12293.023125381556</v>
      </c>
      <c r="S2" s="8">
        <f t="shared" si="1"/>
        <v>12293.023125381556</v>
      </c>
      <c r="T2" s="8">
        <f t="shared" si="1"/>
        <v>12293.023125381556</v>
      </c>
      <c r="U2" s="8">
        <f t="shared" si="1"/>
        <v>12293.023125381556</v>
      </c>
      <c r="V2" s="8">
        <f t="shared" si="1"/>
        <v>12293.023125381556</v>
      </c>
      <c r="W2" s="8">
        <f t="shared" ref="W2:AB3" si="2">$B2</f>
        <v>12293.023125381556</v>
      </c>
      <c r="X2" s="8">
        <f t="shared" si="2"/>
        <v>12293.023125381556</v>
      </c>
      <c r="Y2" s="8">
        <f t="shared" si="2"/>
        <v>12293.023125381556</v>
      </c>
      <c r="Z2" s="8">
        <f t="shared" si="2"/>
        <v>12293.023125381556</v>
      </c>
      <c r="AA2" s="8">
        <f t="shared" si="2"/>
        <v>12293.023125381556</v>
      </c>
      <c r="AB2" s="8">
        <f t="shared" si="2"/>
        <v>12293.023125381556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10835.103326707489</v>
      </c>
      <c r="C3" s="8">
        <f t="shared" si="0"/>
        <v>10835.103326707489</v>
      </c>
      <c r="D3" s="8">
        <f t="shared" si="0"/>
        <v>10835.103326707489</v>
      </c>
      <c r="E3" s="8">
        <f t="shared" si="0"/>
        <v>10835.103326707489</v>
      </c>
      <c r="F3" s="8">
        <f t="shared" si="0"/>
        <v>10835.103326707489</v>
      </c>
      <c r="G3" s="8">
        <f t="shared" si="0"/>
        <v>10835.103326707489</v>
      </c>
      <c r="H3" s="8">
        <f t="shared" si="0"/>
        <v>10835.103326707489</v>
      </c>
      <c r="I3" s="8">
        <f t="shared" si="0"/>
        <v>10835.103326707489</v>
      </c>
      <c r="J3" s="8">
        <f t="shared" si="0"/>
        <v>10835.103326707489</v>
      </c>
      <c r="K3" s="8">
        <f t="shared" si="0"/>
        <v>10835.103326707489</v>
      </c>
      <c r="L3" s="8">
        <f t="shared" si="0"/>
        <v>10835.103326707489</v>
      </c>
      <c r="M3" s="8">
        <f t="shared" si="1"/>
        <v>10835.103326707489</v>
      </c>
      <c r="N3" s="8">
        <f t="shared" si="1"/>
        <v>10835.103326707489</v>
      </c>
      <c r="O3" s="8">
        <f t="shared" si="1"/>
        <v>10835.103326707489</v>
      </c>
      <c r="P3" s="8">
        <f t="shared" si="1"/>
        <v>10835.103326707489</v>
      </c>
      <c r="Q3" s="8">
        <f t="shared" si="1"/>
        <v>10835.103326707489</v>
      </c>
      <c r="R3" s="8">
        <f t="shared" si="1"/>
        <v>10835.103326707489</v>
      </c>
      <c r="S3" s="8">
        <f t="shared" si="1"/>
        <v>10835.103326707489</v>
      </c>
      <c r="T3" s="8">
        <f t="shared" si="1"/>
        <v>10835.103326707489</v>
      </c>
      <c r="U3" s="8">
        <f t="shared" si="1"/>
        <v>10835.103326707489</v>
      </c>
      <c r="V3" s="8">
        <f t="shared" si="1"/>
        <v>10835.103326707489</v>
      </c>
      <c r="W3" s="8">
        <f t="shared" si="2"/>
        <v>10835.103326707489</v>
      </c>
      <c r="X3" s="8">
        <f t="shared" si="2"/>
        <v>10835.103326707489</v>
      </c>
      <c r="Y3" s="8">
        <f t="shared" si="2"/>
        <v>10835.103326707489</v>
      </c>
      <c r="Z3" s="8">
        <f t="shared" si="2"/>
        <v>10835.103326707489</v>
      </c>
      <c r="AA3" s="8">
        <f t="shared" si="2"/>
        <v>10835.103326707489</v>
      </c>
      <c r="AB3" s="8">
        <f t="shared" si="2"/>
        <v>10835.103326707489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750477.37727864401</v>
      </c>
      <c r="C4" s="8">
        <f t="shared" ref="C4:AB4" si="3">$B$4</f>
        <v>750477.37727864401</v>
      </c>
      <c r="D4" s="8">
        <f t="shared" si="3"/>
        <v>750477.37727864401</v>
      </c>
      <c r="E4" s="8">
        <f t="shared" si="3"/>
        <v>750477.37727864401</v>
      </c>
      <c r="F4" s="8">
        <f t="shared" si="3"/>
        <v>750477.37727864401</v>
      </c>
      <c r="G4" s="8">
        <f t="shared" si="3"/>
        <v>750477.37727864401</v>
      </c>
      <c r="H4" s="8">
        <f t="shared" si="3"/>
        <v>750477.37727864401</v>
      </c>
      <c r="I4" s="8">
        <f t="shared" si="3"/>
        <v>750477.37727864401</v>
      </c>
      <c r="J4" s="8">
        <f t="shared" si="3"/>
        <v>750477.37727864401</v>
      </c>
      <c r="K4" s="8">
        <f t="shared" si="3"/>
        <v>750477.37727864401</v>
      </c>
      <c r="L4" s="8">
        <f t="shared" si="3"/>
        <v>750477.37727864401</v>
      </c>
      <c r="M4" s="8">
        <f t="shared" si="3"/>
        <v>750477.37727864401</v>
      </c>
      <c r="N4" s="8">
        <f t="shared" si="3"/>
        <v>750477.37727864401</v>
      </c>
      <c r="O4" s="8">
        <f t="shared" si="3"/>
        <v>750477.37727864401</v>
      </c>
      <c r="P4" s="8">
        <f t="shared" si="3"/>
        <v>750477.37727864401</v>
      </c>
      <c r="Q4" s="8">
        <f t="shared" si="3"/>
        <v>750477.37727864401</v>
      </c>
      <c r="R4" s="8">
        <f t="shared" si="3"/>
        <v>750477.37727864401</v>
      </c>
      <c r="S4" s="8">
        <f t="shared" si="3"/>
        <v>750477.37727864401</v>
      </c>
      <c r="T4" s="8">
        <f t="shared" si="3"/>
        <v>750477.37727864401</v>
      </c>
      <c r="U4" s="8">
        <f t="shared" si="3"/>
        <v>750477.37727864401</v>
      </c>
      <c r="V4" s="8">
        <f t="shared" si="3"/>
        <v>750477.37727864401</v>
      </c>
      <c r="W4" s="8">
        <f t="shared" si="3"/>
        <v>750477.37727864401</v>
      </c>
      <c r="X4" s="8">
        <f t="shared" si="3"/>
        <v>750477.37727864401</v>
      </c>
      <c r="Y4" s="8">
        <f t="shared" si="3"/>
        <v>750477.37727864401</v>
      </c>
      <c r="Z4" s="8">
        <f t="shared" si="3"/>
        <v>750477.37727864401</v>
      </c>
      <c r="AA4" s="8">
        <f t="shared" si="3"/>
        <v>750477.37727864401</v>
      </c>
      <c r="AB4" s="8">
        <f t="shared" si="3"/>
        <v>750477.37727864401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343409.4</v>
      </c>
      <c r="C5" s="8">
        <f t="shared" ref="C5:L7" si="4">$B5</f>
        <v>343409.4</v>
      </c>
      <c r="D5" s="8">
        <f t="shared" si="4"/>
        <v>343409.4</v>
      </c>
      <c r="E5" s="8">
        <f t="shared" si="4"/>
        <v>343409.4</v>
      </c>
      <c r="F5" s="8">
        <f t="shared" si="4"/>
        <v>343409.4</v>
      </c>
      <c r="G5" s="8">
        <f t="shared" si="4"/>
        <v>343409.4</v>
      </c>
      <c r="H5" s="8">
        <f t="shared" si="4"/>
        <v>343409.4</v>
      </c>
      <c r="I5" s="8">
        <f t="shared" si="4"/>
        <v>343409.4</v>
      </c>
      <c r="J5" s="8">
        <f t="shared" si="4"/>
        <v>343409.4</v>
      </c>
      <c r="K5" s="8">
        <f t="shared" si="4"/>
        <v>343409.4</v>
      </c>
      <c r="L5" s="8">
        <f t="shared" si="4"/>
        <v>343409.4</v>
      </c>
      <c r="M5" s="8">
        <f t="shared" ref="M5:V7" si="5">$B5</f>
        <v>343409.4</v>
      </c>
      <c r="N5" s="8">
        <f t="shared" si="5"/>
        <v>343409.4</v>
      </c>
      <c r="O5" s="8">
        <f t="shared" si="5"/>
        <v>343409.4</v>
      </c>
      <c r="P5" s="8">
        <f t="shared" si="5"/>
        <v>343409.4</v>
      </c>
      <c r="Q5" s="8">
        <f t="shared" si="5"/>
        <v>343409.4</v>
      </c>
      <c r="R5" s="8">
        <f t="shared" si="5"/>
        <v>343409.4</v>
      </c>
      <c r="S5" s="8">
        <f t="shared" si="5"/>
        <v>343409.4</v>
      </c>
      <c r="T5" s="8">
        <f t="shared" si="5"/>
        <v>343409.4</v>
      </c>
      <c r="U5" s="8">
        <f t="shared" si="5"/>
        <v>343409.4</v>
      </c>
      <c r="V5" s="8">
        <f t="shared" si="5"/>
        <v>343409.4</v>
      </c>
      <c r="W5" s="8">
        <f t="shared" ref="W5:AB7" si="6">$B5</f>
        <v>343409.4</v>
      </c>
      <c r="X5" s="8">
        <f t="shared" si="6"/>
        <v>343409.4</v>
      </c>
      <c r="Y5" s="8">
        <f t="shared" si="6"/>
        <v>343409.4</v>
      </c>
      <c r="Z5" s="8">
        <f t="shared" si="6"/>
        <v>343409.4</v>
      </c>
      <c r="AA5" s="8">
        <f t="shared" si="6"/>
        <v>343409.4</v>
      </c>
      <c r="AB5" s="8">
        <f t="shared" si="6"/>
        <v>343409.4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210.04460862462764</v>
      </c>
      <c r="C6" s="8">
        <f t="shared" si="4"/>
        <v>210.04460862462764</v>
      </c>
      <c r="D6" s="8">
        <f t="shared" si="4"/>
        <v>210.04460862462764</v>
      </c>
      <c r="E6" s="8">
        <f t="shared" si="4"/>
        <v>210.04460862462764</v>
      </c>
      <c r="F6" s="8">
        <f t="shared" si="4"/>
        <v>210.04460862462764</v>
      </c>
      <c r="G6" s="8">
        <f t="shared" si="4"/>
        <v>210.04460862462764</v>
      </c>
      <c r="H6" s="8">
        <f t="shared" si="4"/>
        <v>210.04460862462764</v>
      </c>
      <c r="I6" s="8">
        <f t="shared" si="4"/>
        <v>210.04460862462764</v>
      </c>
      <c r="J6" s="8">
        <f t="shared" si="4"/>
        <v>210.04460862462764</v>
      </c>
      <c r="K6" s="8">
        <f t="shared" si="4"/>
        <v>210.04460862462764</v>
      </c>
      <c r="L6" s="8">
        <f t="shared" si="4"/>
        <v>210.04460862462764</v>
      </c>
      <c r="M6" s="8">
        <f t="shared" si="5"/>
        <v>210.04460862462764</v>
      </c>
      <c r="N6" s="8">
        <f t="shared" si="5"/>
        <v>210.04460862462764</v>
      </c>
      <c r="O6" s="8">
        <f t="shared" si="5"/>
        <v>210.04460862462764</v>
      </c>
      <c r="P6" s="8">
        <f t="shared" si="5"/>
        <v>210.04460862462764</v>
      </c>
      <c r="Q6" s="8">
        <f t="shared" si="5"/>
        <v>210.04460862462764</v>
      </c>
      <c r="R6" s="8">
        <f t="shared" si="5"/>
        <v>210.04460862462764</v>
      </c>
      <c r="S6" s="8">
        <f t="shared" si="5"/>
        <v>210.04460862462764</v>
      </c>
      <c r="T6" s="8">
        <f t="shared" si="5"/>
        <v>210.04460862462764</v>
      </c>
      <c r="U6" s="8">
        <f t="shared" si="5"/>
        <v>210.04460862462764</v>
      </c>
      <c r="V6" s="8">
        <f t="shared" si="5"/>
        <v>210.04460862462764</v>
      </c>
      <c r="W6" s="8">
        <f t="shared" si="6"/>
        <v>210.04460862462764</v>
      </c>
      <c r="X6" s="8">
        <f t="shared" si="6"/>
        <v>210.04460862462764</v>
      </c>
      <c r="Y6" s="8">
        <f t="shared" si="6"/>
        <v>210.04460862462764</v>
      </c>
      <c r="Z6" s="8">
        <f t="shared" si="6"/>
        <v>210.04460862462764</v>
      </c>
      <c r="AA6" s="8">
        <f t="shared" si="6"/>
        <v>210.04460862462764</v>
      </c>
      <c r="AB6" s="8">
        <f t="shared" si="6"/>
        <v>210.04460862462764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9524.548567375512</v>
      </c>
      <c r="C7" s="8">
        <f t="shared" si="4"/>
        <v>9524.548567375512</v>
      </c>
      <c r="D7" s="8">
        <f t="shared" si="4"/>
        <v>9524.548567375512</v>
      </c>
      <c r="E7" s="8">
        <f t="shared" si="4"/>
        <v>9524.548567375512</v>
      </c>
      <c r="F7" s="8">
        <f t="shared" si="4"/>
        <v>9524.548567375512</v>
      </c>
      <c r="G7" s="8">
        <f t="shared" si="4"/>
        <v>9524.548567375512</v>
      </c>
      <c r="H7" s="8">
        <f t="shared" si="4"/>
        <v>9524.548567375512</v>
      </c>
      <c r="I7" s="8">
        <f t="shared" si="4"/>
        <v>9524.548567375512</v>
      </c>
      <c r="J7" s="8">
        <f t="shared" si="4"/>
        <v>9524.548567375512</v>
      </c>
      <c r="K7" s="8">
        <f t="shared" si="4"/>
        <v>9524.548567375512</v>
      </c>
      <c r="L7" s="8">
        <f t="shared" si="4"/>
        <v>9524.548567375512</v>
      </c>
      <c r="M7" s="8">
        <f t="shared" si="5"/>
        <v>9524.548567375512</v>
      </c>
      <c r="N7" s="8">
        <f t="shared" si="5"/>
        <v>9524.548567375512</v>
      </c>
      <c r="O7" s="8">
        <f t="shared" si="5"/>
        <v>9524.548567375512</v>
      </c>
      <c r="P7" s="8">
        <f t="shared" si="5"/>
        <v>9524.548567375512</v>
      </c>
      <c r="Q7" s="8">
        <f t="shared" si="5"/>
        <v>9524.548567375512</v>
      </c>
      <c r="R7" s="8">
        <f t="shared" si="5"/>
        <v>9524.548567375512</v>
      </c>
      <c r="S7" s="8">
        <f t="shared" si="5"/>
        <v>9524.548567375512</v>
      </c>
      <c r="T7" s="8">
        <f t="shared" si="5"/>
        <v>9524.548567375512</v>
      </c>
      <c r="U7" s="8">
        <f t="shared" si="5"/>
        <v>9524.548567375512</v>
      </c>
      <c r="V7" s="8">
        <f t="shared" si="5"/>
        <v>9524.548567375512</v>
      </c>
      <c r="W7" s="8">
        <f t="shared" si="6"/>
        <v>9524.548567375512</v>
      </c>
      <c r="X7" s="8">
        <f t="shared" si="6"/>
        <v>9524.548567375512</v>
      </c>
      <c r="Y7" s="8">
        <f t="shared" si="6"/>
        <v>9524.548567375512</v>
      </c>
      <c r="Z7" s="8">
        <f t="shared" si="6"/>
        <v>9524.548567375512</v>
      </c>
      <c r="AA7" s="8">
        <f t="shared" si="6"/>
        <v>9524.548567375512</v>
      </c>
      <c r="AB7" s="8">
        <f t="shared" si="6"/>
        <v>9524.548567375512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10607.252735543696</v>
      </c>
      <c r="C2" s="8">
        <f t="shared" ref="C2:AB2" si="0">B2</f>
        <v>10607.252735543696</v>
      </c>
      <c r="D2" s="8">
        <f t="shared" si="0"/>
        <v>10607.252735543696</v>
      </c>
      <c r="E2" s="8">
        <f t="shared" si="0"/>
        <v>10607.252735543696</v>
      </c>
      <c r="F2" s="8">
        <f t="shared" si="0"/>
        <v>10607.252735543696</v>
      </c>
      <c r="G2" s="8">
        <f t="shared" si="0"/>
        <v>10607.252735543696</v>
      </c>
      <c r="H2" s="8">
        <f t="shared" si="0"/>
        <v>10607.252735543696</v>
      </c>
      <c r="I2" s="8">
        <f t="shared" si="0"/>
        <v>10607.252735543696</v>
      </c>
      <c r="J2" s="8">
        <f t="shared" si="0"/>
        <v>10607.252735543696</v>
      </c>
      <c r="K2" s="8">
        <f t="shared" si="0"/>
        <v>10607.252735543696</v>
      </c>
      <c r="L2" s="8">
        <f t="shared" si="0"/>
        <v>10607.252735543696</v>
      </c>
      <c r="M2" s="8">
        <f t="shared" si="0"/>
        <v>10607.252735543696</v>
      </c>
      <c r="N2" s="8">
        <f t="shared" si="0"/>
        <v>10607.252735543696</v>
      </c>
      <c r="O2" s="8">
        <f t="shared" si="0"/>
        <v>10607.252735543696</v>
      </c>
      <c r="P2" s="8">
        <f t="shared" si="0"/>
        <v>10607.252735543696</v>
      </c>
      <c r="Q2" s="8">
        <f t="shared" si="0"/>
        <v>10607.252735543696</v>
      </c>
      <c r="R2" s="8">
        <f t="shared" si="0"/>
        <v>10607.252735543696</v>
      </c>
      <c r="S2" s="8">
        <f t="shared" si="0"/>
        <v>10607.252735543696</v>
      </c>
      <c r="T2" s="8">
        <f t="shared" si="0"/>
        <v>10607.252735543696</v>
      </c>
      <c r="U2" s="8">
        <f t="shared" si="0"/>
        <v>10607.252735543696</v>
      </c>
      <c r="V2" s="8">
        <f t="shared" si="0"/>
        <v>10607.252735543696</v>
      </c>
      <c r="W2" s="8">
        <f t="shared" si="0"/>
        <v>10607.252735543696</v>
      </c>
      <c r="X2" s="8">
        <f t="shared" si="0"/>
        <v>10607.252735543696</v>
      </c>
      <c r="Y2" s="8">
        <f t="shared" si="0"/>
        <v>10607.252735543696</v>
      </c>
      <c r="Z2" s="8">
        <f t="shared" si="0"/>
        <v>10607.252735543696</v>
      </c>
      <c r="AA2" s="8">
        <f t="shared" si="0"/>
        <v>10607.252735543696</v>
      </c>
      <c r="AB2" s="8">
        <f t="shared" si="0"/>
        <v>10607.252735543696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23307.955600725516</v>
      </c>
      <c r="C3" s="8">
        <f t="shared" ref="C3:AB3" si="1">B3</f>
        <v>23307.955600725516</v>
      </c>
      <c r="D3" s="8">
        <f t="shared" si="1"/>
        <v>23307.955600725516</v>
      </c>
      <c r="E3" s="8">
        <f t="shared" si="1"/>
        <v>23307.955600725516</v>
      </c>
      <c r="F3" s="8">
        <f t="shared" si="1"/>
        <v>23307.955600725516</v>
      </c>
      <c r="G3" s="8">
        <f t="shared" si="1"/>
        <v>23307.955600725516</v>
      </c>
      <c r="H3" s="8">
        <f t="shared" si="1"/>
        <v>23307.955600725516</v>
      </c>
      <c r="I3" s="8">
        <f t="shared" si="1"/>
        <v>23307.955600725516</v>
      </c>
      <c r="J3" s="8">
        <f t="shared" si="1"/>
        <v>23307.955600725516</v>
      </c>
      <c r="K3" s="8">
        <f t="shared" si="1"/>
        <v>23307.955600725516</v>
      </c>
      <c r="L3" s="8">
        <f t="shared" si="1"/>
        <v>23307.955600725516</v>
      </c>
      <c r="M3" s="8">
        <f t="shared" si="1"/>
        <v>23307.955600725516</v>
      </c>
      <c r="N3" s="8">
        <f t="shared" si="1"/>
        <v>23307.955600725516</v>
      </c>
      <c r="O3" s="8">
        <f t="shared" si="1"/>
        <v>23307.955600725516</v>
      </c>
      <c r="P3" s="8">
        <f t="shared" si="1"/>
        <v>23307.955600725516</v>
      </c>
      <c r="Q3" s="8">
        <f t="shared" si="1"/>
        <v>23307.955600725516</v>
      </c>
      <c r="R3" s="8">
        <f t="shared" si="1"/>
        <v>23307.955600725516</v>
      </c>
      <c r="S3" s="8">
        <f t="shared" si="1"/>
        <v>23307.955600725516</v>
      </c>
      <c r="T3" s="8">
        <f t="shared" si="1"/>
        <v>23307.955600725516</v>
      </c>
      <c r="U3" s="8">
        <f t="shared" si="1"/>
        <v>23307.955600725516</v>
      </c>
      <c r="V3" s="8">
        <f t="shared" si="1"/>
        <v>23307.955600725516</v>
      </c>
      <c r="W3" s="8">
        <f t="shared" si="1"/>
        <v>23307.955600725516</v>
      </c>
      <c r="X3" s="8">
        <f t="shared" si="1"/>
        <v>23307.955600725516</v>
      </c>
      <c r="Y3" s="8">
        <f t="shared" si="1"/>
        <v>23307.955600725516</v>
      </c>
      <c r="Z3" s="8">
        <f t="shared" si="1"/>
        <v>23307.955600725516</v>
      </c>
      <c r="AA3" s="8">
        <f t="shared" si="1"/>
        <v>23307.955600725516</v>
      </c>
      <c r="AB3" s="8">
        <f t="shared" si="1"/>
        <v>23307.955600725516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974434.1840496303</v>
      </c>
      <c r="C4" s="8">
        <f t="shared" ref="C4:AB4" si="2">B4</f>
        <v>974434.1840496303</v>
      </c>
      <c r="D4" s="8">
        <f t="shared" si="2"/>
        <v>974434.1840496303</v>
      </c>
      <c r="E4" s="8">
        <f t="shared" si="2"/>
        <v>974434.1840496303</v>
      </c>
      <c r="F4" s="8">
        <f t="shared" si="2"/>
        <v>974434.1840496303</v>
      </c>
      <c r="G4" s="8">
        <f t="shared" si="2"/>
        <v>974434.1840496303</v>
      </c>
      <c r="H4" s="8">
        <f t="shared" si="2"/>
        <v>974434.1840496303</v>
      </c>
      <c r="I4" s="8">
        <f t="shared" si="2"/>
        <v>974434.1840496303</v>
      </c>
      <c r="J4" s="8">
        <f t="shared" si="2"/>
        <v>974434.1840496303</v>
      </c>
      <c r="K4" s="8">
        <f t="shared" si="2"/>
        <v>974434.1840496303</v>
      </c>
      <c r="L4" s="8">
        <f t="shared" si="2"/>
        <v>974434.1840496303</v>
      </c>
      <c r="M4" s="8">
        <f t="shared" si="2"/>
        <v>974434.1840496303</v>
      </c>
      <c r="N4" s="8">
        <f t="shared" si="2"/>
        <v>974434.1840496303</v>
      </c>
      <c r="O4" s="8">
        <f t="shared" si="2"/>
        <v>974434.1840496303</v>
      </c>
      <c r="P4" s="8">
        <f t="shared" si="2"/>
        <v>974434.1840496303</v>
      </c>
      <c r="Q4" s="8">
        <f t="shared" si="2"/>
        <v>974434.1840496303</v>
      </c>
      <c r="R4" s="8">
        <f t="shared" si="2"/>
        <v>974434.1840496303</v>
      </c>
      <c r="S4" s="8">
        <f t="shared" si="2"/>
        <v>974434.1840496303</v>
      </c>
      <c r="T4" s="8">
        <f t="shared" si="2"/>
        <v>974434.1840496303</v>
      </c>
      <c r="U4" s="8">
        <f t="shared" si="2"/>
        <v>974434.1840496303</v>
      </c>
      <c r="V4" s="8">
        <f t="shared" si="2"/>
        <v>974434.1840496303</v>
      </c>
      <c r="W4" s="8">
        <f t="shared" si="2"/>
        <v>974434.1840496303</v>
      </c>
      <c r="X4" s="8">
        <f t="shared" si="2"/>
        <v>974434.1840496303</v>
      </c>
      <c r="Y4" s="8">
        <f t="shared" si="2"/>
        <v>974434.1840496303</v>
      </c>
      <c r="Z4" s="8">
        <f t="shared" si="2"/>
        <v>974434.1840496303</v>
      </c>
      <c r="AA4" s="8">
        <f t="shared" si="2"/>
        <v>974434.1840496303</v>
      </c>
      <c r="AB4" s="8">
        <f t="shared" si="2"/>
        <v>974434.1840496303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11261.593549945654</v>
      </c>
      <c r="C5" s="8">
        <f t="shared" ref="C5:AB5" si="3">B5</f>
        <v>11261.593549945654</v>
      </c>
      <c r="D5" s="8">
        <f t="shared" si="3"/>
        <v>11261.593549945654</v>
      </c>
      <c r="E5" s="8">
        <f t="shared" si="3"/>
        <v>11261.593549945654</v>
      </c>
      <c r="F5" s="8">
        <f t="shared" si="3"/>
        <v>11261.593549945654</v>
      </c>
      <c r="G5" s="8">
        <f t="shared" si="3"/>
        <v>11261.593549945654</v>
      </c>
      <c r="H5" s="8">
        <f t="shared" si="3"/>
        <v>11261.593549945654</v>
      </c>
      <c r="I5" s="8">
        <f t="shared" si="3"/>
        <v>11261.593549945654</v>
      </c>
      <c r="J5" s="8">
        <f t="shared" si="3"/>
        <v>11261.593549945654</v>
      </c>
      <c r="K5" s="8">
        <f t="shared" si="3"/>
        <v>11261.593549945654</v>
      </c>
      <c r="L5" s="8">
        <f t="shared" si="3"/>
        <v>11261.593549945654</v>
      </c>
      <c r="M5" s="8">
        <f t="shared" si="3"/>
        <v>11261.593549945654</v>
      </c>
      <c r="N5" s="8">
        <f t="shared" si="3"/>
        <v>11261.593549945654</v>
      </c>
      <c r="O5" s="8">
        <f t="shared" si="3"/>
        <v>11261.593549945654</v>
      </c>
      <c r="P5" s="8">
        <f t="shared" si="3"/>
        <v>11261.593549945654</v>
      </c>
      <c r="Q5" s="8">
        <f t="shared" si="3"/>
        <v>11261.593549945654</v>
      </c>
      <c r="R5" s="8">
        <f t="shared" si="3"/>
        <v>11261.593549945654</v>
      </c>
      <c r="S5" s="8">
        <f t="shared" si="3"/>
        <v>11261.593549945654</v>
      </c>
      <c r="T5" s="8">
        <f t="shared" si="3"/>
        <v>11261.593549945654</v>
      </c>
      <c r="U5" s="8">
        <f t="shared" si="3"/>
        <v>11261.593549945654</v>
      </c>
      <c r="V5" s="8">
        <f t="shared" si="3"/>
        <v>11261.593549945654</v>
      </c>
      <c r="W5" s="8">
        <f t="shared" si="3"/>
        <v>11261.593549945654</v>
      </c>
      <c r="X5" s="8">
        <f t="shared" si="3"/>
        <v>11261.593549945654</v>
      </c>
      <c r="Y5" s="8">
        <f t="shared" si="3"/>
        <v>11261.593549945654</v>
      </c>
      <c r="Z5" s="8">
        <f t="shared" si="3"/>
        <v>11261.593549945654</v>
      </c>
      <c r="AA5" s="8">
        <f t="shared" si="3"/>
        <v>11261.593549945654</v>
      </c>
      <c r="AB5" s="8">
        <f t="shared" si="3"/>
        <v>11261.593549945654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2026-08-11T22:28:02Z</dcterms:modified>
</cp:coreProperties>
</file>