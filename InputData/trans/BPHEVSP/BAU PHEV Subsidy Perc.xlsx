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CT\trans\BPHEVSP\"/>
    </mc:Choice>
  </mc:AlternateContent>
  <xr:revisionPtr revIDLastSave="0" documentId="8_{D16B94B5-16AF-4EBE-B50B-A67F86AF3F61}"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G33" i="14"/>
  <c r="H33" i="14"/>
  <c r="I33" i="14"/>
  <c r="C33" i="14"/>
  <c r="C38" i="14" s="1"/>
  <c r="E33" i="14"/>
  <c r="F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<sst xmlns="http://schemas.openxmlformats.org/spreadsheetml/2006/main" count="374" uniqueCount="193">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</sst>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116</v>
      </c>
      <c r="C1" s="32">
        <v>45051</v>
      </c>
      <c r="F1" s="29" t="s">
        <v>8</v>
      </c>
      <c r="G1" s="29" t="s">
        <v>8</v>
      </c>
    </row>
    <row r="2" spans="1:7" x14ac:dyDescent="0.75">
      <c r="B2" s="30" t="str">
        <f>LOOKUP(B1,F2:G51,G2:G51)</f>
        <v>CT</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CT</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2250</v>
      </c>
      <c r="D33" s="2">
        <f t="shared" ref="D33:I33" si="1">SUMIFS(E$13:E$26,$A$13:$A$26,$B$31)</f>
        <v>2250</v>
      </c>
      <c r="E33" s="2">
        <f t="shared" si="1"/>
        <v>2250</v>
      </c>
      <c r="F33" s="2">
        <f t="shared" si="1"/>
        <v>2250</v>
      </c>
      <c r="G33" s="2">
        <f t="shared" si="1"/>
        <v>2250</v>
      </c>
      <c r="H33" s="2">
        <f t="shared" si="1"/>
        <v>2250</v>
      </c>
      <c r="I33" s="2">
        <f t="shared" si="1"/>
        <v>2250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8641.5241587550099</v>
      </c>
      <c r="D38" s="2">
        <f>(B3+D33)*About!$B$33</f>
        <v>8648.7175277604365</v>
      </c>
      <c r="E38" s="2">
        <f>(C3+E33)*About!$B$33</f>
        <v>5613.0497038401109</v>
      </c>
      <c r="F38" s="2">
        <f>(D3+F33)*About!$B$33</f>
        <v>3418.861108289474</v>
      </c>
      <c r="G38" s="2">
        <f>(E3+G33)*About!$B$33</f>
        <v>2834.4636401580219</v>
      </c>
      <c r="H38" s="2">
        <f>(F3+H33)*About!$B$33</f>
        <v>2417.0873821495688</v>
      </c>
      <c r="I38" s="2">
        <f>(G3+I33)*About!$B$33</f>
        <v>2296.5225292129558</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0.23427653198381526</v>
      </c>
      <c r="D45" s="7">
        <f t="shared" ref="D45:AG45" si="3">D38/C41</f>
        <v>0.23163932634545992</v>
      </c>
      <c r="E45" s="7">
        <f t="shared" si="3"/>
        <v>0.15036699895095262</v>
      </c>
      <c r="F45" s="7">
        <f t="shared" si="3"/>
        <v>9.1162336567460575E-2</v>
      </c>
      <c r="G45" s="7">
        <f t="shared" si="3"/>
        <v>7.5545406187580544E-2</v>
      </c>
      <c r="H45" s="7">
        <f t="shared" si="3"/>
        <v>6.422616203830496E-2</v>
      </c>
      <c r="I45" s="7">
        <f t="shared" si="3"/>
        <v>6.0960993024340514E-2</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8641.5241587550099</v>
      </c>
      <c r="C2" s="9">
        <f>Summary!D38</f>
        <v>8648.7175277604365</v>
      </c>
      <c r="D2" s="9">
        <f>Summary!E38</f>
        <v>5613.0497038401109</v>
      </c>
      <c r="E2" s="9">
        <f>Summary!F38</f>
        <v>3418.861108289474</v>
      </c>
      <c r="F2" s="9">
        <f>Summary!G38</f>
        <v>2834.4636401580219</v>
      </c>
      <c r="G2" s="9">
        <f>Summary!H38</f>
        <v>2417.0873821495688</v>
      </c>
      <c r="H2" s="9">
        <f>Summary!I38</f>
        <v>2296.5225292129558</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2023-05-05T22:29:11Z</dcterms:modified>
</cp:coreProperties>
</file>