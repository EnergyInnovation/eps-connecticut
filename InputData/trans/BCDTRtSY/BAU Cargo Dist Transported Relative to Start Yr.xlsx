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defaultThemeVersion="124226"/>
  <mc:AlternateContent xmlns:mc="http://schemas.openxmlformats.org/markup-compatibility/2006">
    <mc:Choice Requires="x15">
      <x15ac:absPath xmlns:x15ac="http://schemas.microsoft.com/office/spreadsheetml/2010/11/ac" url="C:\Users\OliviaAshmoore\Documents\Github Repos\state-eps-data\CT\trans\BCDTRtSY\"/>
    </mc:Choice>
  </mc:AlternateContent>
  <xr:revisionPtr revIDLastSave="0" documentId="8_{57477370-0E90-4009-983B-996131E46E52}" xr6:coauthVersionLast="47" xr6:coauthVersionMax="47" xr10:uidLastSave="{00000000-0000-0000-0000-000000000000}"/>
  <bookViews>
    <workbookView xWindow="-98" yWindow="-98" windowWidth="21795" windowHeight="12975" activeTab="1" xr2:uid="{CE897B3D-A700-46F1-B02E-51A9599F0808}"/>
  </bookViews>
  <sheets>
    <sheet name="About" sheetId="1" r:id="rId1"/>
    <sheet name="Sources" sheetId="82" r:id="rId2"/>
    <sheet name="source data&gt;" sheetId="66" r:id="rId3"/>
    <sheet name="EPA_Table 3-13" sheetId="57" r:id="rId4"/>
    <sheet name="AEO 2025 Table 7" sheetId="64" r:id="rId5"/>
    <sheet name="AEO 2025 Table 35" sheetId="63" r:id="rId6"/>
    <sheet name="AEO 2025 Table 45" sheetId="74" r:id="rId7"/>
    <sheet name="AEO 2025 Table 46" sheetId="60" r:id="rId8"/>
    <sheet name="AEO 2025 Table 47" sheetId="61" r:id="rId9"/>
    <sheet name="AEO 2025 Table 49" sheetId="62" r:id="rId10"/>
    <sheet name="AEO 2026 Table 7 raw" sheetId="68" r:id="rId11"/>
    <sheet name="AEO 2026 Table 35 raw" sheetId="69" r:id="rId12"/>
    <sheet name="AEO 2026 Table 45" sheetId="73" r:id="rId13"/>
    <sheet name="AEO 2026 Table 46 raw" sheetId="70" r:id="rId14"/>
    <sheet name="AEO 2026 Table 49 raw" sheetId="72" r:id="rId15"/>
    <sheet name="AEO 2026 Table 47" sheetId="75" r:id="rId16"/>
    <sheet name="GHG Inventory" sheetId="58" r:id="rId17"/>
    <sheet name="AEO 2022 Table 36" sheetId="59" r:id="rId18"/>
    <sheet name="calcs&gt;" sheetId="65" r:id="rId19"/>
    <sheet name="calibration multiplier" sheetId="56" r:id="rId20"/>
    <sheet name="About-state-adjustment" sheetId="79" r:id="rId21"/>
    <sheet name="Pop_yearly_lookup" sheetId="78" r:id="rId22"/>
    <sheet name="Cooper_pop_2030_2050" sheetId="77" r:id="rId23"/>
    <sheet name="Census_pop_2020_2025" sheetId="76" r:id="rId24"/>
    <sheet name="US-calcs" sheetId="67" r:id="rId25"/>
    <sheet name="BCDTRtSY-psgr-US" sheetId="23" r:id="rId26"/>
    <sheet name="BCDTRtSY-frgt-US" sheetId="24" r:id="rId27"/>
    <sheet name="BCDTRtSY-state-adjusted" sheetId="80" r:id="rId28"/>
    <sheet name="BCDTRtSY-psgr" sheetId="83" r:id="rId29"/>
    <sheet name="BCDTRtSY-frgt" sheetId="84" r:id="rId30"/>
  </sheets>
  <externalReferences>
    <externalReference r:id="rId31"/>
    <externalReference r:id="rId32"/>
    <externalReference r:id="rId33"/>
  </externalReferences>
  <definedNames>
    <definedName name="Eno_TM" localSheetId="26">'[1]1997  Table 1a Modified'!#REF!</definedName>
    <definedName name="Eno_TM" localSheetId="3">'[2]1997  Table 1a Modified'!#REF!</definedName>
    <definedName name="Eno_TM">'[1]1997  Table 1a Modified'!#REF!</definedName>
    <definedName name="Eno_Tons" localSheetId="26">'[1]1997  Table 1a Modified'!#REF!</definedName>
    <definedName name="Eno_Tons" localSheetId="3">'[2]1997  Table 1a Modified'!#REF!</definedName>
    <definedName name="Eno_Tons">'[1]1997  Table 1a Modified'!#REF!</definedName>
    <definedName name="NTS_YR">[3]About!$B$136</definedName>
    <definedName name="Sum_T2" localSheetId="26">'[1]1997  Table 1a Modified'!#REF!</definedName>
    <definedName name="Sum_T2" localSheetId="3">'[2]1997  Table 1a Modified'!#REF!</definedName>
    <definedName name="Sum_T2">'[1]1997  Table 1a Modified'!#REF!</definedName>
    <definedName name="Sum_TTM" localSheetId="26">'[1]1997  Table 1a Modified'!#REF!</definedName>
    <definedName name="Sum_TTM" localSheetId="3">'[2]1997  Table 1a Modified'!#REF!</definedName>
    <definedName name="Sum_TTM">'[1]1997  Table 1a Modified'!#REF!</definedName>
    <definedName name="ti_tbl_50" localSheetId="26">#REF!</definedName>
    <definedName name="ti_tbl_50" localSheetId="3">#REF!</definedName>
    <definedName name="ti_tbl_50">#REF!</definedName>
    <definedName name="ti_tbl_69" localSheetId="26">#REF!</definedName>
    <definedName name="ti_tbl_69" localSheetId="3">#REF!</definedName>
    <definedName name="ti_tbl_69">#REF!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 i="67" l="1"/>
  <c r="AD16" i="67"/>
  <c r="AC16" i="67"/>
  <c r="AB16" i="67"/>
  <c r="AA16" i="67"/>
  <c r="Z16" i="67"/>
  <c r="Y16" i="67"/>
  <c r="X16" i="67"/>
  <c r="W16" i="67"/>
  <c r="V16" i="67"/>
  <c r="U16" i="67"/>
  <c r="T16" i="67"/>
  <c r="S16" i="67"/>
  <c r="R16" i="67"/>
  <c r="Q16" i="67"/>
  <c r="P16" i="67"/>
  <c r="O16" i="67"/>
  <c r="N16" i="67"/>
  <c r="M16" i="67"/>
  <c r="L16" i="67"/>
  <c r="K16" i="67"/>
  <c r="J16" i="67"/>
  <c r="I16" i="67"/>
  <c r="H16" i="67"/>
  <c r="G16" i="67"/>
  <c r="F16" i="67"/>
  <c r="E16" i="67"/>
  <c r="AD15" i="67"/>
  <c r="AC15" i="67"/>
  <c r="AB15" i="67"/>
  <c r="AA15" i="67"/>
  <c r="Z15" i="67"/>
  <c r="Y15" i="67"/>
  <c r="X15" i="67"/>
  <c r="W15" i="67"/>
  <c r="V15" i="67"/>
  <c r="U15" i="67"/>
  <c r="T15" i="67"/>
  <c r="S15" i="67"/>
  <c r="R15" i="67"/>
  <c r="Q15" i="67"/>
  <c r="P15" i="67"/>
  <c r="O15" i="67"/>
  <c r="N15" i="67"/>
  <c r="M15" i="67"/>
  <c r="L15" i="67"/>
  <c r="K15" i="67"/>
  <c r="J15" i="67"/>
  <c r="I15" i="67"/>
  <c r="H15" i="67"/>
  <c r="G15" i="67"/>
  <c r="F15" i="67"/>
  <c r="E15" i="67"/>
  <c r="AD14" i="67"/>
  <c r="AC14" i="67"/>
  <c r="AB14" i="67"/>
  <c r="AA14" i="67"/>
  <c r="Z14" i="67"/>
  <c r="Y14" i="67"/>
  <c r="X14" i="67"/>
  <c r="W14" i="67"/>
  <c r="V14" i="67"/>
  <c r="U14" i="67"/>
  <c r="T14" i="67"/>
  <c r="S14" i="67"/>
  <c r="R14" i="67"/>
  <c r="Q14" i="67"/>
  <c r="P14" i="67"/>
  <c r="O14" i="67"/>
  <c r="N14" i="67"/>
  <c r="M14" i="67"/>
  <c r="L14" i="67"/>
  <c r="K14" i="67"/>
  <c r="J14" i="67"/>
  <c r="I14" i="67"/>
  <c r="H14" i="67"/>
  <c r="G14" i="67"/>
  <c r="F14" i="67"/>
  <c r="E14" i="67"/>
  <c r="AD13" i="67"/>
  <c r="AC13" i="67"/>
  <c r="AB13" i="67"/>
  <c r="AA13" i="67"/>
  <c r="Z13" i="67"/>
  <c r="Y13" i="67"/>
  <c r="X13" i="67"/>
  <c r="W13" i="67"/>
  <c r="V13" i="67"/>
  <c r="U13" i="67"/>
  <c r="T13" i="67"/>
  <c r="S13" i="67"/>
  <c r="R13" i="67"/>
  <c r="Q13" i="67"/>
  <c r="P13" i="67"/>
  <c r="O13" i="67"/>
  <c r="N13" i="67"/>
  <c r="M13" i="67"/>
  <c r="L13" i="67"/>
  <c r="K13" i="67"/>
  <c r="J13" i="67"/>
  <c r="I13" i="67"/>
  <c r="H13" i="67"/>
  <c r="G13" i="67"/>
  <c r="F13" i="67"/>
  <c r="E13" i="67"/>
  <c r="AD12" i="67"/>
  <c r="AC12" i="67"/>
  <c r="AB12" i="67"/>
  <c r="AA12" i="67"/>
  <c r="Z12" i="67"/>
  <c r="Y12" i="67"/>
  <c r="X12" i="67"/>
  <c r="W12" i="67"/>
  <c r="V12" i="67"/>
  <c r="U12" i="67"/>
  <c r="T12" i="67"/>
  <c r="S12" i="67"/>
  <c r="R12" i="67"/>
  <c r="Q12" i="67"/>
  <c r="P12" i="67"/>
  <c r="O12" i="67"/>
  <c r="N12" i="67"/>
  <c r="M12" i="67"/>
  <c r="L12" i="67"/>
  <c r="K12" i="67"/>
  <c r="J12" i="67"/>
  <c r="I12" i="67"/>
  <c r="H12" i="67"/>
  <c r="G12" i="67"/>
  <c r="F12" i="67"/>
  <c r="E12" i="67"/>
  <c r="AD7" i="67"/>
  <c r="AC7" i="67"/>
  <c r="AB7" i="67"/>
  <c r="AA7" i="67"/>
  <c r="Z7" i="67"/>
  <c r="Y7" i="67"/>
  <c r="X7" i="67"/>
  <c r="W7" i="67"/>
  <c r="V7" i="67"/>
  <c r="U7" i="67"/>
  <c r="T7" i="67"/>
  <c r="S7" i="67"/>
  <c r="R7" i="67"/>
  <c r="Q7" i="67"/>
  <c r="P7" i="67"/>
  <c r="O7" i="67"/>
  <c r="N7" i="67"/>
  <c r="M7" i="67"/>
  <c r="L7" i="67"/>
  <c r="K7" i="67"/>
  <c r="J7" i="67"/>
  <c r="I7" i="67"/>
  <c r="H7" i="67"/>
  <c r="G7" i="67"/>
  <c r="F7" i="67"/>
  <c r="E7" i="67"/>
  <c r="AD5" i="67"/>
  <c r="AC5" i="67"/>
  <c r="AB5" i="67"/>
  <c r="AA5" i="67"/>
  <c r="Z5" i="67"/>
  <c r="Y5" i="67"/>
  <c r="X5" i="67"/>
  <c r="W5" i="67"/>
  <c r="V5" i="67"/>
  <c r="U5" i="67"/>
  <c r="T5" i="67"/>
  <c r="S5" i="67"/>
  <c r="R5" i="67"/>
  <c r="Q5" i="67"/>
  <c r="P5" i="67"/>
  <c r="O5" i="67"/>
  <c r="N5" i="67"/>
  <c r="M5" i="67"/>
  <c r="L5" i="67"/>
  <c r="K5" i="67"/>
  <c r="J5" i="67"/>
  <c r="I5" i="67"/>
  <c r="H5" i="67"/>
  <c r="G5" i="67"/>
  <c r="F5" i="67"/>
  <c r="E5" i="67"/>
  <c r="AD4" i="67"/>
  <c r="AC4" i="67"/>
  <c r="AB4" i="67"/>
  <c r="AA4" i="67"/>
  <c r="Z4" i="67"/>
  <c r="Y4" i="67"/>
  <c r="X4" i="67"/>
  <c r="W4" i="67"/>
  <c r="V4" i="67"/>
  <c r="U4" i="67"/>
  <c r="T4" i="67"/>
  <c r="S4" i="67"/>
  <c r="R4" i="67"/>
  <c r="Q4" i="67"/>
  <c r="P4" i="67"/>
  <c r="O4" i="67"/>
  <c r="N4" i="67"/>
  <c r="M4" i="67"/>
  <c r="L4" i="67"/>
  <c r="K4" i="67"/>
  <c r="J4" i="67"/>
  <c r="I4" i="67"/>
  <c r="H4" i="67"/>
  <c r="G4" i="67"/>
  <c r="F4" i="67"/>
  <c r="E4" i="67"/>
  <c r="AD3" i="67"/>
  <c r="AC3" i="67"/>
  <c r="AB3" i="67"/>
  <c r="AA3" i="67"/>
  <c r="Z3" i="67"/>
  <c r="Y3" i="67"/>
  <c r="X3" i="67"/>
  <c r="W3" i="67"/>
  <c r="V3" i="67"/>
  <c r="U3" i="67"/>
  <c r="T3" i="67"/>
  <c r="S3" i="67"/>
  <c r="R3" i="67"/>
  <c r="Q3" i="67"/>
  <c r="P3" i="67"/>
  <c r="O3" i="67"/>
  <c r="N3" i="67"/>
  <c r="M3" i="67"/>
  <c r="L3" i="67"/>
  <c r="K3" i="67"/>
  <c r="J3" i="67"/>
  <c r="I3" i="67"/>
  <c r="H3" i="67"/>
  <c r="G3" i="67"/>
  <c r="F3" i="67"/>
  <c r="E3" i="67"/>
  <c r="B2" i="1"/>
  <c r="B2" i="80" l="1"/>
  <c r="B51" i="78"/>
  <c r="C51" i="78"/>
  <c r="D51" i="78"/>
  <c r="E51" i="78"/>
  <c r="F51" i="78"/>
  <c r="G51" i="78"/>
  <c r="H51" i="78"/>
  <c r="I51" i="78"/>
  <c r="J51" i="78"/>
  <c r="K51" i="78"/>
  <c r="L51" i="78"/>
  <c r="M51" i="78"/>
  <c r="N51" i="78"/>
  <c r="O51" i="78"/>
  <c r="P51" i="78"/>
  <c r="Q51" i="78"/>
  <c r="R51" i="78"/>
  <c r="S51" i="78"/>
  <c r="T51" i="78"/>
  <c r="U51" i="78"/>
  <c r="V51" i="78"/>
  <c r="W51" i="78"/>
  <c r="X51" i="78"/>
  <c r="Y51" i="78"/>
  <c r="Z51" i="78"/>
  <c r="AA51" i="78"/>
  <c r="AB51" i="78"/>
  <c r="B50" i="78"/>
  <c r="C50" i="78"/>
  <c r="D50" i="78"/>
  <c r="E50" i="78"/>
  <c r="F50" i="78"/>
  <c r="G50" i="78"/>
  <c r="H50" i="78"/>
  <c r="I50" i="78"/>
  <c r="J50" i="78"/>
  <c r="K50" i="78"/>
  <c r="L50" i="78"/>
  <c r="M50" i="78"/>
  <c r="N50" i="78"/>
  <c r="O50" i="78"/>
  <c r="P50" i="78"/>
  <c r="Q50" i="78"/>
  <c r="R50" i="78"/>
  <c r="S50" i="78"/>
  <c r="T50" i="78"/>
  <c r="U50" i="78"/>
  <c r="V50" i="78"/>
  <c r="W50" i="78"/>
  <c r="X50" i="78"/>
  <c r="Y50" i="78"/>
  <c r="Z50" i="78"/>
  <c r="AA50" i="78"/>
  <c r="AB50" i="78"/>
  <c r="B49" i="78"/>
  <c r="C49" i="78"/>
  <c r="D49" i="78"/>
  <c r="E49" i="78"/>
  <c r="F49" i="78"/>
  <c r="G49" i="78"/>
  <c r="H49" i="78"/>
  <c r="I49" i="78"/>
  <c r="J49" i="78"/>
  <c r="K49" i="78"/>
  <c r="L49" i="78"/>
  <c r="M49" i="78"/>
  <c r="N49" i="78"/>
  <c r="O49" i="78"/>
  <c r="P49" i="78"/>
  <c r="Q49" i="78"/>
  <c r="R49" i="78"/>
  <c r="S49" i="78"/>
  <c r="T49" i="78"/>
  <c r="U49" i="78"/>
  <c r="V49" i="78"/>
  <c r="W49" i="78"/>
  <c r="X49" i="78"/>
  <c r="Y49" i="78"/>
  <c r="Z49" i="78"/>
  <c r="AA49" i="78"/>
  <c r="AB49" i="78"/>
  <c r="B48" i="78"/>
  <c r="C48" i="78"/>
  <c r="D48" i="78"/>
  <c r="E48" i="78"/>
  <c r="F48" i="78"/>
  <c r="G48" i="78"/>
  <c r="H48" i="78"/>
  <c r="I48" i="78"/>
  <c r="J48" i="78"/>
  <c r="K48" i="78"/>
  <c r="L48" i="78"/>
  <c r="M48" i="78"/>
  <c r="N48" i="78"/>
  <c r="O48" i="78"/>
  <c r="P48" i="78"/>
  <c r="Q48" i="78"/>
  <c r="R48" i="78"/>
  <c r="S48" i="78"/>
  <c r="T48" i="78"/>
  <c r="U48" i="78"/>
  <c r="V48" i="78"/>
  <c r="W48" i="78"/>
  <c r="X48" i="78"/>
  <c r="Y48" i="78"/>
  <c r="Z48" i="78"/>
  <c r="AA48" i="78"/>
  <c r="AB48" i="78"/>
  <c r="B47" i="78"/>
  <c r="C47" i="78"/>
  <c r="D47" i="78"/>
  <c r="E47" i="78"/>
  <c r="F47" i="78"/>
  <c r="G47" i="78"/>
  <c r="H47" i="78"/>
  <c r="I47" i="78"/>
  <c r="J47" i="78"/>
  <c r="K47" i="78"/>
  <c r="L47" i="78"/>
  <c r="M47" i="78"/>
  <c r="N47" i="78"/>
  <c r="O47" i="78"/>
  <c r="P47" i="78"/>
  <c r="Q47" i="78"/>
  <c r="R47" i="78"/>
  <c r="S47" i="78"/>
  <c r="T47" i="78"/>
  <c r="U47" i="78"/>
  <c r="V47" i="78"/>
  <c r="W47" i="78"/>
  <c r="X47" i="78"/>
  <c r="Y47" i="78"/>
  <c r="Z47" i="78"/>
  <c r="AA47" i="78"/>
  <c r="AB47" i="78"/>
  <c r="B46" i="78"/>
  <c r="C46" i="78"/>
  <c r="D46" i="78"/>
  <c r="E46" i="78"/>
  <c r="F46" i="78"/>
  <c r="G46" i="78"/>
  <c r="H46" i="78"/>
  <c r="I46" i="78"/>
  <c r="J46" i="78"/>
  <c r="K46" i="78"/>
  <c r="L46" i="78"/>
  <c r="M46" i="78"/>
  <c r="N46" i="78"/>
  <c r="O46" i="78"/>
  <c r="P46" i="78"/>
  <c r="Q46" i="78"/>
  <c r="R46" i="78"/>
  <c r="S46" i="78"/>
  <c r="T46" i="78"/>
  <c r="U46" i="78"/>
  <c r="V46" i="78"/>
  <c r="W46" i="78"/>
  <c r="X46" i="78"/>
  <c r="Y46" i="78"/>
  <c r="Z46" i="78"/>
  <c r="AA46" i="78"/>
  <c r="AB46" i="78"/>
  <c r="B45" i="78"/>
  <c r="C45" i="78"/>
  <c r="D45" i="78"/>
  <c r="E45" i="78"/>
  <c r="F45" i="78"/>
  <c r="G45" i="78"/>
  <c r="H45" i="78"/>
  <c r="I45" i="78"/>
  <c r="J45" i="78"/>
  <c r="K45" i="78"/>
  <c r="L45" i="78"/>
  <c r="M45" i="78"/>
  <c r="N45" i="78"/>
  <c r="O45" i="78"/>
  <c r="P45" i="78"/>
  <c r="Q45" i="78"/>
  <c r="R45" i="78"/>
  <c r="S45" i="78"/>
  <c r="T45" i="78"/>
  <c r="U45" i="78"/>
  <c r="V45" i="78"/>
  <c r="W45" i="78"/>
  <c r="X45" i="78"/>
  <c r="Y45" i="78"/>
  <c r="Z45" i="78"/>
  <c r="AA45" i="78"/>
  <c r="AB45" i="78"/>
  <c r="B44" i="78"/>
  <c r="C44" i="78"/>
  <c r="D44" i="78"/>
  <c r="E44" i="78"/>
  <c r="F44" i="78"/>
  <c r="G44" i="78"/>
  <c r="H44" i="78"/>
  <c r="I44" i="78"/>
  <c r="J44" i="78"/>
  <c r="K44" i="78"/>
  <c r="L44" i="78"/>
  <c r="M44" i="78"/>
  <c r="N44" i="78"/>
  <c r="O44" i="78"/>
  <c r="P44" i="78"/>
  <c r="Q44" i="78"/>
  <c r="R44" i="78"/>
  <c r="S44" i="78"/>
  <c r="T44" i="78"/>
  <c r="U44" i="78"/>
  <c r="V44" i="78"/>
  <c r="W44" i="78"/>
  <c r="X44" i="78"/>
  <c r="Y44" i="78"/>
  <c r="Z44" i="78"/>
  <c r="AA44" i="78"/>
  <c r="AB44" i="78"/>
  <c r="B43" i="78"/>
  <c r="C43" i="78"/>
  <c r="D43" i="78"/>
  <c r="E43" i="78"/>
  <c r="F43" i="78"/>
  <c r="G43" i="78"/>
  <c r="H43" i="78"/>
  <c r="I43" i="78"/>
  <c r="J43" i="78"/>
  <c r="K43" i="78"/>
  <c r="L43" i="78"/>
  <c r="M43" i="78"/>
  <c r="N43" i="78"/>
  <c r="O43" i="78"/>
  <c r="P43" i="78"/>
  <c r="Q43" i="78"/>
  <c r="R43" i="78"/>
  <c r="S43" i="78"/>
  <c r="T43" i="78"/>
  <c r="U43" i="78"/>
  <c r="V43" i="78"/>
  <c r="W43" i="78"/>
  <c r="X43" i="78"/>
  <c r="Y43" i="78"/>
  <c r="Z43" i="78"/>
  <c r="AA43" i="78"/>
  <c r="AB43" i="78"/>
  <c r="B42" i="78"/>
  <c r="C42" i="78"/>
  <c r="D42" i="78"/>
  <c r="E42" i="78"/>
  <c r="F42" i="78"/>
  <c r="G42" i="78"/>
  <c r="H42" i="78"/>
  <c r="I42" i="78"/>
  <c r="J42" i="78"/>
  <c r="K42" i="78"/>
  <c r="L42" i="78"/>
  <c r="M42" i="78"/>
  <c r="N42" i="78"/>
  <c r="O42" i="78"/>
  <c r="P42" i="78"/>
  <c r="Q42" i="78"/>
  <c r="R42" i="78"/>
  <c r="S42" i="78"/>
  <c r="T42" i="78"/>
  <c r="U42" i="78"/>
  <c r="V42" i="78"/>
  <c r="W42" i="78"/>
  <c r="X42" i="78"/>
  <c r="Y42" i="78"/>
  <c r="Z42" i="78"/>
  <c r="AA42" i="78"/>
  <c r="AB42" i="78"/>
  <c r="B41" i="78"/>
  <c r="C41" i="78"/>
  <c r="D41" i="78"/>
  <c r="E41" i="78"/>
  <c r="F41" i="78"/>
  <c r="G41" i="78"/>
  <c r="H41" i="78"/>
  <c r="I41" i="78"/>
  <c r="J41" i="78"/>
  <c r="K41" i="78"/>
  <c r="L41" i="78"/>
  <c r="M41" i="78"/>
  <c r="N41" i="78"/>
  <c r="O41" i="78"/>
  <c r="P41" i="78"/>
  <c r="Q41" i="78"/>
  <c r="R41" i="78"/>
  <c r="S41" i="78"/>
  <c r="T41" i="78"/>
  <c r="U41" i="78"/>
  <c r="V41" i="78"/>
  <c r="W41" i="78"/>
  <c r="X41" i="78"/>
  <c r="Y41" i="78"/>
  <c r="Z41" i="78"/>
  <c r="AA41" i="78"/>
  <c r="AB41" i="78"/>
  <c r="B40" i="78"/>
  <c r="C40" i="78"/>
  <c r="D40" i="78"/>
  <c r="E40" i="78"/>
  <c r="F40" i="78"/>
  <c r="G40" i="78"/>
  <c r="H40" i="78"/>
  <c r="I40" i="78"/>
  <c r="J40" i="78"/>
  <c r="K40" i="78"/>
  <c r="L40" i="78"/>
  <c r="M40" i="78"/>
  <c r="N40" i="78"/>
  <c r="O40" i="78"/>
  <c r="P40" i="78"/>
  <c r="Q40" i="78"/>
  <c r="R40" i="78"/>
  <c r="S40" i="78"/>
  <c r="T40" i="78"/>
  <c r="U40" i="78"/>
  <c r="V40" i="78"/>
  <c r="W40" i="78"/>
  <c r="X40" i="78"/>
  <c r="Y40" i="78"/>
  <c r="Z40" i="78"/>
  <c r="AA40" i="78"/>
  <c r="AB40" i="78"/>
  <c r="B39" i="78"/>
  <c r="C39" i="78"/>
  <c r="D39" i="78"/>
  <c r="E39" i="78"/>
  <c r="F39" i="78"/>
  <c r="G39" i="78"/>
  <c r="H39" i="78"/>
  <c r="I39" i="78"/>
  <c r="J39" i="78"/>
  <c r="K39" i="78"/>
  <c r="L39" i="78"/>
  <c r="M39" i="78"/>
  <c r="N39" i="78"/>
  <c r="O39" i="78"/>
  <c r="P39" i="78"/>
  <c r="Q39" i="78"/>
  <c r="R39" i="78"/>
  <c r="S39" i="78"/>
  <c r="T39" i="78"/>
  <c r="U39" i="78"/>
  <c r="V39" i="78"/>
  <c r="W39" i="78"/>
  <c r="X39" i="78"/>
  <c r="Y39" i="78"/>
  <c r="Z39" i="78"/>
  <c r="AA39" i="78"/>
  <c r="AB39" i="78"/>
  <c r="B38" i="78"/>
  <c r="C38" i="78"/>
  <c r="D38" i="78"/>
  <c r="E38" i="78"/>
  <c r="F38" i="78"/>
  <c r="G38" i="78"/>
  <c r="H38" i="78"/>
  <c r="I38" i="78"/>
  <c r="J38" i="78"/>
  <c r="K38" i="78"/>
  <c r="L38" i="78"/>
  <c r="M38" i="78"/>
  <c r="N38" i="78"/>
  <c r="O38" i="78"/>
  <c r="P38" i="78"/>
  <c r="Q38" i="78"/>
  <c r="R38" i="78"/>
  <c r="S38" i="78"/>
  <c r="T38" i="78"/>
  <c r="U38" i="78"/>
  <c r="V38" i="78"/>
  <c r="W38" i="78"/>
  <c r="X38" i="78"/>
  <c r="Y38" i="78"/>
  <c r="Z38" i="78"/>
  <c r="AA38" i="78"/>
  <c r="AB38" i="78"/>
  <c r="B37" i="78"/>
  <c r="C37" i="78"/>
  <c r="D37" i="78"/>
  <c r="E37" i="78"/>
  <c r="F37" i="78"/>
  <c r="G37" i="78"/>
  <c r="H37" i="78"/>
  <c r="I37" i="78"/>
  <c r="J37" i="78"/>
  <c r="K37" i="78"/>
  <c r="L37" i="78"/>
  <c r="M37" i="78"/>
  <c r="N37" i="78"/>
  <c r="O37" i="78"/>
  <c r="P37" i="78"/>
  <c r="Q37" i="78"/>
  <c r="R37" i="78"/>
  <c r="S37" i="78"/>
  <c r="T37" i="78"/>
  <c r="U37" i="78"/>
  <c r="V37" i="78"/>
  <c r="W37" i="78"/>
  <c r="X37" i="78"/>
  <c r="Y37" i="78"/>
  <c r="Z37" i="78"/>
  <c r="AA37" i="78"/>
  <c r="AB37" i="78"/>
  <c r="B36" i="78"/>
  <c r="C36" i="78"/>
  <c r="D36" i="78"/>
  <c r="E36" i="78"/>
  <c r="F36" i="78"/>
  <c r="G36" i="78"/>
  <c r="H36" i="78"/>
  <c r="I36" i="78"/>
  <c r="J36" i="78"/>
  <c r="K36" i="78"/>
  <c r="L36" i="78"/>
  <c r="M36" i="78"/>
  <c r="N36" i="78"/>
  <c r="O36" i="78"/>
  <c r="P36" i="78"/>
  <c r="Q36" i="78"/>
  <c r="R36" i="78"/>
  <c r="S36" i="78"/>
  <c r="T36" i="78"/>
  <c r="U36" i="78"/>
  <c r="V36" i="78"/>
  <c r="W36" i="78"/>
  <c r="X36" i="78"/>
  <c r="Y36" i="78"/>
  <c r="Z36" i="78"/>
  <c r="AA36" i="78"/>
  <c r="AB36" i="78"/>
  <c r="B35" i="78"/>
  <c r="C35" i="78"/>
  <c r="D35" i="78"/>
  <c r="E35" i="78"/>
  <c r="F35" i="78"/>
  <c r="G35" i="78"/>
  <c r="H35" i="78"/>
  <c r="I35" i="78"/>
  <c r="J35" i="78"/>
  <c r="K35" i="78"/>
  <c r="L35" i="78"/>
  <c r="M35" i="78"/>
  <c r="N35" i="78"/>
  <c r="O35" i="78"/>
  <c r="P35" i="78"/>
  <c r="Q35" i="78"/>
  <c r="R35" i="78"/>
  <c r="S35" i="78"/>
  <c r="T35" i="78"/>
  <c r="U35" i="78"/>
  <c r="V35" i="78"/>
  <c r="W35" i="78"/>
  <c r="X35" i="78"/>
  <c r="Y35" i="78"/>
  <c r="Z35" i="78"/>
  <c r="AA35" i="78"/>
  <c r="AB35" i="78"/>
  <c r="B34" i="78"/>
  <c r="C34" i="78"/>
  <c r="D34" i="78"/>
  <c r="E34" i="78"/>
  <c r="F34" i="78"/>
  <c r="G34" i="78"/>
  <c r="H34" i="78"/>
  <c r="I34" i="78"/>
  <c r="J34" i="78"/>
  <c r="K34" i="78"/>
  <c r="L34" i="78"/>
  <c r="M34" i="78"/>
  <c r="N34" i="78"/>
  <c r="O34" i="78"/>
  <c r="P34" i="78"/>
  <c r="Q34" i="78"/>
  <c r="R34" i="78"/>
  <c r="S34" i="78"/>
  <c r="T34" i="78"/>
  <c r="U34" i="78"/>
  <c r="V34" i="78"/>
  <c r="W34" i="78"/>
  <c r="X34" i="78"/>
  <c r="Y34" i="78"/>
  <c r="Z34" i="78"/>
  <c r="AA34" i="78"/>
  <c r="AB34" i="78"/>
  <c r="B33" i="78"/>
  <c r="C33" i="78"/>
  <c r="D33" i="78"/>
  <c r="E33" i="78"/>
  <c r="F33" i="78"/>
  <c r="G33" i="78"/>
  <c r="H33" i="78"/>
  <c r="I33" i="78"/>
  <c r="J33" i="78"/>
  <c r="K33" i="78"/>
  <c r="L33" i="78"/>
  <c r="M33" i="78"/>
  <c r="N33" i="78"/>
  <c r="O33" i="78"/>
  <c r="P33" i="78"/>
  <c r="Q33" i="78"/>
  <c r="R33" i="78"/>
  <c r="S33" i="78"/>
  <c r="T33" i="78"/>
  <c r="U33" i="78"/>
  <c r="V33" i="78"/>
  <c r="W33" i="78"/>
  <c r="X33" i="78"/>
  <c r="Y33" i="78"/>
  <c r="Z33" i="78"/>
  <c r="AA33" i="78"/>
  <c r="AB33" i="78"/>
  <c r="B32" i="78"/>
  <c r="C32" i="78"/>
  <c r="D32" i="78"/>
  <c r="E32" i="78"/>
  <c r="F32" i="78"/>
  <c r="G32" i="78"/>
  <c r="H32" i="78"/>
  <c r="I32" i="78"/>
  <c r="J32" i="78"/>
  <c r="K32" i="78"/>
  <c r="L32" i="78"/>
  <c r="M32" i="78"/>
  <c r="N32" i="78"/>
  <c r="O32" i="78"/>
  <c r="P32" i="78"/>
  <c r="Q32" i="78"/>
  <c r="R32" i="78"/>
  <c r="S32" i="78"/>
  <c r="T32" i="78"/>
  <c r="U32" i="78"/>
  <c r="V32" i="78"/>
  <c r="W32" i="78"/>
  <c r="X32" i="78"/>
  <c r="Y32" i="78"/>
  <c r="Z32" i="78"/>
  <c r="AA32" i="78"/>
  <c r="AB32" i="78"/>
  <c r="B31" i="78"/>
  <c r="C31" i="78"/>
  <c r="D31" i="78"/>
  <c r="E31" i="78"/>
  <c r="F31" i="78"/>
  <c r="G31" i="78"/>
  <c r="H31" i="78"/>
  <c r="I31" i="78"/>
  <c r="J31" i="78"/>
  <c r="K31" i="78"/>
  <c r="L31" i="78"/>
  <c r="M31" i="78"/>
  <c r="N31" i="78"/>
  <c r="O31" i="78"/>
  <c r="P31" i="78"/>
  <c r="Q31" i="78"/>
  <c r="R31" i="78"/>
  <c r="S31" i="78"/>
  <c r="T31" i="78"/>
  <c r="U31" i="78"/>
  <c r="V31" i="78"/>
  <c r="W31" i="78"/>
  <c r="X31" i="78"/>
  <c r="Y31" i="78"/>
  <c r="Z31" i="78"/>
  <c r="AA31" i="78"/>
  <c r="AB31" i="78"/>
  <c r="B30" i="78"/>
  <c r="C30" i="78"/>
  <c r="D30" i="78"/>
  <c r="E30" i="78"/>
  <c r="F30" i="78"/>
  <c r="G30" i="78"/>
  <c r="H30" i="78"/>
  <c r="I30" i="78"/>
  <c r="J30" i="78"/>
  <c r="K30" i="78"/>
  <c r="L30" i="78"/>
  <c r="M30" i="78"/>
  <c r="N30" i="78"/>
  <c r="O30" i="78"/>
  <c r="P30" i="78"/>
  <c r="Q30" i="78"/>
  <c r="R30" i="78"/>
  <c r="S30" i="78"/>
  <c r="T30" i="78"/>
  <c r="U30" i="78"/>
  <c r="V30" i="78"/>
  <c r="W30" i="78"/>
  <c r="X30" i="78"/>
  <c r="Y30" i="78"/>
  <c r="Z30" i="78"/>
  <c r="AA30" i="78"/>
  <c r="AB30" i="78"/>
  <c r="B29" i="78"/>
  <c r="C29" i="78"/>
  <c r="D29" i="78"/>
  <c r="E29" i="78"/>
  <c r="F29" i="78"/>
  <c r="G29" i="78"/>
  <c r="H29" i="78"/>
  <c r="I29" i="78"/>
  <c r="J29" i="78"/>
  <c r="K29" i="78"/>
  <c r="L29" i="78"/>
  <c r="M29" i="78"/>
  <c r="N29" i="78"/>
  <c r="O29" i="78"/>
  <c r="P29" i="78"/>
  <c r="Q29" i="78"/>
  <c r="R29" i="78"/>
  <c r="S29" i="78"/>
  <c r="T29" i="78"/>
  <c r="U29" i="78"/>
  <c r="V29" i="78"/>
  <c r="W29" i="78"/>
  <c r="X29" i="78"/>
  <c r="Y29" i="78"/>
  <c r="Z29" i="78"/>
  <c r="AA29" i="78"/>
  <c r="AB29" i="78"/>
  <c r="B28" i="78"/>
  <c r="C28" i="78"/>
  <c r="D28" i="78"/>
  <c r="E28" i="78"/>
  <c r="F28" i="78"/>
  <c r="G28" i="78"/>
  <c r="H28" i="78"/>
  <c r="I28" i="78"/>
  <c r="J28" i="78"/>
  <c r="K28" i="78"/>
  <c r="L28" i="78"/>
  <c r="M28" i="78"/>
  <c r="N28" i="78"/>
  <c r="O28" i="78"/>
  <c r="P28" i="78"/>
  <c r="Q28" i="78"/>
  <c r="R28" i="78"/>
  <c r="S28" i="78"/>
  <c r="T28" i="78"/>
  <c r="U28" i="78"/>
  <c r="V28" i="78"/>
  <c r="W28" i="78"/>
  <c r="X28" i="78"/>
  <c r="Y28" i="78"/>
  <c r="Z28" i="78"/>
  <c r="AA28" i="78"/>
  <c r="AB28" i="78"/>
  <c r="B27" i="78"/>
  <c r="C27" i="78"/>
  <c r="D27" i="78"/>
  <c r="E27" i="78"/>
  <c r="F27" i="78"/>
  <c r="G27" i="78"/>
  <c r="H27" i="78"/>
  <c r="I27" i="78"/>
  <c r="J27" i="78"/>
  <c r="K27" i="78"/>
  <c r="L27" i="78"/>
  <c r="M27" i="78"/>
  <c r="N27" i="78"/>
  <c r="O27" i="78"/>
  <c r="P27" i="78"/>
  <c r="Q27" i="78"/>
  <c r="R27" i="78"/>
  <c r="S27" i="78"/>
  <c r="T27" i="78"/>
  <c r="U27" i="78"/>
  <c r="V27" i="78"/>
  <c r="W27" i="78"/>
  <c r="X27" i="78"/>
  <c r="Y27" i="78"/>
  <c r="Z27" i="78"/>
  <c r="AA27" i="78"/>
  <c r="AB27" i="78"/>
  <c r="B26" i="78"/>
  <c r="C26" i="78"/>
  <c r="D26" i="78"/>
  <c r="E26" i="78"/>
  <c r="F26" i="78"/>
  <c r="G26" i="78"/>
  <c r="H26" i="78"/>
  <c r="I26" i="78"/>
  <c r="J26" i="78"/>
  <c r="K26" i="78"/>
  <c r="L26" i="78"/>
  <c r="M26" i="78"/>
  <c r="N26" i="78"/>
  <c r="O26" i="78"/>
  <c r="P26" i="78"/>
  <c r="Q26" i="78"/>
  <c r="R26" i="78"/>
  <c r="S26" i="78"/>
  <c r="T26" i="78"/>
  <c r="U26" i="78"/>
  <c r="V26" i="78"/>
  <c r="W26" i="78"/>
  <c r="X26" i="78"/>
  <c r="Y26" i="78"/>
  <c r="Z26" i="78"/>
  <c r="AA26" i="78"/>
  <c r="AB26" i="78"/>
  <c r="B25" i="78"/>
  <c r="C25" i="78"/>
  <c r="D25" i="78"/>
  <c r="E25" i="78"/>
  <c r="F25" i="78"/>
  <c r="G25" i="78"/>
  <c r="H25" i="78"/>
  <c r="I25" i="78"/>
  <c r="J25" i="78"/>
  <c r="K25" i="78"/>
  <c r="L25" i="78"/>
  <c r="M25" i="78"/>
  <c r="N25" i="78"/>
  <c r="O25" i="78"/>
  <c r="P25" i="78"/>
  <c r="Q25" i="78"/>
  <c r="R25" i="78"/>
  <c r="S25" i="78"/>
  <c r="T25" i="78"/>
  <c r="U25" i="78"/>
  <c r="V25" i="78"/>
  <c r="W25" i="78"/>
  <c r="X25" i="78"/>
  <c r="Y25" i="78"/>
  <c r="Z25" i="78"/>
  <c r="AA25" i="78"/>
  <c r="AB25" i="78"/>
  <c r="B24" i="78"/>
  <c r="C24" i="78"/>
  <c r="D24" i="78"/>
  <c r="E24" i="78"/>
  <c r="F24" i="78"/>
  <c r="G24" i="78"/>
  <c r="H24" i="78"/>
  <c r="I24" i="78"/>
  <c r="J24" i="78"/>
  <c r="K24" i="78"/>
  <c r="L24" i="78"/>
  <c r="M24" i="78"/>
  <c r="N24" i="78"/>
  <c r="O24" i="78"/>
  <c r="P24" i="78"/>
  <c r="Q24" i="78"/>
  <c r="R24" i="78"/>
  <c r="S24" i="78"/>
  <c r="T24" i="78"/>
  <c r="U24" i="78"/>
  <c r="V24" i="78"/>
  <c r="W24" i="78"/>
  <c r="X24" i="78"/>
  <c r="Y24" i="78"/>
  <c r="Z24" i="78"/>
  <c r="AA24" i="78"/>
  <c r="AB24" i="78"/>
  <c r="B23" i="78"/>
  <c r="C23" i="78"/>
  <c r="D23" i="78"/>
  <c r="E23" i="78"/>
  <c r="F23" i="78"/>
  <c r="G23" i="78"/>
  <c r="H23" i="78"/>
  <c r="I23" i="78"/>
  <c r="J23" i="78"/>
  <c r="K23" i="78"/>
  <c r="L23" i="78"/>
  <c r="M23" i="78"/>
  <c r="N23" i="78"/>
  <c r="O23" i="78"/>
  <c r="P23" i="78"/>
  <c r="Q23" i="78"/>
  <c r="R23" i="78"/>
  <c r="S23" i="78"/>
  <c r="T23" i="78"/>
  <c r="U23" i="78"/>
  <c r="V23" i="78"/>
  <c r="W23" i="78"/>
  <c r="X23" i="78"/>
  <c r="Y23" i="78"/>
  <c r="Z23" i="78"/>
  <c r="AA23" i="78"/>
  <c r="AB23" i="78"/>
  <c r="B22" i="78"/>
  <c r="C22" i="78"/>
  <c r="D22" i="78"/>
  <c r="E22" i="78"/>
  <c r="F22" i="78"/>
  <c r="G22" i="78"/>
  <c r="H22" i="78"/>
  <c r="I22" i="78"/>
  <c r="J22" i="78"/>
  <c r="K22" i="78"/>
  <c r="L22" i="78"/>
  <c r="M22" i="78"/>
  <c r="N22" i="78"/>
  <c r="O22" i="78"/>
  <c r="P22" i="78"/>
  <c r="Q22" i="78"/>
  <c r="R22" i="78"/>
  <c r="S22" i="78"/>
  <c r="T22" i="78"/>
  <c r="U22" i="78"/>
  <c r="V22" i="78"/>
  <c r="W22" i="78"/>
  <c r="X22" i="78"/>
  <c r="Y22" i="78"/>
  <c r="Z22" i="78"/>
  <c r="AA22" i="78"/>
  <c r="AB22" i="78"/>
  <c r="B21" i="78"/>
  <c r="C21" i="78"/>
  <c r="D21" i="78"/>
  <c r="E21" i="78"/>
  <c r="F21" i="78"/>
  <c r="G21" i="78"/>
  <c r="H21" i="78"/>
  <c r="I21" i="78"/>
  <c r="J21" i="78"/>
  <c r="K21" i="78"/>
  <c r="L21" i="78"/>
  <c r="M21" i="78"/>
  <c r="N21" i="78"/>
  <c r="O21" i="78"/>
  <c r="P21" i="78"/>
  <c r="Q21" i="78"/>
  <c r="R21" i="78"/>
  <c r="S21" i="78"/>
  <c r="T21" i="78"/>
  <c r="U21" i="78"/>
  <c r="V21" i="78"/>
  <c r="W21" i="78"/>
  <c r="X21" i="78"/>
  <c r="Y21" i="78"/>
  <c r="Z21" i="78"/>
  <c r="AA21" i="78"/>
  <c r="AB21" i="78"/>
  <c r="B20" i="78"/>
  <c r="C20" i="78"/>
  <c r="D20" i="78"/>
  <c r="E20" i="78"/>
  <c r="F20" i="78"/>
  <c r="G20" i="78"/>
  <c r="H20" i="78"/>
  <c r="I20" i="78"/>
  <c r="J20" i="78"/>
  <c r="K20" i="78"/>
  <c r="L20" i="78"/>
  <c r="M20" i="78"/>
  <c r="N20" i="78"/>
  <c r="O20" i="78"/>
  <c r="P20" i="78"/>
  <c r="Q20" i="78"/>
  <c r="R20" i="78"/>
  <c r="S20" i="78"/>
  <c r="T20" i="78"/>
  <c r="U20" i="78"/>
  <c r="V20" i="78"/>
  <c r="W20" i="78"/>
  <c r="X20" i="78"/>
  <c r="Y20" i="78"/>
  <c r="Z20" i="78"/>
  <c r="AA20" i="78"/>
  <c r="AB20" i="78"/>
  <c r="B19" i="78"/>
  <c r="C19" i="78"/>
  <c r="D19" i="78"/>
  <c r="E19" i="78"/>
  <c r="F19" i="78"/>
  <c r="G19" i="78"/>
  <c r="H19" i="78"/>
  <c r="I19" i="78"/>
  <c r="J19" i="78"/>
  <c r="K19" i="78"/>
  <c r="L19" i="78"/>
  <c r="M19" i="78"/>
  <c r="N19" i="78"/>
  <c r="O19" i="78"/>
  <c r="P19" i="78"/>
  <c r="Q19" i="78"/>
  <c r="R19" i="78"/>
  <c r="S19" i="78"/>
  <c r="T19" i="78"/>
  <c r="U19" i="78"/>
  <c r="V19" i="78"/>
  <c r="W19" i="78"/>
  <c r="X19" i="78"/>
  <c r="Y19" i="78"/>
  <c r="Z19" i="78"/>
  <c r="AA19" i="78"/>
  <c r="AB19" i="78"/>
  <c r="B18" i="78"/>
  <c r="C18" i="78"/>
  <c r="D18" i="78"/>
  <c r="E18" i="78"/>
  <c r="F18" i="78"/>
  <c r="G18" i="78"/>
  <c r="H18" i="78"/>
  <c r="I18" i="78"/>
  <c r="J18" i="78"/>
  <c r="K18" i="78"/>
  <c r="L18" i="78"/>
  <c r="M18" i="78"/>
  <c r="N18" i="78"/>
  <c r="O18" i="78"/>
  <c r="P18" i="78"/>
  <c r="Q18" i="78"/>
  <c r="R18" i="78"/>
  <c r="S18" i="78"/>
  <c r="T18" i="78"/>
  <c r="U18" i="78"/>
  <c r="V18" i="78"/>
  <c r="W18" i="78"/>
  <c r="X18" i="78"/>
  <c r="Y18" i="78"/>
  <c r="Z18" i="78"/>
  <c r="AA18" i="78"/>
  <c r="AB18" i="78"/>
  <c r="B17" i="78"/>
  <c r="C17" i="78"/>
  <c r="D17" i="78"/>
  <c r="E17" i="78"/>
  <c r="F17" i="78"/>
  <c r="G17" i="78"/>
  <c r="H17" i="78"/>
  <c r="I17" i="78"/>
  <c r="J17" i="78"/>
  <c r="K17" i="78"/>
  <c r="L17" i="78"/>
  <c r="M17" i="78"/>
  <c r="N17" i="78"/>
  <c r="O17" i="78"/>
  <c r="P17" i="78"/>
  <c r="Q17" i="78"/>
  <c r="R17" i="78"/>
  <c r="S17" i="78"/>
  <c r="T17" i="78"/>
  <c r="U17" i="78"/>
  <c r="V17" i="78"/>
  <c r="W17" i="78"/>
  <c r="X17" i="78"/>
  <c r="Y17" i="78"/>
  <c r="Z17" i="78"/>
  <c r="AA17" i="78"/>
  <c r="AB17" i="78"/>
  <c r="B16" i="78"/>
  <c r="C16" i="78"/>
  <c r="D16" i="78"/>
  <c r="E16" i="78"/>
  <c r="F16" i="78"/>
  <c r="G16" i="78"/>
  <c r="H16" i="78"/>
  <c r="I16" i="78"/>
  <c r="J16" i="78"/>
  <c r="K16" i="78"/>
  <c r="L16" i="78"/>
  <c r="M16" i="78"/>
  <c r="N16" i="78"/>
  <c r="O16" i="78"/>
  <c r="P16" i="78"/>
  <c r="Q16" i="78"/>
  <c r="R16" i="78"/>
  <c r="S16" i="78"/>
  <c r="T16" i="78"/>
  <c r="U16" i="78"/>
  <c r="V16" i="78"/>
  <c r="W16" i="78"/>
  <c r="X16" i="78"/>
  <c r="Y16" i="78"/>
  <c r="Z16" i="78"/>
  <c r="AA16" i="78"/>
  <c r="AB16" i="78"/>
  <c r="B15" i="78"/>
  <c r="C15" i="78"/>
  <c r="D15" i="78"/>
  <c r="E15" i="78"/>
  <c r="F15" i="78"/>
  <c r="G15" i="78"/>
  <c r="H15" i="78"/>
  <c r="I15" i="78"/>
  <c r="J15" i="78"/>
  <c r="K15" i="78"/>
  <c r="L15" i="78"/>
  <c r="M15" i="78"/>
  <c r="N15" i="78"/>
  <c r="O15" i="78"/>
  <c r="P15" i="78"/>
  <c r="Q15" i="78"/>
  <c r="R15" i="78"/>
  <c r="S15" i="78"/>
  <c r="T15" i="78"/>
  <c r="U15" i="78"/>
  <c r="V15" i="78"/>
  <c r="W15" i="78"/>
  <c r="X15" i="78"/>
  <c r="Y15" i="78"/>
  <c r="Z15" i="78"/>
  <c r="AA15" i="78"/>
  <c r="AB15" i="78"/>
  <c r="B14" i="78"/>
  <c r="C14" i="78"/>
  <c r="D14" i="78"/>
  <c r="E14" i="78"/>
  <c r="F14" i="78"/>
  <c r="G14" i="78"/>
  <c r="H14" i="78"/>
  <c r="I14" i="78"/>
  <c r="J14" i="78"/>
  <c r="K14" i="78"/>
  <c r="L14" i="78"/>
  <c r="M14" i="78"/>
  <c r="N14" i="78"/>
  <c r="O14" i="78"/>
  <c r="P14" i="78"/>
  <c r="Q14" i="78"/>
  <c r="R14" i="78"/>
  <c r="S14" i="78"/>
  <c r="T14" i="78"/>
  <c r="U14" i="78"/>
  <c r="V14" i="78"/>
  <c r="W14" i="78"/>
  <c r="X14" i="78"/>
  <c r="Y14" i="78"/>
  <c r="Z14" i="78"/>
  <c r="AA14" i="78"/>
  <c r="AB14" i="78"/>
  <c r="B13" i="78"/>
  <c r="C13" i="78"/>
  <c r="D13" i="78"/>
  <c r="E13" i="78"/>
  <c r="F13" i="78"/>
  <c r="G13" i="78"/>
  <c r="H13" i="78"/>
  <c r="I13" i="78"/>
  <c r="J13" i="78"/>
  <c r="K13" i="78"/>
  <c r="L13" i="78"/>
  <c r="M13" i="78"/>
  <c r="N13" i="78"/>
  <c r="O13" i="78"/>
  <c r="P13" i="78"/>
  <c r="Q13" i="78"/>
  <c r="R13" i="78"/>
  <c r="S13" i="78"/>
  <c r="T13" i="78"/>
  <c r="U13" i="78"/>
  <c r="V13" i="78"/>
  <c r="W13" i="78"/>
  <c r="X13" i="78"/>
  <c r="Y13" i="78"/>
  <c r="Z13" i="78"/>
  <c r="AA13" i="78"/>
  <c r="AB13" i="78"/>
  <c r="B12" i="78"/>
  <c r="C12" i="78"/>
  <c r="D12" i="78"/>
  <c r="E12" i="78"/>
  <c r="F12" i="78"/>
  <c r="G12" i="78"/>
  <c r="H12" i="78"/>
  <c r="I12" i="78"/>
  <c r="J12" i="78"/>
  <c r="K12" i="78"/>
  <c r="L12" i="78"/>
  <c r="M12" i="78"/>
  <c r="N12" i="78"/>
  <c r="O12" i="78"/>
  <c r="P12" i="78"/>
  <c r="Q12" i="78"/>
  <c r="R12" i="78"/>
  <c r="S12" i="78"/>
  <c r="T12" i="78"/>
  <c r="U12" i="78"/>
  <c r="V12" i="78"/>
  <c r="W12" i="78"/>
  <c r="X12" i="78"/>
  <c r="Y12" i="78"/>
  <c r="Z12" i="78"/>
  <c r="AA12" i="78"/>
  <c r="AB12" i="78"/>
  <c r="B11" i="78"/>
  <c r="C11" i="78"/>
  <c r="D11" i="78"/>
  <c r="E11" i="78"/>
  <c r="F11" i="78"/>
  <c r="G11" i="78"/>
  <c r="H11" i="78"/>
  <c r="I11" i="78"/>
  <c r="J11" i="78"/>
  <c r="K11" i="78"/>
  <c r="L11" i="78"/>
  <c r="M11" i="78"/>
  <c r="N11" i="78"/>
  <c r="O11" i="78"/>
  <c r="P11" i="78"/>
  <c r="Q11" i="78"/>
  <c r="R11" i="78"/>
  <c r="S11" i="78"/>
  <c r="T11" i="78"/>
  <c r="U11" i="78"/>
  <c r="V11" i="78"/>
  <c r="W11" i="78"/>
  <c r="X11" i="78"/>
  <c r="Y11" i="78"/>
  <c r="Z11" i="78"/>
  <c r="AA11" i="78"/>
  <c r="AB11" i="78"/>
  <c r="B10" i="78"/>
  <c r="C10" i="78"/>
  <c r="D10" i="78"/>
  <c r="E10" i="78"/>
  <c r="F10" i="78"/>
  <c r="G10" i="78"/>
  <c r="H10" i="78"/>
  <c r="I10" i="78"/>
  <c r="J10" i="78"/>
  <c r="K10" i="78"/>
  <c r="L10" i="78"/>
  <c r="M10" i="78"/>
  <c r="N10" i="78"/>
  <c r="O10" i="78"/>
  <c r="P10" i="78"/>
  <c r="Q10" i="78"/>
  <c r="R10" i="78"/>
  <c r="S10" i="78"/>
  <c r="T10" i="78"/>
  <c r="U10" i="78"/>
  <c r="V10" i="78"/>
  <c r="W10" i="78"/>
  <c r="X10" i="78"/>
  <c r="Y10" i="78"/>
  <c r="Z10" i="78"/>
  <c r="AA10" i="78"/>
  <c r="AB10" i="78"/>
  <c r="B9" i="78"/>
  <c r="C9" i="78"/>
  <c r="D9" i="78"/>
  <c r="E9" i="78"/>
  <c r="F9" i="78"/>
  <c r="G9" i="78"/>
  <c r="H9" i="78"/>
  <c r="I9" i="78"/>
  <c r="J9" i="78"/>
  <c r="K9" i="78"/>
  <c r="L9" i="78"/>
  <c r="M9" i="78"/>
  <c r="N9" i="78"/>
  <c r="O9" i="78"/>
  <c r="P9" i="78"/>
  <c r="Q9" i="78"/>
  <c r="R9" i="78"/>
  <c r="S9" i="78"/>
  <c r="T9" i="78"/>
  <c r="U9" i="78"/>
  <c r="V9" i="78"/>
  <c r="W9" i="78"/>
  <c r="X9" i="78"/>
  <c r="Y9" i="78"/>
  <c r="Z9" i="78"/>
  <c r="AA9" i="78"/>
  <c r="AB9" i="78"/>
  <c r="B8" i="78"/>
  <c r="C8" i="78"/>
  <c r="D8" i="78"/>
  <c r="E8" i="78"/>
  <c r="F8" i="78"/>
  <c r="G8" i="78"/>
  <c r="H8" i="78"/>
  <c r="I8" i="78"/>
  <c r="J8" i="78"/>
  <c r="K8" i="78"/>
  <c r="L8" i="78"/>
  <c r="M8" i="78"/>
  <c r="N8" i="78"/>
  <c r="O8" i="78"/>
  <c r="P8" i="78"/>
  <c r="Q8" i="78"/>
  <c r="R8" i="78"/>
  <c r="S8" i="78"/>
  <c r="T8" i="78"/>
  <c r="U8" i="78"/>
  <c r="V8" i="78"/>
  <c r="W8" i="78"/>
  <c r="X8" i="78"/>
  <c r="Y8" i="78"/>
  <c r="Z8" i="78"/>
  <c r="AA8" i="78"/>
  <c r="AB8" i="78"/>
  <c r="B7" i="78"/>
  <c r="C7" i="78"/>
  <c r="D7" i="78"/>
  <c r="E7" i="78"/>
  <c r="F7" i="78"/>
  <c r="G7" i="78"/>
  <c r="H7" i="78"/>
  <c r="I7" i="78"/>
  <c r="J7" i="78"/>
  <c r="K7" i="78"/>
  <c r="L7" i="78"/>
  <c r="M7" i="78"/>
  <c r="N7" i="78"/>
  <c r="O7" i="78"/>
  <c r="P7" i="78"/>
  <c r="Q7" i="78"/>
  <c r="R7" i="78"/>
  <c r="S7" i="78"/>
  <c r="T7" i="78"/>
  <c r="U7" i="78"/>
  <c r="V7" i="78"/>
  <c r="W7" i="78"/>
  <c r="X7" i="78"/>
  <c r="Y7" i="78"/>
  <c r="Z7" i="78"/>
  <c r="AA7" i="78"/>
  <c r="AB7" i="78"/>
  <c r="B6" i="78"/>
  <c r="C6" i="78"/>
  <c r="D6" i="78"/>
  <c r="E6" i="78"/>
  <c r="F6" i="78"/>
  <c r="G6" i="78"/>
  <c r="H6" i="78"/>
  <c r="I6" i="78"/>
  <c r="J6" i="78"/>
  <c r="K6" i="78"/>
  <c r="L6" i="78"/>
  <c r="M6" i="78"/>
  <c r="N6" i="78"/>
  <c r="O6" i="78"/>
  <c r="P6" i="78"/>
  <c r="Q6" i="78"/>
  <c r="R6" i="78"/>
  <c r="S6" i="78"/>
  <c r="T6" i="78"/>
  <c r="U6" i="78"/>
  <c r="V6" i="78"/>
  <c r="W6" i="78"/>
  <c r="X6" i="78"/>
  <c r="Y6" i="78"/>
  <c r="Z6" i="78"/>
  <c r="AA6" i="78"/>
  <c r="AB6" i="78"/>
  <c r="B5" i="78"/>
  <c r="C5" i="78"/>
  <c r="D5" i="78"/>
  <c r="E5" i="78"/>
  <c r="F5" i="78"/>
  <c r="G5" i="78"/>
  <c r="H5" i="78"/>
  <c r="I5" i="78"/>
  <c r="J5" i="78"/>
  <c r="K5" i="78"/>
  <c r="L5" i="78"/>
  <c r="M5" i="78"/>
  <c r="N5" i="78"/>
  <c r="O5" i="78"/>
  <c r="P5" i="78"/>
  <c r="Q5" i="78"/>
  <c r="R5" i="78"/>
  <c r="S5" i="78"/>
  <c r="T5" i="78"/>
  <c r="U5" i="78"/>
  <c r="V5" i="78"/>
  <c r="W5" i="78"/>
  <c r="X5" i="78"/>
  <c r="Y5" i="78"/>
  <c r="Z5" i="78"/>
  <c r="AA5" i="78"/>
  <c r="AB5" i="78"/>
  <c r="B4" i="78"/>
  <c r="C4" i="78"/>
  <c r="D4" i="78"/>
  <c r="E4" i="78"/>
  <c r="F4" i="78"/>
  <c r="G4" i="78"/>
  <c r="H4" i="78"/>
  <c r="I4" i="78"/>
  <c r="J4" i="78"/>
  <c r="K4" i="78"/>
  <c r="L4" i="78"/>
  <c r="M4" i="78"/>
  <c r="N4" i="78"/>
  <c r="O4" i="78"/>
  <c r="P4" i="78"/>
  <c r="Q4" i="78"/>
  <c r="R4" i="78"/>
  <c r="S4" i="78"/>
  <c r="T4" i="78"/>
  <c r="U4" i="78"/>
  <c r="V4" i="78"/>
  <c r="W4" i="78"/>
  <c r="X4" i="78"/>
  <c r="Y4" i="78"/>
  <c r="Z4" i="78"/>
  <c r="AA4" i="78"/>
  <c r="AB4" i="78"/>
  <c r="B3" i="78"/>
  <c r="C3" i="78"/>
  <c r="D3" i="78"/>
  <c r="E3" i="78"/>
  <c r="F3" i="78"/>
  <c r="G3" i="78"/>
  <c r="H3" i="78"/>
  <c r="I3" i="78"/>
  <c r="J3" i="78"/>
  <c r="K3" i="78"/>
  <c r="L3" i="78"/>
  <c r="M3" i="78"/>
  <c r="N3" i="78"/>
  <c r="O3" i="78"/>
  <c r="P3" i="78"/>
  <c r="Q3" i="78"/>
  <c r="R3" i="78"/>
  <c r="S3" i="78"/>
  <c r="T3" i="78"/>
  <c r="U3" i="78"/>
  <c r="V3" i="78"/>
  <c r="W3" i="78"/>
  <c r="X3" i="78"/>
  <c r="Y3" i="78"/>
  <c r="Z3" i="78"/>
  <c r="AA3" i="78"/>
  <c r="AB3" i="78"/>
  <c r="B2" i="78"/>
  <c r="C2" i="78"/>
  <c r="D2" i="78"/>
  <c r="E2" i="78"/>
  <c r="F2" i="78"/>
  <c r="G2" i="78"/>
  <c r="H2" i="78"/>
  <c r="I2" i="78"/>
  <c r="J2" i="78"/>
  <c r="K2" i="78"/>
  <c r="L2" i="78"/>
  <c r="M2" i="78"/>
  <c r="N2" i="78"/>
  <c r="O2" i="78"/>
  <c r="P2" i="78"/>
  <c r="Q2" i="78"/>
  <c r="R2" i="78"/>
  <c r="S2" i="78"/>
  <c r="T2" i="78"/>
  <c r="U2" i="78"/>
  <c r="V2" i="78"/>
  <c r="W2" i="78"/>
  <c r="X2" i="78"/>
  <c r="Y2" i="78"/>
  <c r="Z2" i="78"/>
  <c r="AA2" i="78"/>
  <c r="AB2" i="78"/>
  <c r="AE22" i="68"/>
  <c r="F6" i="67"/>
  <c r="G6" i="67"/>
  <c r="H6" i="67"/>
  <c r="I6" i="67"/>
  <c r="J6" i="67"/>
  <c r="K6" i="67"/>
  <c r="L6" i="67"/>
  <c r="M6" i="67"/>
  <c r="N6" i="67"/>
  <c r="O6" i="67"/>
  <c r="P6" i="67"/>
  <c r="Q6" i="67"/>
  <c r="R6" i="67"/>
  <c r="S6" i="67"/>
  <c r="T6" i="67"/>
  <c r="U6" i="67"/>
  <c r="V6" i="67"/>
  <c r="W6" i="67"/>
  <c r="X6" i="67"/>
  <c r="Y6" i="67"/>
  <c r="Z6" i="67"/>
  <c r="AA6" i="67"/>
  <c r="AB6" i="67"/>
  <c r="AC6" i="67"/>
  <c r="AD6" i="67"/>
  <c r="F8" i="67"/>
  <c r="G8" i="67"/>
  <c r="H8" i="67"/>
  <c r="I8" i="67"/>
  <c r="J8" i="67"/>
  <c r="K8" i="67"/>
  <c r="L8" i="67"/>
  <c r="M8" i="67"/>
  <c r="N8" i="67"/>
  <c r="O8" i="67"/>
  <c r="P8" i="67"/>
  <c r="Q8" i="67"/>
  <c r="R8" i="67"/>
  <c r="S8" i="67"/>
  <c r="T8" i="67"/>
  <c r="U8" i="67"/>
  <c r="V8" i="67"/>
  <c r="W8" i="67"/>
  <c r="X8" i="67"/>
  <c r="Y8" i="67"/>
  <c r="Z8" i="67"/>
  <c r="AA8" i="67"/>
  <c r="AB8" i="67"/>
  <c r="AC8" i="67"/>
  <c r="AD8" i="67"/>
  <c r="E8" i="67"/>
  <c r="D16" i="67"/>
  <c r="D15" i="67"/>
  <c r="D13" i="67"/>
  <c r="D12" i="67"/>
  <c r="D7" i="67"/>
  <c r="D8" i="67"/>
  <c r="D5" i="67"/>
  <c r="D4" i="67"/>
  <c r="D3" i="67"/>
  <c r="AH19" i="64" l="1"/>
  <c r="AH52" i="64"/>
  <c r="AH51" i="64"/>
  <c r="D14" i="67"/>
  <c r="C14" i="67"/>
  <c r="B4" i="24" l="1"/>
  <c r="B15" i="80" s="1"/>
  <c r="B4" i="84" s="1"/>
  <c r="C4" i="24"/>
  <c r="D4" i="24"/>
  <c r="E4" i="24"/>
  <c r="F4" i="24"/>
  <c r="G4" i="24"/>
  <c r="H4" i="24"/>
  <c r="I4" i="24"/>
  <c r="J4" i="24"/>
  <c r="K4" i="24"/>
  <c r="L4" i="24"/>
  <c r="M4" i="24"/>
  <c r="N4" i="24"/>
  <c r="O4" i="24"/>
  <c r="P4" i="24"/>
  <c r="Q4" i="24"/>
  <c r="R4" i="24"/>
  <c r="S4" i="24"/>
  <c r="T4" i="24"/>
  <c r="U4" i="24"/>
  <c r="V4" i="24"/>
  <c r="W4" i="24"/>
  <c r="X4" i="24"/>
  <c r="Y4" i="24"/>
  <c r="Z4" i="24"/>
  <c r="AA4" i="24"/>
  <c r="AB4" i="24"/>
  <c r="C5" i="24"/>
  <c r="D5" i="24"/>
  <c r="E5" i="24"/>
  <c r="F5" i="24"/>
  <c r="G5" i="24"/>
  <c r="H5" i="24"/>
  <c r="I5" i="24"/>
  <c r="J5" i="24"/>
  <c r="K5" i="24"/>
  <c r="L5" i="24"/>
  <c r="M5" i="24"/>
  <c r="N5" i="24"/>
  <c r="O5" i="24"/>
  <c r="P5" i="24"/>
  <c r="Q5" i="24"/>
  <c r="R5" i="24"/>
  <c r="S5" i="24"/>
  <c r="T5" i="24"/>
  <c r="U5" i="24"/>
  <c r="V5" i="24"/>
  <c r="W5" i="24"/>
  <c r="X5" i="24"/>
  <c r="Y5" i="24"/>
  <c r="Z5" i="24"/>
  <c r="AA5" i="24"/>
  <c r="AB5" i="24"/>
  <c r="B6" i="24"/>
  <c r="B17" i="80" s="1"/>
  <c r="B6" i="84" s="1"/>
  <c r="C6" i="24"/>
  <c r="D6" i="24"/>
  <c r="E6" i="24"/>
  <c r="F6" i="24"/>
  <c r="G6" i="24"/>
  <c r="H6" i="24"/>
  <c r="I6" i="24"/>
  <c r="J6" i="24"/>
  <c r="K6" i="24"/>
  <c r="L6" i="24"/>
  <c r="M6" i="24"/>
  <c r="N6" i="24"/>
  <c r="O6" i="24"/>
  <c r="P6" i="24"/>
  <c r="Q6" i="24"/>
  <c r="R6" i="24"/>
  <c r="S6" i="24"/>
  <c r="T6" i="24"/>
  <c r="U6" i="24"/>
  <c r="V6" i="24"/>
  <c r="W6" i="24"/>
  <c r="X6" i="24"/>
  <c r="Y6" i="24"/>
  <c r="Z6" i="24"/>
  <c r="AA6" i="24"/>
  <c r="AB6" i="24"/>
  <c r="B7" i="24"/>
  <c r="B18" i="80" s="1"/>
  <c r="B7" i="84" s="1"/>
  <c r="C7" i="24"/>
  <c r="C18" i="80" s="1"/>
  <c r="C7" i="84" s="1"/>
  <c r="D7" i="24"/>
  <c r="D18" i="80" s="1"/>
  <c r="D7" i="84" s="1"/>
  <c r="E7" i="24"/>
  <c r="E18" i="80" s="1"/>
  <c r="E7" i="84" s="1"/>
  <c r="F7" i="24"/>
  <c r="F18" i="80" s="1"/>
  <c r="F7" i="84" s="1"/>
  <c r="G7" i="24"/>
  <c r="G18" i="80" s="1"/>
  <c r="G7" i="84" s="1"/>
  <c r="H7" i="24"/>
  <c r="H18" i="80" s="1"/>
  <c r="H7" i="84" s="1"/>
  <c r="I7" i="24"/>
  <c r="I18" i="80" s="1"/>
  <c r="I7" i="84" s="1"/>
  <c r="J7" i="24"/>
  <c r="J18" i="80" s="1"/>
  <c r="J7" i="84" s="1"/>
  <c r="K7" i="24"/>
  <c r="K18" i="80" s="1"/>
  <c r="K7" i="84" s="1"/>
  <c r="L7" i="24"/>
  <c r="L18" i="80" s="1"/>
  <c r="L7" i="84" s="1"/>
  <c r="M7" i="24"/>
  <c r="M18" i="80" s="1"/>
  <c r="M7" i="84" s="1"/>
  <c r="N7" i="24"/>
  <c r="N18" i="80" s="1"/>
  <c r="N7" i="84" s="1"/>
  <c r="O7" i="24"/>
  <c r="O18" i="80" s="1"/>
  <c r="O7" i="84" s="1"/>
  <c r="P7" i="24"/>
  <c r="P18" i="80" s="1"/>
  <c r="P7" i="84" s="1"/>
  <c r="Q7" i="24"/>
  <c r="Q18" i="80" s="1"/>
  <c r="Q7" i="84" s="1"/>
  <c r="R7" i="24"/>
  <c r="R18" i="80" s="1"/>
  <c r="R7" i="84" s="1"/>
  <c r="S7" i="24"/>
  <c r="S18" i="80" s="1"/>
  <c r="S7" i="84" s="1"/>
  <c r="T7" i="24"/>
  <c r="T18" i="80" s="1"/>
  <c r="T7" i="84" s="1"/>
  <c r="U7" i="24"/>
  <c r="U18" i="80" s="1"/>
  <c r="U7" i="84" s="1"/>
  <c r="V7" i="24"/>
  <c r="V18" i="80" s="1"/>
  <c r="V7" i="84" s="1"/>
  <c r="W7" i="24"/>
  <c r="W18" i="80" s="1"/>
  <c r="W7" i="84" s="1"/>
  <c r="X7" i="24"/>
  <c r="X18" i="80" s="1"/>
  <c r="X7" i="84" s="1"/>
  <c r="Y7" i="24"/>
  <c r="Y18" i="80" s="1"/>
  <c r="Y7" i="84" s="1"/>
  <c r="Z7" i="24"/>
  <c r="Z18" i="80" s="1"/>
  <c r="Z7" i="84" s="1"/>
  <c r="AA7" i="24"/>
  <c r="AA18" i="80" s="1"/>
  <c r="AA7" i="84" s="1"/>
  <c r="AB7" i="24"/>
  <c r="AB18" i="80" s="1"/>
  <c r="AB7" i="84" s="1"/>
  <c r="B2" i="23"/>
  <c r="B5" i="80" s="1"/>
  <c r="B2" i="83" s="1"/>
  <c r="C2" i="23"/>
  <c r="D2" i="23"/>
  <c r="E2" i="23"/>
  <c r="F2" i="23"/>
  <c r="G2" i="23"/>
  <c r="H2" i="23"/>
  <c r="I2" i="23"/>
  <c r="J2" i="23"/>
  <c r="K2" i="23"/>
  <c r="L2" i="23"/>
  <c r="M2" i="23"/>
  <c r="N2" i="23"/>
  <c r="O2" i="23"/>
  <c r="P2" i="23"/>
  <c r="Q2" i="23"/>
  <c r="R2" i="23"/>
  <c r="S2" i="23"/>
  <c r="T2" i="23"/>
  <c r="U2" i="23"/>
  <c r="V2" i="23"/>
  <c r="W2" i="23"/>
  <c r="X2" i="23"/>
  <c r="Y2" i="23"/>
  <c r="Z2" i="23"/>
  <c r="AA2" i="23"/>
  <c r="AB2" i="23"/>
  <c r="B3" i="23"/>
  <c r="B6" i="80" s="1"/>
  <c r="B3" i="83" s="1"/>
  <c r="C3" i="23"/>
  <c r="F3" i="23"/>
  <c r="G3" i="23"/>
  <c r="H3" i="23"/>
  <c r="I3" i="23"/>
  <c r="Q3" i="23"/>
  <c r="S3" i="23"/>
  <c r="T3" i="23"/>
  <c r="U3" i="23"/>
  <c r="W3" i="23"/>
  <c r="AA3" i="23"/>
  <c r="AB3" i="23"/>
  <c r="B4" i="23"/>
  <c r="B7" i="80" s="1"/>
  <c r="B4" i="83" s="1"/>
  <c r="C4" i="23"/>
  <c r="D4" i="23"/>
  <c r="E4" i="23"/>
  <c r="F4" i="23"/>
  <c r="G4" i="23"/>
  <c r="H4" i="23"/>
  <c r="I4" i="23"/>
  <c r="J4" i="23"/>
  <c r="K4" i="23"/>
  <c r="L4" i="23"/>
  <c r="M4" i="23"/>
  <c r="N4" i="23"/>
  <c r="O4" i="23"/>
  <c r="P4" i="23"/>
  <c r="Q4" i="23"/>
  <c r="R4" i="23"/>
  <c r="S4" i="23"/>
  <c r="T4" i="23"/>
  <c r="U4" i="23"/>
  <c r="V4" i="23"/>
  <c r="W4" i="23"/>
  <c r="X4" i="23"/>
  <c r="Y4" i="23"/>
  <c r="Z4" i="23"/>
  <c r="AA4" i="23"/>
  <c r="AB4" i="23"/>
  <c r="B5" i="23"/>
  <c r="B8" i="80" s="1"/>
  <c r="B5" i="83" s="1"/>
  <c r="C5" i="23"/>
  <c r="D5" i="23"/>
  <c r="D8" i="80" s="1"/>
  <c r="D5" i="83" s="1"/>
  <c r="E5" i="23"/>
  <c r="E8" i="80" s="1"/>
  <c r="E5" i="83" s="1"/>
  <c r="F5" i="23"/>
  <c r="F8" i="80" s="1"/>
  <c r="F5" i="83" s="1"/>
  <c r="G5" i="23"/>
  <c r="G8" i="80" s="1"/>
  <c r="G5" i="83" s="1"/>
  <c r="H5" i="23"/>
  <c r="H8" i="80" s="1"/>
  <c r="H5" i="83" s="1"/>
  <c r="I5" i="23"/>
  <c r="I8" i="80" s="1"/>
  <c r="I5" i="83" s="1"/>
  <c r="J5" i="23"/>
  <c r="J8" i="80" s="1"/>
  <c r="J5" i="83" s="1"/>
  <c r="K5" i="23"/>
  <c r="K8" i="80" s="1"/>
  <c r="K5" i="83" s="1"/>
  <c r="L5" i="23"/>
  <c r="L8" i="80" s="1"/>
  <c r="L5" i="83" s="1"/>
  <c r="M5" i="23"/>
  <c r="M8" i="80" s="1"/>
  <c r="M5" i="83" s="1"/>
  <c r="N5" i="23"/>
  <c r="N8" i="80" s="1"/>
  <c r="N5" i="83" s="1"/>
  <c r="O5" i="23"/>
  <c r="O8" i="80" s="1"/>
  <c r="O5" i="83" s="1"/>
  <c r="P5" i="23"/>
  <c r="P8" i="80" s="1"/>
  <c r="P5" i="83" s="1"/>
  <c r="Q5" i="23"/>
  <c r="Q8" i="80" s="1"/>
  <c r="Q5" i="83" s="1"/>
  <c r="R5" i="23"/>
  <c r="R8" i="80" s="1"/>
  <c r="R5" i="83" s="1"/>
  <c r="S5" i="23"/>
  <c r="S8" i="80" s="1"/>
  <c r="S5" i="83" s="1"/>
  <c r="T5" i="23"/>
  <c r="T8" i="80" s="1"/>
  <c r="T5" i="83" s="1"/>
  <c r="U5" i="23"/>
  <c r="U8" i="80" s="1"/>
  <c r="U5" i="83" s="1"/>
  <c r="V5" i="23"/>
  <c r="V8" i="80" s="1"/>
  <c r="V5" i="83" s="1"/>
  <c r="W5" i="23"/>
  <c r="W8" i="80" s="1"/>
  <c r="W5" i="83" s="1"/>
  <c r="X5" i="23"/>
  <c r="X8" i="80" s="1"/>
  <c r="X5" i="83" s="1"/>
  <c r="Y5" i="23"/>
  <c r="Y8" i="80" s="1"/>
  <c r="Y5" i="83" s="1"/>
  <c r="Z5" i="23"/>
  <c r="Z8" i="80" s="1"/>
  <c r="Z5" i="83" s="1"/>
  <c r="AA5" i="23"/>
  <c r="AA8" i="80" s="1"/>
  <c r="AA5" i="83" s="1"/>
  <c r="AB5" i="23"/>
  <c r="AB8" i="80" s="1"/>
  <c r="AB5" i="83" s="1"/>
  <c r="B6" i="23"/>
  <c r="B9" i="80" s="1"/>
  <c r="B6" i="83" s="1"/>
  <c r="C6" i="23"/>
  <c r="D6" i="23"/>
  <c r="E6" i="23"/>
  <c r="F6" i="23"/>
  <c r="G6" i="23"/>
  <c r="H6" i="23"/>
  <c r="I6" i="23"/>
  <c r="J6" i="23"/>
  <c r="K6" i="23"/>
  <c r="L6" i="23"/>
  <c r="M6" i="23"/>
  <c r="N6" i="23"/>
  <c r="O6" i="23"/>
  <c r="P6" i="23"/>
  <c r="Q6" i="23"/>
  <c r="R6" i="23"/>
  <c r="S6" i="23"/>
  <c r="T6" i="23"/>
  <c r="U6" i="23"/>
  <c r="V6" i="23"/>
  <c r="W6" i="23"/>
  <c r="X6" i="23"/>
  <c r="Y6" i="23"/>
  <c r="Z6" i="23"/>
  <c r="AA6" i="23"/>
  <c r="AB6" i="23"/>
  <c r="B5" i="24"/>
  <c r="B16" i="80" s="1"/>
  <c r="B5" i="84" s="1"/>
  <c r="D3" i="23"/>
  <c r="E3" i="23"/>
  <c r="J3" i="23"/>
  <c r="K3" i="23"/>
  <c r="L3" i="23"/>
  <c r="M3" i="23"/>
  <c r="N3" i="23"/>
  <c r="O3" i="23"/>
  <c r="P3" i="23"/>
  <c r="R3" i="23"/>
  <c r="V3" i="23"/>
  <c r="X3" i="23"/>
  <c r="Y3" i="23"/>
  <c r="Z3" i="23"/>
  <c r="B11" i="56"/>
  <c r="AL3" i="58"/>
  <c r="B10" i="56" s="1"/>
  <c r="AK3" i="58"/>
  <c r="AL2" i="58"/>
  <c r="AK2" i="58"/>
  <c r="Y6" i="80" l="1"/>
  <c r="Y3" i="83" s="1"/>
  <c r="T9" i="80"/>
  <c r="T6" i="83" s="1"/>
  <c r="H7" i="80"/>
  <c r="H4" i="83" s="1"/>
  <c r="AA7" i="80"/>
  <c r="AA4" i="83" s="1"/>
  <c r="W5" i="80"/>
  <c r="W2" i="83" s="1"/>
  <c r="J17" i="80"/>
  <c r="J6" i="84" s="1"/>
  <c r="O16" i="80"/>
  <c r="O5" i="84" s="1"/>
  <c r="O6" i="80"/>
  <c r="O3" i="83" s="1"/>
  <c r="X7" i="80"/>
  <c r="X4" i="83" s="1"/>
  <c r="T5" i="80"/>
  <c r="T2" i="83" s="1"/>
  <c r="Q15" i="80"/>
  <c r="Q4" i="84" s="1"/>
  <c r="V7" i="80"/>
  <c r="V4" i="83" s="1"/>
  <c r="T6" i="80"/>
  <c r="T3" i="83" s="1"/>
  <c r="O5" i="80"/>
  <c r="O2" i="83" s="1"/>
  <c r="C17" i="80"/>
  <c r="C6" i="84" s="1"/>
  <c r="H9" i="80"/>
  <c r="H6" i="83" s="1"/>
  <c r="C8" i="80"/>
  <c r="C5" i="83" s="1"/>
  <c r="Z5" i="80"/>
  <c r="Z2" i="83" s="1"/>
  <c r="D5" i="80"/>
  <c r="D2" i="83" s="1"/>
  <c r="M17" i="80"/>
  <c r="M6" i="84" s="1"/>
  <c r="AB7" i="80"/>
  <c r="AB4" i="83" s="1"/>
  <c r="Q16" i="80"/>
  <c r="Q5" i="84" s="1"/>
  <c r="Z7" i="80"/>
  <c r="Z4" i="83" s="1"/>
  <c r="D7" i="80"/>
  <c r="D4" i="83" s="1"/>
  <c r="V5" i="80"/>
  <c r="V2" i="83" s="1"/>
  <c r="I17" i="80"/>
  <c r="I6" i="84" s="1"/>
  <c r="N16" i="80"/>
  <c r="N5" i="84" s="1"/>
  <c r="N9" i="80"/>
  <c r="N6" i="83" s="1"/>
  <c r="H17" i="80"/>
  <c r="H6" i="84" s="1"/>
  <c r="M9" i="80"/>
  <c r="M6" i="83" s="1"/>
  <c r="L16" i="80"/>
  <c r="L5" i="84" s="1"/>
  <c r="J16" i="80"/>
  <c r="J5" i="84" s="1"/>
  <c r="L15" i="80"/>
  <c r="L4" i="84" s="1"/>
  <c r="V17" i="80"/>
  <c r="V6" i="84" s="1"/>
  <c r="AA16" i="80"/>
  <c r="AA5" i="84" s="1"/>
  <c r="I15" i="80"/>
  <c r="I4" i="84" s="1"/>
  <c r="AA9" i="80"/>
  <c r="AA6" i="83" s="1"/>
  <c r="E9" i="80"/>
  <c r="E6" i="83" s="1"/>
  <c r="O7" i="80"/>
  <c r="O4" i="83" s="1"/>
  <c r="K5" i="80"/>
  <c r="K2" i="83" s="1"/>
  <c r="G15" i="80"/>
  <c r="G4" i="84" s="1"/>
  <c r="F7" i="80"/>
  <c r="F4" i="83" s="1"/>
  <c r="P16" i="80"/>
  <c r="P5" i="84" s="1"/>
  <c r="Y7" i="80"/>
  <c r="Y4" i="83" s="1"/>
  <c r="C7" i="80"/>
  <c r="C4" i="83" s="1"/>
  <c r="U5" i="80"/>
  <c r="U2" i="83" s="1"/>
  <c r="M16" i="80"/>
  <c r="M5" i="84" s="1"/>
  <c r="M6" i="80"/>
  <c r="M3" i="83" s="1"/>
  <c r="AB17" i="80"/>
  <c r="AB6" i="84" s="1"/>
  <c r="F17" i="80"/>
  <c r="F6" i="84" s="1"/>
  <c r="O15" i="80"/>
  <c r="O4" i="84" s="1"/>
  <c r="K6" i="80"/>
  <c r="K3" i="83" s="1"/>
  <c r="K9" i="80"/>
  <c r="K6" i="83" s="1"/>
  <c r="D17" i="80"/>
  <c r="D6" i="84" s="1"/>
  <c r="S7" i="80"/>
  <c r="S4" i="83" s="1"/>
  <c r="H16" i="80"/>
  <c r="H5" i="84" s="1"/>
  <c r="D6" i="80"/>
  <c r="D3" i="83" s="1"/>
  <c r="D9" i="80"/>
  <c r="D6" i="83" s="1"/>
  <c r="Y9" i="80"/>
  <c r="Y6" i="83" s="1"/>
  <c r="G7" i="80"/>
  <c r="G4" i="83" s="1"/>
  <c r="L17" i="80"/>
  <c r="L6" i="84" s="1"/>
  <c r="U15" i="80"/>
  <c r="U4" i="84" s="1"/>
  <c r="R6" i="80"/>
  <c r="R3" i="83" s="1"/>
  <c r="Q9" i="80"/>
  <c r="Q6" i="83" s="1"/>
  <c r="E7" i="80"/>
  <c r="E4" i="83" s="1"/>
  <c r="S15" i="80"/>
  <c r="S4" i="84" s="1"/>
  <c r="O9" i="80"/>
  <c r="O6" i="83" s="1"/>
  <c r="AB6" i="80"/>
  <c r="AB3" i="83" s="1"/>
  <c r="G17" i="80"/>
  <c r="G6" i="84" s="1"/>
  <c r="AA6" i="80"/>
  <c r="AA3" i="83" s="1"/>
  <c r="T7" i="80"/>
  <c r="T4" i="83" s="1"/>
  <c r="P5" i="80"/>
  <c r="P2" i="83" s="1"/>
  <c r="I16" i="80"/>
  <c r="I5" i="84" s="1"/>
  <c r="I9" i="80"/>
  <c r="I6" i="83" s="1"/>
  <c r="G16" i="80"/>
  <c r="G5" i="84" s="1"/>
  <c r="K15" i="80"/>
  <c r="K4" i="84" s="1"/>
  <c r="G9" i="80"/>
  <c r="G6" i="83" s="1"/>
  <c r="P7" i="80"/>
  <c r="P4" i="83" s="1"/>
  <c r="I6" i="80"/>
  <c r="I3" i="83" s="1"/>
  <c r="N7" i="80"/>
  <c r="N4" i="83" s="1"/>
  <c r="J5" i="80"/>
  <c r="J2" i="83" s="1"/>
  <c r="Y16" i="80"/>
  <c r="Y5" i="84" s="1"/>
  <c r="S17" i="80"/>
  <c r="S6" i="84" s="1"/>
  <c r="X16" i="80"/>
  <c r="X5" i="84" s="1"/>
  <c r="AB15" i="80"/>
  <c r="AB4" i="84" s="1"/>
  <c r="F15" i="80"/>
  <c r="F4" i="84" s="1"/>
  <c r="X9" i="80"/>
  <c r="X6" i="83" s="1"/>
  <c r="L7" i="80"/>
  <c r="L4" i="83" s="1"/>
  <c r="C6" i="80"/>
  <c r="C3" i="83" s="1"/>
  <c r="H5" i="80"/>
  <c r="H2" i="83" s="1"/>
  <c r="R17" i="80"/>
  <c r="R6" i="84" s="1"/>
  <c r="W16" i="80"/>
  <c r="W5" i="84" s="1"/>
  <c r="AA15" i="80"/>
  <c r="AA4" i="84" s="1"/>
  <c r="E15" i="80"/>
  <c r="E4" i="84" s="1"/>
  <c r="N17" i="80"/>
  <c r="N6" i="84" s="1"/>
  <c r="S16" i="80"/>
  <c r="S5" i="84" s="1"/>
  <c r="W15" i="80"/>
  <c r="W4" i="84" s="1"/>
  <c r="X6" i="80"/>
  <c r="X3" i="83" s="1"/>
  <c r="S9" i="80"/>
  <c r="S6" i="83" s="1"/>
  <c r="C5" i="80"/>
  <c r="C2" i="83" s="1"/>
  <c r="R16" i="80"/>
  <c r="R5" i="84" s="1"/>
  <c r="V6" i="80"/>
  <c r="V3" i="83" s="1"/>
  <c r="R9" i="80"/>
  <c r="R6" i="83" s="1"/>
  <c r="X5" i="80"/>
  <c r="X2" i="83" s="1"/>
  <c r="R15" i="80"/>
  <c r="R4" i="84" s="1"/>
  <c r="N6" i="80"/>
  <c r="N3" i="83" s="1"/>
  <c r="U7" i="80"/>
  <c r="U4" i="83" s="1"/>
  <c r="W6" i="80"/>
  <c r="W3" i="83" s="1"/>
  <c r="Q5" i="80"/>
  <c r="Q2" i="83" s="1"/>
  <c r="AA17" i="80"/>
  <c r="AA6" i="84" s="1"/>
  <c r="E17" i="80"/>
  <c r="E6" i="84" s="1"/>
  <c r="N15" i="80"/>
  <c r="N4" i="84" s="1"/>
  <c r="J6" i="80"/>
  <c r="J3" i="83" s="1"/>
  <c r="J9" i="80"/>
  <c r="J6" i="83" s="1"/>
  <c r="U6" i="80"/>
  <c r="U3" i="83" s="1"/>
  <c r="Z17" i="80"/>
  <c r="Z6" i="84" s="1"/>
  <c r="E6" i="80"/>
  <c r="E3" i="83" s="1"/>
  <c r="Y17" i="80"/>
  <c r="Y6" i="84" s="1"/>
  <c r="S6" i="80"/>
  <c r="S3" i="83" s="1"/>
  <c r="Q7" i="80"/>
  <c r="Q4" i="83" s="1"/>
  <c r="Q6" i="80"/>
  <c r="Q3" i="83" s="1"/>
  <c r="M5" i="80"/>
  <c r="M2" i="83" s="1"/>
  <c r="W17" i="80"/>
  <c r="W6" i="84" s="1"/>
  <c r="U17" i="80"/>
  <c r="U6" i="84" s="1"/>
  <c r="Z16" i="80"/>
  <c r="Z5" i="84" s="1"/>
  <c r="D16" i="80"/>
  <c r="D5" i="84" s="1"/>
  <c r="H15" i="80"/>
  <c r="H4" i="84" s="1"/>
  <c r="Z9" i="80"/>
  <c r="Z6" i="83" s="1"/>
  <c r="G6" i="80"/>
  <c r="G3" i="83" s="1"/>
  <c r="M7" i="80"/>
  <c r="M4" i="83" s="1"/>
  <c r="F6" i="80"/>
  <c r="F3" i="83" s="1"/>
  <c r="I5" i="80"/>
  <c r="I2" i="83" s="1"/>
  <c r="W9" i="80"/>
  <c r="W6" i="83" s="1"/>
  <c r="K7" i="80"/>
  <c r="K4" i="83" s="1"/>
  <c r="G5" i="80"/>
  <c r="G2" i="83" s="1"/>
  <c r="V9" i="80"/>
  <c r="V6" i="83" s="1"/>
  <c r="J7" i="80"/>
  <c r="J4" i="83" s="1"/>
  <c r="AB5" i="80"/>
  <c r="AB2" i="83" s="1"/>
  <c r="F5" i="80"/>
  <c r="F2" i="83" s="1"/>
  <c r="P17" i="80"/>
  <c r="P6" i="84" s="1"/>
  <c r="U16" i="80"/>
  <c r="U5" i="84" s="1"/>
  <c r="Y15" i="80"/>
  <c r="Y4" i="84" s="1"/>
  <c r="C15" i="80"/>
  <c r="C4" i="84" s="1"/>
  <c r="Y5" i="80"/>
  <c r="Y2" i="83" s="1"/>
  <c r="V15" i="80"/>
  <c r="V4" i="84" s="1"/>
  <c r="K17" i="80"/>
  <c r="K6" i="84" s="1"/>
  <c r="T15" i="80"/>
  <c r="T4" i="84" s="1"/>
  <c r="P6" i="80"/>
  <c r="P3" i="83" s="1"/>
  <c r="P9" i="80"/>
  <c r="P6" i="83" s="1"/>
  <c r="W7" i="80"/>
  <c r="W4" i="83" s="1"/>
  <c r="S5" i="80"/>
  <c r="S2" i="83" s="1"/>
  <c r="P15" i="80"/>
  <c r="P4" i="84" s="1"/>
  <c r="L6" i="80"/>
  <c r="L3" i="83" s="1"/>
  <c r="L9" i="80"/>
  <c r="L6" i="83" s="1"/>
  <c r="R5" i="80"/>
  <c r="R2" i="83" s="1"/>
  <c r="K16" i="80"/>
  <c r="K5" i="84" s="1"/>
  <c r="M15" i="80"/>
  <c r="M4" i="84" s="1"/>
  <c r="R7" i="80"/>
  <c r="R4" i="83" s="1"/>
  <c r="N5" i="80"/>
  <c r="N2" i="83" s="1"/>
  <c r="X17" i="80"/>
  <c r="X6" i="84" s="1"/>
  <c r="AB16" i="80"/>
  <c r="AB5" i="84" s="1"/>
  <c r="F16" i="80"/>
  <c r="F5" i="84" s="1"/>
  <c r="J15" i="80"/>
  <c r="J4" i="84" s="1"/>
  <c r="AB9" i="80"/>
  <c r="AB6" i="83" s="1"/>
  <c r="F9" i="80"/>
  <c r="F6" i="83" s="1"/>
  <c r="L5" i="80"/>
  <c r="L2" i="83" s="1"/>
  <c r="E16" i="80"/>
  <c r="E5" i="84" s="1"/>
  <c r="H6" i="80"/>
  <c r="H3" i="83" s="1"/>
  <c r="T17" i="80"/>
  <c r="T6" i="84" s="1"/>
  <c r="C16" i="80"/>
  <c r="C5" i="84" s="1"/>
  <c r="C9" i="80"/>
  <c r="C6" i="83" s="1"/>
  <c r="Q17" i="80"/>
  <c r="Q6" i="84" s="1"/>
  <c r="V16" i="80"/>
  <c r="V5" i="84" s="1"/>
  <c r="Z15" i="80"/>
  <c r="Z4" i="84" s="1"/>
  <c r="D15" i="80"/>
  <c r="D4" i="84" s="1"/>
  <c r="Z6" i="80"/>
  <c r="Z3" i="83" s="1"/>
  <c r="U9" i="80"/>
  <c r="U6" i="83" s="1"/>
  <c r="I7" i="80"/>
  <c r="I4" i="83" s="1"/>
  <c r="AA5" i="80"/>
  <c r="AA2" i="83" s="1"/>
  <c r="E5" i="80"/>
  <c r="E2" i="83" s="1"/>
  <c r="O17" i="80"/>
  <c r="O6" i="84" s="1"/>
  <c r="T16" i="80"/>
  <c r="T5" i="84" s="1"/>
  <c r="X15" i="80"/>
  <c r="X4" i="84" s="1"/>
  <c r="G4" i="57"/>
  <c r="Q2" i="24" l="1"/>
  <c r="F2" i="24"/>
  <c r="S2" i="24"/>
  <c r="J2" i="24"/>
  <c r="L2" i="24"/>
  <c r="C2" i="24"/>
  <c r="T2" i="24"/>
  <c r="V2" i="24"/>
  <c r="Z2" i="24"/>
  <c r="O2" i="24"/>
  <c r="D2" i="24"/>
  <c r="AB2" i="24"/>
  <c r="W2" i="24"/>
  <c r="AA2" i="24"/>
  <c r="P2" i="24"/>
  <c r="R2" i="24"/>
  <c r="I2" i="24"/>
  <c r="K2" i="24"/>
  <c r="H2" i="24"/>
  <c r="E2" i="24"/>
  <c r="X2" i="24"/>
  <c r="M2" i="24"/>
  <c r="U2" i="24"/>
  <c r="Y2" i="24"/>
  <c r="N2" i="24"/>
  <c r="G2" i="24"/>
  <c r="B2" i="24"/>
  <c r="B13" i="80" s="1"/>
  <c r="B2" i="84" s="1"/>
  <c r="X7" i="23"/>
  <c r="X10" i="80" s="1"/>
  <c r="X7" i="83" s="1"/>
  <c r="M7" i="23"/>
  <c r="M10" i="80" s="1"/>
  <c r="M7" i="83" s="1"/>
  <c r="D7" i="23"/>
  <c r="D10" i="80" s="1"/>
  <c r="D7" i="83" s="1"/>
  <c r="H7" i="23"/>
  <c r="H10" i="80" s="1"/>
  <c r="H7" i="83" s="1"/>
  <c r="J7" i="23"/>
  <c r="J10" i="80" s="1"/>
  <c r="J7" i="83" s="1"/>
  <c r="W7" i="23"/>
  <c r="W10" i="80" s="1"/>
  <c r="W7" i="83" s="1"/>
  <c r="P7" i="23"/>
  <c r="P10" i="80" s="1"/>
  <c r="P7" i="83" s="1"/>
  <c r="R7" i="23"/>
  <c r="R10" i="80" s="1"/>
  <c r="R7" i="83" s="1"/>
  <c r="AB7" i="23"/>
  <c r="AB10" i="80" s="1"/>
  <c r="AB7" i="83" s="1"/>
  <c r="G7" i="23"/>
  <c r="G10" i="80" s="1"/>
  <c r="G7" i="83" s="1"/>
  <c r="T7" i="23"/>
  <c r="T10" i="80" s="1"/>
  <c r="T7" i="83" s="1"/>
  <c r="Z7" i="23"/>
  <c r="Z10" i="80" s="1"/>
  <c r="Z7" i="83" s="1"/>
  <c r="O7" i="23"/>
  <c r="O10" i="80" s="1"/>
  <c r="O7" i="83" s="1"/>
  <c r="Y7" i="23"/>
  <c r="Y10" i="80" s="1"/>
  <c r="Y7" i="83" s="1"/>
  <c r="C7" i="23"/>
  <c r="C10" i="80" s="1"/>
  <c r="C7" i="83" s="1"/>
  <c r="E7" i="23"/>
  <c r="E10" i="80" s="1"/>
  <c r="E7" i="83" s="1"/>
  <c r="V7" i="23"/>
  <c r="V10" i="80" s="1"/>
  <c r="V7" i="83" s="1"/>
  <c r="K7" i="23"/>
  <c r="K10" i="80" s="1"/>
  <c r="K7" i="83" s="1"/>
  <c r="Q7" i="23"/>
  <c r="Q10" i="80" s="1"/>
  <c r="Q7" i="83" s="1"/>
  <c r="F7" i="23"/>
  <c r="F10" i="80" s="1"/>
  <c r="F7" i="83" s="1"/>
  <c r="S7" i="23"/>
  <c r="S10" i="80" s="1"/>
  <c r="S7" i="83" s="1"/>
  <c r="U7" i="23"/>
  <c r="U10" i="80" s="1"/>
  <c r="U7" i="83" s="1"/>
  <c r="L7" i="23"/>
  <c r="L10" i="80" s="1"/>
  <c r="L7" i="83" s="1"/>
  <c r="N7" i="23"/>
  <c r="N10" i="80" s="1"/>
  <c r="N7" i="83" s="1"/>
  <c r="AA7" i="23"/>
  <c r="AA10" i="80" s="1"/>
  <c r="AA7" i="83" s="1"/>
  <c r="I7" i="23"/>
  <c r="I10" i="80" s="1"/>
  <c r="I7" i="83" s="1"/>
  <c r="B7" i="23"/>
  <c r="B10" i="80" s="1"/>
  <c r="B7" i="83" s="1"/>
  <c r="Z3" i="24"/>
  <c r="O3" i="24"/>
  <c r="D3" i="24"/>
  <c r="Q3" i="24"/>
  <c r="H3" i="24"/>
  <c r="W3" i="24"/>
  <c r="V3" i="24"/>
  <c r="K3" i="24"/>
  <c r="F3" i="24"/>
  <c r="J3" i="24"/>
  <c r="L3" i="24"/>
  <c r="Y3" i="24"/>
  <c r="C3" i="24"/>
  <c r="AA3" i="24"/>
  <c r="P3" i="24"/>
  <c r="G3" i="24"/>
  <c r="AB3" i="24"/>
  <c r="S3" i="24"/>
  <c r="U3" i="24"/>
  <c r="N3" i="24"/>
  <c r="I3" i="24"/>
  <c r="X3" i="24"/>
  <c r="M3" i="24"/>
  <c r="E3" i="24"/>
  <c r="R3" i="24"/>
  <c r="T3" i="24"/>
  <c r="B3" i="24"/>
  <c r="B14" i="80" s="1"/>
  <c r="B3" i="84" s="1"/>
  <c r="M13" i="80" l="1"/>
  <c r="M2" i="84" s="1"/>
  <c r="L14" i="80"/>
  <c r="L3" i="84" s="1"/>
  <c r="H13" i="80"/>
  <c r="H2" i="84" s="1"/>
  <c r="K14" i="80"/>
  <c r="K3" i="84" s="1"/>
  <c r="AA13" i="80"/>
  <c r="AA2" i="84" s="1"/>
  <c r="R14" i="80"/>
  <c r="R3" i="84" s="1"/>
  <c r="D14" i="80"/>
  <c r="D3" i="84" s="1"/>
  <c r="Z13" i="80"/>
  <c r="Z2" i="84" s="1"/>
  <c r="N14" i="80"/>
  <c r="N3" i="84" s="1"/>
  <c r="C13" i="80"/>
  <c r="C2" i="84" s="1"/>
  <c r="AB14" i="80"/>
  <c r="AB3" i="84" s="1"/>
  <c r="N13" i="80"/>
  <c r="N2" i="84" s="1"/>
  <c r="S13" i="80"/>
  <c r="S2" i="84" s="1"/>
  <c r="Y14" i="80"/>
  <c r="Y3" i="84" s="1"/>
  <c r="E13" i="80"/>
  <c r="E2" i="84" s="1"/>
  <c r="F14" i="80"/>
  <c r="F3" i="84" s="1"/>
  <c r="I13" i="80"/>
  <c r="I2" i="84" s="1"/>
  <c r="W14" i="80"/>
  <c r="W3" i="84" s="1"/>
  <c r="R13" i="80"/>
  <c r="R2" i="84" s="1"/>
  <c r="H14" i="80"/>
  <c r="H3" i="84" s="1"/>
  <c r="W13" i="80"/>
  <c r="W2" i="84" s="1"/>
  <c r="E14" i="80"/>
  <c r="E3" i="84" s="1"/>
  <c r="O14" i="80"/>
  <c r="O3" i="84" s="1"/>
  <c r="O13" i="80"/>
  <c r="O2" i="84" s="1"/>
  <c r="I14" i="80"/>
  <c r="I3" i="84" s="1"/>
  <c r="T13" i="80"/>
  <c r="T2" i="84" s="1"/>
  <c r="S14" i="80"/>
  <c r="S3" i="84" s="1"/>
  <c r="L13" i="80"/>
  <c r="L2" i="84" s="1"/>
  <c r="G14" i="80"/>
  <c r="G3" i="84" s="1"/>
  <c r="G13" i="80"/>
  <c r="G2" i="84" s="1"/>
  <c r="AA14" i="80"/>
  <c r="AA3" i="84" s="1"/>
  <c r="Y13" i="80"/>
  <c r="Y2" i="84" s="1"/>
  <c r="F13" i="80"/>
  <c r="F2" i="84" s="1"/>
  <c r="X13" i="80"/>
  <c r="X2" i="84" s="1"/>
  <c r="J14" i="80"/>
  <c r="J3" i="84" s="1"/>
  <c r="K13" i="80"/>
  <c r="K2" i="84" s="1"/>
  <c r="V14" i="80"/>
  <c r="V3" i="84" s="1"/>
  <c r="P13" i="80"/>
  <c r="P2" i="84" s="1"/>
  <c r="T14" i="80"/>
  <c r="T3" i="84" s="1"/>
  <c r="Q14" i="80"/>
  <c r="Q3" i="84" s="1"/>
  <c r="AB13" i="80"/>
  <c r="AB2" i="84" s="1"/>
  <c r="M14" i="80"/>
  <c r="M3" i="84" s="1"/>
  <c r="Z14" i="80"/>
  <c r="Z3" i="84" s="1"/>
  <c r="D13" i="80"/>
  <c r="D2" i="84" s="1"/>
  <c r="X14" i="80"/>
  <c r="X3" i="84" s="1"/>
  <c r="V13" i="80"/>
  <c r="V2" i="84" s="1"/>
  <c r="U14" i="80"/>
  <c r="U3" i="84" s="1"/>
  <c r="J13" i="80"/>
  <c r="J2" i="84" s="1"/>
  <c r="P14" i="80"/>
  <c r="P3" i="84" s="1"/>
  <c r="C14" i="80"/>
  <c r="C3" i="84" s="1"/>
  <c r="U13" i="80"/>
  <c r="U2" i="84" s="1"/>
  <c r="Q13" i="80"/>
  <c r="Q2" i="8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tc={2A22338D-E7DB-4541-9D0D-EC7C5C69082B}</author>
  </authors>
  <commentList>
    <comment ref="E6" authorId="0" shapeId="0" xr:uid="{2A22338D-E7DB-4541-9D0D-EC7C5C69082B}">
      <text>
        <t>[Threaded comment]
Your version of Excel allows you to read this threaded comment; however, any edits to it will get removed if the file is opened in a newer version of Excel. Learn more: https://go.microsoft.com/fwlink/?linkid=870924
Comment:
    We use another data source for all other psgr-rail variables. This is only a growth rate. There is a big disconnect between aeo 2025 and aeo 2026. to smooth the trend, we forecast growth based on aeo 2026 and back forecast a growth rate for 2025</t>
      </text>
    </comment>
  </commentList>
</comments>
</file>

<file path=xl/sharedStrings.xml><?xml version="1.0" encoding="utf-8"?>
<sst xmlns="http://schemas.openxmlformats.org/spreadsheetml/2006/main" count="6428" uniqueCount="3038">
  <si>
    <t>Sources:</t>
  </si>
  <si>
    <t xml:space="preserve">      Total</t>
  </si>
  <si>
    <t>TKI000:ea_Total</t>
  </si>
  <si>
    <t>TKI000:ea_PipelineFuel</t>
  </si>
  <si>
    <t xml:space="preserve">    Lubricants</t>
  </si>
  <si>
    <t>TKI000:ea_Lubricants</t>
  </si>
  <si>
    <t xml:space="preserve">    Military Use</t>
  </si>
  <si>
    <t>TKI000:ea_MilitaryUse</t>
  </si>
  <si>
    <t xml:space="preserve">    Air</t>
  </si>
  <si>
    <t>TKI000:ea_Air</t>
  </si>
  <si>
    <t xml:space="preserve">    Recreational Boats</t>
  </si>
  <si>
    <t>TKI000:ea_RecreationalB</t>
  </si>
  <si>
    <t xml:space="preserve">    Shipping, International</t>
  </si>
  <si>
    <t>TKI000:ea_Shipping,Inte</t>
  </si>
  <si>
    <t xml:space="preserve">    Shipping, Domestic</t>
  </si>
  <si>
    <t>TKI000:ea_Shipping,Dome</t>
  </si>
  <si>
    <t xml:space="preserve">    Rail, Freight</t>
  </si>
  <si>
    <t>TKI000:ea_Rail,Freight</t>
  </si>
  <si>
    <t xml:space="preserve">    Rail, Passenger</t>
  </si>
  <si>
    <t>TKI000:ea_Rail,Passenge</t>
  </si>
  <si>
    <t xml:space="preserve">    Freight Trucks</t>
  </si>
  <si>
    <t>TKI000:ea_FreightTrucks</t>
  </si>
  <si>
    <t xml:space="preserve">    Bus Transportation</t>
  </si>
  <si>
    <t>TKI000:ea_BusTransporta</t>
  </si>
  <si>
    <t xml:space="preserve">    Commercial Light Trucks 1/</t>
  </si>
  <si>
    <t>TKI000:ea_CommercialLig</t>
  </si>
  <si>
    <t xml:space="preserve">    Light-Duty Vehicles</t>
  </si>
  <si>
    <t>TKI000:ea_Light-DutyVeh</t>
  </si>
  <si>
    <t xml:space="preserve">  (million barrels per day oil equivalent)</t>
  </si>
  <si>
    <t>TKI000:da_Total</t>
  </si>
  <si>
    <t>TKI000:da_PipelineFuel</t>
  </si>
  <si>
    <t>TKI000:da_Lubricants</t>
  </si>
  <si>
    <t>TKI000:da_MilitaryUse</t>
  </si>
  <si>
    <t>TKI000:da_Air</t>
  </si>
  <si>
    <t>TKI000:da_RecreationalB</t>
  </si>
  <si>
    <t>TKI000:da_Shipping,Inte</t>
  </si>
  <si>
    <t>TKI000:da_Shipping,Dome</t>
  </si>
  <si>
    <t>TKI000:da_Rail,Freight</t>
  </si>
  <si>
    <t>TKI000:da_Rail,Passenge</t>
  </si>
  <si>
    <t>TKI000:da_FreightTrucks</t>
  </si>
  <si>
    <t>TKI000:da_BusTransporta</t>
  </si>
  <si>
    <t>TKI000:da_CommercialLig</t>
  </si>
  <si>
    <t>TKI000:da_Light-DutyVeh</t>
  </si>
  <si>
    <t xml:space="preserve">  (quadrillion Btu)</t>
  </si>
  <si>
    <t>Energy Use by Mode</t>
  </si>
  <si>
    <t xml:space="preserve">   Domestic Shipping</t>
  </si>
  <si>
    <t>TKI000:ca_DomesticShipp</t>
  </si>
  <si>
    <t xml:space="preserve">   Rail</t>
  </si>
  <si>
    <t>TKI000:ca_Rail</t>
  </si>
  <si>
    <t xml:space="preserve"> (ton miles/thousand Btu)</t>
  </si>
  <si>
    <t xml:space="preserve">   Aircraft</t>
  </si>
  <si>
    <t>TKI000:ca_Aircraft</t>
  </si>
  <si>
    <t xml:space="preserve"> (seat miles per gallon)</t>
  </si>
  <si>
    <t xml:space="preserve">   Freight Truck</t>
  </si>
  <si>
    <t>TKI000:ca_FreightTruck</t>
  </si>
  <si>
    <t xml:space="preserve">   Stock Commercial Light Truck 1/</t>
  </si>
  <si>
    <t>TKI000:ca_StockCommerci</t>
  </si>
  <si>
    <t xml:space="preserve">   New Commercial Light Truck 1/</t>
  </si>
  <si>
    <t>TKI000:ca_NewCommercial</t>
  </si>
  <si>
    <t xml:space="preserve">   Light-Duty Stock 6/</t>
  </si>
  <si>
    <t>TKI000:ca_Light-DutySto</t>
  </si>
  <si>
    <t xml:space="preserve">     New Light Truck 5/</t>
  </si>
  <si>
    <t>TKI000:ca_OnRoadNewTwuk</t>
  </si>
  <si>
    <t xml:space="preserve">     New Car 5/</t>
  </si>
  <si>
    <t>TKI000:ca_OnRoadNewCar</t>
  </si>
  <si>
    <t xml:space="preserve">   On-Road New Light-Duty Vehicle 5/</t>
  </si>
  <si>
    <t>TKI000:ca_OnRoadNewVeh</t>
  </si>
  <si>
    <t xml:space="preserve">     New Light Truck 4/</t>
  </si>
  <si>
    <t>TKI000:ca_TestedNewTwuk</t>
  </si>
  <si>
    <t xml:space="preserve">     New Car 4/</t>
  </si>
  <si>
    <t>TKI000:ca_TestedNewCar</t>
  </si>
  <si>
    <t xml:space="preserve">   Tested New Light-Duty Vehicle 4/</t>
  </si>
  <si>
    <t>TKI000:ca_TestedNewVeh</t>
  </si>
  <si>
    <t xml:space="preserve">     New Light Truck 3/</t>
  </si>
  <si>
    <t>TKI000:ca_NewTwukCred</t>
  </si>
  <si>
    <t xml:space="preserve">     New Car 3/</t>
  </si>
  <si>
    <t>TKI000:ca_NewCarCred</t>
  </si>
  <si>
    <t xml:space="preserve">   Compliance New Light-Duty Vehicle 3/</t>
  </si>
  <si>
    <t>TKI000:ca_NewVehCred</t>
  </si>
  <si>
    <t xml:space="preserve">     New Light Truck 2/</t>
  </si>
  <si>
    <t>TKI000:ca_TwukCAFEStand</t>
  </si>
  <si>
    <t xml:space="preserve">     New Car 2/</t>
  </si>
  <si>
    <t>TKI000:ca_CarCAFEStand</t>
  </si>
  <si>
    <t xml:space="preserve">   New Light-Duty Vehicle CAFE Standard 2/</t>
  </si>
  <si>
    <t>TKI000:ca_AvgCAFEStand</t>
  </si>
  <si>
    <t xml:space="preserve"> (miles per gallon)</t>
  </si>
  <si>
    <t>Energy Efficiency Indicators</t>
  </si>
  <si>
    <t>TKI000:ba_DomesticShipp</t>
  </si>
  <si>
    <t>TKI000:ba_Rail</t>
  </si>
  <si>
    <t xml:space="preserve"> (billion ton miles traveled)</t>
  </si>
  <si>
    <t xml:space="preserve">   Air</t>
  </si>
  <si>
    <t>TKI000:ba_Air</t>
  </si>
  <si>
    <t xml:space="preserve"> (billion seat miles available)</t>
  </si>
  <si>
    <t xml:space="preserve">   Freight Trucks greater than 10,000 pounds</t>
  </si>
  <si>
    <t>TKI000:ba_FreightTrucks</t>
  </si>
  <si>
    <t xml:space="preserve">   Commercial Light Trucks 1/</t>
  </si>
  <si>
    <t>TKI000:ba_CommercialLig</t>
  </si>
  <si>
    <t xml:space="preserve">   Light-Duty Vehicles less than 8,501 pounds</t>
  </si>
  <si>
    <t>TKI000:ba_Light-DutyVeh</t>
  </si>
  <si>
    <t xml:space="preserve"> (billion vehicle miles traveled)</t>
  </si>
  <si>
    <t>Travel Indicators</t>
  </si>
  <si>
    <t>Key Indicators</t>
  </si>
  <si>
    <t xml:space="preserve"> Key Indicators and Consumption</t>
  </si>
  <si>
    <t>7. Transportation Sector Key Indicators and Delivered Energy Consumption</t>
  </si>
  <si>
    <t>Release Date</t>
  </si>
  <si>
    <t>Datekey</t>
  </si>
  <si>
    <t>Scenario</t>
  </si>
  <si>
    <t>Report</t>
  </si>
  <si>
    <t>Notes</t>
  </si>
  <si>
    <t>Fuel Consumption (trillion Btu)</t>
  </si>
  <si>
    <t>- -</t>
  </si>
  <si>
    <t>Total World</t>
  </si>
  <si>
    <t>Seat Miles Demanded (billion miles)</t>
  </si>
  <si>
    <t>Travel Demand</t>
  </si>
  <si>
    <t>Driver Variables</t>
  </si>
  <si>
    <t>Load Factor (fraction of seats filled)</t>
  </si>
  <si>
    <t>aircraft</t>
  </si>
  <si>
    <t>EIA</t>
  </si>
  <si>
    <t>HDVs</t>
  </si>
  <si>
    <t>See Notes section for which vehicle types use which sources</t>
  </si>
  <si>
    <t>LDVs</t>
  </si>
  <si>
    <t>rail</t>
  </si>
  <si>
    <t>ships</t>
  </si>
  <si>
    <t>motorbikes</t>
  </si>
  <si>
    <t>We scale by passenger-miles, freight ton-miles, or vehicle-miles where available.</t>
  </si>
  <si>
    <t>(We assume vehicle loading remains constant, so scaling by vehicle-miles is</t>
  </si>
  <si>
    <t>identical to scaling by passenger-miles or freight ton-miles.)</t>
  </si>
  <si>
    <t>This variable contains ratios of cargo distance transported in each year of the</t>
  </si>
  <si>
    <t>model run relative to the start year.  The start year is the year before the</t>
  </si>
  <si>
    <t>first simulated year.  So if the first year for which the model outputs data</t>
  </si>
  <si>
    <t>included in the outputs but is retained here for visual clarity.</t>
  </si>
  <si>
    <t>BCDTRtSY BAU Cargo Dist Transported Relative to Start Year</t>
  </si>
  <si>
    <t>TKI000:buspassmiles</t>
  </si>
  <si>
    <t xml:space="preserve">   Bus Transportation</t>
  </si>
  <si>
    <t>TKI000:railpassmiles</t>
  </si>
  <si>
    <t xml:space="preserve">   Passenger Rail</t>
  </si>
  <si>
    <t xml:space="preserve"> (billion passenger miles traveled)</t>
  </si>
  <si>
    <t xml:space="preserve">    Pipeline Fuel</t>
  </si>
  <si>
    <t>Total</t>
  </si>
  <si>
    <t>Energy Use by Type</t>
  </si>
  <si>
    <t>Total Consumption</t>
  </si>
  <si>
    <t>the percentage of ethanol varies seasonally.  The annual average ethanol content of 74 percent is used for these projections.</t>
  </si>
  <si>
    <t>Cargo Dist Transported Relative to Start Year (dimensionless)</t>
  </si>
  <si>
    <t>Source: U.S. Energy Information Administration</t>
  </si>
  <si>
    <t>Freight Truck Stock by Size Class</t>
  </si>
  <si>
    <t>New Trucks by Size Class</t>
  </si>
  <si>
    <t>Railroads</t>
  </si>
  <si>
    <t>Domestic Shipping</t>
  </si>
  <si>
    <t>International Shipping</t>
  </si>
  <si>
    <t>CAFE = Corporate average fuel economy.</t>
  </si>
  <si>
    <t>Btu = British thermal unit.</t>
  </si>
  <si>
    <t>Highway</t>
  </si>
  <si>
    <t>Light-Duty Vehicles</t>
  </si>
  <si>
    <t>Automobiles</t>
  </si>
  <si>
    <t>Light Trucks</t>
  </si>
  <si>
    <t>Motorcycles</t>
  </si>
  <si>
    <t>Commercial Light Trucks</t>
  </si>
  <si>
    <t>Buses</t>
  </si>
  <si>
    <t>Transit</t>
  </si>
  <si>
    <t>Intercity</t>
  </si>
  <si>
    <t>School</t>
  </si>
  <si>
    <t>Freight Trucks</t>
  </si>
  <si>
    <t>Light Medium</t>
  </si>
  <si>
    <t>Medium</t>
  </si>
  <si>
    <t>Non-Highway</t>
  </si>
  <si>
    <t>Air</t>
  </si>
  <si>
    <t>General Aviation</t>
  </si>
  <si>
    <t>Water</t>
  </si>
  <si>
    <t>Freight</t>
  </si>
  <si>
    <t>Recreational Boats</t>
  </si>
  <si>
    <t>Rail</t>
  </si>
  <si>
    <t>Passenger</t>
  </si>
  <si>
    <t>Commuter</t>
  </si>
  <si>
    <t>Lubricants</t>
  </si>
  <si>
    <t>Pipeline Fuel Natural Gas</t>
  </si>
  <si>
    <t>Military Use</t>
  </si>
  <si>
    <t>Jet Fuel and Aviation Gasoline</t>
  </si>
  <si>
    <t>Residual Fuel Oil</t>
  </si>
  <si>
    <t>Distillates and Diesel</t>
  </si>
  <si>
    <t>Motor Gasoline excluding E85</t>
  </si>
  <si>
    <t>E85</t>
  </si>
  <si>
    <t>Diesel</t>
  </si>
  <si>
    <t>Jet Fuel (kerosene &amp; naphtha)</t>
  </si>
  <si>
    <t>Aviation Gasoline</t>
  </si>
  <si>
    <t>Propane</t>
  </si>
  <si>
    <t>Petroleum and Other Liquids Subtotal</t>
  </si>
  <si>
    <t>Electricity</t>
  </si>
  <si>
    <t>Compressed/Liquefied Natural Gas</t>
  </si>
  <si>
    <t>Hydrogen</t>
  </si>
  <si>
    <t>Table 35.  Transportation Sector Energy Use by Mode and Type</t>
  </si>
  <si>
    <t>full name</t>
  </si>
  <si>
    <t>api key</t>
  </si>
  <si>
    <t>units</t>
  </si>
  <si>
    <t>trillion Btu</t>
  </si>
  <si>
    <t>billion miles</t>
  </si>
  <si>
    <t>Domestic Passenger</t>
  </si>
  <si>
    <t>International Passenger</t>
  </si>
  <si>
    <t>Dedicated Freight</t>
  </si>
  <si>
    <t>Domestic</t>
  </si>
  <si>
    <t>International</t>
  </si>
  <si>
    <t>U.S. Domestic</t>
  </si>
  <si>
    <t>U.S. International</t>
  </si>
  <si>
    <t>Population (millions)</t>
  </si>
  <si>
    <t>United States</t>
  </si>
  <si>
    <t>Canada</t>
  </si>
  <si>
    <t>Africa</t>
  </si>
  <si>
    <t>China</t>
  </si>
  <si>
    <t>Revenue Passenger Miles (billion miles)</t>
  </si>
  <si>
    <t>Freight Revenue Ton Miles (billion miles)</t>
  </si>
  <si>
    <t>Narrow Body Aircraft</t>
  </si>
  <si>
    <t>Wide Body Aircraft</t>
  </si>
  <si>
    <t>Regional Jets</t>
  </si>
  <si>
    <t>Aircraft Efficiency (seat miles per gallon)</t>
  </si>
  <si>
    <t>New Aircraft</t>
  </si>
  <si>
    <t>Average Aircraft</t>
  </si>
  <si>
    <t>Aircraft Stock</t>
  </si>
  <si>
    <t>Commercial Jet Fuel</t>
  </si>
  <si>
    <t>Commercial Aviation Gasoline</t>
  </si>
  <si>
    <t>Military Jet Fuel</t>
  </si>
  <si>
    <t>Table 47.  Air Travel Energy Use</t>
  </si>
  <si>
    <t>1987 $/MMBtu</t>
  </si>
  <si>
    <t>fraction</t>
  </si>
  <si>
    <t>millions</t>
  </si>
  <si>
    <t>seat mpg</t>
  </si>
  <si>
    <t>Table 49.  Freight Transportation Energy Use</t>
  </si>
  <si>
    <t>Vehicle Miles Traveled (billion miles)</t>
  </si>
  <si>
    <t>Motor Gasoline</t>
  </si>
  <si>
    <t>Ethanol-Flex Fuel</t>
  </si>
  <si>
    <t>Electric</t>
  </si>
  <si>
    <t>Plug-in Diesel Hybrid</t>
  </si>
  <si>
    <t>Plug-in Gasoline Hybrid</t>
  </si>
  <si>
    <t>Fuel Cell</t>
  </si>
  <si>
    <t>Light Medium Subtotal</t>
  </si>
  <si>
    <t>Medium Subtotal</t>
  </si>
  <si>
    <t>Heavy</t>
  </si>
  <si>
    <t>Heavy Subtotal</t>
  </si>
  <si>
    <t>Total Vehicle Miles Traveled</t>
  </si>
  <si>
    <t>Consumption (trillion Btu)</t>
  </si>
  <si>
    <t xml:space="preserve"> Medium</t>
  </si>
  <si>
    <t>Fuel Efficiency (miles per gallon)</t>
  </si>
  <si>
    <t>Light Medium Average</t>
  </si>
  <si>
    <t>Medium Average</t>
  </si>
  <si>
    <t>Heavy Average</t>
  </si>
  <si>
    <t>Average Fuel Efficiency</t>
  </si>
  <si>
    <t>Stock (millions)</t>
  </si>
  <si>
    <t>Total Stock</t>
  </si>
  <si>
    <t>Sales (thousands)</t>
  </si>
  <si>
    <t>Total Sales</t>
  </si>
  <si>
    <t>Ton Miles by Rail (billion)</t>
  </si>
  <si>
    <t>Fuel Efficiency (ton miles per thousand Btu)</t>
  </si>
  <si>
    <t>Distillate Fuel Oil (diesel)</t>
  </si>
  <si>
    <t>Compressed Natural Gas</t>
  </si>
  <si>
    <t>Liquefied Natural Gas</t>
  </si>
  <si>
    <t>Ton Miles Shipping (billion)</t>
  </si>
  <si>
    <t>Gross Trade (billion 2012 dollars)</t>
  </si>
  <si>
    <t>Exports (billion 2012 dollars)</t>
  </si>
  <si>
    <t>Imports (billion 2012 dollars)</t>
  </si>
  <si>
    <t xml:space="preserve"> and Heavy Total</t>
  </si>
  <si>
    <t>mpg diesel equiv</t>
  </si>
  <si>
    <t>mpg gas equiv</t>
  </si>
  <si>
    <t>mpg</t>
  </si>
  <si>
    <t>thousands</t>
  </si>
  <si>
    <t>billions</t>
  </si>
  <si>
    <t>billion 2012 $</t>
  </si>
  <si>
    <t>Tables 7, 36, 46, 47, 49</t>
  </si>
  <si>
    <t>https://www.eia.gov/outlooks/aeo/tables_side.php</t>
  </si>
  <si>
    <t>is 2020, the start year is 2019.  The start year column does not have to be</t>
  </si>
  <si>
    <t>We use AEO 2021 to calculate start year vehicles, as AEO 2021 does not include 2019 data.</t>
  </si>
  <si>
    <t>We classify AEO's light commercial trucks category as well as light-medium and medium duty vehicles</t>
  </si>
  <si>
    <t>in "freight LDVs" and heavy duty vehicles in "freight HDVs."</t>
  </si>
  <si>
    <t xml:space="preserve">Without any calibration adjustment, the very large dip in passenger air travel in 2020 leads to discrepancies </t>
  </si>
  <si>
    <t>in energy use between AEO and the EPS outputs given our current methodology. Therefore, we add a calibration</t>
  </si>
  <si>
    <t>adjustment factor here, which adjusts the BAU aircraft cargo distance so that final aircraft energy use aligns</t>
  </si>
  <si>
    <t>with the energy use in AEO 2021.</t>
  </si>
  <si>
    <t>ref2022.d011222a</t>
  </si>
  <si>
    <t>Annual Energy Outlook 2022</t>
  </si>
  <si>
    <t>ref2022</t>
  </si>
  <si>
    <t>Reference</t>
  </si>
  <si>
    <t>d011222a</t>
  </si>
  <si>
    <t xml:space="preserve"> March 2022</t>
  </si>
  <si>
    <t>Average</t>
  </si>
  <si>
    <t>Annual</t>
  </si>
  <si>
    <t>Change</t>
  </si>
  <si>
    <t>2021–2050</t>
  </si>
  <si>
    <t>(trillion Btu)</t>
  </si>
  <si>
    <t xml:space="preserve"> Mode and Type</t>
  </si>
  <si>
    <t>Note:  Includes estimated consumption for petroleum and other liquids.  Totals may not equal sum of components due to independent rounding.</t>
  </si>
  <si>
    <t>Total Fleet Vehicles</t>
  </si>
  <si>
    <t>Commercial Light Trucks 2/</t>
  </si>
  <si>
    <t>2/ Commercial trucks from 8,501 to 10,000 pounds.</t>
  </si>
  <si>
    <t>- - = Not applicable.</t>
  </si>
  <si>
    <t>Sources:  U.S. Energy Information Administration, AEO2022 National Energy Modeling System run ref2022.d011222a.</t>
  </si>
  <si>
    <t>Aircraft Deliveries</t>
  </si>
  <si>
    <t>Growth (2021-2050)</t>
  </si>
  <si>
    <t>Table 46.  Transportation Fleet Car and Truck Vehicle Miles Traveled by Type and Technology</t>
  </si>
  <si>
    <t>Cars</t>
  </si>
  <si>
    <t>Conventional Cars</t>
  </si>
  <si>
    <t>Gasoline ICE Vehicles</t>
  </si>
  <si>
    <t>TDI Diesel ICE</t>
  </si>
  <si>
    <t>Total Conventional Cars</t>
  </si>
  <si>
    <t>Alternative-Fuel Cars</t>
  </si>
  <si>
    <t>Ethanol-Flex Fuel ICE</t>
  </si>
  <si>
    <t>Plug-in 20 Gasoline Hybrid</t>
  </si>
  <si>
    <t>Plug-in 50 Gasoline Hybrid</t>
  </si>
  <si>
    <t>Electric-Diesel Hybrid</t>
  </si>
  <si>
    <t>Electric-Gasoline Hybrid</t>
  </si>
  <si>
    <t>Natural Gas ICE</t>
  </si>
  <si>
    <t>Natural Gas Bi-fuel</t>
  </si>
  <si>
    <t>Propane ICE</t>
  </si>
  <si>
    <t>Propane Bi-fuel</t>
  </si>
  <si>
    <t>Fuel Cell Methanol</t>
  </si>
  <si>
    <t>Fuel Cell Hydrogen</t>
  </si>
  <si>
    <t>Total Alternative Cars</t>
  </si>
  <si>
    <t>Total Cars</t>
  </si>
  <si>
    <t>Conventional Light Trucks</t>
  </si>
  <si>
    <t>Total Conventional Light Trucks</t>
  </si>
  <si>
    <t>Alternative-Fuel Light Trucks</t>
  </si>
  <si>
    <t>Total Alternative Light Trucks</t>
  </si>
  <si>
    <t>Total Light Trucks</t>
  </si>
  <si>
    <t>Total Commercial Light Trucks</t>
  </si>
  <si>
    <t>For buses, we choose to use the EPA GHG Inventory to calculate the 2020 value, due to the fact the Inventory</t>
  </si>
  <si>
    <t>reports only a ~20% drop in emissions from buses vs. the AEO which reports a ~50% drop. We then scale back</t>
  </si>
  <si>
    <t>up to AEO values over a period of 5 years.</t>
  </si>
  <si>
    <t>Bus adjustment factor, 2020-2025</t>
  </si>
  <si>
    <t>EPA</t>
  </si>
  <si>
    <t>Inventory of U.S. Greenhouse Gas Emissions and Sinks: 1990-2020</t>
  </si>
  <si>
    <t>https://www.epa.gov/ghgemissions/inventory-us-greenhouse-gas-emissions-and-sinks-1990-2020</t>
  </si>
  <si>
    <t>Table 3-13</t>
  </si>
  <si>
    <t>TKI000:ia_liquefactexp</t>
  </si>
  <si>
    <t>TKI000:da_liquefactexp</t>
  </si>
  <si>
    <t>1/ Commercial trucks have a 8,501 to 10,000 pound gross vehicle weight rating.</t>
  </si>
  <si>
    <t>7/ Fuel used in facilities that liquefy natural gas for export.</t>
  </si>
  <si>
    <t>Natural Gas Liquefaction for Export</t>
  </si>
  <si>
    <t>100-Mile Electric Vehicle</t>
  </si>
  <si>
    <t>200-Mile Electric Vehicle</t>
  </si>
  <si>
    <t>300-Mile Electric Vehicle</t>
  </si>
  <si>
    <t>Japan</t>
  </si>
  <si>
    <t>Australia and New Zealand</t>
  </si>
  <si>
    <t>South Korea</t>
  </si>
  <si>
    <t>Russia</t>
  </si>
  <si>
    <t>India</t>
  </si>
  <si>
    <t>Middle East</t>
  </si>
  <si>
    <t>Brazil</t>
  </si>
  <si>
    <t>Total World Domestic</t>
  </si>
  <si>
    <t>Total World International</t>
  </si>
  <si>
    <t>Total Narrow Body</t>
  </si>
  <si>
    <t>Total Wide Body</t>
  </si>
  <si>
    <t>Total Regional Jet</t>
  </si>
  <si>
    <t>psgr</t>
  </si>
  <si>
    <t>freight</t>
  </si>
  <si>
    <t>Calibration multiplier</t>
  </si>
  <si>
    <t>Table 3-13:  CO2 Emissions from Fossil Fuel Combustion in Transportation End-Use Sector (MMT CO2 Eq.)</t>
  </si>
  <si>
    <t>Fuel/Vehicle Type</t>
  </si>
  <si>
    <t>Gasolinea</t>
  </si>
  <si>
    <t>Passenger Cars</t>
  </si>
  <si>
    <t>Light-Duty Trucks</t>
  </si>
  <si>
    <t>Medium- and Heavy-Duty Trucksb</t>
  </si>
  <si>
    <t>Recreational Boatsc</t>
  </si>
  <si>
    <t>Distillate Fuel Oil (Diesel)a</t>
  </si>
  <si>
    <t>Ships and Non-Recreational Boatsd</t>
  </si>
  <si>
    <t>International Bunker Fuelse</t>
  </si>
  <si>
    <t>Jet Fuel</t>
  </si>
  <si>
    <t>Commercial Aircraftf</t>
  </si>
  <si>
    <t>Military Aircraft</t>
  </si>
  <si>
    <t>General Aviation Aircraft</t>
  </si>
  <si>
    <t xml:space="preserve">International Bunker Fuels from Commercial Aviation </t>
  </si>
  <si>
    <t>Ships and Non-Recreational Boatse</t>
  </si>
  <si>
    <t>Natural Gas i</t>
  </si>
  <si>
    <t>Medium- and Heavy-Duty Trucks</t>
  </si>
  <si>
    <t>Pipelineg</t>
  </si>
  <si>
    <t>LPG i</t>
  </si>
  <si>
    <t>Electricityk</t>
  </si>
  <si>
    <t>Total e,j</t>
  </si>
  <si>
    <t>International Bunker Fuels</t>
  </si>
  <si>
    <t>Biofuels-Ethanolh</t>
  </si>
  <si>
    <t>Biofuels-Biodieselh</t>
  </si>
  <si>
    <t>+ Does not exceed 0.05 MMT CO2 Eq.</t>
  </si>
  <si>
    <t xml:space="preserve">a On-road fuel consumption data from FHWA Table MF-21 and MF-27 were used to determine total on-road use of motor gasoline and diesel fuel (FHWA 1996 through 2023). Ratios developed from MOVES3 output are used to apportion FHWA fuel consumption data to vehicle type and fuel type (see Annex 3.2 for information about the MOVES model). </t>
  </si>
  <si>
    <t>b Includes medium- and heavy-duty trucks over 8,500 lbs.</t>
  </si>
  <si>
    <t>c In 2014, EPA incorporated the NONROAD2008 model into the MOVES model framework. The current Inventory uses the Nonroad component of MOVES3 for years 1999 through 2021. See Annex 3.2 for information about the MOVES model.</t>
  </si>
  <si>
    <t>d Note that large year over year fluctuations in emission estimates partially reflect nature of data collection for these sources.</t>
  </si>
  <si>
    <t>e Official estimates exclude emissions from the combustion of both aviation and marine international bunker fuels; however, estimates of international bunker fuel-related emissions are presented for informational purposes.</t>
  </si>
  <si>
    <t xml:space="preserve">f Commercial aircraft, as modeled in FAA’s Aviation Environmental Design Tool (AEDT), consists of passenger aircraft, cargo, and other chartered flights. </t>
  </si>
  <si>
    <t>g Pipelines reflect CO2 emissions from natural gas-powered pipelines transporting natural gas.</t>
  </si>
  <si>
    <t>h Ethanol and biodiesel estimates are presented for informational purposes only. See Section 3.10 of this chapter and the estimates in Land Use, Land-Use Change, and Forestry (see Chapter 6), in line with IPCC methodological guidance and UNFCCC reporting obligations, for more information on ethanol and biodiesel.</t>
  </si>
  <si>
    <t>i Transportation sector natural gas and LPG consumption are based on data from EIA (2021b). Prior to the 1990 to 2015 Inventory, data from DOE TEDB were used to estimate each vehicle class’s share of the total natural gas and LPG consumption. Since TEDB does not include estimates for natural gas use by medium and heavy-duty trucks or LPG use by passenger cars, EIA Alternative Fuel Vehicle Data (Browning 2017) is now used to determine each vehicle class’s share of the total natural gas and LPG consumption. These changes were first incorporated in the 1990 to 2016 Inventory and apply to the 1990 to 2021 time period.</t>
  </si>
  <si>
    <t>j Includes emissions from rail electricity.</t>
  </si>
  <si>
    <t xml:space="preserve">k Electricity consumption by passenger cars, light-duty trucks (SUVs), and buses is based on plug-in electric vehicle sales and engine efficiency data, as outlined in Browning (2018a). In prior Inventory years, CO2 emissions from electric vehicle charging were allocated to the residential and commercial sectors. They are now allocated to the transportation sector. These changes apply to the 2010 through 2021 time period. </t>
  </si>
  <si>
    <t>Notes: This table does not include emissions from non-transportation mobile sources, such as agricultural equipment and construction/mining equipment; it also does not include emissions associated with electricity consumption by pipelines or lubricants used in transportation. In addition, this table does not include CO2 emissions from U.S. Territories, since these are covered in a separate chapter of the Inventory. Totals may not sum due to independent rounding.</t>
  </si>
  <si>
    <t>2021 to 2020 growth rate</t>
  </si>
  <si>
    <t>Table A-71:  Energy Consumption by Fuel and Vehicle Type (TBtu)</t>
  </si>
  <si>
    <t>gasoline</t>
  </si>
  <si>
    <t>diesel</t>
  </si>
  <si>
    <t>2010a</t>
  </si>
  <si>
    <t>Motor Gasolinea,b</t>
  </si>
  <si>
    <t xml:space="preserve">  Passenger Cars</t>
  </si>
  <si>
    <t xml:space="preserve">  Light-Duty Trucks</t>
  </si>
  <si>
    <t xml:space="preserve">  Motorcycles</t>
  </si>
  <si>
    <t xml:space="preserve">  Buses</t>
  </si>
  <si>
    <t xml:space="preserve">  Medium- and Heavy-Duty Trucks</t>
  </si>
  <si>
    <t xml:space="preserve">  Recreational Boatsc</t>
  </si>
  <si>
    <t>Distillate Fuel Oil (Diesel Fuel)a,b</t>
  </si>
  <si>
    <t xml:space="preserve">  Recreational Boats</t>
  </si>
  <si>
    <t xml:space="preserve">  Ships and Non-Recreational Boats</t>
  </si>
  <si>
    <t xml:space="preserve">  Raild</t>
  </si>
  <si>
    <t>Jet Fuele</t>
  </si>
  <si>
    <t xml:space="preserve">  Commercial Aircraft</t>
  </si>
  <si>
    <t xml:space="preserve">  General Aviation Aircraft</t>
  </si>
  <si>
    <t xml:space="preserve">  Military Aircraft</t>
  </si>
  <si>
    <t>Residual Fuel Oile,f,</t>
  </si>
  <si>
    <t>Natural Gase</t>
  </si>
  <si>
    <t xml:space="preserve">+ </t>
  </si>
  <si>
    <t xml:space="preserve">  Pipelines</t>
  </si>
  <si>
    <t>LPGe</t>
  </si>
  <si>
    <t>Electricityg</t>
  </si>
  <si>
    <t>+ Does not exceed 0.5 TBtu</t>
  </si>
  <si>
    <t xml:space="preserve">a Figures do not include ethanol blended in motor gasoline or biodiesel blended into distillate fuel oil. Net carbon fluxes associated with ethanol are accounted for in the Land Use, Land-Use Change, and Forestry chapter. </t>
  </si>
  <si>
    <t xml:space="preserve">b Gasoline and diesel highway vehicle fuel consumption estimates are based on data from FHWA Highway Statistics Table MF-21, MF-27, and ratios developed from MOVES3 to apportion FHWA fuel consumption data to vehicle type and fuel type. </t>
  </si>
  <si>
    <t>c Fluctuations in recreational boat gasoline estimates reflect the use of this category to reconcile bottom-up values with EIA total gasoline estimates.</t>
  </si>
  <si>
    <t xml:space="preserve">d Class II and Class III diesel consumption data for 2014 through 2021 is estimated by applying the historical average fuel usage per carload factor to the annual number of carloads. </t>
  </si>
  <si>
    <t xml:space="preserve">e Estimated based on EIA transportation sector energy estimates, with bottom-up data used for apportionment to modes. Transportation sector natural gas and LPG consumption are based on data from EIA (2022a). In previous Inventory years, data from DOE TEDB was used to estimate each vehicle class’s share of the total natural gas and LPG consumption. Since TEDB does not include estimates for natural gas use by medium and heavy-duty trucks or LPG use by passenger cars, EIA Alternative Fuel Vehicle Data (Browning 2022b) is now used to determine each vehicle class’s share of the total natural gas and LPG consumption. These changes were first incorporated in the 2016 Inventory and apply to the 1990–2021 time period. </t>
  </si>
  <si>
    <t xml:space="preserve">f Fluctuations in reported fuel consumption may reflect data collection problems. Residual fuel oil for ships and boats data is based on EIA (2022a). </t>
  </si>
  <si>
    <t xml:space="preserve">g Electricity consumption by passenger cars, light-duty trucks (SUVs), and buses is based on plug-in electric vehicle sales data and engine efficiencies, as outlined in Browning (2022b). In Inventory years prior to 2017, CO2 emissions from electric vehicle charging were allocated to the residential and commercial sectors. They are now allocated to the transportation sector. These changes were first incorporated in the 2017 Inventory and apply to the 2010 through 2021 time period. </t>
  </si>
  <si>
    <t>Light-Duty Vehicle</t>
  </si>
  <si>
    <t>Air Transportation</t>
  </si>
  <si>
    <t>Bus Transportation</t>
  </si>
  <si>
    <t>Rail Transportation</t>
  </si>
  <si>
    <t>TEF000</t>
  </si>
  <si>
    <t>36. Transportation Sector Energy Use by Fuel Type Within Mode</t>
  </si>
  <si>
    <t>TEF000:ba_Total</t>
  </si>
  <si>
    <t>TEF000:ba_MotorGasoline</t>
  </si>
  <si>
    <t xml:space="preserve">  Motor Gasoline excluding E85 1/</t>
  </si>
  <si>
    <t>TEF000:ba_Ethanol</t>
  </si>
  <si>
    <t xml:space="preserve">  E85 1/</t>
  </si>
  <si>
    <t>TEF000:ba_Distillate(di</t>
  </si>
  <si>
    <t xml:space="preserve">  Distillate Fuel Oil (diesel)</t>
  </si>
  <si>
    <t>TEF000:ba_CompressedNat</t>
  </si>
  <si>
    <t xml:space="preserve">  Compressed/Liquefied Natural Gas</t>
  </si>
  <si>
    <t>TEF000:ba_LiquefiedPetr</t>
  </si>
  <si>
    <t xml:space="preserve">  Propane</t>
  </si>
  <si>
    <t>TEF000:ba_Electricity</t>
  </si>
  <si>
    <t xml:space="preserve">  Electricity</t>
  </si>
  <si>
    <t>TEF000:ba_LiquidHydroge</t>
  </si>
  <si>
    <t xml:space="preserve">  Hydrogen</t>
  </si>
  <si>
    <t>TEF000:ca_CommercialLig</t>
  </si>
  <si>
    <t>TEF000:clt_MotorGas</t>
  </si>
  <si>
    <t>TEF000:clt_e85</t>
  </si>
  <si>
    <t>TEF000:clt_Diesel</t>
  </si>
  <si>
    <t>TEF000:clt_propane</t>
  </si>
  <si>
    <t>TEF000:clt_natural_gas</t>
  </si>
  <si>
    <t>TEF000:clt_electricity</t>
  </si>
  <si>
    <t>TEF000:clt_hydrogen</t>
  </si>
  <si>
    <t>--</t>
  </si>
  <si>
    <t>TEF000:da_Total</t>
  </si>
  <si>
    <t>Freight Trucks 3/</t>
  </si>
  <si>
    <t>TEF000:da_MotorGasoline</t>
  </si>
  <si>
    <t xml:space="preserve">  Motor Gasoline</t>
  </si>
  <si>
    <t>TEF000:da_Distillate(di</t>
  </si>
  <si>
    <t>TEF000:da_CompressedNat</t>
  </si>
  <si>
    <t>TEF000:da_LiquefiedPetr</t>
  </si>
  <si>
    <t>TEF000:ft_eeeeeeeeeee85</t>
  </si>
  <si>
    <t xml:space="preserve">  E85</t>
  </si>
  <si>
    <t>TEF000:ft_electricity</t>
  </si>
  <si>
    <t>TEF000:ft_hydrogen</t>
  </si>
  <si>
    <t>TEF000:ea_Total</t>
  </si>
  <si>
    <t>Freight Rail 4/</t>
  </si>
  <si>
    <t>TEF000:ea_Distillate(di</t>
  </si>
  <si>
    <t>TEF000:ea_ResidualOil</t>
  </si>
  <si>
    <t xml:space="preserve">  Residual Fuel Oil</t>
  </si>
  <si>
    <t>TEF000:ea_SeeEnGee</t>
  </si>
  <si>
    <t xml:space="preserve">  Compressed Natural Gas</t>
  </si>
  <si>
    <t>TEF000:ea_LiquidNG</t>
  </si>
  <si>
    <t xml:space="preserve">  Liquefied Natural Gas</t>
  </si>
  <si>
    <t>TEF000:fa_Total</t>
  </si>
  <si>
    <t>TEF000:fa_Distillate(di</t>
  </si>
  <si>
    <t>TEF000:fa_ResidualOil</t>
  </si>
  <si>
    <t xml:space="preserve">  Residual Oil</t>
  </si>
  <si>
    <t>TEF000:fa_MotorGasoline</t>
  </si>
  <si>
    <t>TEF000:fa_LiquidNG</t>
  </si>
  <si>
    <t>TEF000:ga_Total</t>
  </si>
  <si>
    <t>TEF000:ga_Distillate(di</t>
  </si>
  <si>
    <t>TEF000:ga_ResidualOil</t>
  </si>
  <si>
    <t>TEF000:ga_SeeEnGee</t>
  </si>
  <si>
    <t>TEF000:ga_LiquidNG</t>
  </si>
  <si>
    <t>TEF000:ha_Total</t>
  </si>
  <si>
    <t>TEF000:ha_JetFuel</t>
  </si>
  <si>
    <t xml:space="preserve">  Jet Fuel</t>
  </si>
  <si>
    <t>TEF000:ha_AviationGasol</t>
  </si>
  <si>
    <t xml:space="preserve">  Aviation Gasoline</t>
  </si>
  <si>
    <t>TEF000:ia_Total</t>
  </si>
  <si>
    <t>TEF000:ia_JetFuel</t>
  </si>
  <si>
    <t xml:space="preserve">  Jet Fuel and Aviation Gasoline</t>
  </si>
  <si>
    <t>TEF000:ia_ResidualFuel</t>
  </si>
  <si>
    <t>TEF000:ia_Distillate</t>
  </si>
  <si>
    <t xml:space="preserve">  Distillates and Diesel</t>
  </si>
  <si>
    <t>TEF000:ja_Total</t>
  </si>
  <si>
    <t>TEF000:bus_transit_tot</t>
  </si>
  <si>
    <t xml:space="preserve">  Transit Bus</t>
  </si>
  <si>
    <t>TEF000:ja_TransitBus(mo</t>
  </si>
  <si>
    <t xml:space="preserve">    Motor Gasoline</t>
  </si>
  <si>
    <t>TEF000:bus_transit_e85</t>
  </si>
  <si>
    <t xml:space="preserve">    E85</t>
  </si>
  <si>
    <t>TEF000:ja_TransitBus(di</t>
  </si>
  <si>
    <t xml:space="preserve">    Distillate Fuel Oil (diesel)</t>
  </si>
  <si>
    <t>TEF000:bus_transit_CNG</t>
  </si>
  <si>
    <t xml:space="preserve">    Compressed/Liquefied Natural Gas</t>
  </si>
  <si>
    <t>TEF000:bus_transit_LPG</t>
  </si>
  <si>
    <t xml:space="preserve">    Propane</t>
  </si>
  <si>
    <t>TEF000:bus_transit_elec</t>
  </si>
  <si>
    <t xml:space="preserve">    Electricity</t>
  </si>
  <si>
    <t>TEF000:bus_transit_hydr</t>
  </si>
  <si>
    <t xml:space="preserve">    Hydrogen</t>
  </si>
  <si>
    <t>TEF000:bus_inter_total</t>
  </si>
  <si>
    <t xml:space="preserve">  Intercity Bus</t>
  </si>
  <si>
    <t>TEF000:bus_inter_motor</t>
  </si>
  <si>
    <t>TEF000:bus_inter_e85</t>
  </si>
  <si>
    <t>TEF000:ja_IntercityBus(</t>
  </si>
  <si>
    <t>TEF000:bus_inter_CNG</t>
  </si>
  <si>
    <t>TEF000:bus_inter_LPG</t>
  </si>
  <si>
    <t>TEF000:bus_inter_elec</t>
  </si>
  <si>
    <t>TEF000:bus_inter_hydrog</t>
  </si>
  <si>
    <t>TEF000:bus_school_total</t>
  </si>
  <si>
    <t xml:space="preserve">  School Bus</t>
  </si>
  <si>
    <t>TEF000:ja_SchoolBus(mot</t>
  </si>
  <si>
    <t>TEF000:bus_school_e85</t>
  </si>
  <si>
    <t>TEF000:ja_SchoolBus(die</t>
  </si>
  <si>
    <t>TEF000:bus_school_CNG</t>
  </si>
  <si>
    <t>TEF000:bus_school_LPG</t>
  </si>
  <si>
    <t>TEF000:bus_school_elec</t>
  </si>
  <si>
    <t>TEF000:bus_school_hydro</t>
  </si>
  <si>
    <t>TEF000:ma_Total</t>
  </si>
  <si>
    <t>TEF000:ka_IntercityRail</t>
  </si>
  <si>
    <t xml:space="preserve">  Intercity Rail</t>
  </si>
  <si>
    <t>TEF000:ka_InterElect</t>
  </si>
  <si>
    <t>TEF000:la_InterDiesel</t>
  </si>
  <si>
    <t xml:space="preserve">    Diesel</t>
  </si>
  <si>
    <t>TEF000:la_InterCNG</t>
  </si>
  <si>
    <t xml:space="preserve">    Compressed Natural Gas</t>
  </si>
  <si>
    <t>TEF000:la_InterLNG</t>
  </si>
  <si>
    <t xml:space="preserve">    Liquefied Natural Gas</t>
  </si>
  <si>
    <t>TEF000:la_TransitRail</t>
  </si>
  <si>
    <t xml:space="preserve">  Transit Rail</t>
  </si>
  <si>
    <t>TEF000:la_TransitElect</t>
  </si>
  <si>
    <t>TEF000:ma_CommuterRail</t>
  </si>
  <si>
    <t xml:space="preserve">  Commuter Rail</t>
  </si>
  <si>
    <t>TEF000:ma_CommuteElect</t>
  </si>
  <si>
    <t>TEF000:ma_CommuteDiesel</t>
  </si>
  <si>
    <t>TEF000:ma_CommuteCNG</t>
  </si>
  <si>
    <t>TEF000:ma_CommuteLNG</t>
  </si>
  <si>
    <t>TEF000:na_RecreationBoa</t>
  </si>
  <si>
    <t>TEF000:na_RecreateGas</t>
  </si>
  <si>
    <t xml:space="preserve">  Gasoline</t>
  </si>
  <si>
    <t>TEF000:na_RecreateDies</t>
  </si>
  <si>
    <t>TEF000:na_Lubricants</t>
  </si>
  <si>
    <t>TEF000:na_PipelineFuelN</t>
  </si>
  <si>
    <t>TEF000:pa_TotalConsumpt</t>
  </si>
  <si>
    <t>1/ E85 refers to a blend of 85 % ethanol (renewable) and 15 % motor gasoline (nonrenewable).  To address cold starting issues,</t>
  </si>
  <si>
    <t>3/ Does not include military distillate.  Does not include commercial buses.</t>
  </si>
  <si>
    <t>4/ Does not include passenger rail.</t>
  </si>
  <si>
    <t>adjustment</t>
  </si>
  <si>
    <t>2021 EPA diesel for medium- and heavy-duty</t>
  </si>
  <si>
    <t>2021 EIA diesel for medium- and heavy-duty</t>
  </si>
  <si>
    <t>LDVs and HDVs</t>
  </si>
  <si>
    <t>buses</t>
  </si>
  <si>
    <t>AEO.2025.ALTTRNP.ECI_VMT_NA_CLTR_NA_NA_NA_BLNMLS.A</t>
  </si>
  <si>
    <t>Fleet Vehicle Miles Traveled: Commercial Light Trucks: Total: Alternative Transportation</t>
  </si>
  <si>
    <t>AEO.2025.ALTTRNP.ECI_VMT_NA_CLTR_HYDICE_NA_NA_BLNMLS.A</t>
  </si>
  <si>
    <t>Fleet Vehicle Miles Traveled: Commercial Light Trucks: Hydrogen ICE: Alternative Transportation</t>
  </si>
  <si>
    <t>Hydrogen ICE</t>
  </si>
  <si>
    <t>AEO.2025.ALTTRNP.ECI_VMT_NA_CLTR_GASHEV_NA_NA_BLNMLS.A</t>
  </si>
  <si>
    <t>Fleet Vehicle Miles Traveled: Commercial Light Trucks: Gasoline Hybrid: Alternative Transportation</t>
  </si>
  <si>
    <t>Gasoline Hybrid</t>
  </si>
  <si>
    <t>AEO.2025.ALTTRNP.ECI_VMT_NA_CLTR_FEUCELBATDOM_NA_NA_BLNMLS.A</t>
  </si>
  <si>
    <t>Fleet Vehicle Miles Traveled: Commercial Light Trucks: Fuel Cell Battery Dominant: Alternative Transportation</t>
  </si>
  <si>
    <t>Fuel Cell Battery Dominant</t>
  </si>
  <si>
    <t>AEO.2025.ALTTRNP.ECI_VMT_NA_CLTR_FUC_NA_NA_BLNMLS.A</t>
  </si>
  <si>
    <t>Fleet Vehicle Miles Traveled: Commercial Light Trucks: Fuel Cell: Alternative Transportation</t>
  </si>
  <si>
    <t>AEO.2025.ALTTRNP.ECI_VMT_NA_CLTR_EDH_NA_NA_BLNMLS.A</t>
  </si>
  <si>
    <t>Fleet Vehicle Miles Traveled: Commercial Light Trucks: Plug-in Diesel: Alternative Transportation</t>
  </si>
  <si>
    <t>AEO.2025.ALTTRNP.ECI_VMT_NA_CLTR_EGH_NA_NA_BLNMLS.A</t>
  </si>
  <si>
    <t>Fleet Vehicle Miles Traveled: Commercial Light Trucks: Plug-in Gas: Alternative Transportation</t>
  </si>
  <si>
    <t>AEO.2025.ALTTRNP.ECI_VMT_NA_CLTR_ELE_NA_NA_BLNMLS.A</t>
  </si>
  <si>
    <t>Fleet Vehicle Miles Traveled: Commercial Light Trucks: Electric: Alternative Transportation</t>
  </si>
  <si>
    <t>AEO.2025.ALTTRNP.ECI_VMT_NA_CLTR_EFFI_NA_NA_BLNMLS.A</t>
  </si>
  <si>
    <t>Fleet Vehicle Miles Traveled: Commercial Light Trucks: Ethanol Flex: Alternative Transportation</t>
  </si>
  <si>
    <t>AEO.2025.ALTTRNP.ECI_VMT_NA_CLTR_NG_NA_NA_BLNMLS.A</t>
  </si>
  <si>
    <t>Fleet Vehicle Miles Traveled: Commercial Light Trucks: CNG/LNG: Alternative Transportation</t>
  </si>
  <si>
    <t>AEO.2025.ALTTRNP.ECI_VMT_NA_CLTR_PROP_NA_NA_BLNMLS.A</t>
  </si>
  <si>
    <t>Fleet Vehicle Miles Traveled: Commercial Light Trucks: Propane: Alternative Transportation</t>
  </si>
  <si>
    <t>AEO.2025.ALTTRNP.ECI_VMT_NA_CLTR_TDS_NA_NA_BLNMLS.A</t>
  </si>
  <si>
    <t>Fleet Vehicle Miles Traveled: Commercial Light Trucks: TDI Diesel: Alternative Transportation</t>
  </si>
  <si>
    <t>AEO.2025.ALTTRNP.ECI_VMT_NA_CLTR_GSL_NA_NA_BLNMLS.A</t>
  </si>
  <si>
    <t>Fleet Vehicle Miles Traveled: Commercial Light Trucks: Gasoline: Alternative Transportation</t>
  </si>
  <si>
    <t>AEO.2025.ALTTRNP.ECI_VMT_NA_NA_NA_NA_NA_BLNMLS.A</t>
  </si>
  <si>
    <t>Fleet Vehicle Miles Traveled: Total Fleet Vehicles: Alternative Transportation</t>
  </si>
  <si>
    <t>AEO.2025.ALTTRNP.ECI_VMT_NA_FLTR_NA_NA_NA_BLNMLS.A</t>
  </si>
  <si>
    <t>Fleet Vehicle Miles Traveled: Light Trucks: Total: Alternative Transportation</t>
  </si>
  <si>
    <t>AEO.2025.ALTTRNP.ECI_VMT_ALF1_FLTR_NA_NA_NA_BLNMLS.A</t>
  </si>
  <si>
    <t>Fleet Vehicle Miles Traveled: Alternative-Fuel Light Trucks: Total: Alternative Transportation</t>
  </si>
  <si>
    <t>AEO.2025.ALTTRNP.ECI_VMT_ALF1_FLTR_FCH_NA_NA_BLNMLS.A</t>
  </si>
  <si>
    <t>Fleet Vehicle Miles Traveled: Alternative-Fuel Light Trucks: Fuel Cell Hydrogen: Alternative Transportation</t>
  </si>
  <si>
    <t>AEO.2025.ALTTRNP.ECI_VMT_ALF1_FLTR_FCLMTH_NA_NA_BLNMLS.A</t>
  </si>
  <si>
    <t>Fleet Vehicle Miles Traveled: Alternative-Fuel Light Trucks: Fuel Cell Methanol: Alternative Transportation</t>
  </si>
  <si>
    <t>AEO.2025.ALTTRNP.ECI_VMT_ALF1_FLTR_PBF_NA_NA_BLNMLS.A</t>
  </si>
  <si>
    <t>Fleet Vehicle Miles Traveled: Alternative-Fuel Light Trucks: Propane Bi-fuel: Alternative Transportation</t>
  </si>
  <si>
    <t>AEO.2025.ALTTRNP.ECI_VMT_ALF1_FLTR_PROP_NA_NA_BLNMLS.A</t>
  </si>
  <si>
    <t>Fleet Vehicle Miles Traveled: Alternative-Fuel Light Trucks: Propane ICE: Alternative Transportation</t>
  </si>
  <si>
    <t>AEO.2025.ALTTRNP.ECI_VMT_ALF1_FLTR_NBF_NA_NA_BLNMLS.A</t>
  </si>
  <si>
    <t>Fleet Vehicle Miles Traveled: Alternative-Fuel Light Trucks: Natural Gas Bi-fuel: Alternative Transportation</t>
  </si>
  <si>
    <t>AEO.2025.ALTTRNP.ECI_VMT_ALF1_FLTR_NGI_NA_NA_BLNMLS.A</t>
  </si>
  <si>
    <t>Fleet Vehicle Miles Traveled: Alternative-Fuel Light Trucks: Natural Gas ICE: Alternative Transportation</t>
  </si>
  <si>
    <t>AEO.2025.ALTTRNP.ECI_VMT_ALF1_FLTR_EGH_NA_NA_BLNMLS.A</t>
  </si>
  <si>
    <t>Fleet Vehicle Miles Traveled: Alternative-Fuel Light Trucks: Electric-Gasoline Hybrid: Alternative Transportation</t>
  </si>
  <si>
    <t>AEO.2025.ALTTRNP.ECI_VMT_ALF1_FLTR_EDH_NA_NA_BLNMLS.A</t>
  </si>
  <si>
    <t>Fleet Vehicle Miles Traveled: Alternative-Fuel Light Trucks: Electric-Diesel Hybrid: Alternative Transportation</t>
  </si>
  <si>
    <t>AEO.2025.ALTTRNP.ECI_VMT_ALF1_FLTR_PI50GH_NA_NA_BLNMLS.A</t>
  </si>
  <si>
    <t>Fleet Vehicle Miles Traveled: Alternative-Fuel Light Trucks: Plug-in 50 Gasoline Hybrid: Alternative Transportation</t>
  </si>
  <si>
    <t>AEO.2025.ALTTRNP.ECI_VMT_ALF1_FLTR_PI20GH_NA_NA_BLNMLS.A</t>
  </si>
  <si>
    <t>Fleet Vehicle Miles Traveled: Alternative-Fuel Light Trucks: Plug-in 20 Gasoline Hybrid: Alternative Transportation</t>
  </si>
  <si>
    <t>AEO.2025.ALTTRNP.ECI_VMT_ALF1_FLTR_300MIEV_NA_NA_BLNMLS.A</t>
  </si>
  <si>
    <t>Fleet Vehicle Miles Traveled: Alternative-Fuel Light Trucks: 300-Mile Electric Vehicle: Alternative Transportation</t>
  </si>
  <si>
    <t>AEO.2025.ALTTRNP.ECI_VMT_ALF1_FLTR_200MIEV_NA_NA_BLNMLS.A</t>
  </si>
  <si>
    <t>Fleet Vehicle Miles Traveled: Alternative-Fuel Light Trucks: 200-Mile Electric Vehicle: Alternative Transportation</t>
  </si>
  <si>
    <t>AEO.2025.ALTTRNP.ECI_VMT_ALF1_FLTR_100MIEV_NA_NA_BLNMLS.A</t>
  </si>
  <si>
    <t>Fleet Vehicle Miles Traveled: Alternative-Fuel Light Trucks: 100-Mile Electric Vehicle: Alternative Transportation</t>
  </si>
  <si>
    <t>AEO.2025.ALTTRNP.ECI_VMT_ALF1_FLTR_EFFI_NA_NA_BLNMLS.A</t>
  </si>
  <si>
    <t>Fleet Vehicle Miles Traveled: Alternative-Fuel Light Trucks: Ethanol-Flex Fuel ICE: Alternative Transportation</t>
  </si>
  <si>
    <t>AEO.2025.ALTTRNP.ECI_VMT_CNV_FLTR_NA_NA_NA_BLNMLS.A</t>
  </si>
  <si>
    <t>Fleet Vehicle Miles Traveled: Conventional Light Trucks: Total: Alternative Transportation</t>
  </si>
  <si>
    <t>AEO.2025.ALTTRNP.ECI_VMT_CNV_FLTR_TDS_NA_NA_BLNMLS.A</t>
  </si>
  <si>
    <t>Fleet Vehicle Miles Traveled: Conventional Light Trucks: TDI Diesel: Alternative Transportation</t>
  </si>
  <si>
    <t>AEO.2025.ALTTRNP.ECI_VMT_CNV_FLTR_GSL_NA_NA_BLNMLS.A</t>
  </si>
  <si>
    <t>Fleet Vehicle Miles Traveled: Conventional Light Trucks: Gasoline: Alternative Transportation</t>
  </si>
  <si>
    <t>AEO.2025.ALTTRNP.ECI_VMT_NA_FLC_NA_NA_NA_BLNMLS.A</t>
  </si>
  <si>
    <t>Fleet Vehicle Miles Traveled: Cars: Total: Alternative Transportation</t>
  </si>
  <si>
    <t>AEO.2025.ALTTRNP.ECI_VMT_ALF1_FLC_NA_NA_NA_BLNMLS.A</t>
  </si>
  <si>
    <t>Fleet Vehicle Miles Traveled: Alternative-Fuel Cars: Total: Alternative Transportation</t>
  </si>
  <si>
    <t>AEO.2025.ALTTRNP.ECI_VMT_ALF1_FLC_FCH_NA_NA_BLNMLS.A</t>
  </si>
  <si>
    <t>Fleet Vehicle Miles Traveled: Alternative-Fuel Cars: Fuel Cell Hydrogen: Alternative Transportation</t>
  </si>
  <si>
    <t>AEO.2025.ALTTRNP.ECI_VMT_ALF1_FLC_FCLMTH_NA_NA_BLNMLS.A</t>
  </si>
  <si>
    <t>Fleet Vehicle Miles Traveled: Alternative-Fuel Cars: Fuel Cell Methanol: Alternative Transportation</t>
  </si>
  <si>
    <t>AEO.2025.ALTTRNP.ECI_VMT_ALF1_FLC_PBF_NA_NA_BLNMLS.A</t>
  </si>
  <si>
    <t>Fleet Vehicle Miles Traveled: Alternative-Fuel Cars: Propane Bi-fuel: Alternative Transportation</t>
  </si>
  <si>
    <t>AEO.2025.ALTTRNP.ECI_VMT_ALF1_FLC_PROP_NA_NA_BLNMLS.A</t>
  </si>
  <si>
    <t>Fleet Vehicle Miles Traveled: Alternative-Fuel Cars: Propane ICE: Alternative Transportation</t>
  </si>
  <si>
    <t>AEO.2025.ALTTRNP.ECI_VMT_ALF1_FLC_NBF_NA_NA_BLNMLS.A</t>
  </si>
  <si>
    <t>Fleet Vehicle Miles Traveled: Alternative-Fuel Cars: Natural Gas Bi-fuel: Alternative Transportation</t>
  </si>
  <si>
    <t>AEO.2025.ALTTRNP.ECI_VMT_ALF1_FLC_NGI_NA_NA_BLNMLS.A</t>
  </si>
  <si>
    <t>Fleet Vehicle Miles Traveled: Alternative-Fuel Cars: Natural Gas ICE: Alternative Transportation</t>
  </si>
  <si>
    <t>AEO.2025.ALTTRNP.ECI_VMT_ALF1_FLC_EGH_NA_NA_BLNMLS.A</t>
  </si>
  <si>
    <t>Fleet Vehicle Miles Traveled: Alternative-Fuel Cars: Electric-Gasoline Hybrid: Alternative Transportation</t>
  </si>
  <si>
    <t>AEO.2025.ALTTRNP.ECI_VMT_ALF1_FLC_EDH_NA_NA_BLNMLS.A</t>
  </si>
  <si>
    <t>Fleet Vehicle Miles Traveled: Alternative-Fuel Cars: Electric-Diesel Hybrid: Alternative Transportation</t>
  </si>
  <si>
    <t>AEO.2025.ALTTRNP.ECI_VMT_ALF1_FLC_PI50GH_NA_NA_BLNMLS.A</t>
  </si>
  <si>
    <t>Fleet Vehicle Miles Traveled: Alternative-Fuel Cars: Plug-in 50 Gasoline Hybrid: Alternative Transportation</t>
  </si>
  <si>
    <t>AEO.2025.ALTTRNP.ECI_VMT_ALF1_FLC_PI20GH_NA_NA_BLNMLS.A</t>
  </si>
  <si>
    <t>Fleet Vehicle Miles Traveled: Alternative-Fuel Cars: Plug-in 20 Gasoline Hybrid: Alternative Transportation</t>
  </si>
  <si>
    <t>AEO.2025.ALTTRNP.ECI_VMT_ALF1_FLC_300MIEV_NA_NA_BLNMLS.A</t>
  </si>
  <si>
    <t>Fleet Vehicle Miles Traveled: Alternative-Fuel Cars: 300-Mile Electric Vehicle: Alternative Transportation</t>
  </si>
  <si>
    <t>AEO.2025.ALTTRNP.ECI_VMT_ALF1_FLC_200MIEV_NA_NA_BLNMLS.A</t>
  </si>
  <si>
    <t>Fleet Vehicle Miles Traveled: Alternative-Fuel Cars: 200-Mile Electric Vehicle: Alternative Transportation</t>
  </si>
  <si>
    <t>AEO.2025.ALTTRNP.ECI_VMT_ALF1_FLC_100MIEV_NA_NA_BLNMLS.A</t>
  </si>
  <si>
    <t>Fleet Vehicle Miles Traveled: Alternative-Fuel Cars: 100-Mile Electric Vehicle: Alternative Transportation</t>
  </si>
  <si>
    <t>AEO.2025.ALTTRNP.ECI_VMT_ALF1_FLC_EFFI_NA_NA_BLNMLS.A</t>
  </si>
  <si>
    <t>Fleet Vehicle Miles Traveled: Alternative-Fuel Cars: Ethanol-Flex Fuel ICE: Alternative Transportation</t>
  </si>
  <si>
    <t>AEO.2025.ALTTRNP.ECI_VMT_CNV_FLC_NA_NA_NA_BLNMLS.A</t>
  </si>
  <si>
    <t>Fleet Vehicle Miles Traveled: Conventional Cars: Total: Alternative Transportation</t>
  </si>
  <si>
    <t>AEO.2025.ALTTRNP.ECI_VMT_CNV_FLC_TDS_NA_NA_BLNMLS.A</t>
  </si>
  <si>
    <t>Fleet Vehicle Miles Traveled: Conventional Cars: TDI Diesel: Alternative Transportation</t>
  </si>
  <si>
    <t>AEO.2025.ALTTRNP.ECI_VMT_CNV_FLC_GSL_NA_NA_BLNMLS.A</t>
  </si>
  <si>
    <t>Fleet Vehicle Miles Traveled: Conventional Cars: Gasoline: Alternative Transportation</t>
  </si>
  <si>
    <t>Growth (2024-2050)</t>
  </si>
  <si>
    <t>Fri Dec 05 2025 14:51:05 GMT-0800 (Pacific Standard Time)</t>
  </si>
  <si>
    <t>https://www.eia.gov/outlooks/aeo/data/browser/#/?id=56-AEO2025&amp;cases=alttrnp&amp;sourcekey=0</t>
  </si>
  <si>
    <t>AEO.2025.ALTTRNP.CNSM_NA_AIRT_MILT_JFL_NA_USA_TRLBTU.A</t>
  </si>
  <si>
    <t>Air Travel: Fuel Use: Military: Jet Fuel: U.S.: Alternative Transportation</t>
  </si>
  <si>
    <t xml:space="preserve"> United States</t>
  </si>
  <si>
    <t>AEO.2025.ALTTRNP.CNSM_NA_AIRT_COMM_AVGA_NA_USA_TRLBTU.A</t>
  </si>
  <si>
    <t>Air Travel: Fuel Use: Commercial: Aviation Gasoline: U.S.: Alternative Transportation</t>
  </si>
  <si>
    <t>AEO.2025.ALTTRNP.CNSM_NA_AIRT_COMM_JFL_NA_WRLD_TRLBTU.A</t>
  </si>
  <si>
    <t>Air Travel: Fuel Use: Commercial: Jet Fuel: World: Alternative Transportation</t>
  </si>
  <si>
    <t>AEO.2025.ALTTRNP.CNSM_NA_AIRT_COMM_JFL_NA_ONOAS_TRLBTU.A</t>
  </si>
  <si>
    <t>Air Travel: Fuel Use: Commercial: Jet Fuel: Other Americas: Alternative Transportation</t>
  </si>
  <si>
    <t>Other Americas</t>
  </si>
  <si>
    <t>AEO.2025.ALTTRNP.CNSM_NA_AIRT_COMM_JFL_NA_BRZ_TRLBTU.A</t>
  </si>
  <si>
    <t>Air Travel: Fuel Use: Commercial: Jet Fuel: Brazil: Alternative Transportation</t>
  </si>
  <si>
    <t>AEO.2025.ALTTRNP.CNSM_NA_AIRT_COMM_JFL_NA_AFR_TRLBTU.A</t>
  </si>
  <si>
    <t>Air Travel: Fuel Use: Commercial: Jet Fuel: Africa: Alternative Transportation</t>
  </si>
  <si>
    <t>AEO.2025.ALTTRNP.CNSM_NA_AIRT_COMM_JFL_NA_MDE_TRLBTU.A</t>
  </si>
  <si>
    <t>Air Travel: Fuel Use: Commercial: Jet Fuel: Middle East: Alternative Transportation</t>
  </si>
  <si>
    <t>AEO.2025.ALTTRNP.CNSM_NA_AIRT_COMM_JFL_NA_ONCDAS_TRLBTU.A</t>
  </si>
  <si>
    <t>Air Travel: Fuel Use: Commercial: Jet Fuel: Other Asia Pacific: Alternative Transportation</t>
  </si>
  <si>
    <t>Other Asia Pacific</t>
  </si>
  <si>
    <t>AEO.2025.ALTTRNP.CNSM_NA_AIRT_COMM_JFL_NA_IND_TRLBTU.A</t>
  </si>
  <si>
    <t>Air Travel: Fuel Use: Commercial: Jet Fuel: India: Alternative Transportation</t>
  </si>
  <si>
    <t>AEO.2025.ALTTRNP.CNSM_NA_AIRT_COMM_JFL_NA_CHN_TRLBTU.A</t>
  </si>
  <si>
    <t>Air Travel: Fuel Use: Commercial: Jet Fuel: China: Alternative Transportation</t>
  </si>
  <si>
    <t>AEO.2025.ALTTRNP.CNSM_NA_AIRT_COMM_JFL_NA_OEUAS_TRLBTU.A</t>
  </si>
  <si>
    <t>Air Travel: Fuel Use: Commercial: Jet Fuel: Eastern Europe and Eurasia: Alternative Transportation</t>
  </si>
  <si>
    <t>Eastern Europe and Eurasia</t>
  </si>
  <si>
    <t>AEO.2025.ALTTRNP.CNSM_NA_AIRT_COMM_JFL_NA_RUS_TRLBTU.A</t>
  </si>
  <si>
    <t>Air Travel: Fuel Use: Commercial: Jet Fuel: Russia: Alternative Transportation</t>
  </si>
  <si>
    <t>AEO.2025.ALTTRNP.CNSM_NA_AIRT_COMM_JFL_NA_SOK_TRLBTU.A</t>
  </si>
  <si>
    <t>Air Travel: Fuel Use: Commercial: Jet Fuel: South Korea: Alternative Transportation</t>
  </si>
  <si>
    <t>AEO.2025.ALTTRNP.CNSM_NA_AIRT_COMM_JFL_NA_AUNZ_TRLBTU.A</t>
  </si>
  <si>
    <t>Air Travel: Fuel Use: Commercial: Jet Fuel: Australia and New Zealand: Alternative Transportation</t>
  </si>
  <si>
    <t>AEO.2025.ALTTRNP.CNSM_NA_AIRT_COMM_JFL_NA_JPN_TRLBTU.A</t>
  </si>
  <si>
    <t>Air Travel: Fuel Use: Commercial: Jet Fuel: Japan: Alternative Transportation</t>
  </si>
  <si>
    <t>AEO.2025.ALTTRNP.CNSM_NA_AIRT_COMM_JFL_NA_OCDEU_TRLBTU.A</t>
  </si>
  <si>
    <t>Air Travel: Fuel Use: Commercial: Jet Fuel: Western Europe: Alternative Transportation</t>
  </si>
  <si>
    <t>Western Europe</t>
  </si>
  <si>
    <t>AEO.2025.ALTTRNP.CNSM_NA_AIRT_COMM_JFL_NA_MAOOAS_TRLBTU.A</t>
  </si>
  <si>
    <t>Air Travel: Fuel Use: Commercial: Jet Fuel: Mexico: Alternative Transportation</t>
  </si>
  <si>
    <t>Mexico</t>
  </si>
  <si>
    <t>AEO.2025.ALTTRNP.CNSM_NA_AIRT_COMM_JFL_NA_CAN_TRLBTU.A</t>
  </si>
  <si>
    <t>Air Travel: Fuel Use: Commercial: Jet Fuel: Canada: Alternative Transportation</t>
  </si>
  <si>
    <t>AEO.2025.ALTTRNP.CNSM_NA_AIRT_COMM_JFL_NA_USA_TRLBTU.A</t>
  </si>
  <si>
    <t>Air Travel: Fuel Use: Commercial: Jet Fuel: U.S.: Alternative Transportation</t>
  </si>
  <si>
    <t>AEO.2025.ALTTRNP.EFI_STK_AIRT_NA_NA_NA_USA_SEATMPG.A</t>
  </si>
  <si>
    <t>Air Travel: Aircraft Stock Efficiency: Average Aircraft: Alternative Transportation</t>
  </si>
  <si>
    <t>AEO.2025.ALTTRNP.EFI_STK_AIRT_REGJ_NA_NA_USA_SEATMPG.A</t>
  </si>
  <si>
    <t>Air Travel: Aircraft Stock Efficiency: Regional Jets: Alternative Transportation</t>
  </si>
  <si>
    <t>AEO.2025.ALTTRNP.EFI_STK_AIRT_WBE_NA_NA_USA_SEATMPG.A</t>
  </si>
  <si>
    <t>Air Travel: Aircraft Stock Efficiency: Wide Body Aircraft: Alternative Transportation</t>
  </si>
  <si>
    <t>AEO.2025.ALTTRNP.EFI_STK_AIRT_NBTR_NA_NA_USA_SEATMPG.A</t>
  </si>
  <si>
    <t>Air Travel: Aircraft Stock Efficiency: Narrow Body Aircraft: Alternative Transportation</t>
  </si>
  <si>
    <t>AEO.2025.ALTTRNP.EFI_NEW_AIRT_NA_NA_NA_USA_SEATMPG.A</t>
  </si>
  <si>
    <t>Air Travel: New Aircraft Efficiency: Average Aircraft: Alternative Transportation</t>
  </si>
  <si>
    <t>AEO.2025.ALTTRNP.EFI_NEW_AIRT_REGJ_NA_NA_USA_SEATMPG.A</t>
  </si>
  <si>
    <t>Air Travel: New Aircraft Efficiency: Regional Jets: Alternative Transportation</t>
  </si>
  <si>
    <t>AEO.2025.ALTTRNP.EFI_NEW_AIRT_WBE_NA_NA_USA_SEATMPG.A</t>
  </si>
  <si>
    <t>Air Travel: New Aircraft Efficiency: Wide Body Aircraft: Alternative Transportation</t>
  </si>
  <si>
    <t>AEO.2025.ALTTRNP.EFI_NEW_AIRT_NBTR_NA_NA_USA_SEATMPG.A</t>
  </si>
  <si>
    <t>Air Travel: New Aircraft Efficiency: Narrow Body Aircraft: Alternative Transportation</t>
  </si>
  <si>
    <t>AEO.2025.ALTTRNP.ECI_ACFTDELIV_AIRT_NA_NA_NA_WRLD_UNIT.A</t>
  </si>
  <si>
    <t>Air Travel: Aircraft Deliveries: World: Alternative Transportation</t>
  </si>
  <si>
    <t>AEO.2025.ALTTRNP.ECI_ACFTDELIV_AIRT_REGJ_NA_NA_WRLD_UNIT.A</t>
  </si>
  <si>
    <t>Air Travel: Aircraft Deliveries: World: Regional Jets: Alternative Transportation</t>
  </si>
  <si>
    <t>AEO.2025.ALTTRNP.ECI_ACFTDELIV_AIRT_WBE_NA_NA_WRLD_UNIT.A</t>
  </si>
  <si>
    <t>Air Travel: Aircraft Deliveries: World: Wide Body Aircraft: Alternative Transportation</t>
  </si>
  <si>
    <t>AEO.2025.ALTTRNP.ECI_ACFTDELIV_AIRT_NBTR_NA_NA_WRLD_UNIT.A</t>
  </si>
  <si>
    <t>Air Travel: Aircraft Deliveries: World: Narrow Body Aircraft: Alternative Transportation</t>
  </si>
  <si>
    <t>AEO.2025.ALTTRNP.ECI_ACFTDELIV_AIRT_REGJ_NA_NA_ONOAS_UNIT.A</t>
  </si>
  <si>
    <t>Air Travel: Aircraft Deliveries: Other Americas: Regional Jets: Alternative Transportation</t>
  </si>
  <si>
    <t>AEO.2025.ALTTRNP.ECI_ACFTDELIV_AIRT_WBE_NA_NA_ONOAS_UNIT.A</t>
  </si>
  <si>
    <t>Air Travel: Aircraft Deliveries: Other Americas: Wide Body Aircraft: Alternative Transportation</t>
  </si>
  <si>
    <t>AEO.2025.ALTTRNP.ECI_ACFTDELIV_AIRT_NBTR_NA_NA_ONOAS_UNIT.A</t>
  </si>
  <si>
    <t>Air Travel: Aircraft Deliveries: Other Americas: Narrow Body Aircraft: Alternative Transportation</t>
  </si>
  <si>
    <t>AEO.2025.ALTTRNP.ECI_ACFTDELIV_AIRT_NA_NA_NA_ONOAS_UNIT.A</t>
  </si>
  <si>
    <t>Air Travel: Aircraft Deliveries: Other Americas: Alternative Transportation</t>
  </si>
  <si>
    <t>AEO.2025.ALTTRNP.ECI_ACFTDELIV_AIRT_REGJ_NA_NA_BRZ_UNIT.A</t>
  </si>
  <si>
    <t>Air Travel: Aircraft Deliveries: Brazil: Regional Jets: Alternative Transportation</t>
  </si>
  <si>
    <t>AEO.2025.ALTTRNP.ECI_ACFTDELIV_AIRT_WBE_NA_NA_BRZ_UNIT.A</t>
  </si>
  <si>
    <t>Air Travel: Aircraft Deliveries: Brazil: Wide Body Aircraft: Alternative Transportation</t>
  </si>
  <si>
    <t>AEO.2025.ALTTRNP.ECI_ACFTDELIV_AIRT_NBTR_NA_NA_BRZ_UNIT.A</t>
  </si>
  <si>
    <t>Air Travel: Aircraft Deliveries: Brazil: Narrow Body Aircraft: Alternative Transportation</t>
  </si>
  <si>
    <t>AEO.2025.ALTTRNP.ECI_ACFTDELIV_AIRT_NA_NA_NA_BRZ_UNIT.A</t>
  </si>
  <si>
    <t>Air Travel: Aircraft Deliveries: Brazil: Alternative Transportation</t>
  </si>
  <si>
    <t>AEO.2025.ALTTRNP.ECI_ACFTDELIV_AIRT_REGJ_NA_NA_AFR_UNIT.A</t>
  </si>
  <si>
    <t>Air Travel: Aircraft Deliveries: Africa: Regional Jets: Alternative Transportation</t>
  </si>
  <si>
    <t>AEO.2025.ALTTRNP.ECI_ACFTDELIV_AIRT_WBE_NA_NA_AFR_UNIT.A</t>
  </si>
  <si>
    <t>Air Travel: Aircraft Deliveries: Africa: Wide Body Aircraft: Alternative Transportation</t>
  </si>
  <si>
    <t>AEO.2025.ALTTRNP.ECI_ACFTDELIV_AIRT_NBTR_NA_NA_AFR_UNIT.A</t>
  </si>
  <si>
    <t>Air Travel: Aircraft Deliveries: Africa: Narrow Body Aircraft: Alternative Transportation</t>
  </si>
  <si>
    <t>AEO.2025.ALTTRNP.ECI_ACFTDELIV_AIRT_NA_NA_NA_AFR_UNIT.A</t>
  </si>
  <si>
    <t>Air Travel: Aircraft Deliveries: Africa: Alternative Transportation</t>
  </si>
  <si>
    <t>AEO.2025.ALTTRNP.ECI_ACFTDELIV_AIRT_REGJ_NA_NA_MDE_UNIT.A</t>
  </si>
  <si>
    <t>Air Travel: Aircraft Deliveries: Middle East: Regional Jets: Alternative Transportation</t>
  </si>
  <si>
    <t>AEO.2025.ALTTRNP.ECI_ACFTDELIV_AIRT_WBE_NA_NA_MDE_UNIT.A</t>
  </si>
  <si>
    <t>Air Travel: Aircraft Deliveries: Middle East: Wide Body Aircraft: Alternative Transportation</t>
  </si>
  <si>
    <t>AEO.2025.ALTTRNP.ECI_ACFTDELIV_AIRT_NBTR_NA_NA_MDE_UNIT.A</t>
  </si>
  <si>
    <t>Air Travel: Aircraft Deliveries: Middle East: Narrow Body Aircraft: Alternative Transportation</t>
  </si>
  <si>
    <t>AEO.2025.ALTTRNP.ECI_ACFTDELIV_AIRT_NA_NA_NA_MDE_UNIT.A</t>
  </si>
  <si>
    <t>Air Travel: Aircraft Deliveries: Middle East: Alternative Transportation</t>
  </si>
  <si>
    <t>AEO.2025.ALTTRNP.ECI_ACFTDELIV_AIRT_REGJ_NA_NA_ONCDAS_UNIT.A</t>
  </si>
  <si>
    <t>Air Travel: Aircraft Deliveries: Other Asia Pacific: Regional Jets: Alternative Transportation</t>
  </si>
  <si>
    <t>AEO.2025.ALTTRNP.ECI_ACFTDELIV_AIRT_WBE_NA_NA_ONCDAS_UNIT.A</t>
  </si>
  <si>
    <t>Air Travel: Aircraft Deliveries: Other Asia Pacific: Wide Body Aircraft: Alternative Transportation</t>
  </si>
  <si>
    <t>AEO.2025.ALTTRNP.ECI_ACFTDELIV_AIRT_NBTR_NA_NA_ONCDAS_UNIT.A</t>
  </si>
  <si>
    <t>Air Travel: Aircraft Deliveries: Other Asia Pacific: Narrow Body Aircraft: Alternative Transportation</t>
  </si>
  <si>
    <t>AEO.2025.ALTTRNP.ECI_ACFTDELIV_AIRT_NA_NA_NA_ONCDAS_UNIT.A</t>
  </si>
  <si>
    <t>Air Travel: Aircraft Deliveries: Other Asia Pacific: Alternative Transportation</t>
  </si>
  <si>
    <t>AEO.2025.ALTTRNP.ECI_ACFTDELIV_AIRT_REGJ_NA_NA_IND_UNIT.A</t>
  </si>
  <si>
    <t>Air Travel: Aircraft Deliveries: India: Regional Jets: Alternative Transportation</t>
  </si>
  <si>
    <t>AEO.2025.ALTTRNP.ECI_ACFTDELIV_AIRT_WBE_NA_NA_IND_UNIT.A</t>
  </si>
  <si>
    <t>Air Travel: Aircraft Deliveries: India: Wide Body Aircraft: Alternative Transportation</t>
  </si>
  <si>
    <t>AEO.2025.ALTTRNP.ECI_ACFTDELIV_AIRT_NBTR_NA_NA_IND_UNIT.A</t>
  </si>
  <si>
    <t>Air Travel: Aircraft Deliveries: India: Narrow Body Aircraft: Alternative Transportation</t>
  </si>
  <si>
    <t>AEO.2025.ALTTRNP.ECI_ACFTDELIV_AIRT_NA_NA_NA_IND_UNIT.A</t>
  </si>
  <si>
    <t>Air Travel: Aircraft Deliveries: India: Alternative Transportation</t>
  </si>
  <si>
    <t>AEO.2025.ALTTRNP.ECI_ACFTDELIV_AIRT_REGJ_NA_NA_CHN_UNIT.A</t>
  </si>
  <si>
    <t>Air Travel: Aircraft Deliveries: China: Regional Jets: Alternative Transportation</t>
  </si>
  <si>
    <t>AEO.2025.ALTTRNP.ECI_ACFTDELIV_AIRT_WBE_NA_NA_CHN_UNIT.A</t>
  </si>
  <si>
    <t>Air Travel: Aircraft Deliveries: China: Wide Body Aircraft: Alternative Transportation</t>
  </si>
  <si>
    <t>AEO.2025.ALTTRNP.ECI_ACFTDELIV_AIRT_NBTR_NA_NA_CHN_UNIT.A</t>
  </si>
  <si>
    <t>Air Travel: Aircraft Deliveries: China: Narrow Body Aircraft: Alternative Transportation</t>
  </si>
  <si>
    <t>AEO.2025.ALTTRNP.ECI_ACFTDELIV_AIRT_NA_NA_NA_CHN_UNIT.A</t>
  </si>
  <si>
    <t>Air Travel: Aircraft Deliveries: China: Alternative Transportation</t>
  </si>
  <si>
    <t>AEO.2025.ALTTRNP.ECI_ACFTDELIV_AIRT_REGJ_NA_NA_OEUAS_UNIT.A</t>
  </si>
  <si>
    <t>Air Travel: Aircraft Deliveries: Eastern Europe and Eurasia: Regional Jets: Alternative Transportation</t>
  </si>
  <si>
    <t>AEO.2025.ALTTRNP.ECI_ACFTDELIV_AIRT_WBE_NA_NA_OEUAS_UNIT.A</t>
  </si>
  <si>
    <t>Air Travel: Aircraft Deliveries: Eastern Europe and Eurasia: Wide Body Aircraft: Alternative Transportation</t>
  </si>
  <si>
    <t>AEO.2025.ALTTRNP.ECI_ACFTDELIV_AIRT_NBTR_NA_NA_OEUAS_UNIT.A</t>
  </si>
  <si>
    <t>Air Travel: Aircraft Deliveries: Eastern Europe and Eurasia: Narrow Body Aircraft: Alternative Transportation</t>
  </si>
  <si>
    <t>AEO.2025.ALTTRNP.ECI_ACFTDELIV_AIRT_NA_NA_NA_OEUAS_UNIT.A</t>
  </si>
  <si>
    <t>Air Travel: Aircraft Deliveries: Eastern Europe and Eurasia: Alternative Transportation</t>
  </si>
  <si>
    <t>AEO.2025.ALTTRNP.ECI_ACFTDELIV_AIRT_REGJ_NA_NA_RUS_UNIT.A</t>
  </si>
  <si>
    <t>Air Travel: Aircraft Deliveries: Russia: Regional Jets: Alternative Transportation</t>
  </si>
  <si>
    <t>AEO.2025.ALTTRNP.ECI_ACFTDELIV_AIRT_WBE_NA_NA_RUS_UNIT.A</t>
  </si>
  <si>
    <t>Air Travel: Aircraft Deliveries: Russia: Wide Body Aircraft: Alternative Transportation</t>
  </si>
  <si>
    <t>AEO.2025.ALTTRNP.ECI_ACFTDELIV_AIRT_NBTR_NA_NA_RUS_UNIT.A</t>
  </si>
  <si>
    <t>Air Travel: Aircraft Deliveries: Russia: Narrow Body Aircraft: Alternative Transportation</t>
  </si>
  <si>
    <t>AEO.2025.ALTTRNP.ECI_ACFTDELIV_AIRT_NA_NA_NA_RUS_UNIT.A</t>
  </si>
  <si>
    <t>Air Travel: Aircraft Deliveries: Russia: Alternative Transportation</t>
  </si>
  <si>
    <t>AEO.2025.ALTTRNP.ECI_ACFTDELIV_AIRT_REGJ_NA_NA_SOK_UNIT.A</t>
  </si>
  <si>
    <t>Air Travel: Aircraft Deliveries: South Korea: Regional Jets: Alternative Transportation</t>
  </si>
  <si>
    <t>AEO.2025.ALTTRNP.ECI_ACFTDELIV_AIRT_WBE_NA_NA_SOK_UNIT.A</t>
  </si>
  <si>
    <t>Air Travel: Aircraft Deliveries: South Korea: Wide Body Aircraft: Alternative Transportation</t>
  </si>
  <si>
    <t>AEO.2025.ALTTRNP.ECI_ACFTDELIV_AIRT_NBTR_NA_NA_SOK_UNIT.A</t>
  </si>
  <si>
    <t>Air Travel: Aircraft Deliveries: South Korea: Narrow Body Aircraft: Alternative Transportation</t>
  </si>
  <si>
    <t>AEO.2025.ALTTRNP.ECI_ACFTDELIV_AIRT_NA_NA_NA_SOK_UNIT.A</t>
  </si>
  <si>
    <t>Air Travel: Aircraft Deliveries: South Korea: Alternative Transportation</t>
  </si>
  <si>
    <t>AEO.2025.ALTTRNP.ECI_ACFTDELIV_AIRT_REGJ_NA_NA_AUNZ_UNIT.A</t>
  </si>
  <si>
    <t>Air Travel: Aircraft Deliveries: Australia and New Zealand: Regional Jets: Alternative Transportation</t>
  </si>
  <si>
    <t>AEO.2025.ALTTRNP.ECI_ACFTDELIV_AIRT_WBE_NA_NA_AUNZ_UNIT.A</t>
  </si>
  <si>
    <t>Air Travel: Aircraft Deliveries: Australia and New Zealand: Wide Body Aircraft: Alternative Transportation</t>
  </si>
  <si>
    <t>AEO.2025.ALTTRNP.ECI_ACFTDELIV_AIRT_NBTR_NA_NA_AUNZ_UNIT.A</t>
  </si>
  <si>
    <t>Air Travel: Aircraft Deliveries: Australia and New Zealand: Narrow Body Aircraft: Alternative Transportation</t>
  </si>
  <si>
    <t>AEO.2025.ALTTRNP.ECI_ACFTDELIV_AIRT_NA_NA_NA_AUNZ_UNIT.A</t>
  </si>
  <si>
    <t>Air Travel: Aircraft Deliveries: Australia and New Zealand: Alternative Transportation</t>
  </si>
  <si>
    <t>AEO.2025.ALTTRNP.ECI_ACFTDELIV_AIRT_REGJ_NA_NA_JPN_UNIT.A</t>
  </si>
  <si>
    <t>Air Travel: Aircraft Deliveries: Japan: Regional Jets: Alternative Transportation</t>
  </si>
  <si>
    <t>AEO.2025.ALTTRNP.ECI_ACFTDELIV_AIRT_WBE_NA_NA_JPN_UNIT.A</t>
  </si>
  <si>
    <t>Air Travel: Aircraft Deliveries: Japan: Wide Body Aircraft: Alternative Transportation</t>
  </si>
  <si>
    <t>AEO.2025.ALTTRNP.ECI_ACFTDELIV_AIRT_NBTR_NA_NA_JPN_UNIT.A</t>
  </si>
  <si>
    <t>Air Travel: Aircraft Deliveries: Japan: Narrow Body Aircraft: Alternative Transportation</t>
  </si>
  <si>
    <t>AEO.2025.ALTTRNP.ECI_ACFTDELIV_AIRT_NA_NA_NA_JPN_UNIT.A</t>
  </si>
  <si>
    <t>Air Travel: Aircraft Deliveries: Japan: Alternative Transportation</t>
  </si>
  <si>
    <t>AEO.2025.ALTTRNP.ECI_ACFTDELIV_AIRT_REGJ_NA_NA_OCDEU_UNIT.A</t>
  </si>
  <si>
    <t>Air Travel: Aircraft Deliveries: Western Europe: Regional Jets: Alternative Transportation</t>
  </si>
  <si>
    <t>AEO.2025.ALTTRNP.ECI_ACFTDELIV_AIRT_WBE_NA_NA_OCDEU_UNIT.A</t>
  </si>
  <si>
    <t>Air Travel: Aircraft Deliveries: Western Europe: Wide Body Aircraft: Alternative Transportation</t>
  </si>
  <si>
    <t>AEO.2025.ALTTRNP.ECI_ACFTDELIV_AIRT_NBTR_NA_NA_OCDEU_UNIT.A</t>
  </si>
  <si>
    <t>Air Travel: Aircraft Deliveries: Western Europe: Narrow Body Aircraft: Alternative Transportation</t>
  </si>
  <si>
    <t>AEO.2025.ALTTRNP.ECI_ACFTDELIV_AIRT_NA_NA_NA_OCDEU_UNIT.A</t>
  </si>
  <si>
    <t>Air Travel: Aircraft Deliveries: Western Europe: Alternative Transportation</t>
  </si>
  <si>
    <t>AEO.2025.ALTTRNP.ECI_ACFTDELIV_AIRT_REGJ_NA_NA_MAOOAS_UNIT.A</t>
  </si>
  <si>
    <t>Air Travel: Aircraft Deliveries: Mexico: Regional Jets: Alternative Transportation</t>
  </si>
  <si>
    <t>AEO.2025.ALTTRNP.ECI_ACFTDELIV_AIRT_WBE_NA_NA_MAOOAS_UNIT.A</t>
  </si>
  <si>
    <t>Air Travel: Aircraft Deliveries: Mexico: Wide Body Aircraft: Alternative Transportation</t>
  </si>
  <si>
    <t>AEO.2025.ALTTRNP.ECI_ACFTDELIV_AIRT_NBTR_NA_NA_MAOOAS_UNIT.A</t>
  </si>
  <si>
    <t>Air Travel: Aircraft Deliveries: Mexico: Narrow Body Aircraft: Alternative Transportation</t>
  </si>
  <si>
    <t>AEO.2025.ALTTRNP.ECI_ACFTDELIV_AIRT_NA_NA_NA_MAOOAS_UNIT.A</t>
  </si>
  <si>
    <t>Air Travel: Aircraft Deliveries: Mexico: Alternative Transportation</t>
  </si>
  <si>
    <t>AEO.2025.ALTTRNP.ECI_ACFTDELIV_AIRT_REGJ_NA_NA_CAN_UNIT.A</t>
  </si>
  <si>
    <t>Air Travel: Aircraft Deliveries: Canada: Regional Jets: Alternative Transportation</t>
  </si>
  <si>
    <t>AEO.2025.ALTTRNP.ECI_ACFTDELIV_AIRT_WBE_NA_NA_CAN_UNIT.A</t>
  </si>
  <si>
    <t>Air Travel: Aircraft Deliveries: Canada: Wide Body Aircraft: Alternative Transportation</t>
  </si>
  <si>
    <t>AEO.2025.ALTTRNP.ECI_ACFTDELIV_AIRT_NBTR_NA_NA_CAN_UNIT.A</t>
  </si>
  <si>
    <t>Air Travel: Aircraft Deliveries: Canada: Narrow Body Aircraft: Alternative Transportation</t>
  </si>
  <si>
    <t>AEO.2025.ALTTRNP.ECI_ACFTDELIV_AIRT_NA_NA_NA_CAN_UNIT.A</t>
  </si>
  <si>
    <t>Air Travel: Aircraft Deliveries: Canada: Alternative Transportation</t>
  </si>
  <si>
    <t>AEO.2025.ALTTRNP.ECI_ACFTDELIV_AIRT_REGJ_NA_NA_USA_UNIT.A</t>
  </si>
  <si>
    <t>Air Travel: Aircraft Deliveries: U.S.: Regional Jets: Alternative Transportation</t>
  </si>
  <si>
    <t>AEO.2025.ALTTRNP.ECI_ACFTDELIV_AIRT_WBE_NA_NA_USA_UNIT.A</t>
  </si>
  <si>
    <t>Air Travel: Aircraft Deliveries: U.S.: Wide Body Aircraft: Alternative Transportation</t>
  </si>
  <si>
    <t>AEO.2025.ALTTRNP.ECI_ACFTDELIV_AIRT_NBTR_NA_NA_USA_UNIT.A</t>
  </si>
  <si>
    <t>Air Travel: Aircraft Deliveries: U.S.: Narrow Body Aircraft: Alternative Transportation</t>
  </si>
  <si>
    <t>AEO.2025.ALTTRNP.ECI_ACFTDELIV_AIRT_NA_NA_NA_USA_UNIT.A</t>
  </si>
  <si>
    <t>Air Travel: Aircraft Deliveries: U.S.: Alternative Transportation</t>
  </si>
  <si>
    <t>AEO.2025.ALTTRNP.ECI_SMD_AIRT_NA_NA_NA_WRLD_BLNMLS.A</t>
  </si>
  <si>
    <t>Air Travel: Seat Miles Demanded: World: Alternative Transportation</t>
  </si>
  <si>
    <t>AEO.2025.ALTTRNP.ECI_SMD_AIRT_REGJ_NA_NA_WRLD_BLNMLS.A</t>
  </si>
  <si>
    <t>Air Travel: Seat Miles Demanded: World: Regional Jets: Alternative Transportation</t>
  </si>
  <si>
    <t>AEO.2025.ALTTRNP.ECI_SMD_AIRT_WBE_NA_NA_WRLD_BLNMLS.A</t>
  </si>
  <si>
    <t>Air Travel: Seat Miles Demanded: World: Wide Body Aircraft: Alternative Transportation</t>
  </si>
  <si>
    <t>AEO.2025.ALTTRNP.ECI_SMD_AIRT_NBTR_NA_NA_WRLD_BLNMLS.A</t>
  </si>
  <si>
    <t>Air Travel: Seat Miles Demanded: World: Narrow Body Aircraft: Alternative Transportation</t>
  </si>
  <si>
    <t>AEO.2025.ALTTRNP.ECI_SMD_AIRT_REGJ_NA_NA_ONOAS_BLNMLS.A</t>
  </si>
  <si>
    <t>Air Travel: Seat Miles Demanded: Other Americas: Regional Jets: Alternative Transportation</t>
  </si>
  <si>
    <t>AEO.2025.ALTTRNP.ECI_SMD_AIRT_WBE_NA_NA_ONOAS_BLNMLS.A</t>
  </si>
  <si>
    <t>Air Travel: Seat Miles Demanded: Other Americas: Wide Body Aircraft: Alternative Transportation</t>
  </si>
  <si>
    <t>AEO.2025.ALTTRNP.ECI_SMD_AIRT_NBTR_NA_NA_ONOAS_BLNMLS.A</t>
  </si>
  <si>
    <t>Air Travel: Seat Miles Demanded: Other Americas: Narrow Body Aircraft: Alternative Transportation</t>
  </si>
  <si>
    <t>AEO.2025.ALTTRNP.ECI_SMD_AIRT_NA_NA_NA_ONOAS_BLNMLS.A</t>
  </si>
  <si>
    <t>Air Travel: Seat Miles Demanded: Other Americas: Alternative Transportation</t>
  </si>
  <si>
    <t>AEO.2025.ALTTRNP.ECI_SMD_AIRT_REGJ_NA_NA_BRZ_BLNMLS.A</t>
  </si>
  <si>
    <t>Air Travel: Seat Miles Demanded: Brazil: Regional Jets: Alternative Transportation</t>
  </si>
  <si>
    <t>AEO.2025.ALTTRNP.ECI_SMD_AIRT_WBE_NA_NA_BRZ_BLNMLS.A</t>
  </si>
  <si>
    <t>Air Travel: Seat Miles Demanded: Brazil: Wide Body Aircraft: Alternative Transportation</t>
  </si>
  <si>
    <t>AEO.2025.ALTTRNP.ECI_SMD_AIRT_NBTR_NA_NA_BRZ_BLNMLS.A</t>
  </si>
  <si>
    <t>Air Travel: Seat Miles Demanded: Brazil: Narrow Body Aircraft: Alternative Transportation</t>
  </si>
  <si>
    <t>AEO.2025.ALTTRNP.ECI_SMD_AIRT_NA_NA_NA_BRZ_BLNMLS.A</t>
  </si>
  <si>
    <t>Air Travel: Seat Miles Demanded: Brazil: Alternative Transportation</t>
  </si>
  <si>
    <t>AEO.2025.ALTTRNP.ECI_SMD_AIRT_REGJ_NA_NA_AFR_BLNMLS.A</t>
  </si>
  <si>
    <t>Air Travel: Seat Miles Demanded: Africa: Regional Jets: Alternative Transportation</t>
  </si>
  <si>
    <t>AEO.2025.ALTTRNP.ECI_SMD_AIRT_WBE_NA_NA_AFR_BLNMLS.A</t>
  </si>
  <si>
    <t>Air Travel: Seat Miles Demanded: Africa: Wide Body Aircraft: Alternative Transportation</t>
  </si>
  <si>
    <t>AEO.2025.ALTTRNP.ECI_SMD_AIRT_NBTR_NA_NA_AFR_BLNMLS.A</t>
  </si>
  <si>
    <t>Air Travel: Seat Miles Demanded: Africa: Narrow Body Aircraft: Alternative Transportation</t>
  </si>
  <si>
    <t>AEO.2025.ALTTRNP.ECI_SMD_AIRT_NA_NA_NA_AFR_BLNMLS.A</t>
  </si>
  <si>
    <t>Air Travel: Seat Miles Demanded: Africa: Alternative Transportation</t>
  </si>
  <si>
    <t>AEO.2025.ALTTRNP.ECI_SMD_AIRT_REGJ_NA_NA_MDE_BLNMLS.A</t>
  </si>
  <si>
    <t>Air Travel: Seat Miles Demanded: Middle East: Regional Jets: Alternative Transportation</t>
  </si>
  <si>
    <t>AEO.2025.ALTTRNP.ECI_SMD_AIRT_WBE_NA_NA_MDE_BLNMLS.A</t>
  </si>
  <si>
    <t>Air Travel: Seat Miles Demanded: Middle East: Wide Body Aircraft: Alternative Transportation</t>
  </si>
  <si>
    <t>AEO.2025.ALTTRNP.ECI_SMD_AIRT_NBTR_NA_NA_MDE_BLNMLS.A</t>
  </si>
  <si>
    <t>Air Travel: Seat Miles Demanded: Middle East: Narrow Body Aircraft: Alternative Transportation</t>
  </si>
  <si>
    <t>AEO.2025.ALTTRNP.ECI_SMD_AIRT_NA_NA_NA_MDE_BLNMLS.A</t>
  </si>
  <si>
    <t>Air Travel: Seat Miles Demanded: Middle East: Alternative Transportation</t>
  </si>
  <si>
    <t>AEO.2025.ALTTRNP.ECI_SMD_AIRT_REGJ_NA_NA_ONCDAS_BLNMLS.A</t>
  </si>
  <si>
    <t>Air Travel: Seat Miles Demanded: Other Asia Pacific: Regional Jets: Alternative Transportation</t>
  </si>
  <si>
    <t>AEO.2025.ALTTRNP.ECI_SMD_AIRT_WBE_NA_NA_ONCDAS_BLNMLS.A</t>
  </si>
  <si>
    <t>Air Travel: Seat Miles Demanded: Other Asia Pacific: Wide Body Aircraft: Alternative Transportation</t>
  </si>
  <si>
    <t>AEO.2025.ALTTRNP.ECI_SMD_AIRT_NBTR_NA_NA_ONCDAS_BLNMLS.A</t>
  </si>
  <si>
    <t>Air Travel: Seat Miles Demanded: Other Asia Pacific: Narrow Body Aircraft: Alternative Transportation</t>
  </si>
  <si>
    <t>AEO.2025.ALTTRNP.ECI_SMD_AIRT_NA_NA_NA_ONCDAS_BLNMLS.A</t>
  </si>
  <si>
    <t>Air Travel: Seat Miles Demanded: Other Asia Pacific: Alternative Transportation</t>
  </si>
  <si>
    <t>AEO.2025.ALTTRNP.ECI_SMD_AIRT_REGJ_NA_NA_IND_BLNMLS.A</t>
  </si>
  <si>
    <t>Air Travel: Seat Miles Demanded: India: Regional Jets: Alternative Transportation</t>
  </si>
  <si>
    <t>AEO.2025.ALTTRNP.ECI_SMD_AIRT_WBE_NA_NA_IND_BLNMLS.A</t>
  </si>
  <si>
    <t>Air Travel: Seat Miles Demanded: India: Wide Body Aircraft: Alternative Transportation</t>
  </si>
  <si>
    <t>AEO.2025.ALTTRNP.ECI_SMD_AIRT_NBTR_NA_NA_IND_BLNMLS.A</t>
  </si>
  <si>
    <t>Air Travel: Seat Miles Demanded: India: Narrow Body Aircraft: Alternative Transportation</t>
  </si>
  <si>
    <t>AEO.2025.ALTTRNP.ECI_SMD_AIRT_NA_NA_NA_IND_BLNMLS.A</t>
  </si>
  <si>
    <t>Air Travel: Seat Miles Demanded: India: Alternative Transportation</t>
  </si>
  <si>
    <t>AEO.2025.ALTTRNP.ECI_SMD_AIRT_REGJ_NA_NA_CHN_BLNMLS.A</t>
  </si>
  <si>
    <t>Air Travel: Seat Miles Demanded: China: Regional Jets: Alternative Transportation</t>
  </si>
  <si>
    <t>AEO.2025.ALTTRNP.ECI_SMD_AIRT_WBE_NA_NA_CHN_BLNMLS.A</t>
  </si>
  <si>
    <t>Air Travel: Seat Miles Demanded: China: Wide Body Aircraft: Alternative Transportation</t>
  </si>
  <si>
    <t>AEO.2025.ALTTRNP.ECI_SMD_AIRT_NBTR_NA_NA_CHN_BLNMLS.A</t>
  </si>
  <si>
    <t>Air Travel: Seat Miles Demanded: China: Narrow Body Aircraft: Alternative Transportation</t>
  </si>
  <si>
    <t>AEO.2025.ALTTRNP.ECI_SMD_AIRT_NA_NA_NA_CHN_BLNMLS.A</t>
  </si>
  <si>
    <t>Air Travel: Seat Miles Demanded: China: Alternative Transportation</t>
  </si>
  <si>
    <t>AEO.2025.ALTTRNP.ECI_SMD_AIRT_REGJ_NA_NA_OEUAS_BLNMLS.A</t>
  </si>
  <si>
    <t>Air Travel: Seat Miles Demanded: Eastern Europe and Eurasia: Regional Jets: Alternative Transportation</t>
  </si>
  <si>
    <t>AEO.2025.ALTTRNP.ECI_SMD_AIRT_WBE_NA_NA_OEUAS_BLNMLS.A</t>
  </si>
  <si>
    <t>Air Travel: Seat Miles Demanded: Eastern Europe and Eurasia: Wide Body Aircraft: Alternative Transportation</t>
  </si>
  <si>
    <t>AEO.2025.ALTTRNP.ECI_SMD_AIRT_NBTR_NA_NA_OEUAS_BLNMLS.A</t>
  </si>
  <si>
    <t>Air Travel: Seat Miles Demanded: Eastern Europe and Eurasia: Narrow Body Aircraft: Alternative Transportation</t>
  </si>
  <si>
    <t>AEO.2025.ALTTRNP.ECI_SMD_AIRT_NA_NA_NA_OEUAS_BLNMLS.A</t>
  </si>
  <si>
    <t>Air Travel: Seat Miles Demanded: Eastern Europe and Eurasia: Alternative Transportation</t>
  </si>
  <si>
    <t>AEO.2025.ALTTRNP.ECI_SMD_AIRT_REGJ_NA_NA_RUS_BLNMLS.A</t>
  </si>
  <si>
    <t>Air Travel: Seat Miles Demanded: Russia: Regional Jets: Alternative Transportation</t>
  </si>
  <si>
    <t>AEO.2025.ALTTRNP.ECI_SMD_AIRT_WBE_NA_NA_RUS_BLNMLS.A</t>
  </si>
  <si>
    <t>Air Travel: Seat Miles Demanded: Russia: Wide Body Aircraft: Alternative Transportation</t>
  </si>
  <si>
    <t>AEO.2025.ALTTRNP.ECI_SMD_AIRT_NBTR_NA_NA_RUS_BLNMLS.A</t>
  </si>
  <si>
    <t>Air Travel: Seat Miles Demanded: Russia: Narrow Body Aircraft: Alternative Transportation</t>
  </si>
  <si>
    <t>AEO.2025.ALTTRNP.ECI_SMD_AIRT_NA_NA_NA_RUS_BLNMLS.A</t>
  </si>
  <si>
    <t>Air Travel: Seat Miles Demanded: Russia: Alternative Transportation</t>
  </si>
  <si>
    <t>AEO.2025.ALTTRNP.ECI_SMD_AIRT_REGJ_NA_NA_SOK_BLNMLS.A</t>
  </si>
  <si>
    <t>Air Travel: Seat Miles Demanded: South Korea: Regional Jets: Alternative Transportation</t>
  </si>
  <si>
    <t>AEO.2025.ALTTRNP.ECI_SMD_AIRT_WBE_NA_NA_SOK_BLNMLS.A</t>
  </si>
  <si>
    <t>Air Travel: Seat Miles Demanded: South Korea: Wide Body Aircraft: Alternative Transportation</t>
  </si>
  <si>
    <t>AEO.2025.ALTTRNP.ECI_SMD_AIRT_NBTR_NA_NA_SOK_BLNMLS.A</t>
  </si>
  <si>
    <t>Air Travel: Seat Miles Demanded: South Korea: Narrow Body Aircraft: Alternative Transportation</t>
  </si>
  <si>
    <t>AEO.2025.ALTTRNP.ECI_SMD_AIRT_NA_NA_NA_SOK_BLNMLS.A</t>
  </si>
  <si>
    <t>Air Travel: Seat Miles Demanded: South Korea: Alternative Transportation</t>
  </si>
  <si>
    <t>AEO.2025.ALTTRNP.ECI_SMD_AIRT_REGJ_NA_NA_AUNZ_BLNMLS.A</t>
  </si>
  <si>
    <t>Air Travel: Seat Miles Demanded: Australia and New Zealand: Regional Jets: Alternative Transportation</t>
  </si>
  <si>
    <t>AEO.2025.ALTTRNP.ECI_SMD_AIRT_WBE_NA_NA_AUNZ_BLNMLS.A</t>
  </si>
  <si>
    <t>Air Travel: Seat Miles Demanded: Australia and New Zealand: Wide Body Aircraft: Alternative Transportation</t>
  </si>
  <si>
    <t>AEO.2025.ALTTRNP.ECI_SMD_AIRT_NBTR_NA_NA_AUNZ_BLNMLS.A</t>
  </si>
  <si>
    <t>Air Travel: Seat Miles Demanded: Australia and New Zealand: Narrow Body Aircraft: Alternative Transportation</t>
  </si>
  <si>
    <t>AEO.2025.ALTTRNP.ECI_SMD_AIRT_NA_NA_NA_AUNZ_BLNMLS.A</t>
  </si>
  <si>
    <t>Air Travel: Seat Miles Demanded: Australia and New Zealand: Alternative Transportation</t>
  </si>
  <si>
    <t>AEO.2025.ALTTRNP.ECI_SMD_AIRT_REGJ_NA_NA_JPN_BLNMLS.A</t>
  </si>
  <si>
    <t>Air Travel: Seat Miles Demanded: Japan: Regional Jets: Alternative Transportation</t>
  </si>
  <si>
    <t>AEO.2025.ALTTRNP.ECI_SMD_AIRT_WBE_NA_NA_JPN_BLNMLS.A</t>
  </si>
  <si>
    <t>Air Travel: Seat Miles Demanded: Japan: Wide Body Aircraft: Alternative Transportation</t>
  </si>
  <si>
    <t>AEO.2025.ALTTRNP.ECI_SMD_AIRT_NBTR_NA_NA_JPN_BLNMLS.A</t>
  </si>
  <si>
    <t>Air Travel: Seat Miles Demanded: Japan: Narrow Body Aircraft: Alternative Transportation</t>
  </si>
  <si>
    <t>AEO.2025.ALTTRNP.ECI_SMD_AIRT_NA_NA_NA_JPN_BLNMLS.A</t>
  </si>
  <si>
    <t>Air Travel: Seat Miles Demanded: Japan: Alternative Transportation</t>
  </si>
  <si>
    <t>AEO.2025.ALTTRNP.ECI_SMD_AIRT_REGJ_NA_NA_OCDEU_BLNMLS.A</t>
  </si>
  <si>
    <t>Air Travel: Seat Miles Demanded: Western Europe: Regional Jets: Alternative Transportation</t>
  </si>
  <si>
    <t>AEO.2025.ALTTRNP.ECI_SMD_AIRT_WBE_NA_NA_OCDEU_BLNMLS.A</t>
  </si>
  <si>
    <t>Air Travel: Seat Miles Demanded: Western Europe: Wide Body Aircraft: Alternative Transportation</t>
  </si>
  <si>
    <t>AEO.2025.ALTTRNP.ECI_SMD_AIRT_NBTR_NA_NA_OCDEU_BLNMLS.A</t>
  </si>
  <si>
    <t>Air Travel: Seat Miles Demanded: Western Europe: Narrow Body Aircraft: Alternative Transportation</t>
  </si>
  <si>
    <t>AEO.2025.ALTTRNP.ECI_SMD_AIRT_NA_NA_NA_OCDEU_BLNMLS.A</t>
  </si>
  <si>
    <t>Air Travel: Seat Miles Demanded: Western Europe: Alternative Transportation</t>
  </si>
  <si>
    <t>AEO.2025.ALTTRNP.ECI_SMD_AIRT_REGJ_NA_NA_MAOOAS_BLNMLS.A</t>
  </si>
  <si>
    <t>Air Travel: Seat Miles Demanded: Mexico: Regional Jets: Alternative Transportation</t>
  </si>
  <si>
    <t>AEO.2025.ALTTRNP.ECI_SMD_AIRT_WBE_NA_NA_MAOOAS_BLNMLS.A</t>
  </si>
  <si>
    <t>Air Travel: Seat Miles Demanded: Mexico: Wide Body Aircraft: Alternative Transportation</t>
  </si>
  <si>
    <t>AEO.2025.ALTTRNP.ECI_SMD_AIRT_NBTR_NA_NA_MAOOAS_BLNMLS.A</t>
  </si>
  <si>
    <t>Air Travel: Seat Miles Demanded: Mexico: Narrow Body Aircraft: Alternative Transportation</t>
  </si>
  <si>
    <t>AEO.2025.ALTTRNP.ECI_SMD_AIRT_NA_NA_NA_MAOOAS_BLNMLS.A</t>
  </si>
  <si>
    <t>Air Travel: Seat Miles Demanded: Mexico: Alternative Transportation</t>
  </si>
  <si>
    <t>AEO.2025.ALTTRNP.ECI_SMD_AIRT_REGJ_NA_NA_CAN_BLNMLS.A</t>
  </si>
  <si>
    <t>Air Travel: Seat Miles Demanded: Canada: Regional Jets: Alternative Transportation</t>
  </si>
  <si>
    <t>AEO.2025.ALTTRNP.ECI_SMD_AIRT_WBE_NA_NA_CAN_BLNMLS.A</t>
  </si>
  <si>
    <t>Air Travel: Seat Miles Demanded: Canada: Wide Body Aircraft: Alternative Transportation</t>
  </si>
  <si>
    <t>AEO.2025.ALTTRNP.ECI_SMD_AIRT_NBTR_NA_NA_CAN_BLNMLS.A</t>
  </si>
  <si>
    <t>Air Travel: Seat Miles Demanded: Canada: Narrow Body Aircraft: Alternative Transportation</t>
  </si>
  <si>
    <t>AEO.2025.ALTTRNP.ECI_SMD_AIRT_NA_NA_NA_CAN_BLNMLS.A</t>
  </si>
  <si>
    <t>Air Travel: Seat Miles Demanded: Canada: Alternative Transportation</t>
  </si>
  <si>
    <t>AEO.2025.ALTTRNP.ECI_SMD_AIRT_REGJ_NA_NA_USA_BLNMLS.A</t>
  </si>
  <si>
    <t>Air Travel: Seat Miles Demanded: U.S.: Regional Jets: Alternative Transportation</t>
  </si>
  <si>
    <t>AEO.2025.ALTTRNP.ECI_SMD_AIRT_WBE_NA_NA_USA_BLNMLS.A</t>
  </si>
  <si>
    <t>Air Travel: Seat Miles Demanded: U.S.: Wide Body Aircraft: Alternative Transportation</t>
  </si>
  <si>
    <t>AEO.2025.ALTTRNP.ECI_SMD_AIRT_NBTR_NA_NA_USA_BLNMLS.A</t>
  </si>
  <si>
    <t>Air Travel: Seat Miles Demanded: U.S.: Narrow Body Aircraft: Alternative Transportation</t>
  </si>
  <si>
    <t>AEO.2025.ALTTRNP.ECI_SMD_AIRT_NA_NA_NA_USA_BLNMLS.A</t>
  </si>
  <si>
    <t>Air Travel: Seat Miles Demanded: U.S.: Alternative Transportation</t>
  </si>
  <si>
    <t>AEO.2025.ALTTRNP.ECI_RTM_AIRT_NA_NA_NA_WRLD_BLNMLS.A</t>
  </si>
  <si>
    <t>Air Travel: Travel Demand: Revenue Ton Miles: Freight: World: Alternative Transportation</t>
  </si>
  <si>
    <t>Air Travel: Travel Demand: Revenue Ton Miles: Freight: International World: Alternative Transportation</t>
  </si>
  <si>
    <t>Air Travel: Travel Demand: Revenue Ton Miles: Freight: Domestic World: Alternative Transportation</t>
  </si>
  <si>
    <t>AEO.2025.ALTTRNP.ECI_RTM_AIRT_NA_NA_NA_ONOAS_BLNMLS.A</t>
  </si>
  <si>
    <t>Air Travel: Travel Demand: Revenue Ton Miles: Freight: Other Americas: Alternative Transportation</t>
  </si>
  <si>
    <t>AEO.2025.ALTTRNP.ECI_RTM_AIRT_NA_NA_NA_BRZ_BLNMLS.A</t>
  </si>
  <si>
    <t>Air Travel: Travel Demand: Revenue Ton Miles: Freight: Brazil: Alternative Transportation</t>
  </si>
  <si>
    <t>AEO.2025.ALTTRNP.ECI_RTM_AIRT_NA_NA_NA_AFR_BLNMLS.A</t>
  </si>
  <si>
    <t>Air Travel: Travel Demand: Revenue Ton Miles: Freight: Africa: Alternative Transportation</t>
  </si>
  <si>
    <t>AEO.2025.ALTTRNP.ECI_RTM_AIRT_NA_NA_NA_MDE_BLNMLS.A</t>
  </si>
  <si>
    <t>Air Travel: Travel Demand: Revenue Ton Miles: Freight: Middle East: Alternative Transportation</t>
  </si>
  <si>
    <t>AEO.2025.ALTTRNP.ECI_RTM_AIRT_NA_NA_NA_ONCDAS_BLNMLS.A</t>
  </si>
  <si>
    <t>Air Travel: Travel Demand: Revenue Ton Miles: Freight: Other Asia Pacific: Alternative Transportation</t>
  </si>
  <si>
    <t>AEO.2025.ALTTRNP.ECI_RTM_AIRT_NA_NA_NA_IND_BLNMLS.A</t>
  </si>
  <si>
    <t>Air Travel: Travel Demand: Revenue Ton Miles: Freight: India: Alternative Transportation</t>
  </si>
  <si>
    <t>AEO.2025.ALTTRNP.ECI_RTM_AIRT_NA_NA_NA_CHN_BLNMLS.A</t>
  </si>
  <si>
    <t>Air Travel: Travel Demand: Revenue Ton Miles: Freight: China: Alternative Transportation</t>
  </si>
  <si>
    <t>AEO.2025.ALTTRNP.ECI_RTM_AIRT_NA_NA_NA_OEUAS_BLNMLS.A</t>
  </si>
  <si>
    <t>Air Travel: Travel Demand: Revenue Ton Miles: Freight: Eastern Europe and Eurasia: Alternative Transportation</t>
  </si>
  <si>
    <t>AEO.2025.ALTTRNP.ECI_RTM_AIRT_NA_NA_NA_RUS_BLNMLS.A</t>
  </si>
  <si>
    <t>Air Travel: Travel Demand: Revenue Ton Miles: Freight: Russia: Alternative Transportation</t>
  </si>
  <si>
    <t>AEO.2025.ALTTRNP.ECI_RTM_AIRT_NA_NA_NA_SOK_BLNMLS.A</t>
  </si>
  <si>
    <t>Air Travel: Travel Demand: Revenue Ton Miles: Freight: South Korea: Alternative Transportation</t>
  </si>
  <si>
    <t>AEO.2025.ALTTRNP.ECI_RTM_AIRT_NA_NA_NA_AUNZ_BLNMLS.A</t>
  </si>
  <si>
    <t>Air Travel: Travel Demand: Revenue Ton Miles: Freight: Australia and New Zealand: Alternative Transportation</t>
  </si>
  <si>
    <t>AEO.2025.ALTTRNP.ECI_RTM_AIRT_NA_NA_NA_JPN_BLNMLS.A</t>
  </si>
  <si>
    <t>Air Travel: Travel Demand: Revenue Ton Miles: Freight: Japan: Alternative Transportation</t>
  </si>
  <si>
    <t>AEO.2025.ALTTRNP.ECI_RTM_AIRT_NA_NA_NA_OCDEU_BLNMLS.A</t>
  </si>
  <si>
    <t>Air Travel: Travel Demand: Revenue Ton Miles: Freight: Western Europe: Alternative Transportation</t>
  </si>
  <si>
    <t>AEO.2025.ALTTRNP.ECI_RTM_AIRT_NA_NA_NA_MAOOAS_BLNMLS.A</t>
  </si>
  <si>
    <t>Air Travel: Travel Demand: Revenue Ton Miles: Freight: Mexico: Alternative Transportation</t>
  </si>
  <si>
    <t>AEO.2025.ALTTRNP.ECI_RTM_AIRT_NA_NA_NA_CAN_BLNMLS.A</t>
  </si>
  <si>
    <t>Air Travel: Travel Demand: Revenue Ton Miles: Freight: Canada: Alternative Transportation</t>
  </si>
  <si>
    <t>AEO.2025.ALTTRNP.ECI_RTM_AIRT_NA_NA_NA_USA_BLNMLS.A</t>
  </si>
  <si>
    <t>Air Travel: Travel Demand: Revenue Ton Miles: Freight: U.S.: Alternative Transportation</t>
  </si>
  <si>
    <t>AEO.2025.ALTTRNP.ECI_RPM_AIRT_INTA_NA_NA_WRLD_BLNMLS.A</t>
  </si>
  <si>
    <t>Air Travel: Travel Demand: Revenue Passenger Miles: World: Alternative Transportation</t>
  </si>
  <si>
    <t>Air Travel: Travel Demand: Revenue Passenger Miles: International World: Alternative Transportation</t>
  </si>
  <si>
    <t>AEO.2025.ALTTRNP.ECI_RPM_AIRT_INTA_NA_NA_ONOAS_BLNMLS.A</t>
  </si>
  <si>
    <t>Air Travel: Travel Demand: Revenue Passenger Miles: International Other Americas: Alternative Transportation</t>
  </si>
  <si>
    <t>AEO.2025.ALTTRNP.ECI_RPM_AIRT_INTA_NA_NA_BRZ_BLNMLS.A</t>
  </si>
  <si>
    <t>Air Travel: Travel Demand: Revenue Passenger Miles: International Brazil: Alternative Transportation</t>
  </si>
  <si>
    <t>AEO.2025.ALTTRNP.ECI_RPM_AIRT_INTA_NA_NA_AFR_BLNMLS.A</t>
  </si>
  <si>
    <t>Air Travel: Travel Demand: Revenue Passenger Miles: International Africa: Alternative Transportation</t>
  </si>
  <si>
    <t>AEO.2025.ALTTRNP.ECI_RPM_AIRT_INTA_NA_NA_MDE_BLNMLS.A</t>
  </si>
  <si>
    <t>Air Travel: Travel Demand: Revenue Passenger Miles: International Middle East: Alternative Transportation</t>
  </si>
  <si>
    <t>AEO.2025.ALTTRNP.ECI_RPM_AIRT_INTA_NA_NA_ONCDAS_BLNMLS.A</t>
  </si>
  <si>
    <t>Air Travel: Travel Demand: Revenue Passenger Miles: International Other Asia Pacific: Alternative Transportation</t>
  </si>
  <si>
    <t>AEO.2025.ALTTRNP.ECI_RPM_AIRT_INTA_NA_NA_IND_BLNMLS.A</t>
  </si>
  <si>
    <t>Air Travel: Travel Demand: Revenue Passenger Miles: International India: Alternative Transportation</t>
  </si>
  <si>
    <t>AEO.2025.ALTTRNP.ECI_RPM_AIRT_INTA_NA_NA_CHN_BLNMLS.A</t>
  </si>
  <si>
    <t>Air Travel: Travel Demand: Revenue Passenger Miles: International China: Alternative Transportation</t>
  </si>
  <si>
    <t>AEO.2025.ALTTRNP.ECI_RPM_AIRT_INTA_NA_NA_OEUAS_BLNMLS.A</t>
  </si>
  <si>
    <t>Air Travel: Travel Demand: Revenue Passenger Miles: International Eastern Europe and Eurasia: Alternative Transportation</t>
  </si>
  <si>
    <t>AEO.2025.ALTTRNP.ECI_RPM_AIRT_INTA_NA_NA_RUS_BLNMLS.A</t>
  </si>
  <si>
    <t>Air Travel: Travel Demand: Revenue Passenger Miles: International Russia: Alternative Transportation</t>
  </si>
  <si>
    <t>AEO.2025.ALTTRNP.ECI_RPM_AIRT_INTA_NA_NA_SOK_BLNMLS.A</t>
  </si>
  <si>
    <t>Air Travel: Travel Demand: Revenue Passenger Miles: International South Korea: Alternative Transportation</t>
  </si>
  <si>
    <t>AEO.2025.ALTTRNP.ECI_RPM_AIRT_INTA_NA_NA_AUNZ_BLNMLS.A</t>
  </si>
  <si>
    <t>Air Travel: Travel Demand: Revenue Passenger Miles: International Australia and New Zealand: Alternative Transportation</t>
  </si>
  <si>
    <t>AEO.2025.ALTTRNP.ECI_RPM_AIRT_INTA_NA_NA_JPN_BLNMLS.A</t>
  </si>
  <si>
    <t>Air Travel: Travel Demand: Revenue Passenger Miles: International Japan: Alternative Transportation</t>
  </si>
  <si>
    <t>AEO.2025.ALTTRNP.ECI_RPM_AIRT_INTA_NA_NA_OCDEU_BLNMLS.A</t>
  </si>
  <si>
    <t>Air Travel: Travel Demand: Revenue Passenger Miles: International Western Europe: Alternative Transportation</t>
  </si>
  <si>
    <t>AEO.2025.ALTTRNP.ECI_RPM_AIRT_INTA_NA_NA_MAOOAS_BLNMLS.A</t>
  </si>
  <si>
    <t>Air Travel: Travel Demand: Revenue Passenger Miles: International Mexico: Alternative Transportation</t>
  </si>
  <si>
    <t>AEO.2025.ALTTRNP.ECI_RPM_AIRT_INTA_NA_NA_CAN_BLNMLS.A</t>
  </si>
  <si>
    <t>Air Travel: Travel Demand: Revenue Passenger Miles: International Canada: Alternative Transportation</t>
  </si>
  <si>
    <t>AEO.2025.ALTTRNP.ECI_RPM_AIRT_INTA_NA_NA_USA_BLNMLS.A</t>
  </si>
  <si>
    <t>Air Travel: Travel Demand: Revenue Passenger Miles: International U.S.: Alternative Transportation</t>
  </si>
  <si>
    <t>AEO.2025.ALTTRNP.ECI_RPM_AIRT_DMS_NA_NA_WRLD_BLNMLS.A</t>
  </si>
  <si>
    <t>Air Travel: Travel Demand: Revenue Passenger Miles: Domestic: World: Alternative Transportation</t>
  </si>
  <si>
    <t>AEO.2025.ALTTRNP.ECI_RPM_AIRT_DMS_NA_NA_ONOAS_BLNMLS.A</t>
  </si>
  <si>
    <t>Air Travel: Travel Demand: Revenue Passenger Miles: Domestic: Other Americas: Alternative Transportation</t>
  </si>
  <si>
    <t>AEO.2025.ALTTRNP.ECI_RPM_AIRT_DMS_NA_NA_BRZ_BLNMLS.A</t>
  </si>
  <si>
    <t>Air Travel: Travel Demand: Revenue Passenger Miles: Domestic: Brazil: Alternative Transportation</t>
  </si>
  <si>
    <t>AEO.2025.ALTTRNP.ECI_RPM_AIRT_DMS_NA_NA_AFR_BLNMLS.A</t>
  </si>
  <si>
    <t>Air Travel: Travel Demand: Revenue Passenger Miles: Domestic: Africa: Alternative Transportation</t>
  </si>
  <si>
    <t>AEO.2025.ALTTRNP.ECI_RPM_AIRT_DMS_NA_NA_MDE_BLNMLS.A</t>
  </si>
  <si>
    <t>Air Travel: Travel Demand: Revenue Passenger Miles: Domestic: Middle East: Alternative Transportation</t>
  </si>
  <si>
    <t>AEO.2025.ALTTRNP.ECI_RPM_AIRT_DMS_NA_NA_ONCDAS_BLNMLS.A</t>
  </si>
  <si>
    <t>Air Travel: Travel Demand: Revenue Passenger Miles: Domestic: Other Asia Pacific: Alternative Transportation</t>
  </si>
  <si>
    <t>AEO.2025.ALTTRNP.ECI_RPM_AIRT_DMS_NA_NA_IND_BLNMLS.A</t>
  </si>
  <si>
    <t>Air Travel: Travel Demand: Revenue Passenger Miles: Domestic: India: Alternative Transportation</t>
  </si>
  <si>
    <t>AEO.2025.ALTTRNP.ECI_RPM_AIRT_DMS_NA_NA_CHN_BLNMLS.A</t>
  </si>
  <si>
    <t>Air Travel: Travel Demand: Revenue Passenger Miles: Domestic: China: Alternative Transportation</t>
  </si>
  <si>
    <t>AEO.2025.ALTTRNP.ECI_RPM_AIRT_DMS_NA_NA_OEUAS_BLNMLS.A</t>
  </si>
  <si>
    <t>Air Travel: Travel Demand: Revenue Passenger Miles: Domestic: Eastern Europe and Eurasia: Alternative Transportation</t>
  </si>
  <si>
    <t>AEO.2025.ALTTRNP.ECI_RPM_AIRT_DMS_NA_NA_RUS_BLNMLS.A</t>
  </si>
  <si>
    <t>Air Travel: Travel Demand: Revenue Passenger Miles: Domestic: Russia: Alternative Transportation</t>
  </si>
  <si>
    <t>AEO.2025.ALTTRNP.ECI_RPM_AIRT_DMS_NA_NA_SOK_BLNMLS.A</t>
  </si>
  <si>
    <t>Air Travel: Travel Demand: Revenue Passenger Miles: Domestic: South Korea: Alternative Transportation</t>
  </si>
  <si>
    <t>AEO.2025.ALTTRNP.ECI_RPM_AIRT_DMS_NA_NA_AUNZ_BLNMLS.A</t>
  </si>
  <si>
    <t>Air Travel: Travel Demand: Revenue Passenger Miles: Domestic: Australia and New Zealand: Alternative Transportation</t>
  </si>
  <si>
    <t>AEO.2025.ALTTRNP.ECI_RPM_AIRT_DMS_NA_NA_JPN_BLNMLS.A</t>
  </si>
  <si>
    <t>Air Travel: Travel Demand: Revenue Passenger Miles: Domestic: Japan: Alternative Transportation</t>
  </si>
  <si>
    <t>AEO.2025.ALTTRNP.ECI_RPM_AIRT_DMS_NA_NA_OCDEU_BLNMLS.A</t>
  </si>
  <si>
    <t>Air Travel: Travel Demand: Revenue Passenger Miles: Domestic: Western Europe: Alternative Transportation</t>
  </si>
  <si>
    <t>AEO.2025.ALTTRNP.ECI_RPM_AIRT_DMS_NA_NA_MAOOAS_BLNMLS.A</t>
  </si>
  <si>
    <t>Air Travel: Travel Demand: Revenue Passenger Miles: Domestic: Mexico: Alternative Transportation</t>
  </si>
  <si>
    <t>AEO.2025.ALTTRNP.ECI_RPM_AIRT_DMS_NA_NA_CAN_BLNMLS.A</t>
  </si>
  <si>
    <t>Air Travel: Travel Demand: Revenue Passenger Miles: Domestic: Canada: Alternative Transportation</t>
  </si>
  <si>
    <t>AEO.2025.ALTTRNP.ECI_RPM_AIRT_DMS_NA_NA_USA_BLNMLS.A</t>
  </si>
  <si>
    <t>Air Travel: Travel Demand: Revenue Passenger Miles: Domestic: U.S.: Alternative Transportation</t>
  </si>
  <si>
    <t>AEO.2025.ALTTRNP.ECI_POP_NA_NA_NA_NA_ONOAS_MILL.A</t>
  </si>
  <si>
    <t>Air Travel: Drivers: Population: Other Americas: Alternative Transportation</t>
  </si>
  <si>
    <t>AEO.2025.ALTTRNP.ECI_POP_NA_NA_NA_NA_BRZ_MILL.A</t>
  </si>
  <si>
    <t>Air Travel: Drivers: Population: Brazil: Alternative Transportation</t>
  </si>
  <si>
    <t>AEO.2025.ALTTRNP.ECI_POP_NA_NA_NA_NA_AFR_MILL.A</t>
  </si>
  <si>
    <t>Air Travel: Drivers: Population: Africa: Alternative Transportation</t>
  </si>
  <si>
    <t>AEO.2025.ALTTRNP.ECI_POP_NA_NA_NA_NA_MDE_MILL.A</t>
  </si>
  <si>
    <t>Air Travel: Drivers: Population: Middle East: Alternative Transportation</t>
  </si>
  <si>
    <t>AEO.2025.ALTTRNP.ECI_POP_NA_NA_NA_NA_ONCDAS_MILL.A</t>
  </si>
  <si>
    <t>Air Travel: Drivers: Population: Other Asia Pacific: Alternative Transportation</t>
  </si>
  <si>
    <t>AEO.2025.ALTTRNP.ECI_POP_NA_NA_NA_NA_IND_MILL.A</t>
  </si>
  <si>
    <t>Air Travel: Drivers: Population: India: Alternative Transportation</t>
  </si>
  <si>
    <t>AEO.2025.ALTTRNP.ECI_POP_NA_NA_NA_NA_CHN_MILL.A</t>
  </si>
  <si>
    <t>Air Travel: Drivers: Population: China: Alternative Transportation</t>
  </si>
  <si>
    <t>AEO.2025.ALTTRNP.ECI_POP_NA_NA_NA_NA_OEUAS_MILL.A</t>
  </si>
  <si>
    <t>Air Travel: Drivers: Population: Eastern Europe and Eurasia: Alternative Transportation</t>
  </si>
  <si>
    <t>AEO.2025.ALTTRNP.ECI_POP_NA_NA_NA_NA_RUS_MILL.A</t>
  </si>
  <si>
    <t>Air Travel: Drivers: Population: Russia: Alternative Transportation</t>
  </si>
  <si>
    <t>AEO.2025.ALTTRNP.ECI_POP_NA_NA_NA_NA_SOK_MILL.A</t>
  </si>
  <si>
    <t>Air Travel: Drivers: Population: South Korea: Alternative Transportation</t>
  </si>
  <si>
    <t>AEO.2025.ALTTRNP.ECI_POP_NA_NA_NA_NA_AUNZ_MILL.A</t>
  </si>
  <si>
    <t>Air Travel: Drivers: Population: Australia and New Zealand: Alternative Transportation</t>
  </si>
  <si>
    <t>AEO.2025.ALTTRNP.ECI_POP_NA_NA_NA_NA_JPN_MILL.A</t>
  </si>
  <si>
    <t>Air Travel: Drivers: Population: Japan: Alternative Transportation</t>
  </si>
  <si>
    <t>AEO.2025.ALTTRNP.ECI_POP_NA_NA_NA_NA_OCDEU_MILL.A</t>
  </si>
  <si>
    <t>Air Travel: Drivers: Population: Western Europe: Alternative Transportation</t>
  </si>
  <si>
    <t>AEO.2025.ALTTRNP.ECI_POP_NA_NA_NA_NA_MAOOAS_MILL.A</t>
  </si>
  <si>
    <t>Air Travel: Drivers: Population: Mexico: Alternative Transportation</t>
  </si>
  <si>
    <t>AEO.2025.ALTTRNP.ECI_POP_NA_NA_NA_NA_CAN_MILL.A</t>
  </si>
  <si>
    <t>Air Travel: Drivers: Population: Canada: Alternative Transportation</t>
  </si>
  <si>
    <t>AEO.2025.ALTTRNP.ECI_POP_NA_NA_NA_NA_USA_MILL.A</t>
  </si>
  <si>
    <t>Air Travel: Drivers: Population: U.S.: Alternative Transportation</t>
  </si>
  <si>
    <t>AEO.2025.ALTTRNP.CAP_LDFAC_AIRT_INTA_NA_NA_NA_FRAC.A</t>
  </si>
  <si>
    <t>Air Travel: Load Factor: U.S. International: Alternative Transportation</t>
  </si>
  <si>
    <t>AEO.2025.ALTTRNP.CAP_LDFAC_AIRT_DMS_NA_NA_NA_FRAC.A</t>
  </si>
  <si>
    <t>Air Travel: Load Factor: U.S. Domestic: Alternative Transportation</t>
  </si>
  <si>
    <t>AEO.2025.ALTTRNP.PRCE_FUL_AIRT_NA_NA_NA_NA_87DLRPMBTU.A</t>
  </si>
  <si>
    <t>Air Travel: Fuel Cost: Alternative Transportation</t>
  </si>
  <si>
    <t>Fuel Cost (1987 dollars per MMBtu)</t>
  </si>
  <si>
    <t>Fri Dec 05 2025 14:51:22 GMT-0800 (Pacific Standard Time)</t>
  </si>
  <si>
    <t>https://www.eia.gov/outlooks/aeo/data/browser/#/?id=57-AEO2025&amp;cases=alttrnp&amp;sourcekey=0</t>
  </si>
  <si>
    <t>AEO.2025.ALTTRNP.CNSM_NA_TRN_INTS_LNG_NA_NA_TRLBTU.A</t>
  </si>
  <si>
    <t>Freight: International Shipping: Fuel Use: LNG: Alternative Transportation</t>
  </si>
  <si>
    <t>AEO.2025.ALTTRNP.CNSM_NA_TRN_INTS_CNG_NA_NA_TRLBTU.A</t>
  </si>
  <si>
    <t>Freight: International Shipping: Fuel Use: CNG: Alternative Transportation</t>
  </si>
  <si>
    <t>AEO.2025.ALTTRNP.CNSM_NA_TRN_INTS_RFO_NA_NA_TRLBTU.A</t>
  </si>
  <si>
    <t>Freight: International Shipping: Fuel Use: Residual Fuel Oil: Alternative Transportation</t>
  </si>
  <si>
    <t>AEO.2025.ALTTRNP.CNSM_NA_TRN_INTS_DFO_NA_NA_TRLBTU.A</t>
  </si>
  <si>
    <t>Freight: International Shipping: Fuel Use: Distillate Fuel Oil: Alternative Transportation</t>
  </si>
  <si>
    <t>AEO.2025.ALTTRNP.ECI_IMP_TRN_INTS_NA_NA_NA_BLNY09DLR.A</t>
  </si>
  <si>
    <t>Freight: International Shipping: Imports: Alternative Transportation</t>
  </si>
  <si>
    <t>AEO.2025.ALTTRNP.ECI_EXPT_TRN_INTS_NA_NA_NA_BLNY09DLR.A</t>
  </si>
  <si>
    <t>Freight: International Shipping: Exports: Alternative Transportation</t>
  </si>
  <si>
    <t>AEO.2025.ALTTRNP.ECI_UGHT_TRN_INTS_NA_NA_NA_BLNY09DLR.A</t>
  </si>
  <si>
    <t>Freight: International Shipping: Gross Trade: Alternative Transportation</t>
  </si>
  <si>
    <t>AEO.2025.ALTTRNP.CNSM_NA_TRN_DMT_LNG_NA_NA_TRLBTU.A</t>
  </si>
  <si>
    <t>Freight: Domestic Shipping: Fuel Use: LNG: Alternative Transportation</t>
  </si>
  <si>
    <t>AEO.2025.ALTTRNP.CNSM_NA_TRN_DMT_CNG_NA_NA_TRLBTU.A</t>
  </si>
  <si>
    <t>Freight: Domestic Shipping: Fuel Use: CNG: Alternative Transportation</t>
  </si>
  <si>
    <t>AEO.2025.ALTTRNP.CNSM_NA_TRN_DMT_RFO_NA_NA_TRLBTU.A</t>
  </si>
  <si>
    <t>Freight: Domestic Shipping: Fuel Use: Residual Fuel Oil: Alternative Transportation</t>
  </si>
  <si>
    <t>AEO.2025.ALTTRNP.CNSM_NA_TRN_DMT_DFO_NA_NA_TRLBTU.A</t>
  </si>
  <si>
    <t>Freight: Domestic Shipping: Fuel Use: Distillate Fuel Oil: Alternative Transportation</t>
  </si>
  <si>
    <t>ton miles/thousand Btu</t>
  </si>
  <si>
    <t>AEO.2025.ALTTRNP.EFI_NA_TRN_DMT_NA_NA_NA_TONMLPTHBTU.A</t>
  </si>
  <si>
    <t>Freight: Domestic Shipping: Fuel Efficiency: Alternative Transportation</t>
  </si>
  <si>
    <t>AEO.2025.ALTTRNP.ECI_FTM_TRN_DMT_NA_NA_NA_BLN.A</t>
  </si>
  <si>
    <t>Freight: Domestic Shipping: Ton Miles Shipping: Alternative Transportation</t>
  </si>
  <si>
    <t>AEO.2025.ALTTRNP.CNSM_NA_TRN_RAIL_LNG_NA_NA_TRLBTU.A</t>
  </si>
  <si>
    <t>Freight: Railroads: Fuel Use: LNG: Alternative Transportation</t>
  </si>
  <si>
    <t>AEO.2025.ALTTRNP.CNSM_NA_TRN_RAIL_CNG_NA_NA_TRLBTU.A</t>
  </si>
  <si>
    <t>Freight: Railroads: Fuel Use: CNG: Alternative Transportation</t>
  </si>
  <si>
    <t>AEO.2025.ALTTRNP.CNSM_NA_TRN_RAIL_RFO_NA_NA_TRLBTU.A</t>
  </si>
  <si>
    <t>Freight: Railroads: Fuel Use: Residual Fuel Oil: Alternative Transportation</t>
  </si>
  <si>
    <t>AEO.2025.ALTTRNP.CNSM_NA_TRN_RAIL_DFO_NA_NA_TRLBTU.A</t>
  </si>
  <si>
    <t>Freight: Railroads: Fuel Use: Distillate Fuel Oil: Alternative Transportation</t>
  </si>
  <si>
    <t>AEO.2025.ALTTRNP.EFI_NA_TRN_RAIL_NA_NA_NA_TONMLPTHBTU.A</t>
  </si>
  <si>
    <t>Freight: Railroads: Fuel Efficiency: Alternative Transportation</t>
  </si>
  <si>
    <t>AEO.2025.ALTTRNP.ECI_FTM_TRN_RAIL_NA_NA_NA_BLN.A</t>
  </si>
  <si>
    <t>Freight: Railroads: Ton Miles by Rail: Alternative Transportation</t>
  </si>
  <si>
    <t>AEO.2025.ALTTRNP.ECI_SAL_FGHT_NA_NA_NA_NA_TH.A</t>
  </si>
  <si>
    <t>Freight: New Trucks: Sales: Alternative Transportation</t>
  </si>
  <si>
    <t>AEO.2025.ALTTRNP.ECI_SAL_FGHT_RAD_NA_NA_NA_TH.A</t>
  </si>
  <si>
    <t>Freight: New Trucks: Sales: Heavy: Alternative Transportation</t>
  </si>
  <si>
    <t>AEO.2025.ALTTRNP.ECI_SAL_FGHT_RAD_HYDICE_NA_NA_MPGDSEQ.A</t>
  </si>
  <si>
    <t>Freight: New Trucks: Sales: Heavy: Hydrogen ICE: Alternative Transportation</t>
  </si>
  <si>
    <t>AEO.2025.ALTTRNP.ECI_SAL_FGHT_RAD_GASHEV_NA_NA_MPGGASEQ.A</t>
  </si>
  <si>
    <t>Freight: New Trucks: Sales: Heavy: Gasoline Hybrid: Alternative Transportation</t>
  </si>
  <si>
    <t>AEO.2025.ALTTRNP.ECI_SAL_FGHT_RAD_FEUCELBATDOM_NA_NA_MPGDSEQ.A</t>
  </si>
  <si>
    <t>Freight: New Trucks: Sales: Heavy: Fuel Cell Battery Dominant: Alternative Transportation</t>
  </si>
  <si>
    <t>AEO.2025.ALTTRNP.ECI_SAL_FGHT_RAD_FUC_NA_NA_TH.A</t>
  </si>
  <si>
    <t>Freight: New Trucks: Sales: Heavy: Fuel Cell: Alternative Transportation</t>
  </si>
  <si>
    <t>AEO.2025.ALTTRNP.ECI_SAL_FGHT_RAD_EGH_NA_NA_TH.A</t>
  </si>
  <si>
    <t>Freight: New Trucks: Sales: Heavy: Plug-in Gasoline Hybrid: Alternative Transportation</t>
  </si>
  <si>
    <t>AEO.2025.ALTTRNP.ECI_SAL_FGHT_RAD_EDH_NA_NA_TH.A</t>
  </si>
  <si>
    <t>Freight: New Trucks: Sales: Heavy: Plug-in Diesel Hybrid: Alternative Transportation</t>
  </si>
  <si>
    <t>AEO.2025.ALTTRNP.ECI_SAL_FGHT_RAD_ELE_NA_NA_TH.A</t>
  </si>
  <si>
    <t>Freight: New Trucks: Sales: Heavy: Electric: Alternative Transportation</t>
  </si>
  <si>
    <t>AEO.2025.ALTTRNP.ECI_SAL_FGHT_RAD_EFFI_NA_NA_TH.A</t>
  </si>
  <si>
    <t>Freight: New Trucks: Sales: Heavy: Ethanol-Flex Fuel: Alternative Transportation</t>
  </si>
  <si>
    <t>AEO.2025.ALTTRNP.ECI_SAL_FGHT_RAD_NG_NA_NA_TH.A</t>
  </si>
  <si>
    <t>Freight: New Trucks: Sales: Heavy: Natural Gas: Alternative Transportation</t>
  </si>
  <si>
    <t>AEO.2025.ALTTRNP.ECI_SAL_FGHT_RAD_PROP_NA_NA_TH.A</t>
  </si>
  <si>
    <t>Freight: New Trucks: Sales: Heavy: Propane: Alternative Transportation</t>
  </si>
  <si>
    <t>AEO.2025.ALTTRNP.ECI_SAL_FGHT_RAD_MGS_NA_NA_TH.A</t>
  </si>
  <si>
    <t>Freight: New Trucks: Sales: Heavy: Motor Gasoline: Alternative Transportation</t>
  </si>
  <si>
    <t>AEO.2025.ALTTRNP.ECI_SAL_FGHT_RAD_DSL_NA_NA_TH.A</t>
  </si>
  <si>
    <t>Freight: New Trucks: Sales: Heavy: Diesel: Alternative Transportation</t>
  </si>
  <si>
    <t>AEO.2025.ALTTRNP.ECI_SAL_FGHT_SOSO_NA_NA_NA_TH.A</t>
  </si>
  <si>
    <t>Freight: New Trucks: Sales: Medium: Alternative Transportation</t>
  </si>
  <si>
    <t>AEO.2025.ALTTRNP.ECI_SAL_FGHT_SOSO_HYDICE_NA_NA_MPGDSEQ.A</t>
  </si>
  <si>
    <t>Freight: New Trucks: Sales: Medium: Hydrogen ICE: Alternative Transportation</t>
  </si>
  <si>
    <t>AEO.2025.ALTTRNP.ECI_SAL_FGHT_SOSO_GASHEV_NA_NA_MPGGASEQ.A</t>
  </si>
  <si>
    <t>Freight: New Trucks: Sales: Medium: Gasoline Hybrid: Alternative Transportation</t>
  </si>
  <si>
    <t>AEO.2025.ALTTRNP.ECI_SAL_FGHT_SOSO_FEUCELBATDOM_NA_NA_MPGDSEQ.A</t>
  </si>
  <si>
    <t>Freight: New Trucks: Sales: Medium: Fuel Cell Battery Dominant: Alternative Transportation</t>
  </si>
  <si>
    <t>AEO.2025.ALTTRNP.ECI_SAL_FGHT_SOSO_FUC_NA_NA_TH.A</t>
  </si>
  <si>
    <t>Freight: New Trucks: Sales: Medium: Fuel Cell: Alternative Transportation</t>
  </si>
  <si>
    <t>AEO.2025.ALTTRNP.ECI_SAL_FGHT_SOSO_EGH_NA_NA_TH.A</t>
  </si>
  <si>
    <t>Freight: New Trucks: Sales: Medium: Plug-in Gasoline Hybrid: Alternative Transportation</t>
  </si>
  <si>
    <t>AEO.2025.ALTTRNP.ECI_SAL_FGHT_SOSO_EDH_NA_NA_TH.A</t>
  </si>
  <si>
    <t>Freight: New Trucks: Sales: Medium: Plug-in Diesel Hybrid: Alternative Transportation</t>
  </si>
  <si>
    <t>AEO.2025.ALTTRNP.ECI_SAL_FGHT_SOSO_ELE_NA_NA_TH.A</t>
  </si>
  <si>
    <t>Freight: New Trucks: Sales: Medium: Electric: Alternative Transportation</t>
  </si>
  <si>
    <t>AEO.2025.ALTTRNP.ECI_SAL_FGHT_SOSO_EFFI_NA_NA_TH.A</t>
  </si>
  <si>
    <t>Freight: New Trucks: Sales: Medium: Ethanol-Flex Fuel: Alternative Transportation</t>
  </si>
  <si>
    <t>AEO.2025.ALTTRNP.ECI_SAL_FGHT_SOSO_NG_NA_NA_TH.A</t>
  </si>
  <si>
    <t>Freight: New Trucks: Sales: Medium: Natural Gas: Alternative Transportation</t>
  </si>
  <si>
    <t>AEO.2025.ALTTRNP.ECI_SAL_FGHT_SOSO_PROP_NA_NA_TH.A</t>
  </si>
  <si>
    <t>Freight: New Trucks: Sales: Medium: Propane: Alternative Transportation</t>
  </si>
  <si>
    <t>AEO.2025.ALTTRNP.ECI_SAL_FGHT_SOSO_MGS_NA_NA_TH.A</t>
  </si>
  <si>
    <t>Freight: New Trucks: Sales: Medium: Motor Gasoline: Alternative Transportation</t>
  </si>
  <si>
    <t>AEO.2025.ALTTRNP.ECI_SAL_FGHT_SOSO_DSL_NA_NA_TH.A</t>
  </si>
  <si>
    <t>Freight: New Trucks: Sales: Medium: Diesel: Alternative Transportation</t>
  </si>
  <si>
    <t>AEO.2025.ALTTRNP.ECI_SAL_FGHT_LITEMED_NA_NA_NA_TH.A</t>
  </si>
  <si>
    <t>Freight: New Trucks: Sales: Light Medium: Alternative Transportation</t>
  </si>
  <si>
    <t>AEO.2025.ALTTRNP.ECI_SAL_FGHT_LITEMED_HYDICE_NA_NA_MPGDSEQ.A</t>
  </si>
  <si>
    <t>Freight: New Trucks: Sales: Light Medium: Hydrogen ICE: Alternative Transportation</t>
  </si>
  <si>
    <t>AEO.2025.ALTTRNP.ECI_SAL_FGHT_LITEMED_GASHEV_NA_NA_MPGGASEQ.A</t>
  </si>
  <si>
    <t>Freight: New Trucks: Sales: Light Medium: Gasoline Hybrid: Alternative Transportation</t>
  </si>
  <si>
    <t>AEO.2025.ALTTRNP.ECI_SAL_FGHT_LITEMED_FEUCELBATDOM_NA_NA_MPGDSEQ.A</t>
  </si>
  <si>
    <t>Freight: New Trucks: Sales: Light Medium: Fuel Cell Battery Dominant: Alternative Transportation</t>
  </si>
  <si>
    <t>AEO.2025.ALTTRNP.ECI_SAL_FGHT_LITEMED_FUC_NA_NA_TH.A</t>
  </si>
  <si>
    <t>Freight: New Trucks: Sales: Light Medium: Fuel Cell: Alternative Transportation</t>
  </si>
  <si>
    <t>AEO.2025.ALTTRNP.ECI_SAL_FGHT_LITEMED_EGH_NA_NA_TH.A</t>
  </si>
  <si>
    <t>Freight: New Trucks: Sales: Light Medium: Plug-in Gasoline Hybrid: Alternative Transportation</t>
  </si>
  <si>
    <t>AEO.2025.ALTTRNP.ECI_SAL_FGHT_LITEMED_EDH_NA_NA_TH.A</t>
  </si>
  <si>
    <t>Freight: New Trucks: Sales: Light Medium: Plug-in Diesel Hybrid: Alternative Transportation</t>
  </si>
  <si>
    <t>AEO.2025.ALTTRNP.ECI_SAL_FGHT_LITEMED_ELE_NA_NA_TH.A</t>
  </si>
  <si>
    <t>Freight: New Trucks: Sales: Light Medium: Electric: Alternative Transportation</t>
  </si>
  <si>
    <t>AEO.2025.ALTTRNP.ECI_SAL_FGHT_LITEMED_EFFI_NA_NA_TH.A</t>
  </si>
  <si>
    <t>Freight: New Trucks: Sales: Light Medium: Ethanol-Flex Fuel: Alternative Transportation</t>
  </si>
  <si>
    <t>AEO.2025.ALTTRNP.ECI_SAL_FGHT_LITEMED_NG_NA_NA_TH.A</t>
  </si>
  <si>
    <t>Freight: New Trucks: Sales: Light Medium: Natural Gas: Alternative Transportation</t>
  </si>
  <si>
    <t>AEO.2025.ALTTRNP.ECI_SAL_FGHT_LITEMED_PROP_NA_NA_TH.A</t>
  </si>
  <si>
    <t>Freight: New Trucks: Sales: Light Medium: Propane: Alternative Transportation</t>
  </si>
  <si>
    <t>AEO.2025.ALTTRNP.ECI_SAL_FGHT_LITEMED_MGS_NA_NA_TH.A</t>
  </si>
  <si>
    <t>Freight: New Trucks: Sales: Light Medium: Motor Gasoline: Alternative Transportation</t>
  </si>
  <si>
    <t>AEO.2025.ALTTRNP.ECI_SAL_FGHT_LITEMED_DSL_NA_NA_TH.A</t>
  </si>
  <si>
    <t>Freight: New Trucks: Sales: Light Medium: Diesel: Alternative Transportation</t>
  </si>
  <si>
    <t>AEO.2025.ALTTRNP.EFI_NA_FGHT_NEW_NA_NA_NA_NA.A</t>
  </si>
  <si>
    <t>Freight: New Trucks: Fuel Efficiency: Alternative Transportation</t>
  </si>
  <si>
    <t>AEO.2025.ALTTRNP.EFI_NA_FGHT_RADN_NA_NA_NA_NA.A</t>
  </si>
  <si>
    <t>Freight: New Trucks: Fuel Efficiency: Heavy: Average: Alternative Transportation</t>
  </si>
  <si>
    <t>AEO.2025.ALTTRNP.EFI_NA_FGHT_RADN_HYDICE_NA_NA_MPGDSEQ.A</t>
  </si>
  <si>
    <t>Freight: New Trucks: Fuel Efficiency: Heavy: Hydrogen ICE: Alternative Transportation</t>
  </si>
  <si>
    <t>AEO.2025.ALTTRNP.EFI_NA_FGHT_RADN_GASHEV_NA_NA_MPGGASEQ.A</t>
  </si>
  <si>
    <t>Freight: New Trucks: Fuel Efficiency: Heavy: Gasoline Hybrid: Alternative Transportation</t>
  </si>
  <si>
    <t>AEO.2025.ALTTRNP.EFI_NA_FGHT_RADN_FEUCELBATDOM_NA_NA_MPGDSEQ.A</t>
  </si>
  <si>
    <t>Freight: New Trucks: Fuel Efficiency: Heavy: Fuel Cell Battery Dominant: Alternative Transportation</t>
  </si>
  <si>
    <t>AEO.2025.ALTTRNP.EFI_NA_FGHT_RADN_FUC_NA_NA_MPGDSEQ.A</t>
  </si>
  <si>
    <t>Freight: New Trucks: Fuel Efficiency: Heavy: Fuel Cell: Alternative Transportation</t>
  </si>
  <si>
    <t>AEO.2025.ALTTRNP.EFI_NA_FGHT_RADN_EGH_NA_NA_MPGGASEQ.A</t>
  </si>
  <si>
    <t>Freight: New Trucks: Fuel Efficiency: Heavy: Plug-in Gasoline Hybrid: Alternative Transportation</t>
  </si>
  <si>
    <t>AEO.2025.ALTTRNP.EFI_NA_FGHT_RADN_EDH_NA_NA_MPGDSEQ.A</t>
  </si>
  <si>
    <t>Freight: New Trucks: Fuel Efficiency: Heavy: Plug-in Diesel Hybrid: Alternative Transportation</t>
  </si>
  <si>
    <t>AEO.2025.ALTTRNP.EFI_NA_FGHT_RADN_ELE_NA_NA_MPGDSEQ.A</t>
  </si>
  <si>
    <t>Freight: New Trucks: Fuel Efficiency: Heavy: Electric: Alternative Transportation</t>
  </si>
  <si>
    <t>AEO.2025.ALTTRNP.EFI_NA_FGHT_RADN_EFFI_NA_NA_MPGGASEQ.A</t>
  </si>
  <si>
    <t>Freight: New Trucks: Fuel Efficiency: Heavy: Ethanol-Flex Fuel: Alternative Transportation</t>
  </si>
  <si>
    <t>AEO.2025.ALTTRNP.EFI_NA_FGHT_RADN_NG_NA_NA_MPGDSEQ.A</t>
  </si>
  <si>
    <t>Freight: New Trucks: Fuel Efficiency: Heavy: Natural Gas: Alternative Transportation</t>
  </si>
  <si>
    <t>AEO.2025.ALTTRNP.EFI_NA_FGHT_RADN_PROP_NA_NA_MPGGASEQ.A</t>
  </si>
  <si>
    <t>Freight: New Trucks: Fuel Efficiency: Heavy: Propane: Alternative Transportation</t>
  </si>
  <si>
    <t>AEO.2025.ALTTRNP.EFI_NA_FGHT_RADN_MGS_NA_NA_MPGGASEQ.A</t>
  </si>
  <si>
    <t>Freight: New Trucks: Fuel Efficiency: Heavy: Motor Gasoline: Alternative Transportation</t>
  </si>
  <si>
    <t>AEO.2025.ALTTRNP.EFI_NA_FGHT_RADN_DSL_NA_NA_MPGDSEQ.A</t>
  </si>
  <si>
    <t>Freight: New Trucks: Fuel Efficiency: Heavy: Diesel: Alternative Transportation</t>
  </si>
  <si>
    <t>AEO.2025.ALTTRNP.EFI_NA_FGHT_SOSON_NA_NA_NA_NA.A</t>
  </si>
  <si>
    <t>Freight: New Trucks: Fuel Efficiency: Medium: Average: Alternative Transportation</t>
  </si>
  <si>
    <t>AEO.2025.ALTTRNP.EFI_NA_FGHT_SOSON_HYDICE_NA_NA_MPGDSEQ.A</t>
  </si>
  <si>
    <t>Freight: New Trucks: Fuel Efficiency: Medium: Hydrogen ICE: Alternative Transportation</t>
  </si>
  <si>
    <t>AEO.2025.ALTTRNP.EFI_NA_FGHT_SOSON_GASHEV_NA_NA_MPGGASEQ.A</t>
  </si>
  <si>
    <t>Freight: New Trucks: Fuel Efficiency: Medium: Gasoline Hybrid: Alternative Transportation</t>
  </si>
  <si>
    <t>AEO.2025.ALTTRNP.EFI_NA_FGHT_SOSON_FEUCELBATDOM_NA_NA_MPGDSEQ.A</t>
  </si>
  <si>
    <t>Freight: New Trucks: Fuel Efficiency: Medium: Fuel Cell Battery Dominant: Alternative Transportation</t>
  </si>
  <si>
    <t>AEO.2025.ALTTRNP.EFI_NA_FGHT_SOSON_FUC_NA_NA_MPGGASEQ.A</t>
  </si>
  <si>
    <t>Freight: New Trucks: Fuel Efficiency: Medium: Fuel Cell: Alternative Transportation</t>
  </si>
  <si>
    <t>AEO.2025.ALTTRNP.EFI_NA_FGHT_SOSON_EGH_NA_NA_MPGGASEQ.A</t>
  </si>
  <si>
    <t>Freight: New Trucks: Fuel Efficiency: Medium: Plug-in Gasoline Hybrid: Alternative Transportation</t>
  </si>
  <si>
    <t>AEO.2025.ALTTRNP.EFI_NA_FGHT_SOSON_EDH_NA_NA_MPGGASEQ.A</t>
  </si>
  <si>
    <t>Freight: New Trucks: Fuel Efficiency: Medium: Plug-in Diesel Hybrid: Alternative Transportation</t>
  </si>
  <si>
    <t>AEO.2025.ALTTRNP.EFI_NA_FGHT_SOSON_ELE_NA_NA_MPGGASEQ.A</t>
  </si>
  <si>
    <t>Freight: New Trucks: Fuel Efficiency: Medium: Electric: Alternative Transportation</t>
  </si>
  <si>
    <t>AEO.2025.ALTTRNP.EFI_NA_FGHT_SOSON_EFFI_NA_NA_MPG.A</t>
  </si>
  <si>
    <t>Freight: New Trucks: Fuel Efficiency: Medium: Ethanol-Flex Fuel: Alternative Transportation</t>
  </si>
  <si>
    <t>AEO.2025.ALTTRNP.EFI_NA_FGHT_SOSON_NG_NA_NA_MPGGASEQ.A</t>
  </si>
  <si>
    <t>Freight: New Trucks: Fuel Efficiency: Medium: Natural Gas: Alternative Transportation</t>
  </si>
  <si>
    <t>AEO.2025.ALTTRNP.EFI_NA_FGHT_SOSON_PROP_NA_NA_MPGGASEQ.A</t>
  </si>
  <si>
    <t>Freight: New Trucks: Fuel Efficiency: Medium: Propane: Alternative Transportation</t>
  </si>
  <si>
    <t>AEO.2025.ALTTRNP.EFI_NA_FGHT_SOSON_MGS_NA_NA_MPGGASEQ.A</t>
  </si>
  <si>
    <t>Freight: New Trucks: Fuel Efficiency: Medium: Motor Gasoline: Alternative Transportation</t>
  </si>
  <si>
    <t>AEO.2025.ALTTRNP.EFI_NA_FGHT_SOSON_DSL_NA_NA_MPGDSEQ.A</t>
  </si>
  <si>
    <t>Freight: New Trucks: Fuel Efficiency: Medium: Diesel: Alternative Transportation</t>
  </si>
  <si>
    <t>AEO.2025.ALTTRNP.EFI_NA_FGHT_LITEMEDN_NA_NA_NA_NA.A</t>
  </si>
  <si>
    <t>Freight: New Trucks: Fuel Efficiency: Light Medium: Average: Alternative Transportation</t>
  </si>
  <si>
    <t>AEO.2025.ALTTRNP.EFI_NA_FGHT_LITEMEDN_HYDICE_NA_NA_MPGDSEQ.A</t>
  </si>
  <si>
    <t>Freight: New Trucks: Fuel Efficiency: Light Medium: Hydrogen ICE: Alternative Transportation</t>
  </si>
  <si>
    <t>AEO.2025.ALTTRNP.EFI_NA_FGHT_LITEMEDN_GASHEV_NA_NA_MPGGASEQ.A</t>
  </si>
  <si>
    <t>Freight: New Trucks: Fuel Efficiency: Light Medium: Gasoline Hybrid: Alternative Transportation</t>
  </si>
  <si>
    <t>AEO.2025.ALTTRNP.EFI_NA_FGHT_LITEMEDN_FEUCELBATDOM_NA_NA_MPGDSEQ.A</t>
  </si>
  <si>
    <t>Freight: New Trucks: Fuel Efficiency: Light Medium: Fuel Cell Battery Dominant: Alternative Transportation</t>
  </si>
  <si>
    <t>AEO.2025.ALTTRNP.EFI_NA_FGHT_LITEMEDN_FUC_NA_NA_MPGDSEQ.A</t>
  </si>
  <si>
    <t>Freight: New Trucks: Fuel Efficiency: Light Medium: Fuel Cell: Alternative Transportation</t>
  </si>
  <si>
    <t>AEO.2025.ALTTRNP.EFI_NA_FGHT_LITEMEDN_EGH_NA_NA_MPGGASEQ.A</t>
  </si>
  <si>
    <t>Freight: New Trucks: Fuel Efficiency: Light Medium: Plug-in Gasoline Hybrid: Alternative Transportation</t>
  </si>
  <si>
    <t>AEO.2025.ALTTRNP.EFI_NA_FGHT_LITEMEDN_EDH_NA_NA_MPGDSEQ.A</t>
  </si>
  <si>
    <t>Freight: New Trucks: Fuel Efficiency: Light Medium: Plug-in Diesel Hybrid: Alternative Transportation</t>
  </si>
  <si>
    <t>AEO.2025.ALTTRNP.EFI_NA_FGHT_LITEMEDN_ELE_NA_NA_MPGDSEQ.A</t>
  </si>
  <si>
    <t>Freight: New Trucks: Fuel Efficiency: Light Medium: Electric: Alternative Transportation</t>
  </si>
  <si>
    <t>AEO.2025.ALTTRNP.EFI_NA_FGHT_LITEMEDN_EFFI_NA_NA_MPGGASEQ.A</t>
  </si>
  <si>
    <t>Freight: New Trucks: Fuel Efficiency: Light Medium: Ethanol-Flex Fuel: Alternative Transportation</t>
  </si>
  <si>
    <t>AEO.2025.ALTTRNP.EFI_NA_FGHT_LITEMEDN_NG_NA_NA_MPGGASEQ.A</t>
  </si>
  <si>
    <t>Freight: New Trucks: Fuel Efficiency: Light Medium: Natural Gas: Alternative Transportation</t>
  </si>
  <si>
    <t>AEO.2025.ALTTRNP.EFI_NA_FGHT_LITEMEDN_PROP_NA_NA_MPGGASEQ.A</t>
  </si>
  <si>
    <t>Freight: New Trucks: Fuel Efficiency: Light Medium: Propane: Alternative Transportation</t>
  </si>
  <si>
    <t>AEO.2025.ALTTRNP.EFI_NA_FGHT_LITEMEDN_MGS_NA_NA_MPGGASEQ.A</t>
  </si>
  <si>
    <t>Freight: New Trucks: Fuel Efficiency: Light Medium: Motor Gasoline: Alternative Transportation</t>
  </si>
  <si>
    <t>AEO.2025.ALTTRNP.EFI_NA_FGHT_LITEMEDN_DSL_NA_NA_MPGDSEQ.A</t>
  </si>
  <si>
    <t>Freight: New Trucks: Fuel Efficiency: Light Medium: Diesel: Alternative Transportation</t>
  </si>
  <si>
    <t>AEO.2025.ALTTRNP.ECI_STK_FGHT_STK_NA_NA_NA_MILL.A</t>
  </si>
  <si>
    <t>Freight: Truck Stock: Alternative Transportation</t>
  </si>
  <si>
    <t>AEO.2025.ALTTRNP.ECI_STK_FGHT_RADS_NA_NA_NA_MILL.A</t>
  </si>
  <si>
    <t>Freight: Truck Stock: Heavy: Alternative Transportation</t>
  </si>
  <si>
    <t>AEO.2025.ALTTRNP.ECI_STK_FGHT_RADS_HYDICE_NA_NA_MILL.A</t>
  </si>
  <si>
    <t>Freight: Truck Stock: Heavy: Hydrogen ICE: Alternative Transportation</t>
  </si>
  <si>
    <t>AEO.2025.ALTTRNP.ECI_STK_FGHT_RADS_GASHEV_NA_NA_MILL.A</t>
  </si>
  <si>
    <t>Freight: Truck Stock: Heavy: Gasoline Hybrid: Alternative Transportation</t>
  </si>
  <si>
    <t>AEO.2025.ALTTRNP.ECI_STK_FGHT_RADS_FEUCELBATDOM_NA_NA_MILL.A</t>
  </si>
  <si>
    <t>Freight: Truck Stock: Heavy: Fuel Cell Battery Dominant: Alternative Transportation</t>
  </si>
  <si>
    <t>AEO.2025.ALTTRNP.ECI_STK_FGHT_RADS_FUC_NA_NA_MILL.A</t>
  </si>
  <si>
    <t>Freight: Truck Stock: Heavy: Fuel Cell: Alternative Transportation</t>
  </si>
  <si>
    <t>AEO.2025.ALTTRNP.ECI_STK_FGHT_RADS_EGH_NA_NA_MILL.A</t>
  </si>
  <si>
    <t>Freight: Truck Stock: Heavy: Plug-in Gasoline Hybrid: Alternative Transportation</t>
  </si>
  <si>
    <t>AEO.2025.ALTTRNP.ECI_STK_FGHT_RADS_EDH_NA_NA_MILL.A</t>
  </si>
  <si>
    <t>Freight: Truck Stock: Heavy: Plug-in Diesel Hybrid: Alternative Transportation</t>
  </si>
  <si>
    <t>AEO.2025.ALTTRNP.ECI_STK_FGHT_RADS_ELE_NA_NA_MILL.A</t>
  </si>
  <si>
    <t>Freight: Truck Stock: Heavy: Electric: Alternative Transportation</t>
  </si>
  <si>
    <t>AEO.2025.ALTTRNP.ECI_STK_FGHT_RADS_EFFI_NA_NA_MILL.A</t>
  </si>
  <si>
    <t>Freight: Truck Stock: Heavy: Ethanol-Flex Fuel: Alternative Transportation</t>
  </si>
  <si>
    <t>AEO.2025.ALTTRNP.ECI_STK_FGHT_RADS_NG_NA_NA_MILL.A</t>
  </si>
  <si>
    <t>Freight: Truck Stock: Heavy: Natural Gas: Alternative Transportation</t>
  </si>
  <si>
    <t>AEO.2025.ALTTRNP.ECI_STK_FGHT_RADS_PROP_NA_NA_MILL.A</t>
  </si>
  <si>
    <t>Freight: Truck Stock: Heavy: Propane: Alternative Transportation</t>
  </si>
  <si>
    <t>AEO.2025.ALTTRNP.ECI_STK_FGHT_RADS_MGS_NA_NA_MILL.A</t>
  </si>
  <si>
    <t>Freight: Truck Stock: Heavy: Motor Gasoline: Alternative Transportation</t>
  </si>
  <si>
    <t>AEO.2025.ALTTRNP.ECI_STK_FGHT_RADS_DSL_NA_NA_MILL.A</t>
  </si>
  <si>
    <t>Freight: Truck Stock: Heavy: Diesel: Alternative Transportation</t>
  </si>
  <si>
    <t>AEO.2025.ALTTRNP.ECI_STK_FGHT_SOSOS_NA_NA_NA_MILL.A</t>
  </si>
  <si>
    <t>Freight: Truck Stock: Medium: Alternative Transportation</t>
  </si>
  <si>
    <t>AEO.2025.ALTTRNP.ECI_STK_FGHT_SOSOS_HYDICE_NA_NA_MILL.A</t>
  </si>
  <si>
    <t>Freight: Truck Stock: Medium: Hydrogen ICE: Alternative Transportation</t>
  </si>
  <si>
    <t>AEO.2025.ALTTRNP.ECI_STK_FGHT_SOSOS_GASHEV_NA_NA_MILL.A</t>
  </si>
  <si>
    <t>Freight: Truck Stock: Medium: Gasoline Hybrid: Alternative Transportation</t>
  </si>
  <si>
    <t>AEO.2025.ALTTRNP.ECI_STK_FGHT_SOSOS_FEUCELBATDOM_NA_NA_MILL.A</t>
  </si>
  <si>
    <t>Freight: Truck Stock: Medium: Fuel Cell Battery Dominant: Alternative Transportation</t>
  </si>
  <si>
    <t>AEO.2025.ALTTRNP.ECI_STK_FGHT_SOSOS_FUC_NA_NA_MILL.A</t>
  </si>
  <si>
    <t>Freight: Truck Stock: Medium: Fuel Cell: Alternative Transportation</t>
  </si>
  <si>
    <t>AEO.2025.ALTTRNP.ECI_STK_FGHT_SOSOS_EGH_NA_NA_MILL.A</t>
  </si>
  <si>
    <t>Freight: Truck Stock: Medium: Plug-in Gasoline Hybrid: Alternative Transportation</t>
  </si>
  <si>
    <t>AEO.2025.ALTTRNP.ECI_STK_FGHT_SOSOS_EDH_NA_NA_MILL.A</t>
  </si>
  <si>
    <t>Freight: Truck Stock: Medium: Plug-in Diesel Hybrid: Alternative Transportation</t>
  </si>
  <si>
    <t>AEO.2025.ALTTRNP.ECI_STK_FGHT_SOSOS_ELE_NA_NA_MILL.A</t>
  </si>
  <si>
    <t>Freight: Truck Stock: Medium: Electric: Alternative Transportation</t>
  </si>
  <si>
    <t>AEO.2025.ALTTRNP.ECI_STK_FGHT_SOSOS_EFFI_NA_NA_MILL.A</t>
  </si>
  <si>
    <t>Freight: Truck Stock: Medium: Ethanol-Flex Fuel: Alternative Transportation</t>
  </si>
  <si>
    <t>AEO.2025.ALTTRNP.ECI_STK_FGHT_SOSOS_NG_NA_NA_MILL.A</t>
  </si>
  <si>
    <t>Freight: Truck Stock: Medium: Natural Gas: Alternative Transportation</t>
  </si>
  <si>
    <t>AEO.2025.ALTTRNP.ECI_STK_FGHT_SOSOS_PROP_NA_NA_MILL.A</t>
  </si>
  <si>
    <t>Freight: Truck Stock: Medium: Propane: Alternative Transportation</t>
  </si>
  <si>
    <t>AEO.2025.ALTTRNP.ECI_STK_FGHT_SOSOS_MGS_NA_NA_MILL.A</t>
  </si>
  <si>
    <t>Freight: Truck Stock: Medium: Motor Gasoline: Alternative Transportation</t>
  </si>
  <si>
    <t>AEO.2025.ALTTRNP.ECI_STK_FGHT_SOSOS_DSL_NA_NA_MILL.A</t>
  </si>
  <si>
    <t>Freight: Truck Stock: Medium: Diesel: Alternative Transportation</t>
  </si>
  <si>
    <t>AEO.2025.ALTTRNP.ECI_STK_FGHT_LITEMEDS_NA_NA_NA_MILL.A</t>
  </si>
  <si>
    <t>Freight: Truck Stock: Light Medium: Alternative Transportation</t>
  </si>
  <si>
    <t>AEO.2025.ALTTRNP.ECI_STK_FGHT_LITEMEDS_HYDICE_NA_NA_MILL.A</t>
  </si>
  <si>
    <t>Freight: Truck Stock: Light Medium: Hydrogen ICE: Alternative Transportation</t>
  </si>
  <si>
    <t>AEO.2025.ALTTRNP.ECI_STK_FGHT_LITEMEDS_GASHEV_NA_NA_MILL.A</t>
  </si>
  <si>
    <t>Freight: Truck Stock: Light Medium: Gasoline Hybrid: Alternative Transportation</t>
  </si>
  <si>
    <t>AEO.2025.ALTTRNP.ECI_STK_FGHT_LITEMEDS_FEUCELBATDOM_NA_NA_MILL.A</t>
  </si>
  <si>
    <t>Freight: Truck Stock: Light Medium: Fuel Cell Battery Dominant: Alternative Transportation</t>
  </si>
  <si>
    <t>AEO.2025.ALTTRNP.ECI_STK_FGHT_LITEMEDS_FUC_NA_NA_MILL.A</t>
  </si>
  <si>
    <t>Freight: Truck Stock: Light Medium: Fuel Cell: Alternative Transportation</t>
  </si>
  <si>
    <t>AEO.2025.ALTTRNP.ECI_STK_FGHT_LITEMEDS_EGH_NA_NA_MILL.A</t>
  </si>
  <si>
    <t>Freight: Truck Stock: Light Medium: Plug-in Gasoline Hybrid: Alternative Transportation</t>
  </si>
  <si>
    <t>AEO.2025.ALTTRNP.ECI_STK_FGHT_LITEMEDS_EDH_NA_NA_MILL.A</t>
  </si>
  <si>
    <t>Freight: Truck Stock: Light Medium: Plug-in Diesel Hybrid: Alternative Transportation</t>
  </si>
  <si>
    <t>AEO.2025.ALTTRNP.ECI_STK_FGHT_LITEMEDS_ELE_NA_NA_MILL.A</t>
  </si>
  <si>
    <t>Freight: Truck Stock: Light Medium: Electric: Alternative Transportation</t>
  </si>
  <si>
    <t>AEO.2025.ALTTRNP.ECI_STK_FGHT_LITEMEDS_EFFI_NA_NA_MILL.A</t>
  </si>
  <si>
    <t>Freight: Truck Stock: Light Medium: Ethanol-Flex Fuel: Alternative Transportation</t>
  </si>
  <si>
    <t>AEO.2025.ALTTRNP.ECI_STK_FGHT_LITEMEDS_NG_NA_NA_MILL.A</t>
  </si>
  <si>
    <t>Freight: Truck Stock: Light Medium: Natural Gas: Alternative Transportation</t>
  </si>
  <si>
    <t>AEO.2025.ALTTRNP.ECI_STK_FGHT_LITEMEDS_PROP_NA_NA_MILL.A</t>
  </si>
  <si>
    <t>Freight: Truck Stock: Light Medium: Propane: Alternative Transportation</t>
  </si>
  <si>
    <t>AEO.2025.ALTTRNP.ECI_STK_FGHT_LITEMEDS_MGS_NA_NA_MILL.A</t>
  </si>
  <si>
    <t>Freight: Truck Stock: Light Medium: Motor Gasoline: Alternative Transportation</t>
  </si>
  <si>
    <t>AEO.2025.ALTTRNP.ECI_STK_FGHT_LITEMEDS_DSL_NA_NA_MILL.A</t>
  </si>
  <si>
    <t>Freight: Truck Stock: Light Medium: Diesel: Alternative Transportation</t>
  </si>
  <si>
    <t>AEO.2025.ALTTRNP.EFI_NA_FGHT_STK_NA_NA_NA_NA.A</t>
  </si>
  <si>
    <t>Freight: Truck Stock: Fuel Efficiency: Alternative Transportation</t>
  </si>
  <si>
    <t>AEO.2025.ALTTRNP.EFI_NA_FGHT_RADS_NA_NA_NA_NA.A</t>
  </si>
  <si>
    <t>Freight: Truck Stock: Fuel Efficiency: Heavy: Average: Alternative Transportation</t>
  </si>
  <si>
    <t>AEO.2025.ALTTRNP.EFI_NA_FGHT_RADS_HYDICE_NA_NA_MPGDSEQ.A</t>
  </si>
  <si>
    <t>Freight: Truck Stock: Fuel Efficiency: Heavy: Hydrogen ICE: Alternative Transportation</t>
  </si>
  <si>
    <t>AEO.2025.ALTTRNP.EFI_NA_FGHT_RADS_GASHEV_NA_NA_MPGGASEQ.A</t>
  </si>
  <si>
    <t>Freight: Truck Stock: Fuel Efficiency: Heavy: Gasoline Hybrid: Alternative Transportation</t>
  </si>
  <si>
    <t>AEO.2025.ALTTRNP.EFI_NA_FGHT_RADS_FEUCELBATDOM_NA_NA_MPGDSEQ.A</t>
  </si>
  <si>
    <t>Freight: Truck Stock: Fuel Efficiency: Heavy: Fuel Cell Battery Dominant: Alternative Transportation</t>
  </si>
  <si>
    <t>AEO.2025.ALTTRNP.EFI_NA_FGHT_RADS_FUC_NA_NA_MPGDSEQ.A</t>
  </si>
  <si>
    <t>Freight: Truck Stock: Fuel Efficiency: Heavy: Fuel Cell: Alternative Transportation</t>
  </si>
  <si>
    <t>AEO.2025.ALTTRNP.EFI_NA_FGHT_RADS_EGH_NA_NA_MPGGASEQ.A</t>
  </si>
  <si>
    <t>Freight: Truck Stock: Fuel Efficiency: Heavy: Plug-in Gasoline Hybrid: Alternative Transportation</t>
  </si>
  <si>
    <t>AEO.2025.ALTTRNP.EFI_NA_FGHT_RADS_EDH_NA_NA_MPGDSEQ.A</t>
  </si>
  <si>
    <t>Freight: Truck Stock: Fuel Efficiency: Heavy: Plug-in Diesel Hybrid: Alternative Transportation</t>
  </si>
  <si>
    <t>AEO.2025.ALTTRNP.EFI_NA_FGHT_RADS_ELE_NA_NA_MPGDSEQ.A</t>
  </si>
  <si>
    <t>Freight: Truck Stock: Fuel Efficiency: Heavy: Electric: Alternative Transportation</t>
  </si>
  <si>
    <t>AEO.2025.ALTTRNP.EFI_NA_FGHT_RADS_EFFI_NA_NA_MPGGASEQ.A</t>
  </si>
  <si>
    <t>Freight: Truck Stock: Fuel Efficiency: Heavy: Ethanol-Flex Fuel: Alternative Transportation</t>
  </si>
  <si>
    <t>AEO.2025.ALTTRNP.EFI_NA_FGHT_RADS_NG_NA_NA_MPGDSEQ.A</t>
  </si>
  <si>
    <t>Freight: Truck Stock: Fuel Efficiency: Heavy: Natural Gas: Alternative Transportation</t>
  </si>
  <si>
    <t>AEO.2025.ALTTRNP.EFI_NA_FGHT_RADS_PROP_NA_NA_MPGGASEQ.A</t>
  </si>
  <si>
    <t>Freight: Truck Stock: Fuel Efficiency: Heavy: Propane: Alternative Transportation</t>
  </si>
  <si>
    <t>AEO.2025.ALTTRNP.EFI_NA_FGHT_RADS_MGS_NA_NA_MPGGASEQ.A</t>
  </si>
  <si>
    <t>Freight: Truck Stock: Fuel Efficiency: Heavy: Motor Gasoline: Alternative Transportation</t>
  </si>
  <si>
    <t>AEO.2025.ALTTRNP.EFI_NA_FGHT_RADS_DSL_NA_NA_MPGDSEQ.A</t>
  </si>
  <si>
    <t>Freight: Truck Stock: Fuel Efficiency: Heavy: Diesel: Alternative Transportation</t>
  </si>
  <si>
    <t>AEO.2025.ALTTRNP.EFI_NA_FGHT_SOSOS_NA_NA_NA_NA.A</t>
  </si>
  <si>
    <t>Freight: Truck Stock: Fuel Efficiency: Medium: Average: Alternative Transportation</t>
  </si>
  <si>
    <t>AEO.2025.ALTTRNP.EFI_NA_FGHT_SOSOS_HYDICE_NA_NA_MPGDSEQ.A</t>
  </si>
  <si>
    <t>Freight: Truck Stock: Fuel Efficiency: Medium: Hydrogen ICE: Alternative Transportation</t>
  </si>
  <si>
    <t>AEO.2025.ALTTRNP.EFI_NA_FGHT_SOSOS_GASHEV_NA_NA_MPGGASEQ.A</t>
  </si>
  <si>
    <t>Freight: Truck Stock: Fuel Efficiency: Medium: Gasoline Hybrid: Alternative Transportation</t>
  </si>
  <si>
    <t>AEO.2025.ALTTRNP.EFI_NA_FGHT_SOSOS_FEUCELBATDOM_NA_NA_MPGDSEQ.A</t>
  </si>
  <si>
    <t>Freight: Truck Stock: Fuel Efficiency: Medium: Fuel Cell Battery Dominant: Alternative Transportation</t>
  </si>
  <si>
    <t>AEO.2025.ALTTRNP.EFI_NA_FGHT_SOSOS_FUC_NA_NA_MPGGASEQ.A</t>
  </si>
  <si>
    <t>Freight: Truck Stock: Fuel Efficiency: Medium: Fuel Cell: Alternative Transportation</t>
  </si>
  <si>
    <t>AEO.2025.ALTTRNP.EFI_NA_FGHT_SOSOS_EGH_NA_NA_MPGGASEQ.A</t>
  </si>
  <si>
    <t>Freight: Truck Stock: Fuel Efficiency: Medium: Plug-in Gasoline Hybrid: Alternative Transportation</t>
  </si>
  <si>
    <t>AEO.2025.ALTTRNP.EFI_NA_FGHT_SOSOS_EDH_NA_NA_MPGGASEQ.A</t>
  </si>
  <si>
    <t>Freight: Truck Stock: Fuel Efficiency: Medium: Plug-in Diesel Hybrid: Alternative Transportation</t>
  </si>
  <si>
    <t>AEO.2025.ALTTRNP.EFI_NA_FGHT_SOSOS_ELE_NA_NA_MPGGASEQ.A</t>
  </si>
  <si>
    <t>Freight: Truck Stock: Fuel Efficiency: Medium: Electric: Alternative Transportation</t>
  </si>
  <si>
    <t>AEO.2025.ALTTRNP.EFI_NA_FGHT_SOSOS_EFFI_NA_NA_MPG.A</t>
  </si>
  <si>
    <t>Freight: Truck Stock: Fuel Efficiency: Medium: Ethanol-Flex Fuel: Alternative Transportation</t>
  </si>
  <si>
    <t>AEO.2025.ALTTRNP.EFI_NA_FGHT_SOSOS_NG_NA_NA_MPGGASEQ.A</t>
  </si>
  <si>
    <t>Freight: Truck Stock: Fuel Efficiency: Medium: Natural Gas: Alternative Transportation</t>
  </si>
  <si>
    <t>AEO.2025.ALTTRNP.EFI_NA_FGHT_SOSOS_PROP_NA_NA_MPGGASEQ.A</t>
  </si>
  <si>
    <t>Freight: Truck Stock: Fuel Efficiency: Medium: Propane: Alternative Transportation</t>
  </si>
  <si>
    <t>AEO.2025.ALTTRNP.EFI_NA_FGHT_SOSOS_MGS_NA_NA_MPGGASEQ.A</t>
  </si>
  <si>
    <t>Freight: Truck Stock: Fuel Efficiency: Medium: Motor Gasoline: Alternative Transportation</t>
  </si>
  <si>
    <t>AEO.2025.ALTTRNP.EFI_NA_FGHT_SOSOS_DSL_NA_NA_MPGDSEQ.A</t>
  </si>
  <si>
    <t>Freight: Truck Stock: Fuel Efficiency: Medium: Diesel: Alternative Transportation</t>
  </si>
  <si>
    <t>AEO.2025.ALTTRNP.EFI_NA_FGHT_LITEMEDS_NA_NA_NA_NA.A</t>
  </si>
  <si>
    <t>Freight: Truck Stock: Fuel Efficiency: Light Medium: Average: Alternative Transportation</t>
  </si>
  <si>
    <t>AEO.2025.ALTTRNP.EFI_NA_FGHT_LITEMEDS_HYDICE_NA_NA_MPGDSEQ.A</t>
  </si>
  <si>
    <t>Freight: Truck Stock: Fuel Efficiency: Light Medium: Hydrogen ICE: Alternative Transportation</t>
  </si>
  <si>
    <t>AEO.2025.ALTTRNP.EFI_NA_FGHT_LITEMEDS_GASHEV_NA_NA_MPGGASEQ.A</t>
  </si>
  <si>
    <t>Freight: Truck Stock: Fuel Efficiency: Light Medium: Gasoline Hybrid: Alternative Transportation</t>
  </si>
  <si>
    <t>AEO.2025.ALTTRNP.EFI_NA_FGHT_LITEMEDS_FEUCELBATDOM_NA_NA_MPGDSEQ.A</t>
  </si>
  <si>
    <t>Freight: Truck Stock: Fuel Efficiency: Light Medium: Fuel Cell Battery Dominant: Alternative Transportation</t>
  </si>
  <si>
    <t>AEO.2025.ALTTRNP.EFI_NA_FGHT_LITEMEDS_FUC_NA_NA_MPGDSEQ.A</t>
  </si>
  <si>
    <t>Freight: Truck Stock: Fuel Efficiency: Light Medium: Fuel Cell: Alternative Transportation</t>
  </si>
  <si>
    <t>AEO.2025.ALTTRNP.EFI_NA_FGHT_LITEMEDS_EGH_NA_NA_MPGGASEQ.A</t>
  </si>
  <si>
    <t>Freight: Truck Stock: Fuel Efficiency: Light Medium: Plug-in Gasoline Hybrid: Alternative Transportation</t>
  </si>
  <si>
    <t>AEO.2025.ALTTRNP.EFI_NA_FGHT_LITEMEDS_EDH_NA_NA_MPGDSEQ.A</t>
  </si>
  <si>
    <t>Freight: Truck Stock: Fuel Efficiency: Light Medium: Plug-in Diesel Hybrid: Alternative Transportation</t>
  </si>
  <si>
    <t>AEO.2025.ALTTRNP.EFI_NA_FGHT_LITEMEDS_ELE_NA_NA_MPGDSEQ.A</t>
  </si>
  <si>
    <t>Freight: Truck Stock: Fuel Efficiency: Light Medium: Electric: Alternative Transportation</t>
  </si>
  <si>
    <t>AEO.2025.ALTTRNP.EFI_NA_FGHT_LITEMEDS_EFFI_NA_NA_MPGGASEQ.A</t>
  </si>
  <si>
    <t>Freight: Truck Stock: Fuel Efficiency: Light Medium: Ethanol-Flex Fuel: Alternative Transportation</t>
  </si>
  <si>
    <t>AEO.2025.ALTTRNP.EFI_NA_FGHT_LITEMEDS_NG_NA_NA_MPGGASEQ.A</t>
  </si>
  <si>
    <t>Freight: Truck Stock: Fuel Efficiency: Light Medium: Natural Gas: Alternative Transportation</t>
  </si>
  <si>
    <t>AEO.2025.ALTTRNP.EFI_NA_FGHT_LITEMEDS_PROP_NA_NA_MPGGASEQ.A</t>
  </si>
  <si>
    <t>Freight: Truck Stock: Fuel Efficiency: Light Medium: Propane: Alternative Transportation</t>
  </si>
  <si>
    <t>AEO.2025.ALTTRNP.EFI_NA_FGHT_LITEMEDS_MGS_NA_NA_MPGGASEQ.A</t>
  </si>
  <si>
    <t>Freight: Truck Stock: Fuel Efficiency: Light Medium: Motor Gasoline: Alternative Transportation</t>
  </si>
  <si>
    <t>AEO.2025.ALTTRNP.EFI_NA_FGHT_LITEMEDS_DSL_NA_NA_MPGDSEQ.A</t>
  </si>
  <si>
    <t>Freight: Truck Stock: Fuel Efficiency: Light Medium: Diesel: Alternative Transportation</t>
  </si>
  <si>
    <t>AEO.2025.ALTTRNP.CNSM_NA_FGHT_STK_NA_NA_NA_TRLBTU.A</t>
  </si>
  <si>
    <t>Freight: Truck Stock: Use: Light Medium, Medium, and Heavy: Alternative Transportation</t>
  </si>
  <si>
    <t>AEO.2025.ALTTRNP.CNSM_NA_FGHT_STK_HYDICE_NA_NA_TRLBTU.A</t>
  </si>
  <si>
    <t>Freight: Truck Stock: Use: Light Medium, Medium, and Heavy: Hydrogen ICE: Alternative Transportation</t>
  </si>
  <si>
    <t>AEO.2025.ALTTRNP.CNSM_NA_FGHT_STK_GASHEV_NA_NA_TRLBTU.A</t>
  </si>
  <si>
    <t>Freight: Truck Stock: Use: Light Medium, Medium, and Heavy: Gasoline Hybrid: Alternative Transportation</t>
  </si>
  <si>
    <t>AEO.2025.ALTTRNP.CNSM_NA_FGHT_STK_FEUCELBATDOM_NA_NA_TRLBTU.A</t>
  </si>
  <si>
    <t>Freight: Truck Stock: Use: Light Medium, Medium, and Heavy: Fuel Cell Battery Dominant: Alternative Transportation</t>
  </si>
  <si>
    <t>AEO.2025.ALTTRNP.CNSM_NA_FGHT_STK_FUC_NA_NA_TRLBTU.A</t>
  </si>
  <si>
    <t>Freight: Truck Stock: Use: Light Medium, Medium, and Heavy: Fuel Cell: Alternative Transportation</t>
  </si>
  <si>
    <t>AEO.2025.ALTTRNP.CNSM_NA_FGHT_STK_EGH_NA_NA_TRLBTU.A</t>
  </si>
  <si>
    <t>Freight: Truck Stock: Use: Light Medium, Medium, and Heavy: Plug-in Gasoline Hybrid: Alternative Transportation</t>
  </si>
  <si>
    <t>AEO.2025.ALTTRNP.CNSM_NA_FGHT_STK_EDH_NA_NA_TRLBTU.A</t>
  </si>
  <si>
    <t>Freight: Truck Stock: Use: Light Medium, Medium, and Heavy: Plug-in Diesel Hybrid: Alternative Transportation</t>
  </si>
  <si>
    <t>AEO.2025.ALTTRNP.CNSM_NA_FGHT_STK_ELE_NA_NA_TRLBTU.A</t>
  </si>
  <si>
    <t>Freight: Truck Stock: Use: Light Medium, Medium, and Heavy: Electric: Alternative Transportation</t>
  </si>
  <si>
    <t>AEO.2025.ALTTRNP.CNSM_NA_FGHT_STK_EFFI_NA_NA_TRLBTU.A</t>
  </si>
  <si>
    <t>Freight: Truck Stock: Use: Light Medium, Medium, and Heavy: Ethanol-Flex Fuel: Alternative Transportation</t>
  </si>
  <si>
    <t>AEO.2025.ALTTRNP.CNSM_NA_FGHT_STK_NG_NA_NA_TRLBTU.A</t>
  </si>
  <si>
    <t>Freight: Truck Stock: Use: Light Medium, Medium, and Heavy: Natural Gas: Alternative Transportation</t>
  </si>
  <si>
    <t>AEO.2025.ALTTRNP.CNSM_NA_FGHT_STK_PROP_NA_NA_TRLBTU.A</t>
  </si>
  <si>
    <t>Freight: Truck Stock: Use: Light Medium, Medium, and Heavy: Propane: Alternative Transportation</t>
  </si>
  <si>
    <t>AEO.2025.ALTTRNP.CNSM_NA_FGHT_STK_MGS_NA_NA_TRLBTU.A</t>
  </si>
  <si>
    <t>Freight: Truck Stock: Use: Light Medium, Medium, and Heavy: Motor Gasoline: Alternative Transportation</t>
  </si>
  <si>
    <t>AEO.2025.ALTTRNP.CNSM_NA_FGHT_STK_DSL_NA_NA_TRLBTU.A</t>
  </si>
  <si>
    <t>Freight: Truck Stock: Use: Light Medium, Medium, and Heavy: Diesel: Alternative Transportation</t>
  </si>
  <si>
    <t>AEO.2025.ALTTRNP.CNSM_NA_FGHT_RADS_NA_NA_NA_TRLBTU.A</t>
  </si>
  <si>
    <t>Freight: Truck Stock: Use: Heavy: Alternative Transportation</t>
  </si>
  <si>
    <t>AEO.2025.ALTTRNP.CNSM_NA_FGHT_RADS_HYDICE_NA_NA_TRLBTU.A</t>
  </si>
  <si>
    <t>Freight: Truck Stock: Use: Heavy: Hydrogen ICE: Alternative Transportation</t>
  </si>
  <si>
    <t>AEO.2025.ALTTRNP.CNSM_NA_FGHT_RADS_GASHEV_NA_NA_TRLBTU.A</t>
  </si>
  <si>
    <t>Freight: Truck Stock: Use: Heavy: Gasoline Hybrid: Alternative Transportation</t>
  </si>
  <si>
    <t>AEO.2025.ALTTRNP.CNSM_NA_FGHT_RADS_FEUCELBATDOM_NA_NA_TRLBTU.A</t>
  </si>
  <si>
    <t>Freight: Truck Stock: Use: Heavy: Fuel Cell Battery Dominant: Alternative Transportation</t>
  </si>
  <si>
    <t>AEO.2025.ALTTRNP.CNSM_NA_FGHT_RADS_FUC_NA_NA_TRLBTU.A</t>
  </si>
  <si>
    <t>Freight: Truck Stock: Use: Heavy: Fuel Cell: Alternative Transportation</t>
  </si>
  <si>
    <t>AEO.2025.ALTTRNP.CNSM_NA_FGHT_RADS_EGH_NA_NA_TRLBTU.A</t>
  </si>
  <si>
    <t>Freight: Truck Stock: Use: Heavy: Plug-in Gasoline Hybrid: Alternative Transportation</t>
  </si>
  <si>
    <t>AEO.2025.ALTTRNP.CNSM_NA_FGHT_RADS_EDH_NA_NA_TRLBTU.A</t>
  </si>
  <si>
    <t>Freight: Truck Stock: Use: Heavy: Plug-in Diesel Hybrid: Alternative Transportation</t>
  </si>
  <si>
    <t>AEO.2025.ALTTRNP.CNSM_NA_FGHT_RADS_ELE_NA_NA_TRLBTU.A</t>
  </si>
  <si>
    <t>Freight: Truck Stock: Use: Heavy: Electric: Alternative Transportation</t>
  </si>
  <si>
    <t>AEO.2025.ALTTRNP.CNSM_NA_FGHT_RADS_EFFI_NA_NA_TRLBTU.A</t>
  </si>
  <si>
    <t>Freight: Truck Stock: Use: Heavy: Ethanol-Flex Fuel: Alternative Transportation</t>
  </si>
  <si>
    <t>AEO.2025.ALTTRNP.CNSM_NA_FGHT_RADS_NG_NA_NA_TRLBTU.A</t>
  </si>
  <si>
    <t>Freight: Truck Stock: Use: Heavy: Natural Gas: Alternative Transportation</t>
  </si>
  <si>
    <t>AEO.2025.ALTTRNP.CNSM_NA_FGHT_RADS_PROP_NA_NA_TRLBTU.A</t>
  </si>
  <si>
    <t>Freight: Truck Stock: Use: Heavy: Propane: Alternative Transportation</t>
  </si>
  <si>
    <t>AEO.2025.ALTTRNP.CNSM_NA_FGHT_RADS_MGS_NA_NA_TRLBTU.A</t>
  </si>
  <si>
    <t>Freight: Truck Stock: Use: Heavy: Motor Gasoline: Alternative Transportation</t>
  </si>
  <si>
    <t>AEO.2025.ALTTRNP.CNSM_NA_FGHT_RADS_DSL_NA_NA_TRLBTU.A</t>
  </si>
  <si>
    <t>Freight: Truck Stock: Use: Heavy: Diesel: Alternative Transportation</t>
  </si>
  <si>
    <t>AEO.2025.ALTTRNP.CNSM_NA_FGHT_SOSOS_NA_NA_NA_TRLBTU.A</t>
  </si>
  <si>
    <t>Freight: Truck Stock: Use: Medium: Alternative Transportation</t>
  </si>
  <si>
    <t>AEO.2025.ALTTRNP.CNSM_NA_FGHT_SOSOS_HYDICE_NA_NA_TRLBTU.A</t>
  </si>
  <si>
    <t>Freight: Truck Stock: Use: Medium: Hydrogen ICE: Alternative Transportation</t>
  </si>
  <si>
    <t>AEO.2025.ALTTRNP.CNSM_NA_FGHT_SOSOS_GASHEV_NA_NA_TRLBTU.A</t>
  </si>
  <si>
    <t>Freight: Truck Stock: Use: Medium: Gasoline Hybrid: Alternative Transportation</t>
  </si>
  <si>
    <t>AEO.2025.ALTTRNP.CNSM_NA_FGHT_SOSOS_FEUCELBATDOM_NA_NA_TRLBTU.A</t>
  </si>
  <si>
    <t>Freight: Truck Stock: Use: Medium: Fuel Cell Battery Dominant: Alternative Transportation</t>
  </si>
  <si>
    <t>AEO.2025.ALTTRNP.CNSM_NA_FGHT_SOSOS_FUC_NA_NA_TRLBTU.A</t>
  </si>
  <si>
    <t>Freight: Truck Stock: Use: Medium: Fuel Cell: Alternative Transportation</t>
  </si>
  <si>
    <t>AEO.2025.ALTTRNP.CNSM_NA_FGHT_SOSOS_EGH_NA_NA_TRLBTU.A</t>
  </si>
  <si>
    <t>Freight: Truck Stock: Use: Medium: Plug-in Gasoline Hybrid: Alternative Transportation</t>
  </si>
  <si>
    <t>AEO.2025.ALTTRNP.CNSM_NA_FGHT_SOSOS_EDH_NA_NA_TRLBTU.A</t>
  </si>
  <si>
    <t>Freight: Truck Stock: Use: Medium: Plug-in Diesel Hybrid: Alternative Transportation</t>
  </si>
  <si>
    <t>AEO.2025.ALTTRNP.CNSM_NA_FGHT_SOSOS_ELE_NA_NA_TRLBTU.A</t>
  </si>
  <si>
    <t>Freight: Truck Stock: Use: Medium: Electric: Alternative Transportation</t>
  </si>
  <si>
    <t>AEO.2025.ALTTRNP.CNSM_NA_FGHT_SOSOS_EFFI_NA_NA_TRLBTU.A</t>
  </si>
  <si>
    <t>Freight: Truck Stock: Use: Medium: Ethanol-Flex Fuel: Alternative Transportation</t>
  </si>
  <si>
    <t>AEO.2025.ALTTRNP.CNSM_NA_FGHT_SOSOS_NG_NA_NA_TRLBTU.A</t>
  </si>
  <si>
    <t>Freight: Truck Stock: Use: Medium: Natural Gas: Alternative Transportation</t>
  </si>
  <si>
    <t>AEO.2025.ALTTRNP.CNSM_NA_FGHT_SOSOS_PROP_NA_NA_TRLBTU.A</t>
  </si>
  <si>
    <t>Freight: Truck Stock: Use: Medium: Propane: Alternative Transportation</t>
  </si>
  <si>
    <t>AEO.2025.ALTTRNP.CNSM_NA_FGHT_SOSOS_MGS_NA_NA_TRLBTU.A</t>
  </si>
  <si>
    <t>Freight: Truck Stock: Use: Medium: Motor Gasoline: Alternative Transportation</t>
  </si>
  <si>
    <t>AEO.2025.ALTTRNP.CNSM_NA_FGHT_SOSOS_DSL_NA_NA_TRLBTU.A</t>
  </si>
  <si>
    <t>Freight: Truck Stock: Use: Medium: Diesel: Alternative Transportation</t>
  </si>
  <si>
    <t>AEO.2025.ALTTRNP.CNSM_NA_FGHT_LITEMEDS_NA_NA_NA_TRLBTU.A</t>
  </si>
  <si>
    <t>Freight: Truck Stock: Use: Light Medium: Alternative Transportation</t>
  </si>
  <si>
    <t>AEO.2025.ALTTRNP.CNSM_NA_FGHT_LITEMEDS_HYDICE_NA_NA_TRLBTU.A</t>
  </si>
  <si>
    <t>Freight: Truck Stock: Use: Light Medium: Hydrogen ICE: Alternative Transportation</t>
  </si>
  <si>
    <t>AEO.2025.ALTTRNP.CNSM_NA_FGHT_LITEMEDS_GASHEV_NA_NA_TRLBTU.A</t>
  </si>
  <si>
    <t>Freight: Truck Stock: Use: Light Medium: Gasoline Hybrid: Alternative Transportation</t>
  </si>
  <si>
    <t>AEO.2025.ALTTRNP.CNSM_NA_FGHT_LITEMEDS_FEUCELBATDOM_NA_NA_TRLBTU.A</t>
  </si>
  <si>
    <t>Freight: Truck Stock: Use: Light Medium: Fuel Cell Battery Dominant: Alternative Transportation</t>
  </si>
  <si>
    <t>AEO.2025.ALTTRNP.CNSM_NA_FGHT_LITEMEDS_FUC_NA_NA_TRLBTU.A</t>
  </si>
  <si>
    <t>Freight: Truck Stock: Use: Light Medium: Fuel Cell: Alternative Transportation</t>
  </si>
  <si>
    <t>AEO.2025.ALTTRNP.CNSM_NA_FGHT_LITEMEDS_EGH_NA_NA_TRLBTU.A</t>
  </si>
  <si>
    <t>Freight: Truck Stock: Use: Light Medium: Plug-in Gasoline Hybrid: Alternative Transportation</t>
  </si>
  <si>
    <t>AEO.2025.ALTTRNP.CNSM_NA_FGHT_LITEMEDS_EDH_NA_NA_TRLBTU.A</t>
  </si>
  <si>
    <t>Freight: Truck Stock: Use: Light Medium: Plug-in Diesel Hybrid: Alternative Transportation</t>
  </si>
  <si>
    <t>AEO.2025.ALTTRNP.CNSM_NA_FGHT_LITEMEDS_ELE_NA_NA_TRLBTU.A</t>
  </si>
  <si>
    <t>Freight: Truck Stock: Use: Light Medium: Electric: Alternative Transportation</t>
  </si>
  <si>
    <t>AEO.2025.ALTTRNP.CNSM_NA_FGHT_LITEMEDS_EFFI_NA_NA_TRLBTU.A</t>
  </si>
  <si>
    <t>Freight: Truck Stock: Use: Light Medium: Ethanol-Flex Fuel: Alternative Transportation</t>
  </si>
  <si>
    <t>AEO.2025.ALTTRNP.CNSM_NA_FGHT_LITEMEDS_NG_NA_NA_TRLBTU.A</t>
  </si>
  <si>
    <t>Freight: Truck Stock: Use: Light Medium: Natural Gas: Alternative Transportation</t>
  </si>
  <si>
    <t>AEO.2025.ALTTRNP.CNSM_NA_FGHT_LITEMEDS_PROP_NA_NA_TRLBTU.A</t>
  </si>
  <si>
    <t>Freight: Truck Stock: Use: Light Medium: Propane: Alternative Transportation</t>
  </si>
  <si>
    <t>AEO.2025.ALTTRNP.CNSM_NA_FGHT_LITEMEDS_MGS_NA_NA_TRLBTU.A</t>
  </si>
  <si>
    <t>Freight: Truck Stock: Use: Light Medium: Motor Gasoline: Alternative Transportation</t>
  </si>
  <si>
    <t>AEO.2025.ALTTRNP.CNSM_NA_FGHT_LITEMEDS_DSL_NA_NA_TRLBTU.A</t>
  </si>
  <si>
    <t>Freight: Truck Stock: Use: Light Medium: Diesel: Alternative Transportation</t>
  </si>
  <si>
    <t>AEO.2025.ALTTRNP.ECI_VMT_FGHT_STK_NA_NA_NA_BLNMLS.A</t>
  </si>
  <si>
    <t>Freight: Truck Stock: Vehicle Miles Traveled: Alternative Transportation</t>
  </si>
  <si>
    <t>AEO.2025.ALTTRNP.ECI_VMT_FGHT_RADS_NA_NA_NA_BLNMLS.A</t>
  </si>
  <si>
    <t>Freight: Truck Stock: Vehicle Miles Traveled: Heavy: Alternative Transportation</t>
  </si>
  <si>
    <t>AEO.2025.ALTTRNP.ECI_VMT_FGHT_RADS_HYDICE_NA_NA_BLNMLS.A</t>
  </si>
  <si>
    <t>Freight: Truck Stock: Vehicle Miles Traveled: Heavy: Hydrogen ICE: Alternative Transportation</t>
  </si>
  <si>
    <t>AEO.2025.ALTTRNP.ECI_VMT_FGHT_RADS_GASHEV_NA_NA_BLNMLS.A</t>
  </si>
  <si>
    <t>Freight: Truck Stock: Vehicle Miles Traveled: Heavy: Gasoline Hybrid: Alternative Transportation</t>
  </si>
  <si>
    <t>AEO.2025.ALTTRNP.ECI_VMT_FGHT_RADS_FEUCELBATDOM_NA_NA_BLNMLS.A</t>
  </si>
  <si>
    <t>Freight: Truck Stock: Vehicle Miles Traveled: Heavy: Fuel Cell Battery Dominant: Alternative Transportation</t>
  </si>
  <si>
    <t>AEO.2025.ALTTRNP.ECI_VMT_FGHT_RADS_FUC_NA_NA_BLNMLS.A</t>
  </si>
  <si>
    <t>Freight: Truck Stock: Vehicle Miles Traveled: Heavy: Fuel Cell: Alternative Transportation</t>
  </si>
  <si>
    <t>AEO.2025.ALTTRNP.ECI_VMT_FGHT_RADS_EGH_NA_NA_BLNMLS.A</t>
  </si>
  <si>
    <t>Freight: Truck Stock: Vehicle Miles Traveled: Heavy: Plug-in Gasoline Hybrid: Alternative Transportation</t>
  </si>
  <si>
    <t>AEO.2025.ALTTRNP.ECI_VMT_FGHT_RADS_EDH_NA_NA_BLNMLS.A</t>
  </si>
  <si>
    <t>Freight: Truck Stock: Vehicle Miles Traveled: Heavy: Plug-in Diesel Hybrid: Alternative Transportation</t>
  </si>
  <si>
    <t>AEO.2025.ALTTRNP.ECI_VMT_FGHT_RADS_ELE_NA_NA_BLNMLS.A</t>
  </si>
  <si>
    <t>Freight: Truck Stock: Vehicle Miles Traveled: Heavy: Electric: Alternative Transportation</t>
  </si>
  <si>
    <t>AEO.2025.ALTTRNP.ECI_VMT_FGHT_RADS_EFFI_NA_NA_BLNMLS.A</t>
  </si>
  <si>
    <t>Freight: Truck Stock: Vehicle Miles Traveled: Heavy: Ethanol-Flex Fuel: Alternative Transportation</t>
  </si>
  <si>
    <t>AEO.2025.ALTTRNP.ECI_VMT_FGHT_RADS_NG_NA_NA_BLNMLS.A</t>
  </si>
  <si>
    <t>Freight: Truck Stock: Vehicle Miles Traveled: Heavy: Natural Gas: Alternative Transportation</t>
  </si>
  <si>
    <t>AEO.2025.ALTTRNP.ECI_VMT_FGHT_RADS_PROP_NA_NA_BLNMLS.A</t>
  </si>
  <si>
    <t>Freight: Truck Stock: Vehicle Miles Traveled: Heavy: Propane: Alternative Transportation</t>
  </si>
  <si>
    <t>AEO.2025.ALTTRNP.ECI_VMT_FGHT_RADS_MGS_NA_NA_BLNMLS.A</t>
  </si>
  <si>
    <t>Freight: Truck Stock: Vehicle Miles Traveled: Heavy: Motor Gasoline: Alternative Transportation</t>
  </si>
  <si>
    <t>AEO.2025.ALTTRNP.ECI_VMT_FGHT_RADS_DSL_NA_NA_BLNMLS.A</t>
  </si>
  <si>
    <t>Freight: Truck Stock: Vehicle Miles Traveled: Heavy: Diesel: Alternative Transportation</t>
  </si>
  <si>
    <t>AEO.2025.ALTTRNP.ECI_VMT_FGHT_SOSOS_NA_NA_NA_BLNMLS.A</t>
  </si>
  <si>
    <t>Freight: Truck Stock: Vehicle Miles Traveled: Medium: Alternative Transportation</t>
  </si>
  <si>
    <t>AEO.2025.ALTTRNP.ECI_VMT_FGHT_SOSOS_HYDICE_NA_NA_BLNMLS.A</t>
  </si>
  <si>
    <t>Freight: Truck Stock: Vehicle Miles Traveled: Medium: Hydrogen ICE: Alternative Transportation</t>
  </si>
  <si>
    <t>AEO.2025.ALTTRNP.ECI_VMT_FGHT_SOSOS_GASHEV_NA_NA_BLNMLS.A</t>
  </si>
  <si>
    <t>Freight: Truck Stock: Vehicle Miles Traveled: Medium: Gasoline Hybrid: Alternative Transportation</t>
  </si>
  <si>
    <t>AEO.2025.ALTTRNP.ECI_VMT_FGHT_SOSOS_FEUCELBATDOM_NA_NA_BLNMLS.A</t>
  </si>
  <si>
    <t>Freight: Truck Stock: Vehicle Miles Traveled: Medium: Fuel Cell Battery Dominant: Alternative Transportation</t>
  </si>
  <si>
    <t>AEO.2025.ALTTRNP.ECI_VMT_FGHT_SOSOS_FUC_NA_NA_BLNMLS.A</t>
  </si>
  <si>
    <t>Freight: Truck Stock: Vehicle Miles Traveled: Medium: Fuel Cell: Alternative Transportation</t>
  </si>
  <si>
    <t>AEO.2025.ALTTRNP.ECI_VMT_FGHT_SOSOS_EGH_NA_NA_BLNMLS.A</t>
  </si>
  <si>
    <t>Freight: Truck Stock: Vehicle Miles Traveled: Medium: Plug-in Gasoline Hybrid: Alternative Transportation</t>
  </si>
  <si>
    <t>AEO.2025.ALTTRNP.ECI_VMT_FGHT_SOSOS_EDH_NA_NA_BLNMLS.A</t>
  </si>
  <si>
    <t>Freight: Truck Stock: Vehicle Miles Traveled: Medium: Plug-in Diesel Hybrid: Alternative Transportation</t>
  </si>
  <si>
    <t>AEO.2025.ALTTRNP.ECI_VMT_FGHT_SOSOS_ELE_NA_NA_BLNMLS.A</t>
  </si>
  <si>
    <t>Freight: Truck Stock: Vehicle Miles Traveled: Medium: Electric: Alternative Transportation</t>
  </si>
  <si>
    <t>AEO.2025.ALTTRNP.ECI_VMT_FGHT_SOSOS_EFFI_NA_NA_BLNMLS.A</t>
  </si>
  <si>
    <t>Freight: Truck Stock: Vehicle Miles Traveled: Medium: Ethanol-Flex Fuel: Alternative Transportation</t>
  </si>
  <si>
    <t>AEO.2025.ALTTRNP.ECI_VMT_FGHT_SOSOS_NG_NA_NA_BLNMLS.A</t>
  </si>
  <si>
    <t>Freight: Truck Stock: Vehicle Miles Traveled: Medium: Natural Gas: Alternative Transportation</t>
  </si>
  <si>
    <t>AEO.2025.ALTTRNP.ECI_VMT_FGHT_SOSOS_PROP_NA_NA_BLNMLS.A</t>
  </si>
  <si>
    <t>Freight: Truck Stock: Vehicle Miles Traveled: Medium: Propane: Alternative Transportation</t>
  </si>
  <si>
    <t>AEO.2025.ALTTRNP.ECI_VMT_FGHT_SOSOS_MGS_NA_NA_BLNMLS.A</t>
  </si>
  <si>
    <t>Freight: Truck Stock: Vehicle Miles Traveled: Medium: Motor Gasoline: Alternative Transportation</t>
  </si>
  <si>
    <t>AEO.2025.ALTTRNP.ECI_VMT_FGHT_SOSOS_DSL_NA_NA_BLNMLS.A</t>
  </si>
  <si>
    <t>Freight: Truck Stock: Vehicle Miles Traveled: Medium: Diesel: Alternative Transportation</t>
  </si>
  <si>
    <t>AEO.2025.ALTTRNP.ECI_VMT_FGHT_LITEMEDS_NA_NA_NA_BLNMLS.A</t>
  </si>
  <si>
    <t>Freight: Truck Stock: Vehicle Miles Traveled: Light Medium: Alternative Transportation</t>
  </si>
  <si>
    <t>AEO.2025.ALTTRNP.ECI_VMT_FGHT_LITEMEDS_HYDICE_NA_NA_BLNMLS.A</t>
  </si>
  <si>
    <t>Freight: Truck Stock: Vehicle Miles Traveled: Light Medium: Hydrogen ICE: Alternative Transportation</t>
  </si>
  <si>
    <t>AEO.2025.ALTTRNP.ECI_VMT_FGHT_LITEMEDS_GASHEV_NA_NA_BLNMLS.A</t>
  </si>
  <si>
    <t>Freight: Truck Stock: Vehicle Miles Traveled: Light Medium: Gasoline Hybrid: Alternative Transportation</t>
  </si>
  <si>
    <t>AEO.2025.ALTTRNP.ECI_VMT_FGHT_LITEMEDS_FEUCELBATDOM_NA_NA_BLNMLS.A</t>
  </si>
  <si>
    <t>Freight: Truck Stock: Vehicle Miles Traveled: Light Medium: Fuel Cell Battery Dominant: Alternative Transportation</t>
  </si>
  <si>
    <t>AEO.2025.ALTTRNP.ECI_VMT_FGHT_LITEMEDS_FUC_NA_NA_BLNMLS.A</t>
  </si>
  <si>
    <t>Freight: Truck Stock: Vehicle Miles Traveled: Light Medium: Fuel Cell: Alternative Transportation</t>
  </si>
  <si>
    <t>AEO.2025.ALTTRNP.ECI_VMT_FGHT_LITEMEDS_EGH_NA_NA_BLNMLS.A</t>
  </si>
  <si>
    <t>Freight: Truck Stock: Vehicle Miles Traveled: Light Medium: Plug-in Gasoline Hybrid: Alternative Transportation</t>
  </si>
  <si>
    <t>AEO.2025.ALTTRNP.ECI_VMT_FGHT_LITEMEDS_EDH_NA_NA_BLNMLS.A</t>
  </si>
  <si>
    <t>Freight: Truck Stock: Vehicle Miles Traveled: Light Medium: Plug-in Diesel Hybrid: Alternative Transportation</t>
  </si>
  <si>
    <t>AEO.2025.ALTTRNP.ECI_VMT_FGHT_LITEMEDS_ELE_NA_NA_BLNMLS.A</t>
  </si>
  <si>
    <t>Freight: Truck Stock: Vehicle Miles Traveled: Light Medium: Electric: Alternative Transportation</t>
  </si>
  <si>
    <t>AEO.2025.ALTTRNP.ECI_VMT_FGHT_LITEMEDS_EFFI_NA_NA_BLNMLS.A</t>
  </si>
  <si>
    <t>Freight: Truck Stock: Vehicle Miles Traveled: Light Medium: Ethanol-Flex Fuel: Alternative Transportation</t>
  </si>
  <si>
    <t>AEO.2025.ALTTRNP.ECI_VMT_FGHT_LITEMEDS_NG_NA_NA_BLNMLS.A</t>
  </si>
  <si>
    <t>Freight: Truck Stock: Vehicle Miles Traveled: Light Medium: Natural Gas: Alternative Transportation</t>
  </si>
  <si>
    <t>AEO.2025.ALTTRNP.ECI_VMT_FGHT_LITEMEDS_PROP_NA_NA_BLNMLS.A</t>
  </si>
  <si>
    <t>Freight: Truck Stock: Vehicle Miles Traveled: Light Medium: Propane: Alternative Transportation</t>
  </si>
  <si>
    <t>AEO.2025.ALTTRNP.ECI_VMT_FGHT_LITEMEDS_MGS_NA_NA_BLNMLS.A</t>
  </si>
  <si>
    <t>Freight: Truck Stock: Vehicle Miles Traveled: Light Medium: Motor Gasoline: Alternative Transportation</t>
  </si>
  <si>
    <t>AEO.2025.ALTTRNP.ECI_VMT_FGHT_LITEMEDS_DSL_NA_NA_BLNMLS.A</t>
  </si>
  <si>
    <t>Freight: Truck Stock: Vehicle Miles Traveled: Light Medium: Diesel: Alternative Transportation</t>
  </si>
  <si>
    <t>Fri Dec 05 2025 14:51:45 GMT-0800 (Pacific Standard Time)</t>
  </si>
  <si>
    <t>https://www.eia.gov/outlooks/aeo/data/browser/#/?id=58-AEO2025&amp;cases=alttrnp&amp;sourcekey=0</t>
  </si>
  <si>
    <t>AEO.2025.ALTTRNP.CNSM_NA_TRN_NA_NA_NA_NA_TRLBTU.A</t>
  </si>
  <si>
    <t>Transportation: Total Energy Use: Alternative Transportation</t>
  </si>
  <si>
    <t>AEO.2025.ALTTRNP.CNSM_NA_NMFG_LQFCT_DELE_NA_NA_TRLBTU.A</t>
  </si>
  <si>
    <t>Transportation Energy Use: Natural Gas for Liquefaction: Alternative Transportation</t>
  </si>
  <si>
    <t>AEO.2025.ALTTRNP.CNSM_NA_TRN_PIPL_NG_NA_NA_TRLBTU.A</t>
  </si>
  <si>
    <t>Transportation Energy Use: Pipeline Fuel Natural Gas: Alternative Transportation</t>
  </si>
  <si>
    <t>AEO.2025.ALTTRNP.CNSM_NA_TRN_NA_HDG_NA_NA_TRLBTU.A</t>
  </si>
  <si>
    <t>Transportation Energy Use: Hydrogen: Alternative Transportation</t>
  </si>
  <si>
    <t>AEO.2025.ALTTRNP.CNSM_NA_TRN_NA_NG_NA_NA_TRLBTU.A</t>
  </si>
  <si>
    <t>Transportation Energy Use: Natural Gas: Alternative Transportation</t>
  </si>
  <si>
    <t>AEO.2025.ALTTRNP.CNSM_NA_TRN_NA_ELC_NA_NA_TRLBTU.A</t>
  </si>
  <si>
    <t>Transportation Energy Use: Electricity: Alternative Transportation</t>
  </si>
  <si>
    <t>AEO.2025.ALTTRNP.CNSM_NA_TRN_NA_PET_NA_NA_TRLBTU.A</t>
  </si>
  <si>
    <t>Transportation Energy Use: Petroleum Subtotal: Alternative Transportation</t>
  </si>
  <si>
    <t>AEO.2025.ALTTRNP.CNSM_NA_TRN_NA_PET_LBC_NA_TRLBTU.A</t>
  </si>
  <si>
    <t>Transportation Energy Use: Petroleum: Lubricants: Alternative Transportation</t>
  </si>
  <si>
    <t>AEO.2025.ALTTRNP.CNSM_NA_TRN_NA_PET_PROP_NA_TRLBTU.A</t>
  </si>
  <si>
    <t>Transportation Energy Use: Petroleum: Propane: Alternative Transportation</t>
  </si>
  <si>
    <t>AEO.2025.ALTTRNP.CNSM_NA_TRN_NA_PET_AVGA_NA_TRLBTU.A</t>
  </si>
  <si>
    <t>Transportation Energy Use: Petroleum: Aviation Gasoline: Alternative Transportation</t>
  </si>
  <si>
    <t>AEO.2025.ALTTRNP.CNSM_NA_TRN_NA_PET_RFO_NA_TRLBTU.A</t>
  </si>
  <si>
    <t>Transportation Energy Use: Petroleum: Residual Fuel Oil: Alternative Transportation</t>
  </si>
  <si>
    <t>AEO.2025.ALTTRNP.UNC_NA_TRN_NA_PET_JFL_NA_TRLBTU.A</t>
  </si>
  <si>
    <t>Transportation Energy Use: Petroleum: Jet Fuel: Alternative Transportation</t>
  </si>
  <si>
    <t>AEO.2025.ALTTRNP.CNSM_NA_TRN_NA_PET_DSL_NA_TRLBTU.A</t>
  </si>
  <si>
    <t>Transportation Energy Use: Petroleum: Diesel: Alternative Transportation</t>
  </si>
  <si>
    <t>AEO.2025.ALTTRNP.CNSM_NA_TRN_NA_E85_NA_NA_TRLBTU.A</t>
  </si>
  <si>
    <t>Transportation Energy Use: E85: Alternative Transportation</t>
  </si>
  <si>
    <t>AEO.2025.ALTTRNP.CNSM_NA_TRN_NA_PET_MGS_NA_TRLBTU.A</t>
  </si>
  <si>
    <t>Transportation Energy Use: Petroleum: Motor Gasoline: Alternative Transportation</t>
  </si>
  <si>
    <t>AEO.2025.ALTTRNP.CNSM_NA_TRN_NA_TOT_NA_NA_TRLBTU.A</t>
  </si>
  <si>
    <t>Transportation Energy Use: Total: Alternative Transportation</t>
  </si>
  <si>
    <t>AEO.2025.ALTTRNP.CNSM_NA_TRN_MLU_DFO_NA_NA_TRLBTU.A</t>
  </si>
  <si>
    <t>Transportation Energy Use: Military Use: Distillate Fuel Oil: Alternative Transportation</t>
  </si>
  <si>
    <t>AEO.2025.ALTTRNP.CNSM_NA_TRN_MLU_RFO_NA_NA_TRLBTU.A</t>
  </si>
  <si>
    <t>Transportation Energy Use: Military Use: Residual Fuel Oil: Alternative Transportation</t>
  </si>
  <si>
    <t>AEO.2025.ALTTRNP.CNSM_NA_TRN_MLU_AVI_NA_NA_TRLBTU.A</t>
  </si>
  <si>
    <t>Transportation Energy Use: Military Use: Aviation: Alternative Transportation</t>
  </si>
  <si>
    <t>AEO.2025.ALTTRNP.CNSM_NA_TRN_MLU_MILU_NA_NA_TRLBTU.A</t>
  </si>
  <si>
    <t>Transportation Energy Use: Military Use: Alternative Transportation</t>
  </si>
  <si>
    <t>Transportation Energy Use: Non-Highway: Natural Gas for Liquefaction: Alternative Transportation</t>
  </si>
  <si>
    <t>Transportation Energy Use: Non-Highway: Pipeline Fuel Natural Gas: Alternative Transportation</t>
  </si>
  <si>
    <t>AEO.2025.ALTTRNP.CNSM_NA_TRN_NA_LBC_NA_NA_TRLBTU.A</t>
  </si>
  <si>
    <t>Transportation Energy Use: Non-Highway: Lubricants: Alternative Transportation</t>
  </si>
  <si>
    <t>AEO.2025.ALTTRNP.CNSM_NA_TRN_RAIL_PSG_CMTR_NA_TRLBTU.A</t>
  </si>
  <si>
    <t>Transportation Energy Use: Non-Highway: Rail: Passenger: Commuter: Alternative Transportation</t>
  </si>
  <si>
    <t>AEO.2025.ALTTRNP.CNSM_NA_TRN_RAIL_PSG_TNST_NA_TRLBTU.A</t>
  </si>
  <si>
    <t>Transportation Energy Use: Non-Highway: Rail: Passenger: Transit: Alternative Transportation</t>
  </si>
  <si>
    <t>AEO.2025.ALTTRNP.CNSM_NA_TRN_RAIL_PSG_ICYT_NA_TRLBTU.A</t>
  </si>
  <si>
    <t>Transportation Energy Use: Non-Highway: Rail: Passenger: Intercity: Alternative Transportation</t>
  </si>
  <si>
    <t>AEO.2025.ALTTRNP.CNSM_NA_TRN_RAIL_PSG_PSG_NA_TRLBTU.A</t>
  </si>
  <si>
    <t>Transportation Energy Use: Non-Highway: Rail: Passenger: Alternative Transportation</t>
  </si>
  <si>
    <t>AEO.2025.ALTTRNP.CNSM_NA_TRN_RAIL_FGT_NA_NA_TRLBTU.A</t>
  </si>
  <si>
    <t>Transportation Energy Use: Non-Highway: Rail: Freight: Alternative Transportation</t>
  </si>
  <si>
    <t>AEO.2025.ALTTRNP.CNSM_NA_TRN_RAIL_RAIL_NA_NA_TRLBTU.A</t>
  </si>
  <si>
    <t>Transportation Energy Use: Non-Highway: Rail: Alternative Transportation</t>
  </si>
  <si>
    <t>AEO.2025.ALTTRNP.CNSM_NA_TRN_WTR_RBT_NA_NA_TRLBTU.A</t>
  </si>
  <si>
    <t>Transportation Energy Use: Non-Highway: Water: Recreational Boats: Alternative Transportation</t>
  </si>
  <si>
    <t>AEO.2025.ALTTRNP.CNSM_NA_TRN_WTR_INTS_NA_NA_TRLBTU.A</t>
  </si>
  <si>
    <t>Transportation Energy Use: Non-Highway: Water: Freight: International Shipping: Alternative Transportation</t>
  </si>
  <si>
    <t>AEO.2025.ALTTRNP.CNSM_NA_TRN_WTR_DMT_NA_NA_TRLBTU.A</t>
  </si>
  <si>
    <t>Transportation Energy Use: Non-Highway: Water: Freight: Domestic Shipping: Alternative Transportation</t>
  </si>
  <si>
    <t>AEO.2025.ALTTRNP.CNSM_NA_TRN_WTR_FGT_NA_NA_TRLBTU.A</t>
  </si>
  <si>
    <t>Transportation Energy Use: Non-Highway: Water: Freight: Alternative Transportation</t>
  </si>
  <si>
    <t>AEO.2025.ALTTRNP.CNSM_NA_TRN_WTR_NA_NA_NA_TRLBTU.A</t>
  </si>
  <si>
    <t>Transportation Energy Use: Non-Highway: Water: Alternative Transportation</t>
  </si>
  <si>
    <t>AEO.2025.ALTTRNP.CNSM_NA_TRN_AIR_DFT_NA_NA_TRLBTU.A</t>
  </si>
  <si>
    <t>Transportation Energy Use: Non-Highway: Air: Dedicated Freight: Alternative Transportation</t>
  </si>
  <si>
    <t>AEO.2025.ALTTRNP.CNSM_NA_TRN_AIR_IAC_NA_NA_TRLBTU.A</t>
  </si>
  <si>
    <t>Transportation Energy Use: Non-Highway: Air: International Passenger: Alternative Transportation</t>
  </si>
  <si>
    <t>AEO.2025.ALTTRNP.CNSM_NA_TRN_AIR_DAC_NA_NA_TRLBTU.A</t>
  </si>
  <si>
    <t>Transportation Energy Use: Non-Highway: Air: Domestic Passenger: Alternative Transportation</t>
  </si>
  <si>
    <t>AEO.2025.ALTTRNP.CNSM_NA_TRN_AIR_GAV_NA_NA_TRLBTU.A</t>
  </si>
  <si>
    <t>Transportation Energy Use: Non-Highway: Air: General Aviation: Alternative Transportation</t>
  </si>
  <si>
    <t>AEO.2025.ALTTRNP.CNSM_NA_TRN_AIR_NA_NA_NA_TRLBTU.A</t>
  </si>
  <si>
    <t>Transportation Energy Use: Non-Highway: Air: Alternative Transportation</t>
  </si>
  <si>
    <t>AEO.2025.ALTTRNP.CNSM_NA_TRN_HWY_FGHT_LRGGT26KLB_NA_TRLBTU.A</t>
  </si>
  <si>
    <t>Transportation Energy Use: Highway: Freight Trucks: Large: Alternative Transportation</t>
  </si>
  <si>
    <t>AEO.2025.ALTTRNP.CNSM_NA_TRN_HWY_FGHT_MD10T26KLB_NA_TRLBTU.A</t>
  </si>
  <si>
    <t>Transportation Energy Use: Highway: Freight Trucks: Medium: Alternative Transportation</t>
  </si>
  <si>
    <t>AEO.2025.ALTTRNP.CNSM_NA_TRN_HWY_FGHT_LITEMED_NA_TRLBTU.A</t>
  </si>
  <si>
    <t>Transportation Energy Use: Highway: Freight Trucks: Light Medium: Alternative Transportation</t>
  </si>
  <si>
    <t>AEO.2025.ALTTRNP.CNSM_NA_TRN_HWY_FGHT_NA_NA_TRLBTU.A</t>
  </si>
  <si>
    <t>Transportation Energy Use: Highway: Freight Trucks: Alternative Transportation</t>
  </si>
  <si>
    <t>AEO.2025.ALTTRNP.CNSM_NA_TRN_HWY_BUS_SCBU_NA_TRLBTU.A</t>
  </si>
  <si>
    <t>Transportation Energy Use: Highway: Buses: School: Alternative Transportation</t>
  </si>
  <si>
    <t>AEO.2025.ALTTRNP.CNSM_NA_TRN_HWY_BUS_ICYT_NA_TRLBTU.A</t>
  </si>
  <si>
    <t>Transportation Energy Use: Highway: Buses: Intercity: Alternative Transportation</t>
  </si>
  <si>
    <t>AEO.2025.ALTTRNP.CNSM_NA_TRN_HWY_BUS_TNST_NA_TRLBTU.A</t>
  </si>
  <si>
    <t>Transportation Energy Use: Highway: Buses: Transit: Alternative Transportation</t>
  </si>
  <si>
    <t>AEO.2025.ALTTRNP.CNSM_NA_TRN_HWY_BUS_NA_NA_TRLBTU.A</t>
  </si>
  <si>
    <t>Transportation Energy Use: Highway: Buses: Alternative Transportation</t>
  </si>
  <si>
    <t>AEO.2025.ALTTRNP.CNSM_NA_TRN_HWY_CML_NA_NA_TRLBTU.A</t>
  </si>
  <si>
    <t>Transportation Energy Use: Highway: Commercial Light Trucks: Alternative Transportation</t>
  </si>
  <si>
    <t>AEO.2025.ALTTRNP.CNSM_NA_TRN_HWY_LDV_MCYCL_NA_TRLBTU.A</t>
  </si>
  <si>
    <t>Transportation Energy Use: Highway: Light-Duty Vehicles: Motorcycles: Alternative Transportation</t>
  </si>
  <si>
    <t>AEO.2025.ALTTRNP.CNSM_NA_TRN_HWY_LDV_LTRT_NA_TRLBTU.A</t>
  </si>
  <si>
    <t>Transportation Energy Use: Highway: Light-Duty Vehicles: Light Trucks: Alternative Transportation</t>
  </si>
  <si>
    <t>AEO.2025.ALTTRNP.CNSM_NA_TRN_HWY_LDV_AUTO_NA_TRLBTU.A</t>
  </si>
  <si>
    <t>Transportation Energy Use: Highway: Light-Duty Vehicles: Automobiles: Alternative Transportation</t>
  </si>
  <si>
    <t>AEO.2025.ALTTRNP.CNSM_NA_TRN_HWY_LDV_NA_NA_TRLBTU.A</t>
  </si>
  <si>
    <t>Transportation Energy Use: Highway: Light-Duty Vehicles: Alternative Transportation</t>
  </si>
  <si>
    <t>Fri Dec 05 2025 14:48:52 GMT-0800 (Pacific Standard Time)</t>
  </si>
  <si>
    <t>https://www.eia.gov/outlooks/aeo/data/browser/#/?id=45-AEO2025&amp;cases=alttrnp&amp;sourcekey=0</t>
  </si>
  <si>
    <t>2024 $/MMBtu</t>
  </si>
  <si>
    <t>AEO.2025.ALTTRNP.PRCE_NA_TRN_NA_LNG_INTA_NA_Y13DLRPMMBTU.A</t>
  </si>
  <si>
    <t>Transportation: Natural Gas Prices: Liquefied: Shipping: International: Alternative Transportation</t>
  </si>
  <si>
    <t>AEO.2025.ALTTRNP.PRCE_NA_TRN_NA_LNG_DMS_NA_Y13DLRPMMBTU.A</t>
  </si>
  <si>
    <t>Transportation: Natural Gas Prices: Liquefied: Shipping: Domestic: Alternative Transportation</t>
  </si>
  <si>
    <t>AEO.2025.ALTTRNP.PRCE_NA_TRN_NA_LNG_SHIP_NA_Y13DLRPMMBTU.A</t>
  </si>
  <si>
    <t>Transportation: Natural Gas Prices: Liquefied: Shipping: Alternative Transportation</t>
  </si>
  <si>
    <t>Marine</t>
  </si>
  <si>
    <t>AEO.2025.ALTTRNP.PRCE_NA_TRN_NA_LNG_FGT_NA_Y13DLRPMMBTU.A</t>
  </si>
  <si>
    <t>Transportation: Natural Gas Prices: Liquefied: Rail: Freight: Alternative Transportation</t>
  </si>
  <si>
    <t>Freight Rail</t>
  </si>
  <si>
    <t>AEO.2025.ALTTRNP.PRCE_NA_TRN_NA_LNG_FLEET_NA_Y13DLRPMMBTU.A</t>
  </si>
  <si>
    <t>Transportation: Natural Gas Prices: Liquefied: Vehicles: Depot: Alternative Transportation</t>
  </si>
  <si>
    <t>Depot</t>
  </si>
  <si>
    <t>AEO.2025.ALTTRNP.PRCE_NA_TRN_NA_LNG_PERS_NA_Y13DLRPMMBTU.A</t>
  </si>
  <si>
    <t>Transportation: Natural Gas Prices: Liquefied: Vehicles: Public/Retail: Alternative Transportation</t>
  </si>
  <si>
    <t>Public/Retail</t>
  </si>
  <si>
    <t>AEO.2025.ALTTRNP.PRCE_NA_TRN_NA_LNG_LDV_NA_Y13DLRPMMBTU.A</t>
  </si>
  <si>
    <t>Transportation: Natural Gas Prices: Liquefied: Vehicles: Alternative Transportation</t>
  </si>
  <si>
    <t>AEO.2025.ALTTRNP.PRCE_NA_TRN_NA_CNG_INTA_NA_Y13DLRPMMBTU.A</t>
  </si>
  <si>
    <t>Transportation: Natural Gas Prices: Compressed: Shipping: International: Alternative Transportation</t>
  </si>
  <si>
    <t>AEO.2025.ALTTRNP.PRCE_NA_TRN_NA_CNG_DMS_NA_Y13DLRPMMBTU.A</t>
  </si>
  <si>
    <t>Transportation: Natural Gas Prices: Compressed: Shipping: Domestic: Alternative Transportation</t>
  </si>
  <si>
    <t>AEO.2025.ALTTRNP.PRCE_NA_TRN_NA_CNG_SHIP_NA_Y13DLRPMMBTU.A</t>
  </si>
  <si>
    <t>Transportation: Natural Gas Prices: Compressed: Shipping: Alternative Transportation</t>
  </si>
  <si>
    <t>AEO.2025.ALTTRNP.PRCE_NA_TRN_NA_CNG_FLEET_NA_Y13DLRPMMBTU.A</t>
  </si>
  <si>
    <t>Transportation: Natural Gas Prices: Compressed: Vehicles: Depot: Alternative Transportation</t>
  </si>
  <si>
    <t>AEO.2025.ALTTRNP.PRCE_NA_TRN_NA_CNG_NFLEET_NA_Y13DLRPMMBTU.A</t>
  </si>
  <si>
    <t>Transportation: Natural Gas Prices: Compressed: Vehicles: Public/Retail: Alternative Transportation</t>
  </si>
  <si>
    <t>AEO.2025.ALTTRNP.PRCE_NA_TRN_NA_CNG_LDTVHFT_NA_Y13DLRPMMBTU.A</t>
  </si>
  <si>
    <t>Transportation: Natural Gas Prices: Compressed: Vehicles: Alternative Transportation</t>
  </si>
  <si>
    <t>Natural Gas Prices (2024 dollars per mmBtu)</t>
  </si>
  <si>
    <t>2024 $/kg</t>
  </si>
  <si>
    <t>AEO.2025.ALTTRNP.PRCE_NA_TRN_NA_HDG_NA_NA_NA.A</t>
  </si>
  <si>
    <t>Transportation: Hydrogen Price: Delivered: Alternative Transportation</t>
  </si>
  <si>
    <t>Hydrogen Price (2024 dollars per kg)</t>
  </si>
  <si>
    <t>2024 cents/kWh</t>
  </si>
  <si>
    <t>AEO.2025.ALTTRNP.PRCE_NA_TRN_NA_ELC_CLT_NA_Y13DLRPMMBTU.A</t>
  </si>
  <si>
    <t>Transportation: Electricity Prices: Commercial Light Truck Public/Retail: Alternative Transportation</t>
  </si>
  <si>
    <t>Transportation: Electricity Prices: Commercial Light Truck Depot: Alternative Transportation</t>
  </si>
  <si>
    <t>Commercial light truck</t>
  </si>
  <si>
    <t>AEO.2025.ALTTRNP.PRCE_NA_TRN_NA_ELC_FRTTRK_NA_Y13DLRPMMBTU.A</t>
  </si>
  <si>
    <t>Transportation: Electricity Prices: Freight Truck Public/Retail: Alternative Transportation</t>
  </si>
  <si>
    <t>Transportation: Electricity Prices: Freight Truck Depot: Alternative Transportation</t>
  </si>
  <si>
    <t>Transportation: Electricity Prices: Freight Truck: Alternative Transportation</t>
  </si>
  <si>
    <t>Freight truck</t>
  </si>
  <si>
    <t>AEO.2025.ALTTRNP.PRCE_NA_TRN_NA_ELC_BUS_NA_Y13DLRPMMBTU.A</t>
  </si>
  <si>
    <t>Transportation: Electricity Prices: Intercity Bus: Alternative Transportation</t>
  </si>
  <si>
    <t>Transportation: Electricity Prices: Transit Bus: Alternative Transportation</t>
  </si>
  <si>
    <t>Transportation: Electricity Prices: School Bus: Alternative Transportation</t>
  </si>
  <si>
    <t>Transportation: Electricity Prices: Bus: Alternative Transportation</t>
  </si>
  <si>
    <t>Bus</t>
  </si>
  <si>
    <t>AEO.2025.ALTTRNP.PRCE_NA_TRN_NA_ELC_LDV_NA_Y13DLRPMMBTU.A</t>
  </si>
  <si>
    <t>Transportation: Electricity Prices: Light-Duty Vehicles Public DCFC: Alternative Transportation</t>
  </si>
  <si>
    <t>Public DC Fast Charge</t>
  </si>
  <si>
    <t>Transportation: Electricity Prices: Light-Duty Vehicles Public Level 2: Alternative Transportation</t>
  </si>
  <si>
    <t>Public Level 2</t>
  </si>
  <si>
    <t>Transportation: Electricity Prices: Light-Duty Vehicles Home: Alternative Transportation</t>
  </si>
  <si>
    <t>Home</t>
  </si>
  <si>
    <t>Transportation: Electricity Prices: Light-Duty Vehicles: Alternative Transportation</t>
  </si>
  <si>
    <t>AEO.2025.ALTTRNP.PRCE_NA_TRN_NA_ELC_LTRNS_NA_Y13DLRPMMBTU.A</t>
  </si>
  <si>
    <t>Transportation: Electricity Prices: Light Trains: Alternative Transportation</t>
  </si>
  <si>
    <t>Light Trains</t>
  </si>
  <si>
    <t>Electricity Prices (2024 cents per kWh)</t>
  </si>
  <si>
    <t>2024 $/kWh</t>
  </si>
  <si>
    <t>AEO.2025.ALTTRNP.PRCE_NA_TRN_NA_BAT_FRTTRK_NA_13YDKWH.A</t>
  </si>
  <si>
    <t>Transportation: Battery Prices: Freight Truck Gasoline Hybrid Electric: Alternative Transportation</t>
  </si>
  <si>
    <t>Hybrid Electric Vehicles</t>
  </si>
  <si>
    <t>Transportation: Battery Prices: Freight Truck Class 2b&amp;3: Alternative Transportation</t>
  </si>
  <si>
    <t>Class 2b &amp; 3</t>
  </si>
  <si>
    <t>Transportation: Battery Prices: Freight Truck Class 7&amp;8 Tractor: Alternative Transportation</t>
  </si>
  <si>
    <t>Class 7&amp;8 Tractors</t>
  </si>
  <si>
    <t>Transportation: Battery Prices: Freight Truck Class 6-8 Vocational: Alternative Transportation</t>
  </si>
  <si>
    <t>Class 6-8 Vocational</t>
  </si>
  <si>
    <t>Transportation: Battery Prices: Freight Truck Class 4-5: Alternative Transportation</t>
  </si>
  <si>
    <t>Class 4 &amp; 5</t>
  </si>
  <si>
    <t>2024 $/kWh RPE</t>
  </si>
  <si>
    <t>AEO.2025.ALTTRNP.PRCE_NA_TRN_NA_BAT_LDV_NA_13YDKWH.A</t>
  </si>
  <si>
    <t>Transportation: Battery Prices: Light-Duty Hybrid Electric: Alternative Transportation</t>
  </si>
  <si>
    <t>Transportation: Battery Prices: Light-Duty Plug-in Hybrid Electric: Alternative Transportation</t>
  </si>
  <si>
    <t>Plug-In Hybrid Electric Vehicles</t>
  </si>
  <si>
    <t>Transportation: Battery Prices: Light-Duty Battery Electric: Alternative Transportation</t>
  </si>
  <si>
    <t>Battery Electric Vehicles</t>
  </si>
  <si>
    <t>Battery Prices (2024 dollars per nominal kWh)</t>
  </si>
  <si>
    <t>MMb/d oil eq</t>
  </si>
  <si>
    <t>AEO.2025.ALTTRNP.CNSM_NA_TRN_NA_USE_NA_NA_MILLBPDYOEQ.A</t>
  </si>
  <si>
    <t>Transportation: Energy Use by Mode: Total: Alternative Transportation</t>
  </si>
  <si>
    <t>AEO.2025.ALTTRNP.CNSM_NA_TRN_NA_LQFCT_NA_USA_MILLBPDYOEQ.A</t>
  </si>
  <si>
    <t>Transportation: Energy Use by Mode: Natural Gas for Liquefaction: Alternative Transportation</t>
  </si>
  <si>
    <t>AEO.2025.ALTTRNP.CNSM_NA_TRN_PFT_USE_NA_NA_MILLBPDYOEQ.A</t>
  </si>
  <si>
    <t>Transportation: Energy Use by Mode: Pipeline Fuel: Alternative Transportation</t>
  </si>
  <si>
    <t>Pipeline Fuel</t>
  </si>
  <si>
    <t>AEO.2025.ALTTRNP.CNSM_NA_TRN_LBC_USE_NA_NA_MILLBPDYOEQ.A</t>
  </si>
  <si>
    <t>Transportation: Energy Use by Mode: Lubricants: Alternative Transportation</t>
  </si>
  <si>
    <t>AEO.2025.ALTTRNP.CNSM_NA_TRN_MILU_USE_NA_NA_MILLBPDYOEQ.A</t>
  </si>
  <si>
    <t>Transportation: Energy Use by Mode: Military Use: Alternative Transportation</t>
  </si>
  <si>
    <t>AEO.2025.ALTTRNP.CNSM_NA_TRN_AIR_USE_NA_NA_MILLBPDYOEQ.A</t>
  </si>
  <si>
    <t>Transportation: Energy Use by Mode: Air: Alternative Transportation</t>
  </si>
  <si>
    <t>AEO.2025.ALTTRNP.CNSM_NA_TRN_RBT_USE_NA_NA_MILLBPDYOEQ.A</t>
  </si>
  <si>
    <t>Transportation: Energy Use by Mode: Recreational Boats: Alternative Transportation</t>
  </si>
  <si>
    <t>AEO.2025.ALTTRNP.CNSM_NA_TRN_SHINT_USE_NA_NA_MILLBPDYOEQ.A</t>
  </si>
  <si>
    <t>Transportation: Energy Use by Mode: Shipping, International: Alternative Transportation</t>
  </si>
  <si>
    <t xml:space="preserve"> International</t>
  </si>
  <si>
    <t>Shipping</t>
  </si>
  <si>
    <t>AEO.2025.ALTTRNP.CNSM_NA_TRN_SHDT_USE_NA_NA_MILLBPDYOEQ.A</t>
  </si>
  <si>
    <t>Transportation: Energy Use by Mode: Shipping, Domestic: Alternative Transportation</t>
  </si>
  <si>
    <t xml:space="preserve"> Domestic</t>
  </si>
  <si>
    <t>AEO.2025.ALTTRNP.CNSM_NA_TRN_RLF_USE_NA_NA_MILLBPDYOEQ.A</t>
  </si>
  <si>
    <t>Transportation: Energy Use by Mode: Rail, Freight: Alternative Transportation</t>
  </si>
  <si>
    <t xml:space="preserve"> Freight</t>
  </si>
  <si>
    <t>AEO.2025.ALTTRNP.CNSM_NA_TRN_RLP_USE_NA_NA_MILLBPDYOEQ.A</t>
  </si>
  <si>
    <t>Transportation: Energy Use by Mode: Rail, Passenger: Alternative Transportation</t>
  </si>
  <si>
    <t xml:space="preserve"> Passenger</t>
  </si>
  <si>
    <t>AEO.2025.ALTTRNP.CNSM_NA_TRN_FGHT_USE_NA_NA_MILLBPDYOEQ.A</t>
  </si>
  <si>
    <t>Transportation: Energy Use by Mode: Freight Trucks: Alternative Transportation</t>
  </si>
  <si>
    <t>AEO.2025.ALTTRNP.CNSM_NA_TRN_BST_USE_NA_NA_MILLBPDYOEQ.A</t>
  </si>
  <si>
    <t>Transportation: Energy Use by Mode: Bus Transportation: Alternative Transportation</t>
  </si>
  <si>
    <t>AEO.2025.ALTTRNP.CNSM_NA_TRN_CML_USE_NA_NA_MILLBPDYOEQ.A</t>
  </si>
  <si>
    <t>Transportation: Energy Use by Mode: Commercial Light Trucks: Alternative Transportation</t>
  </si>
  <si>
    <t>AEO.2025.ALTTRNP.CNSM_NA_TRN_LDV_USE_NA_NA_MILLBPDYOEQ.A</t>
  </si>
  <si>
    <t>Transportation: Energy Use by Mode: Light-Duty Vehicles: Alternative Transportation</t>
  </si>
  <si>
    <t>(million barrels per day oil equivalent)</t>
  </si>
  <si>
    <t>quads</t>
  </si>
  <si>
    <t>AEO.2025.ALTTRNP.CNSM_NA_TRN_NA_USE_NA_NA_QBTU.A</t>
  </si>
  <si>
    <t>AEO.2025.ALTTRNP.CNSM_NA_TRN_IDEI_LQFCT_NA_USA_QBTU.A</t>
  </si>
  <si>
    <t>AEO.2025.ALTTRNP.CNSM_NA_TRN_PFT_USE_NA_NA_QBTU.A</t>
  </si>
  <si>
    <t>AEO.2025.ALTTRNP.CNSM_NA_TRN_LBC_USE_NA_NA_QBTU.A</t>
  </si>
  <si>
    <t>AEO.2025.ALTTRNP.CNSM_NA_TRN_MILU_USE_NA_NA_QBTU.A</t>
  </si>
  <si>
    <t>AEO.2025.ALTTRNP.CNSM_NA_TRN_AIR_USE_NA_NA_QBTU.A</t>
  </si>
  <si>
    <t>AEO.2025.ALTTRNP.CNSM_NA_TRN_RBT_USE_NA_NA_QBTU.A</t>
  </si>
  <si>
    <t>AEO.2025.ALTTRNP.CNSM_NA_TRN_SHINT_USE_NA_NA_QBTU.A</t>
  </si>
  <si>
    <t>AEO.2025.ALTTRNP.CNSM_NA_TRN_SHDT_USE_NA_NA_QBTU.A</t>
  </si>
  <si>
    <t>AEO.2025.ALTTRNP.CNSM_NA_TRN_RLF_USE_NA_NA_QBTU.A</t>
  </si>
  <si>
    <t>AEO.2025.ALTTRNP.CNSM_NA_TRN_RLP_USE_NA_NA_QBTU.A</t>
  </si>
  <si>
    <t>AEO.2025.ALTTRNP.CNSM_NA_TRN_FGHT_USE_NA_NA_QBTU.A</t>
  </si>
  <si>
    <t>AEO.2025.ALTTRNP.CNSM_NA_TRN_BST_USE_NA_NA_QBTU.A</t>
  </si>
  <si>
    <t>AEO.2025.ALTTRNP.CNSM_NA_TRN_CML_USE_NA_NA_QBTU.A</t>
  </si>
  <si>
    <t>AEO.2025.ALTTRNP.CNSM_NA_TRN_LDV_USE_NA_NA_QBTU.A</t>
  </si>
  <si>
    <t>(quadrillion Btu)</t>
  </si>
  <si>
    <t>AEO.2025.ALTTRNP.EFI_NA_TRN_NA_DMT_NA_NA_TONMLPTHBTU.A</t>
  </si>
  <si>
    <t>Transportation: Energy Efficiency Indicators: Domestic Shipping: Alternative Transportation</t>
  </si>
  <si>
    <t>AEO.2025.ALTTRNP.EFI_NA_TRN_NA_RAIL_NA_NA_TONMLPTHBTU.A</t>
  </si>
  <si>
    <t>Transportation: Energy Efficiency Indicators: Rail: Alternative Transportation</t>
  </si>
  <si>
    <t>(ton miles/thousand Btu)</t>
  </si>
  <si>
    <t>AEO.2025.ALTTRNP.EFI_NA_TRN_NA_AIRC_NA_NA_SEATMPG.A</t>
  </si>
  <si>
    <t>Transportation: Energy Efficiency Indicators: Aircraft: Alternative Transportation</t>
  </si>
  <si>
    <t>Aircraft</t>
  </si>
  <si>
    <t>(seat miles per gallon)</t>
  </si>
  <si>
    <t>AEO.2025.ALTTRNP.EFI_NA_TRN_HWY_FRTT_STK_NA_MLSPGLN.A</t>
  </si>
  <si>
    <t>Transportation: Energy Efficiency Indicators: Freight Truck: Alternative Transportation</t>
  </si>
  <si>
    <t>Freight Truck</t>
  </si>
  <si>
    <t>AEO.2025.ALTTRNP.EFI_NA_TRN_HWY_CLTR_STK_NA_MLSPGLN.A</t>
  </si>
  <si>
    <t>Transportation: Energy Efficiency Indicators: Stock Commercial Light Truck: Alternative Transportation</t>
  </si>
  <si>
    <t>Stock Commercial Light Truck</t>
  </si>
  <si>
    <t>AEO.2025.ALTTRNP.EFI_NA_TRN_HWY_CLTR_NEW_NA_MLSPGLN.A</t>
  </si>
  <si>
    <t>Transportation: Energy Efficiency Indicators: New Commercial Light Truck: Alternative Transportation</t>
  </si>
  <si>
    <t>New Commercial Light Truck</t>
  </si>
  <si>
    <t>AEO.2025.ALTTRNP.EFI_CAFEO_TRN_HWY_LDTY_STK_NA_MLSPGLN.A</t>
  </si>
  <si>
    <t>Transportation: Energy Efficiency Indicators: Light-Duty Stock: Alternative Transportation</t>
  </si>
  <si>
    <t>Light-Duty Stock</t>
  </si>
  <si>
    <t>AEO.2025.ALTTRNP.EFI_CAFEO_TRN_HWY_LTRT_NEW_NA_MLSPGLN.A</t>
  </si>
  <si>
    <t>Transportation: Energy Efficiency Indicators: On-Road New Light Truck: Alternative Transportation</t>
  </si>
  <si>
    <t>New Light Truck</t>
  </si>
  <si>
    <t>AEO.2025.ALTTRNP.EFI_CAFEO_TRN_HWY_CAR_NEW_NA_MLSPGLN.A</t>
  </si>
  <si>
    <t>Transportation: Energy Efficiency Indicators: On-Road New Car: Alternative Transportation</t>
  </si>
  <si>
    <t>New Car</t>
  </si>
  <si>
    <t>AEO.2025.ALTTRNP.EFI_CAFEO_TRN_HWY_LDTY_NEW_NA_MLSPGLN.A</t>
  </si>
  <si>
    <t>Transportation: Energy Efficiency Indicators: On-Road New Light-Duty Vehicle: Alternative Transportation</t>
  </si>
  <si>
    <t>On-Road New Light-Duty Vehicle</t>
  </si>
  <si>
    <t>AEO.2025.ALTTRNP.EFI_CAFET_TRN_HWY_LTRT_NEW_NA_MLSPGLN.A</t>
  </si>
  <si>
    <t>Transportation: Energy Efficiency Indicators: Tested: New Light Truck: Alternative Transportation</t>
  </si>
  <si>
    <t>AEO.2025.ALTTRNP.EFI_CAFET_TRN_HWY_CAR_NEW_NA_MLSPGLN.A</t>
  </si>
  <si>
    <t>Transportation: Energy Efficiency Indicators: Tested: New Car: Alternative Transportation</t>
  </si>
  <si>
    <t>AEO.2025.ALTTRNP.EFI_CAFET_TRN_HWY_LDTY_NEW_NA_MLSPGLN.A</t>
  </si>
  <si>
    <t>Transportation: Energy Efficiency Indicators: Tested: New Light-Duty Vehicle: Alternative Transportation</t>
  </si>
  <si>
    <t>Tested New Light-Duty Vehicle</t>
  </si>
  <si>
    <t>AEO.2025.ALTTRNP.EFI_CAFEC_TRN_HWY_LTRT_NEW_NA_MLSPGLN.A</t>
  </si>
  <si>
    <t>Transportation: Energy Efficiency Indicators: Compliance: New Light Truck: Alternative Transportation</t>
  </si>
  <si>
    <t>AEO.2025.ALTTRNP.EFI_CAFEC_TRN_HWY_CAR_NEW_NA_MLSPGLN.A</t>
  </si>
  <si>
    <t>Transportation: Energy Efficiency Indicators: Compliance: New Car: Alternative Transportation</t>
  </si>
  <si>
    <t>AEO.2025.ALTTRNP.EFI_CAFEC_TRN_HWY_LDTY_NEW_NA_MLSPGLN.A</t>
  </si>
  <si>
    <t>Transportation: Energy Efficiency Indicators: Compliance: New Light-Duty Vehicle: Alternative Transportation</t>
  </si>
  <si>
    <t>Compliance New Light-Duty Vehicle</t>
  </si>
  <si>
    <t>AEO.2025.ALTTRNP.EFI_CAFES_TRN_HWY_LTRT_NEW_NA_MLSPGLN.A</t>
  </si>
  <si>
    <t>Transportation: Energy Efficiency Indicators: CAFE Standard: New Light Truck: Alternative Transportation</t>
  </si>
  <si>
    <t>AEO.2025.ALTTRNP.EFI_CAFES_TRN_HWY_CAR_NEW_NA_MLSPGLN.A</t>
  </si>
  <si>
    <t>Transportation: Energy Efficiency Indicators: CAFE Standard: New Car: Alternative Transportation</t>
  </si>
  <si>
    <t>AEO.2025.ALTTRNP.EFI_CAFES_TRN_HWY_LDTY_NEW_NA_MLSPGLN.A</t>
  </si>
  <si>
    <t>Transportation: Energy Efficiency Indicators: CAFE Standard: New Light-Duty Vehicle: Alternative Transportation</t>
  </si>
  <si>
    <t>New Light-Duty Vehicle CAFE Standard</t>
  </si>
  <si>
    <t>(miles per gallon)</t>
  </si>
  <si>
    <t>billion ton miles</t>
  </si>
  <si>
    <t>AEO.2025.ALTTRNP.KEI_TRV_TRN_NA_DMT_NA_NA_BLNTNMLS.A</t>
  </si>
  <si>
    <t>Transportation: Travel Indicators: Domestic Shipping: Alternative Transportation</t>
  </si>
  <si>
    <t>AEO.2025.ALTTRNP.KEI_TRV_TRN_NA_RAIL_NA_NA_BLNTNMLS.A</t>
  </si>
  <si>
    <t>Transportation: Travel Indicators: Rail: Alternative Transportation</t>
  </si>
  <si>
    <t>(billion ton miles traveled)</t>
  </si>
  <si>
    <t>billion seat miles</t>
  </si>
  <si>
    <t>AEO.2025.ALTTRNP.KEI_TRV_TRN_NA_AIR_NA_NA_BLNSEATMLS.A</t>
  </si>
  <si>
    <t>Transportation: Travel Indicators: Air: Alternative Transportation</t>
  </si>
  <si>
    <t>(billion seat miles available)</t>
  </si>
  <si>
    <t>billion passenger miles</t>
  </si>
  <si>
    <t>AEO.2025.ALTTRNP.KEI_TRV_TRN_NA_RLP_NA_NA_BPM.A</t>
  </si>
  <si>
    <t>Transportation: Travel Indicators: Passenger Rail: Alternative Transportation</t>
  </si>
  <si>
    <t>Passenger Rail</t>
  </si>
  <si>
    <t>AEO.2025.ALTTRNP.KEI_TRV_TRN_NA_BST_NA_NA_BPM.A</t>
  </si>
  <si>
    <t>Transportation: Travel Indicators: Bus: Alternative Transportation</t>
  </si>
  <si>
    <t>(billion passenger miles traveled)</t>
  </si>
  <si>
    <t>billion vehicle miles</t>
  </si>
  <si>
    <t>AEO.2025.ALTTRNP.KEI_TRV_TRN_NA_FGHT_NA_NA_BLNVEHMLS.A</t>
  </si>
  <si>
    <t>Transportation: Travel Indicators: Freight Trucks &gt; 10,000 lbs.: Alternative Transportation</t>
  </si>
  <si>
    <t>000 pounds</t>
  </si>
  <si>
    <t>Freight Trucks greater than 10</t>
  </si>
  <si>
    <t>AEO.2025.ALTTRNP.KEI_TRV_TRN_NA_CML_NA_NA_BLNVEHMLS.A</t>
  </si>
  <si>
    <t>Transportation: Travel Indicators: Commercial Light Trucks: Alternative Transportation</t>
  </si>
  <si>
    <t>AEO.2025.ALTTRNP.KEI_TRV_TRN_NA_LDV_NA_NA_BLNVEHMLS.A</t>
  </si>
  <si>
    <t>Transportation: Travel Indicators: Light-Duty Vehicles &lt;= 8,500 lbs: Alternative Transportation</t>
  </si>
  <si>
    <t>501 pounds</t>
  </si>
  <si>
    <t>Light-Duty Vehicles less than 8</t>
  </si>
  <si>
    <t>(billion vehicle miles traveled)</t>
  </si>
  <si>
    <t>Fri Dec 05 2025 14:42:41 GMT-0800 (Pacific Standard Time)</t>
  </si>
  <si>
    <t>https://www.eia.gov/outlooks/aeo/data/browser/#/?id=7-AEO2025&amp;cases=alttrnp&amp;sourcekey=0</t>
  </si>
  <si>
    <t>Table 7.  Transportation Sector Key Indicators and Delivered Energy Consumption</t>
  </si>
  <si>
    <t>PASSENGER</t>
  </si>
  <si>
    <t>FREIGHT</t>
  </si>
  <si>
    <t>EPA and EIA transportation emissions may not align. To match EPA's emissions results, we can apply a calibration factor for the following sectors</t>
  </si>
  <si>
    <t>electrnp.d021826a</t>
  </si>
  <si>
    <t>Annual Energy Outlook 2026</t>
  </si>
  <si>
    <t>electrnp</t>
  </si>
  <si>
    <t>Alternative Electricity and Transportation</t>
  </si>
  <si>
    <t>d021826a</t>
  </si>
  <si>
    <t>April 2026</t>
  </si>
  <si>
    <t>Avg Annual Change</t>
  </si>
  <si>
    <t>2025-2050</t>
  </si>
  <si>
    <t xml:space="preserve">    Natural Gas Liquefaction for Export 7/</t>
  </si>
  <si>
    <t>Battery Prices (2025 dollars per nominal kWh)</t>
  </si>
  <si>
    <t xml:space="preserve">   Light-Duty Vehicles</t>
  </si>
  <si>
    <t>TKI000:batt_ldvbev</t>
  </si>
  <si>
    <t xml:space="preserve">     Battery Electric Vehicles</t>
  </si>
  <si>
    <t>TKI000:batt_ldvphev</t>
  </si>
  <si>
    <t xml:space="preserve">     Plug-In Hybrid Electric Vehicles</t>
  </si>
  <si>
    <t>TKI000:batt_ldvhev</t>
  </si>
  <si>
    <t xml:space="preserve">     Hybrid Electric Vehicles</t>
  </si>
  <si>
    <t xml:space="preserve">   Freight Trucks</t>
  </si>
  <si>
    <t>TKI000:batt_frt45</t>
  </si>
  <si>
    <t xml:space="preserve">     Class 4 &amp; 5</t>
  </si>
  <si>
    <t>TKI000:batt_frt68</t>
  </si>
  <si>
    <t xml:space="preserve">     Class 6-8 Vocational</t>
  </si>
  <si>
    <t>TKI000:batt_frt78</t>
  </si>
  <si>
    <t xml:space="preserve">     Class 7&amp;8 Tractors</t>
  </si>
  <si>
    <t>TKI000:batt_frt2b3</t>
  </si>
  <si>
    <t xml:space="preserve">     Class 2b &amp; 3</t>
  </si>
  <si>
    <t>TKI000:batt_frthev</t>
  </si>
  <si>
    <t>Electricity Prices (2025 cents per kWh)</t>
  </si>
  <si>
    <t>TKI000:elp_light_trains</t>
  </si>
  <si>
    <t xml:space="preserve">   Light Trains</t>
  </si>
  <si>
    <t>TKI000:elp_ldv</t>
  </si>
  <si>
    <t>TKI000:elp_ldvhome</t>
  </si>
  <si>
    <t xml:space="preserve">     Home</t>
  </si>
  <si>
    <t>TKI000:elp_ldvpl2</t>
  </si>
  <si>
    <t xml:space="preserve">     Public Level 2 8/</t>
  </si>
  <si>
    <t>TKI000:elp_ldvdfcfc</t>
  </si>
  <si>
    <t xml:space="preserve">     Public DC Fast Charge 8/</t>
  </si>
  <si>
    <t>TKI000:elp_bus</t>
  </si>
  <si>
    <t xml:space="preserve">   Bus</t>
  </si>
  <si>
    <t>TKI000:elp_bussb</t>
  </si>
  <si>
    <t xml:space="preserve">     School</t>
  </si>
  <si>
    <t>TKI000:elp_bustr</t>
  </si>
  <si>
    <t xml:space="preserve">     Transit</t>
  </si>
  <si>
    <t>TKI000:elp_busin</t>
  </si>
  <si>
    <t xml:space="preserve">     Intercity</t>
  </si>
  <si>
    <t>TKI000:elp_frttrk</t>
  </si>
  <si>
    <t xml:space="preserve">   Freight truck</t>
  </si>
  <si>
    <t>TKI000:elp_frttrkf</t>
  </si>
  <si>
    <t xml:space="preserve">     Depot</t>
  </si>
  <si>
    <t>TKI000:elp_frttrkn</t>
  </si>
  <si>
    <t xml:space="preserve">     Public/Retail 8/</t>
  </si>
  <si>
    <t xml:space="preserve">   Commercial light truck</t>
  </si>
  <si>
    <t>TKI000:elp_cltf</t>
  </si>
  <si>
    <t>TKI000:elp_cltn</t>
  </si>
  <si>
    <t>TKI000:h2p_tdm</t>
  </si>
  <si>
    <t>Hydrogen Price (2025 dollars per kg)</t>
  </si>
  <si>
    <t>Natural Gas Prices (2025 dollars per mmBtu)</t>
  </si>
  <si>
    <t>TKI000:ngp_c_vehicles</t>
  </si>
  <si>
    <t>TKI000:ngp_c_veh_nonfleet</t>
  </si>
  <si>
    <t xml:space="preserve">      Public/Retail</t>
  </si>
  <si>
    <t>TKI000:ngp_c_veh_fleet</t>
  </si>
  <si>
    <t xml:space="preserve">      Depot</t>
  </si>
  <si>
    <t>TKI000:ngp_c_ship</t>
  </si>
  <si>
    <t xml:space="preserve">    Marine</t>
  </si>
  <si>
    <t>TKI000:ngp_c_ship_dome</t>
  </si>
  <si>
    <t xml:space="preserve">      Domestic</t>
  </si>
  <si>
    <t>TKI000:ngp_c_ship_inter</t>
  </si>
  <si>
    <t xml:space="preserve">      International</t>
  </si>
  <si>
    <t>TKI000:ngp_l_vehicles</t>
  </si>
  <si>
    <t>TKI000:ngp_l_veh_person</t>
  </si>
  <si>
    <t>TKI000:ngp_l_veh_fleet</t>
  </si>
  <si>
    <t>TKI000:ngp_l_rail_freig</t>
  </si>
  <si>
    <t xml:space="preserve">    Freight Rail</t>
  </si>
  <si>
    <t>TKI000:ngp_l_ship</t>
  </si>
  <si>
    <t>TKI000:ngp_l_ship_dome</t>
  </si>
  <si>
    <t>TKI000:ngp_l_ship_inter</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</si>
  <si>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</si>
  <si>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</si>
  <si>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</si>
  <si>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2/ CAFE standard based on projected new vehicle sales. CAFE is not enforced in AEO2026 due to the elimination of civil penalties.</t>
  </si>
  <si>
    <t>3/ Includes CAFE credits for alternative fueled vehicle sales, air-conditioning efficiency, and off-cycle technology.</t>
  </si>
  <si>
    <t>4/ U.S. Environmental Protection Agency (EPA) two-cycle tested miles per gallon.</t>
  </si>
  <si>
    <t>5/ New vehicle efficiency adjusted for on-road performance, based on EPA five-cycle testing.</t>
  </si>
  <si>
    <t>6/ Combined on-road estimate for all cars and light trucks.</t>
  </si>
  <si>
    <t>8/ Includes charging station operator markup.</t>
  </si>
  <si>
    <t>kWh = kilowatthours</t>
  </si>
  <si>
    <t>kg = kilograms</t>
  </si>
  <si>
    <t>Btu = British thermal unit</t>
  </si>
  <si>
    <t>row</t>
  </si>
  <si>
    <t>description</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</si>
  <si>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</si>
  <si>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</si>
  <si>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</si>
  <si>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</si>
  <si>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</si>
  <si>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</si>
  <si>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</si>
  <si>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</si>
  <si>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</si>
  <si>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</si>
  <si>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</si>
  <si>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</si>
  <si>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</si>
  <si>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</si>
  <si>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</si>
  <si>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</si>
  <si>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</si>
  <si>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</si>
  <si>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</si>
  <si>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</si>
  <si>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</si>
  <si>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</si>
  <si>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</si>
  <si>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</si>
  <si>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</si>
  <si>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</si>
  <si>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growth</t>
  </si>
  <si>
    <t>Light Medium, Medium, and Heavy Total</t>
  </si>
  <si>
    <t>2025, 2026</t>
  </si>
  <si>
    <t>Annual Energy Outlook</t>
  </si>
  <si>
    <t>AEO.2026.ELECTRNP.ECI_STK_NA_CLTR_NA_NA_NA_TH.A</t>
  </si>
  <si>
    <t>Fleet Stock: Commercial Light Trucks: Total: Alternative Electricity and Transportation</t>
  </si>
  <si>
    <t>Total Commercial Light Truck Stock</t>
  </si>
  <si>
    <t>AEO.2026.ELECTRNP.ECI_STK_NA_CLTR_HYDICE_NA_NA_TH.A</t>
  </si>
  <si>
    <t>Fleet Stock: Commercial Light Trucks: Hydrogen ICE: Alternative Electricity and Transportation</t>
  </si>
  <si>
    <t>AEO.2026.ELECTRNP.ECI_STK_NA_CLTR_GASHEV_NA_NA_TH.A</t>
  </si>
  <si>
    <t>Fleet Stock: Commercial Light Trucks: Gasoline Hybrid: Alternative Electricity and Transportation</t>
  </si>
  <si>
    <t>AEO.2026.ELECTRNP.ECI_STK_NA_CLTR_FEUCELBATDOM_NA_NA_TH.A</t>
  </si>
  <si>
    <t>Fleet Stock: Commercial Light Trucks: Fuel Cell Battery Dominant: Alternative Electricity and Transportation</t>
  </si>
  <si>
    <t>AEO.2026.ELECTRNP.ECI_STK_NA_CLTR_FUC_NA_NA_TH.A</t>
  </si>
  <si>
    <t>Fleet Stock: Commercial Light Trucks: Fuel Cell: Alternative Electricity and Transportation</t>
  </si>
  <si>
    <t>AEO.2026.ELECTRNP.ECI_STK_NA_CLTR_EDH_NA_NA_TH.A</t>
  </si>
  <si>
    <t>Fleet Stock: Commercial Light Trucks: Plug-in Diesel: Alternative Electricity and Transportation</t>
  </si>
  <si>
    <t>AEO.2026.ELECTRNP.ECI_STK_NA_CLTR_EGH_NA_NA_TH.A</t>
  </si>
  <si>
    <t>Fleet Stock: Commercial Light Trucks: Plug-in Gas: Alternative Electricity and Transportation</t>
  </si>
  <si>
    <t>AEO.2026.ELECTRNP.ECI_STK_NA_CLTR_ELE_NA_NA_TH.A</t>
  </si>
  <si>
    <t>Fleet Stock: Commercial Light Trucks: Electric: Alternative Electricity and Transportation</t>
  </si>
  <si>
    <t>AEO.2026.ELECTRNP.ECI_STK_NA_CLTR_EFFI_NA_NA_TH.A</t>
  </si>
  <si>
    <t>Fleet Stock: Commercial Light Trucks: Ethanol Flex: Alternative Electricity and Transportation</t>
  </si>
  <si>
    <t>AEO.2026.ELECTRNP.ECI_STK_NA_CLTR_NG_NA_NA_TH.A</t>
  </si>
  <si>
    <t>Fleet Stock: Commercial Light Trucks: CNG/LNG: Alternative Electricity and Transportation</t>
  </si>
  <si>
    <t>AEO.2026.ELECTRNP.ECI_STK_NA_CLTR_PROP_NA_NA_TH.A</t>
  </si>
  <si>
    <t>Fleet Stock: Commercial Light Trucks: Propane: Alternative Electricity and Transportation</t>
  </si>
  <si>
    <t>AEO.2026.ELECTRNP.ECI_STK_NA_CLTR_TDS_NA_NA_TH.A</t>
  </si>
  <si>
    <t>Fleet Stock: Commercial Light Trucks: TDI Diesel: Alternative Electricity and Transportation</t>
  </si>
  <si>
    <t>AEO.2026.ELECTRNP.ECI_STK_NA_CLTR_GSL_NA_NA_TH.A</t>
  </si>
  <si>
    <t>Fleet Stock: Commercial Light Trucks: Gasoline: Alternative Electricity and Transportation</t>
  </si>
  <si>
    <t>AEO.2026.ELECTRNP.ECI_STK_NA_NA_NA_NA_NA_TH.A</t>
  </si>
  <si>
    <t>Fleet Stock: Total Fleet Vehicles: Alternative Electricity and Transportation</t>
  </si>
  <si>
    <t>AEO.2026.ELECTRNP.ECI_STK_NA_FLTR_NA_NA_NA_TH.A</t>
  </si>
  <si>
    <t>Fleet Vehicle Stock: Light Trucks: Total: Alternative Electricity and Transportation</t>
  </si>
  <si>
    <t>Total Light Truck Stock</t>
  </si>
  <si>
    <t>AEO.2026.ELECTRNP.ECI_STK_ALF1_FLTR_NA_NA_NA_TH.A</t>
  </si>
  <si>
    <t>Fleet Vehicle Stock: Alternative-Fuel Light Trucks: Total: Alternative Electricity and Transportation</t>
  </si>
  <si>
    <t>AEO.2026.ELECTRNP.ECI_STK_ALF1_FLTR_FCH_NA_NA_TH.A</t>
  </si>
  <si>
    <t>Fleet Vehicle Stock: Alternative-Fuel Light Trucks: Fuel Cell Hydrogen: Alternative Electricity and Transportation</t>
  </si>
  <si>
    <t>AEO.2026.ELECTRNP.ECI_STK_ALF1_FLTR_EGH_NA_NA_TH.A</t>
  </si>
  <si>
    <t>Fleet Vehicle Stock: Alternative-Fuel Light Trucks: Electric-Gasoline Hybrid: Alternative Electricity and Transportation</t>
  </si>
  <si>
    <t>AEO.2026.ELECTRNP.ECI_STK_ALF1_FLTR_PI50GH_NA_NA_TH.A</t>
  </si>
  <si>
    <t>Fleet Vehicle Stock: Alternative-Fuel Light Trucks: Plug-in 50 Gasoline Hybrid: Alternative Electricity and Transportation</t>
  </si>
  <si>
    <t>AEO.2026.ELECTRNP.ECI_STK_ALF1_FLTR_PI20GH_NA_NA_TH.A</t>
  </si>
  <si>
    <t>Fleet Vehicle Stock: Alternative-Fuel Light Trucks: Plug-in 20 Gasoline Hybrid: Alternative Electricity and Transportation</t>
  </si>
  <si>
    <t>AEO.2026.ELECTRNP.ECI_STK_ALF1_FLTR_300MIEV_NA_NA_TH.A</t>
  </si>
  <si>
    <t>Fleet Vehicle Stock: Alternative-Fuel Light Trucks: 300-Mile Electric Vehicle: Alternative Electricity and Transportation</t>
  </si>
  <si>
    <t>AEO.2026.ELECTRNP.ECI_STK_ALF1_FLTR_200MIEV_NA_NA_TH.A</t>
  </si>
  <si>
    <t>Fleet Vehicle Stock: Alternative-Fuel Light Trucks: 200-Mile Electric Vehicle: Alternative Electricity and Transportation</t>
  </si>
  <si>
    <t>AEO.2026.ELECTRNP.ECI_STK_ALF1_FLTR_100MIEV_NA_NA_TH.A</t>
  </si>
  <si>
    <t>Fleet Vehicle Stock: Alternative-Fuel Light Trucks: 100-Mile Electric Vehicle: Alternative Electricity and Transportation</t>
  </si>
  <si>
    <t>AEO.2026.ELECTRNP.ECI_STK_ALF1_FLTR_EFFI_NA_NA_TH.A</t>
  </si>
  <si>
    <t>Fleet Vehicle Stock: Alternative-Fuel Light Trucks: Ethanol-Flex Fuel ICE: Alternative Electricity and Transportation</t>
  </si>
  <si>
    <t>AEO.2026.ELECTRNP.ECI_STK_CNV_FLTR_NA_NA_NA_TH.A</t>
  </si>
  <si>
    <t>Fleet Vehicle Stock: Conventional Light Trucks: Total: Alternative Electricity and Transportation</t>
  </si>
  <si>
    <t>AEO.2026.ELECTRNP.ECI_STK_CNV_FLTR_TDS_NA_NA_TH.A</t>
  </si>
  <si>
    <t>Fleet Vehicle Stock: Conventional Light Trucks: TDI Diesel: Alternative Electricity and Transportation</t>
  </si>
  <si>
    <t>AEO.2026.ELECTRNP.ECI_STK_CNV_FLTR_GSL_NA_NA_TH.A</t>
  </si>
  <si>
    <t>Fleet Vehicle Stock: Conventional Light Trucks: Gasoline: Alternative Electricity and Transportation</t>
  </si>
  <si>
    <t>Light Truck Stock</t>
  </si>
  <si>
    <t>AEO.2026.ELECTRNP.ECI_STK_NA_FLC_NA_NA_NA_TH.A</t>
  </si>
  <si>
    <t>Fleet Vehicle Stock: Cars: Total: Alternative Electricity and Transportation</t>
  </si>
  <si>
    <t>Total Car Stock</t>
  </si>
  <si>
    <t>AEO.2026.ELECTRNP.ECI_STK_ALF1_FLC_NA_NA_NA_TH.A</t>
  </si>
  <si>
    <t>Fleet Vehicle Stock: Alternative-Fuel Cars: Total: Alternative Electricity and Transportation</t>
  </si>
  <si>
    <t>AEO.2026.ELECTRNP.ECI_STK_ALF1_FLC_FCH_NA_NA_TH.A</t>
  </si>
  <si>
    <t>Fleet Vehicle Stock: Alternative-Fuel Cars: Fuel Cell Hydrogen: Alternative Electricity and Transportation</t>
  </si>
  <si>
    <t>AEO.2026.ELECTRNP.ECI_STK_ALF1_FLC_EGH_NA_NA_TH.A</t>
  </si>
  <si>
    <t>Fleet Vehicle Stock: Alternative-Fuel Cars: Electric-Gasoline Hybrid: Alternative Electricity and Transportation</t>
  </si>
  <si>
    <t>AEO.2026.ELECTRNP.ECI_STK_ALF1_FLC_PI50GH_NA_NA_TH.A</t>
  </si>
  <si>
    <t>Fleet Vehicle Stock: Alternative-Fuel Cars: Plug-in 50 Gasoline Hybrid: Alternative Electricity and Transportation</t>
  </si>
  <si>
    <t>AEO.2026.ELECTRNP.ECI_STK_ALF1_FLC_PI20GH_NA_NA_TH.A</t>
  </si>
  <si>
    <t>Fleet Vehicle Stock: Alternative-Fuel Cars: Plug-in 20 Gasoline Hybrid: Alternative Electricity and Transportation</t>
  </si>
  <si>
    <t>AEO.2026.ELECTRNP.ECI_STK_ALF1_FLC_300MIEV_NA_NA_TH.A</t>
  </si>
  <si>
    <t>Fleet Vehicle Stock: Alternative-Fuel Cars: 300-Mile Electric Vehicle: Alternative Electricity and Transportation</t>
  </si>
  <si>
    <t>AEO.2026.ELECTRNP.ECI_STK_ALF1_FLC_200MIEV_NA_NA_TH.A</t>
  </si>
  <si>
    <t>Fleet Vehicle Stock: Alternative-Fuel Cars: 200-Mile Electric Vehicle: Alternative Electricity and Transportation</t>
  </si>
  <si>
    <t>AEO.2026.ELECTRNP.ECI_STK_ALF1_FLC_100MIEV_NA_NA_TH.A</t>
  </si>
  <si>
    <t>Fleet Vehicle Stock: Alternative-Fuel Cars: 100-Mile Electric Vehicle: Alternative Electricity and Transportation</t>
  </si>
  <si>
    <t>AEO.2026.ELECTRNP.ECI_STK_ALF1_FLC_EFFI_NA_NA_TH.A</t>
  </si>
  <si>
    <t>Fleet Vehicle Stock: Alternative-Fuel Cars: Ethanol-Flex Fuel ICE: Alternative Electricity and Transportation</t>
  </si>
  <si>
    <t>AEO.2026.ELECTRNP.ECI_STK_CNV_FLC_NA_NA_NA_TH.A</t>
  </si>
  <si>
    <t>Fleet Vehicle Stock: Conventional Cars: Total: Alternative Electricity and Transportation</t>
  </si>
  <si>
    <t>AEO.2026.ELECTRNP.ECI_STK_CNV_FLC_TDS_NA_NA_TH.A</t>
  </si>
  <si>
    <t>Fleet Vehicle Stock: Conventional Cars: TDI Diesel: Alternative Electricity and Transportation</t>
  </si>
  <si>
    <t>AEO.2026.ELECTRNP.ECI_STK_CNV_FLC_GSL_NA_NA_TH.A</t>
  </si>
  <si>
    <t>Fleet Vehicle Stock: Conventional Cars: Gasoline: Alternative Electricity and Transportation</t>
  </si>
  <si>
    <t>Car Stock</t>
  </si>
  <si>
    <t>Growth (2025-2050)</t>
  </si>
  <si>
    <t>Thu Apr 23 2026 15:04:58 GMT-0700 (Pacific Daylight Time)</t>
  </si>
  <si>
    <t>https://www.eia.gov/outlooks/aeo/data/browser/#/?id=55-AEO2026&amp;cases=electrnp&amp;sourcekey=0</t>
  </si>
  <si>
    <t>Table 45.  Transportation Fleet Car and Truck Stock by Type and Technology</t>
  </si>
  <si>
    <t>AEO.2025.ALTTRNP.ECI_STK_NA_CLTR_NA_NA_NA_TH.A</t>
  </si>
  <si>
    <t>Fleet Stock: Commercial Light Trucks: Total: Alternative Transportation</t>
  </si>
  <si>
    <t>AEO.2025.ALTTRNP.ECI_STK_NA_CLTR_HYDICE_NA_NA_TH.A</t>
  </si>
  <si>
    <t>Fleet Stock: Commercial Light Trucks: Hydrogen ICE: Alternative Transportation</t>
  </si>
  <si>
    <t>AEO.2025.ALTTRNP.ECI_STK_NA_CLTR_GASHEV_NA_NA_TH.A</t>
  </si>
  <si>
    <t>Fleet Stock: Commercial Light Trucks: Gasoline Hybrid: Alternative Transportation</t>
  </si>
  <si>
    <t>AEO.2025.ALTTRNP.ECI_STK_NA_CLTR_FEUCELBATDOM_NA_NA_TH.A</t>
  </si>
  <si>
    <t>Fleet Stock: Commercial Light Trucks: Fuel Cell Battery Dominant: Alternative Transportation</t>
  </si>
  <si>
    <t>AEO.2025.ALTTRNP.ECI_STK_NA_CLTR_FUC_NA_NA_TH.A</t>
  </si>
  <si>
    <t>Fleet Stock: Commercial Light Trucks: Fuel Cell: Alternative Transportation</t>
  </si>
  <si>
    <t>AEO.2025.ALTTRNP.ECI_STK_NA_CLTR_EDH_NA_NA_TH.A</t>
  </si>
  <si>
    <t>Fleet Stock: Commercial Light Trucks: Plug-in Diesel: Alternative Transportation</t>
  </si>
  <si>
    <t>AEO.2025.ALTTRNP.ECI_STK_NA_CLTR_EGH_NA_NA_TH.A</t>
  </si>
  <si>
    <t>Fleet Stock: Commercial Light Trucks: Plug-in Gas: Alternative Transportation</t>
  </si>
  <si>
    <t>AEO.2025.ALTTRNP.ECI_STK_NA_CLTR_ELE_NA_NA_TH.A</t>
  </si>
  <si>
    <t>Fleet Stock: Commercial Light Trucks: Electric: Alternative Transportation</t>
  </si>
  <si>
    <t>AEO.2025.ALTTRNP.ECI_STK_NA_CLTR_EFFI_NA_NA_TH.A</t>
  </si>
  <si>
    <t>Fleet Stock: Commercial Light Trucks: Ethanol Flex: Alternative Transportation</t>
  </si>
  <si>
    <t>AEO.2025.ALTTRNP.ECI_STK_NA_CLTR_NG_NA_NA_TH.A</t>
  </si>
  <si>
    <t>Fleet Stock: Commercial Light Trucks: CNG/LNG: Alternative Transportation</t>
  </si>
  <si>
    <t>AEO.2025.ALTTRNP.ECI_STK_NA_CLTR_PROP_NA_NA_TH.A</t>
  </si>
  <si>
    <t>Fleet Stock: Commercial Light Trucks: Propane: Alternative Transportation</t>
  </si>
  <si>
    <t>AEO.2025.ALTTRNP.ECI_STK_NA_CLTR_TDS_NA_NA_TH.A</t>
  </si>
  <si>
    <t>Fleet Stock: Commercial Light Trucks: TDI Diesel: Alternative Transportation</t>
  </si>
  <si>
    <t>AEO.2025.ALTTRNP.ECI_STK_NA_CLTR_GSL_NA_NA_TH.A</t>
  </si>
  <si>
    <t>Fleet Stock: Commercial Light Trucks: Gasoline: Alternative Transportation</t>
  </si>
  <si>
    <t>AEO.2025.ALTTRNP.ECI_STK_NA_NA_NA_NA_NA_TH.A</t>
  </si>
  <si>
    <t>Fleet Stock: Total Fleet Vehicles: Alternative Transportation</t>
  </si>
  <si>
    <t>AEO.2025.ALTTRNP.ECI_STK_NA_FLTR_NA_NA_NA_TH.A</t>
  </si>
  <si>
    <t>Fleet Vehicle Stock: Light Trucks: Total: Alternative Transportation</t>
  </si>
  <si>
    <t>AEO.2025.ALTTRNP.ECI_STK_ALF1_FLTR_NA_NA_NA_TH.A</t>
  </si>
  <si>
    <t>Fleet Vehicle Stock: Alternative-Fuel Light Trucks: Total: Alternative Transportation</t>
  </si>
  <si>
    <t>AEO.2025.ALTTRNP.ECI_STK_ALF1_FLTR_FCH_NA_NA_TH.A</t>
  </si>
  <si>
    <t>Fleet Vehicle Stock: Alternative-Fuel Light Trucks: Fuel Cell Hydrogen: Alternative Transportation</t>
  </si>
  <si>
    <t>AEO.2025.ALTTRNP.ECI_STK_ALF1_FLTR_FCLMTH_NA_NA_TH.A</t>
  </si>
  <si>
    <t>Fleet Vehicle Stock: Alternative-Fuel Light Trucks: Fuel Cell Methanol: Alternative Transportation</t>
  </si>
  <si>
    <t>AEO.2025.ALTTRNP.ECI_STK_ALF1_FLTR_PBF_NA_NA_TH.A</t>
  </si>
  <si>
    <t>Fleet Vehicle Stock: Alternative-Fuel Light Trucks: Propane Bi-fuel: Alternative Transportation</t>
  </si>
  <si>
    <t>AEO.2025.ALTTRNP.ECI_STK_ALF1_FLTR_PROP_NA_NA_TH.A</t>
  </si>
  <si>
    <t>Fleet Vehicle Stock: Alternative-Fuel Light Trucks: Propane ICE: Alternative Transportation</t>
  </si>
  <si>
    <t>AEO.2025.ALTTRNP.ECI_STK_ALF1_FLTR_NBF_NA_NA_TH.A</t>
  </si>
  <si>
    <t>Fleet Vehicle Stock: Alternative-Fuel Light Trucks: Natural Gas Bi-fuel: Alternative Transportation</t>
  </si>
  <si>
    <t>AEO.2025.ALTTRNP.ECI_STK_ALF1_FLTR_NGI_NA_NA_TH.A</t>
  </si>
  <si>
    <t>Fleet Vehicle Stock: Alternative-Fuel Light Trucks: Natural Gas ICE: Alternative Transportation</t>
  </si>
  <si>
    <t>AEO.2025.ALTTRNP.ECI_STK_ALF1_FLTR_EGH_NA_NA_TH.A</t>
  </si>
  <si>
    <t>Fleet Vehicle Stock: Alternative-Fuel Light Trucks: Electric-Gasoline Hybrid: Alternative Transportation</t>
  </si>
  <si>
    <t>AEO.2025.ALTTRNP.ECI_STK_ALF1_FLTR_EDH_NA_NA_TH.A</t>
  </si>
  <si>
    <t>Fleet Vehicle Stock: Alternative-Fuel Light Trucks: Electric-Diesel Hybrid: Alternative Transportation</t>
  </si>
  <si>
    <t>AEO.2025.ALTTRNP.ECI_STK_ALF1_FLTR_PI50GH_NA_NA_TH.A</t>
  </si>
  <si>
    <t>Fleet Vehicle Stock: Alternative-Fuel Light Trucks: Plug-in 50 Gasoline Hybrid: Alternative Transportation</t>
  </si>
  <si>
    <t>AEO.2025.ALTTRNP.ECI_STK_ALF1_FLTR_PI20GH_NA_NA_TH.A</t>
  </si>
  <si>
    <t>Fleet Vehicle Stock: Alternative-Fuel Light Trucks: Plug-in 20 Gasoline Hybrid: Alternative Transportation</t>
  </si>
  <si>
    <t>AEO.2025.ALTTRNP.ECI_STK_ALF1_FLTR_300MIEV_NA_NA_TH.A</t>
  </si>
  <si>
    <t>Fleet Vehicle Stock: Alternative-Fuel Light Trucks: 300-Mile Electric Vehicle: Alternative Transportation</t>
  </si>
  <si>
    <t>AEO.2025.ALTTRNP.ECI_STK_ALF1_FLTR_200MIEV_NA_NA_TH.A</t>
  </si>
  <si>
    <t>Fleet Vehicle Stock: Alternative-Fuel Light Trucks: 200-Mile Electric Vehicle: Alternative Transportation</t>
  </si>
  <si>
    <t>AEO.2025.ALTTRNP.ECI_STK_ALF1_FLTR_100MIEV_NA_NA_TH.A</t>
  </si>
  <si>
    <t>Fleet Vehicle Stock: Alternative-Fuel Light Trucks: 100-Mile Electric Vehicle: Alternative Transportation</t>
  </si>
  <si>
    <t>AEO.2025.ALTTRNP.ECI_STK_ALF1_FLTR_EFFI_NA_NA_TH.A</t>
  </si>
  <si>
    <t>Fleet Vehicle Stock: Alternative-Fuel Light Trucks: Ethanol-Flex Fuel ICE: Alternative Transportation</t>
  </si>
  <si>
    <t>AEO.2025.ALTTRNP.ECI_STK_CNV_FLTR_NA_NA_NA_TH.A</t>
  </si>
  <si>
    <t>Fleet Vehicle Stock: Conventional Light Trucks: Total: Alternative Transportation</t>
  </si>
  <si>
    <t>AEO.2025.ALTTRNP.ECI_STK_CNV_FLTR_TDS_NA_NA_TH.A</t>
  </si>
  <si>
    <t>Fleet Vehicle Stock: Conventional Light Trucks: TDI Diesel: Alternative Transportation</t>
  </si>
  <si>
    <t>AEO.2025.ALTTRNP.ECI_STK_CNV_FLTR_GSL_NA_NA_TH.A</t>
  </si>
  <si>
    <t>Fleet Vehicle Stock: Conventional Light Trucks: Gasoline: Alternative Transportation</t>
  </si>
  <si>
    <t>AEO.2025.ALTTRNP.ECI_STK_NA_FLC_NA_NA_NA_TH.A</t>
  </si>
  <si>
    <t>Fleet Vehicle Stock: Cars: Total: Alternative Transportation</t>
  </si>
  <si>
    <t>AEO.2025.ALTTRNP.ECI_STK_ALF1_FLC_NA_NA_NA_TH.A</t>
  </si>
  <si>
    <t>Fleet Vehicle Stock: Alternative-Fuel Cars: Total: Alternative Transportation</t>
  </si>
  <si>
    <t>AEO.2025.ALTTRNP.ECI_STK_ALF1_FLC_FCH_NA_NA_TH.A</t>
  </si>
  <si>
    <t>Fleet Vehicle Stock: Alternative-Fuel Cars: Fuel Cell Hydrogen: Alternative Transportation</t>
  </si>
  <si>
    <t>AEO.2025.ALTTRNP.ECI_STK_ALF1_FLC_FCLMTH_NA_NA_TH.A</t>
  </si>
  <si>
    <t>Fleet Vehicle Stock: Alternative-Fuel Cars: Fuel Cell Methanol: Alternative Transportation</t>
  </si>
  <si>
    <t>AEO.2025.ALTTRNP.ECI_STK_ALF1_FLC_PBF_NA_NA_TH.A</t>
  </si>
  <si>
    <t>Fleet Vehicle Stock: Alternative-Fuel Cars: Propane Bi-fuel: Alternative Transportation</t>
  </si>
  <si>
    <t>AEO.2025.ALTTRNP.ECI_STK_ALF1_FLC_PROP_NA_NA_TH.A</t>
  </si>
  <si>
    <t>Fleet Vehicle Stock: Alternative-Fuel Cars: Propane ICE: Alternative Transportation</t>
  </si>
  <si>
    <t>AEO.2025.ALTTRNP.ECI_STK_ALF1_FLC_NBF_NA_NA_TH.A</t>
  </si>
  <si>
    <t>Fleet Vehicle Stock: Alternative-Fuel Cars: Natural Gas Bi-fuel: Alternative Transportation</t>
  </si>
  <si>
    <t>AEO.2025.ALTTRNP.ECI_STK_ALF1_FLC_NGI_NA_NA_TH.A</t>
  </si>
  <si>
    <t>Fleet Vehicle Stock: Alternative-Fuel Cars: Natural Gas ICE: Alternative Transportation</t>
  </si>
  <si>
    <t>AEO.2025.ALTTRNP.ECI_STK_ALF1_FLC_EGH_NA_NA_TH.A</t>
  </si>
  <si>
    <t>Fleet Vehicle Stock: Alternative-Fuel Cars: Electric-Gasoline Hybrid: Alternative Transportation</t>
  </si>
  <si>
    <t>AEO.2025.ALTTRNP.ECI_STK_ALF1_FLC_EDH_NA_NA_TH.A</t>
  </si>
  <si>
    <t>Fleet Vehicle Stock: Alternative-Fuel Cars: Electric-Diesel Hybrid: Alternative Transportation</t>
  </si>
  <si>
    <t>AEO.2025.ALTTRNP.ECI_STK_ALF1_FLC_PI50GH_NA_NA_TH.A</t>
  </si>
  <si>
    <t>Fleet Vehicle Stock: Alternative-Fuel Cars: Plug-in 50 Gasoline Hybrid: Alternative Transportation</t>
  </si>
  <si>
    <t>AEO.2025.ALTTRNP.ECI_STK_ALF1_FLC_PI20GH_NA_NA_TH.A</t>
  </si>
  <si>
    <t>Fleet Vehicle Stock: Alternative-Fuel Cars: Plug-in 20 Gasoline Hybrid: Alternative Transportation</t>
  </si>
  <si>
    <t>AEO.2025.ALTTRNP.ECI_STK_ALF1_FLC_300MIEV_NA_NA_TH.A</t>
  </si>
  <si>
    <t>Fleet Vehicle Stock: Alternative-Fuel Cars: 300-Mile Electric Vehicle: Alternative Transportation</t>
  </si>
  <si>
    <t>AEO.2025.ALTTRNP.ECI_STK_ALF1_FLC_200MIEV_NA_NA_TH.A</t>
  </si>
  <si>
    <t>Fleet Vehicle Stock: Alternative-Fuel Cars: 200-Mile Electric Vehicle: Alternative Transportation</t>
  </si>
  <si>
    <t>AEO.2025.ALTTRNP.ECI_STK_ALF1_FLC_100MIEV_NA_NA_TH.A</t>
  </si>
  <si>
    <t>Fleet Vehicle Stock: Alternative-Fuel Cars: 100-Mile Electric Vehicle: Alternative Transportation</t>
  </si>
  <si>
    <t>AEO.2025.ALTTRNP.ECI_STK_ALF1_FLC_EFFI_NA_NA_TH.A</t>
  </si>
  <si>
    <t>Fleet Vehicle Stock: Alternative-Fuel Cars: Ethanol-Flex Fuel ICE: Alternative Transportation</t>
  </si>
  <si>
    <t>AEO.2025.ALTTRNP.ECI_STK_CNV_FLC_NA_NA_NA_TH.A</t>
  </si>
  <si>
    <t>Fleet Vehicle Stock: Conventional Cars: Total: Alternative Transportation</t>
  </si>
  <si>
    <t>AEO.2025.ALTTRNP.ECI_STK_CNV_FLC_TDS_NA_NA_TH.A</t>
  </si>
  <si>
    <t>Fleet Vehicle Stock: Conventional Cars: TDI Diesel: Alternative Transportation</t>
  </si>
  <si>
    <t>AEO.2025.ALTTRNP.ECI_STK_CNV_FLC_GSL_NA_NA_TH.A</t>
  </si>
  <si>
    <t>Fleet Vehicle Stock: Conventional Cars: Gasoline: Alternative Transportation</t>
  </si>
  <si>
    <t>Fri Dec 05 2025 14:50:52 GMT-0800 (Pacific Standard Time)</t>
  </si>
  <si>
    <t>https://www.eia.gov/outlooks/aeo/data/browser/#/?id=55-AEO2025&amp;cases=alttrnp&amp;sourcekey=0</t>
  </si>
  <si>
    <t>AEO.2026.ELECTRNP.CNSM_NA_AIRT_MILT_JFL_NA_USA_TRLBTU.A</t>
  </si>
  <si>
    <t>Air Travel: Fuel Use: Military: Jet Fuel: U.S.: Alternative Electricity and Transportation</t>
  </si>
  <si>
    <t>AEO.2026.ELECTRNP.CNSM_NA_AIRT_COMM_AVGA_NA_USA_TRLBTU.A</t>
  </si>
  <si>
    <t>Air Travel: Fuel Use: Commercial: Aviation Gasoline: U.S.: Alternative Electricity and Transportation</t>
  </si>
  <si>
    <t>AEO.2026.ELECTRNP.CNSM_NA_AIRT_COMM_JFL_NA_WRLD_TRLBTU.A</t>
  </si>
  <si>
    <t>Air Travel: Fuel Use: Commercial: Jet Fuel: World: Alternative Electricity and Transportation</t>
  </si>
  <si>
    <t>AEO.2026.ELECTRNP.CNSM_NA_AIRT_COMM_JFL_NA_ONOAS_TRLBTU.A</t>
  </si>
  <si>
    <t>Air Travel: Fuel Use: Commercial: Jet Fuel: Other Americas: Alternative Electricity and Transportation</t>
  </si>
  <si>
    <t>AEO.2026.ELECTRNP.CNSM_NA_AIRT_COMM_JFL_NA_BRZ_TRLBTU.A</t>
  </si>
  <si>
    <t>Air Travel: Fuel Use: Commercial: Jet Fuel: Brazil: Alternative Electricity and Transportation</t>
  </si>
  <si>
    <t>AEO.2026.ELECTRNP.CNSM_NA_AIRT_COMM_JFL_NA_AFR_TRLBTU.A</t>
  </si>
  <si>
    <t>Air Travel: Fuel Use: Commercial: Jet Fuel: Africa: Alternative Electricity and Transportation</t>
  </si>
  <si>
    <t>AEO.2026.ELECTRNP.CNSM_NA_AIRT_COMM_JFL_NA_MDE_TRLBTU.A</t>
  </si>
  <si>
    <t>Air Travel: Fuel Use: Commercial: Jet Fuel: Middle East: Alternative Electricity and Transportation</t>
  </si>
  <si>
    <t>AEO.2026.ELECTRNP.CNSM_NA_AIRT_COMM_JFL_NA_ONCDAS_TRLBTU.A</t>
  </si>
  <si>
    <t>Air Travel: Fuel Use: Commercial: Jet Fuel: Other Asia Pacific: Alternative Electricity and Transportation</t>
  </si>
  <si>
    <t>AEO.2026.ELECTRNP.CNSM_NA_AIRT_COMM_JFL_NA_IND_TRLBTU.A</t>
  </si>
  <si>
    <t>Air Travel: Fuel Use: Commercial: Jet Fuel: India: Alternative Electricity and Transportation</t>
  </si>
  <si>
    <t>AEO.2026.ELECTRNP.CNSM_NA_AIRT_COMM_JFL_NA_CHN_TRLBTU.A</t>
  </si>
  <si>
    <t>Air Travel: Fuel Use: Commercial: Jet Fuel: China: Alternative Electricity and Transportation</t>
  </si>
  <si>
    <t>AEO.2026.ELECTRNP.CNSM_NA_AIRT_COMM_JFL_NA_OEUAS_TRLBTU.A</t>
  </si>
  <si>
    <t>Air Travel: Fuel Use: Commercial: Jet Fuel: Eastern Europe and Eurasia: Alternative Electricity and Transportation</t>
  </si>
  <si>
    <t>AEO.2026.ELECTRNP.CNSM_NA_AIRT_COMM_JFL_NA_RUS_TRLBTU.A</t>
  </si>
  <si>
    <t>Air Travel: Fuel Use: Commercial: Jet Fuel: Russia: Alternative Electricity and Transportation</t>
  </si>
  <si>
    <t>AEO.2026.ELECTRNP.CNSM_NA_AIRT_COMM_JFL_NA_SOK_TRLBTU.A</t>
  </si>
  <si>
    <t>Air Travel: Fuel Use: Commercial: Jet Fuel: South Korea: Alternative Electricity and Transportation</t>
  </si>
  <si>
    <t>AEO.2026.ELECTRNP.CNSM_NA_AIRT_COMM_JFL_NA_AUNZ_TRLBTU.A</t>
  </si>
  <si>
    <t>Air Travel: Fuel Use: Commercial: Jet Fuel: Australia and New Zealand: Alternative Electricity and Transportation</t>
  </si>
  <si>
    <t>AEO.2026.ELECTRNP.CNSM_NA_AIRT_COMM_JFL_NA_JPN_TRLBTU.A</t>
  </si>
  <si>
    <t>Air Travel: Fuel Use: Commercial: Jet Fuel: Japan: Alternative Electricity and Transportation</t>
  </si>
  <si>
    <t>AEO.2026.ELECTRNP.CNSM_NA_AIRT_COMM_JFL_NA_OCDEU_TRLBTU.A</t>
  </si>
  <si>
    <t>Air Travel: Fuel Use: Commercial: Jet Fuel: Western Europe: Alternative Electricity and Transportation</t>
  </si>
  <si>
    <t>AEO.2026.ELECTRNP.CNSM_NA_AIRT_COMM_JFL_NA_MAOOAS_TRLBTU.A</t>
  </si>
  <si>
    <t>Air Travel: Fuel Use: Commercial: Jet Fuel: Mexico: Alternative Electricity and Transportation</t>
  </si>
  <si>
    <t>AEO.2026.ELECTRNP.CNSM_NA_AIRT_COMM_JFL_NA_CAN_TRLBTU.A</t>
  </si>
  <si>
    <t>Air Travel: Fuel Use: Commercial: Jet Fuel: Canada: Alternative Electricity and Transportation</t>
  </si>
  <si>
    <t>AEO.2026.ELECTRNP.CNSM_NA_AIRT_COMM_JFL_NA_USA_TRLBTU.A</t>
  </si>
  <si>
    <t>Air Travel: Fuel Use: Commercial: Jet Fuel: U.S.: Alternative Electricity and Transportation</t>
  </si>
  <si>
    <t>AEO.2026.ELECTRNP.EFI_STK_AIRT_NA_NA_NA_USA_SEATMPG.A</t>
  </si>
  <si>
    <t>Air Travel: Aircraft Stock Efficiency: Average Aircraft: Alternative Electricity and Transportation</t>
  </si>
  <si>
    <t>AEO.2026.ELECTRNP.EFI_STK_AIRT_REGJ_NA_NA_USA_SEATMPG.A</t>
  </si>
  <si>
    <t>Air Travel: Aircraft Stock Efficiency: Regional Jets: Alternative Electricity and Transportation</t>
  </si>
  <si>
    <t>AEO.2026.ELECTRNP.EFI_STK_AIRT_WBE_NA_NA_USA_SEATMPG.A</t>
  </si>
  <si>
    <t>Air Travel: Aircraft Stock Efficiency: Wide Body Aircraft: Alternative Electricity and Transportation</t>
  </si>
  <si>
    <t>AEO.2026.ELECTRNP.EFI_STK_AIRT_NBTR_NA_NA_USA_SEATMPG.A</t>
  </si>
  <si>
    <t>Air Travel: Aircraft Stock Efficiency: Narrow Body Aircraft: Alternative Electricity and Transportation</t>
  </si>
  <si>
    <t>AEO.2026.ELECTRNP.EFI_NEW_AIRT_NA_NA_NA_USA_SEATMPG.A</t>
  </si>
  <si>
    <t>Air Travel: New Aircraft Efficiency: Average Aircraft: Alternative Electricity and Transportation</t>
  </si>
  <si>
    <t>AEO.2026.ELECTRNP.EFI_NEW_AIRT_REGJ_NA_NA_USA_SEATMPG.A</t>
  </si>
  <si>
    <t>Air Travel: New Aircraft Efficiency: Regional Jets: Alternative Electricity and Transportation</t>
  </si>
  <si>
    <t>AEO.2026.ELECTRNP.EFI_NEW_AIRT_WBE_NA_NA_USA_SEATMPG.A</t>
  </si>
  <si>
    <t>Air Travel: New Aircraft Efficiency: Wide Body Aircraft: Alternative Electricity and Transportation</t>
  </si>
  <si>
    <t>AEO.2026.ELECTRNP.EFI_NEW_AIRT_NBTR_NA_NA_USA_SEATMPG.A</t>
  </si>
  <si>
    <t>Air Travel: New Aircraft Efficiency: Narrow Body Aircraft: Alternative Electricity and Transportation</t>
  </si>
  <si>
    <t>AEO.2026.ELECTRNP.ECI_ACFTDELIV_AIRT_NA_NA_NA_WRLD_UNIT.A</t>
  </si>
  <si>
    <t>Air Travel: Aircraft Deliveries: World: Alternative Electricity and Transportation</t>
  </si>
  <si>
    <t>AEO.2026.ELECTRNP.ECI_ACFTDELIV_AIRT_REGJ_NA_NA_WRLD_UNIT.A</t>
  </si>
  <si>
    <t>Air Travel: Aircraft Deliveries: World: Regional Jets: Alternative Electricity and Transportation</t>
  </si>
  <si>
    <t>AEO.2026.ELECTRNP.ECI_ACFTDELIV_AIRT_WBE_NA_NA_WRLD_UNIT.A</t>
  </si>
  <si>
    <t>Air Travel: Aircraft Deliveries: World: Wide Body Aircraft: Alternative Electricity and Transportation</t>
  </si>
  <si>
    <t>AEO.2026.ELECTRNP.ECI_ACFTDELIV_AIRT_NBTR_NA_NA_WRLD_UNIT.A</t>
  </si>
  <si>
    <t>Air Travel: Aircraft Deliveries: World: Narrow Body Aircraft: Alternative Electricity and Transportation</t>
  </si>
  <si>
    <t>AEO.2026.ELECTRNP.ECI_ACFTDELIV_AIRT_REGJ_NA_NA_ONOAS_UNIT.A</t>
  </si>
  <si>
    <t>Air Travel: Aircraft Deliveries: Other Americas: Regional Jets: Alternative Electricity and Transportation</t>
  </si>
  <si>
    <t>AEO.2026.ELECTRNP.ECI_ACFTDELIV_AIRT_WBE_NA_NA_ONOAS_UNIT.A</t>
  </si>
  <si>
    <t>Air Travel: Aircraft Deliveries: Other Americas: Wide Body Aircraft: Alternative Electricity and Transportation</t>
  </si>
  <si>
    <t>AEO.2026.ELECTRNP.ECI_ACFTDELIV_AIRT_NBTR_NA_NA_ONOAS_UNIT.A</t>
  </si>
  <si>
    <t>Air Travel: Aircraft Deliveries: Other Americas: Narrow Body Aircraft: Alternative Electricity and Transportation</t>
  </si>
  <si>
    <t>AEO.2026.ELECTRNP.ECI_ACFTDELIV_AIRT_NA_NA_NA_ONOAS_UNIT.A</t>
  </si>
  <si>
    <t>Air Travel: Aircraft Deliveries: Other Americas: Alternative Electricity and Transportation</t>
  </si>
  <si>
    <t>AEO.2026.ELECTRNP.ECI_ACFTDELIV_AIRT_REGJ_NA_NA_BRZ_UNIT.A</t>
  </si>
  <si>
    <t>Air Travel: Aircraft Deliveries: Brazil: Regional Jets: Alternative Electricity and Transportation</t>
  </si>
  <si>
    <t>AEO.2026.ELECTRNP.ECI_ACFTDELIV_AIRT_WBE_NA_NA_BRZ_UNIT.A</t>
  </si>
  <si>
    <t>Air Travel: Aircraft Deliveries: Brazil: Wide Body Aircraft: Alternative Electricity and Transportation</t>
  </si>
  <si>
    <t>AEO.2026.ELECTRNP.ECI_ACFTDELIV_AIRT_NBTR_NA_NA_BRZ_UNIT.A</t>
  </si>
  <si>
    <t>Air Travel: Aircraft Deliveries: Brazil: Narrow Body Aircraft: Alternative Electricity and Transportation</t>
  </si>
  <si>
    <t>AEO.2026.ELECTRNP.ECI_ACFTDELIV_AIRT_NA_NA_NA_BRZ_UNIT.A</t>
  </si>
  <si>
    <t>Air Travel: Aircraft Deliveries: Brazil: Alternative Electricity and Transportation</t>
  </si>
  <si>
    <t>AEO.2026.ELECTRNP.ECI_ACFTDELIV_AIRT_REGJ_NA_NA_AFR_UNIT.A</t>
  </si>
  <si>
    <t>Air Travel: Aircraft Deliveries: Africa: Regional Jets: Alternative Electricity and Transportation</t>
  </si>
  <si>
    <t>AEO.2026.ELECTRNP.ECI_ACFTDELIV_AIRT_WBE_NA_NA_AFR_UNIT.A</t>
  </si>
  <si>
    <t>Air Travel: Aircraft Deliveries: Africa: Wide Body Aircraft: Alternative Electricity and Transportation</t>
  </si>
  <si>
    <t>AEO.2026.ELECTRNP.ECI_ACFTDELIV_AIRT_NBTR_NA_NA_AFR_UNIT.A</t>
  </si>
  <si>
    <t>Air Travel: Aircraft Deliveries: Africa: Narrow Body Aircraft: Alternative Electricity and Transportation</t>
  </si>
  <si>
    <t>AEO.2026.ELECTRNP.ECI_ACFTDELIV_AIRT_NA_NA_NA_AFR_UNIT.A</t>
  </si>
  <si>
    <t>Air Travel: Aircraft Deliveries: Africa: Alternative Electricity and Transportation</t>
  </si>
  <si>
    <t>AEO.2026.ELECTRNP.ECI_ACFTDELIV_AIRT_REGJ_NA_NA_MDE_UNIT.A</t>
  </si>
  <si>
    <t>Air Travel: Aircraft Deliveries: Middle East: Regional Jets: Alternative Electricity and Transportation</t>
  </si>
  <si>
    <t>AEO.2026.ELECTRNP.ECI_ACFTDELIV_AIRT_WBE_NA_NA_MDE_UNIT.A</t>
  </si>
  <si>
    <t>Air Travel: Aircraft Deliveries: Middle East: Wide Body Aircraft: Alternative Electricity and Transportation</t>
  </si>
  <si>
    <t>AEO.2026.ELECTRNP.ECI_ACFTDELIV_AIRT_NBTR_NA_NA_MDE_UNIT.A</t>
  </si>
  <si>
    <t>Air Travel: Aircraft Deliveries: Middle East: Narrow Body Aircraft: Alternative Electricity and Transportation</t>
  </si>
  <si>
    <t>AEO.2026.ELECTRNP.ECI_ACFTDELIV_AIRT_NA_NA_NA_MDE_UNIT.A</t>
  </si>
  <si>
    <t>Air Travel: Aircraft Deliveries: Middle East: Alternative Electricity and Transportation</t>
  </si>
  <si>
    <t>AEO.2026.ELECTRNP.ECI_ACFTDELIV_AIRT_REGJ_NA_NA_ONCDAS_UNIT.A</t>
  </si>
  <si>
    <t>Air Travel: Aircraft Deliveries: Other Asia Pacific: Regional Jets: Alternative Electricity and Transportation</t>
  </si>
  <si>
    <t>AEO.2026.ELECTRNP.ECI_ACFTDELIV_AIRT_WBE_NA_NA_ONCDAS_UNIT.A</t>
  </si>
  <si>
    <t>Air Travel: Aircraft Deliveries: Other Asia Pacific: Wide Body Aircraft: Alternative Electricity and Transportation</t>
  </si>
  <si>
    <t>AEO.2026.ELECTRNP.ECI_ACFTDELIV_AIRT_NBTR_NA_NA_ONCDAS_UNIT.A</t>
  </si>
  <si>
    <t>Air Travel: Aircraft Deliveries: Other Asia Pacific: Narrow Body Aircraft: Alternative Electricity and Transportation</t>
  </si>
  <si>
    <t>AEO.2026.ELECTRNP.ECI_ACFTDELIV_AIRT_NA_NA_NA_ONCDAS_UNIT.A</t>
  </si>
  <si>
    <t>Air Travel: Aircraft Deliveries: Other Asia Pacific: Alternative Electricity and Transportation</t>
  </si>
  <si>
    <t>AEO.2026.ELECTRNP.ECI_ACFTDELIV_AIRT_REGJ_NA_NA_IND_UNIT.A</t>
  </si>
  <si>
    <t>Air Travel: Aircraft Deliveries: India: Regional Jets: Alternative Electricity and Transportation</t>
  </si>
  <si>
    <t>AEO.2026.ELECTRNP.ECI_ACFTDELIV_AIRT_WBE_NA_NA_IND_UNIT.A</t>
  </si>
  <si>
    <t>Air Travel: Aircraft Deliveries: India: Wide Body Aircraft: Alternative Electricity and Transportation</t>
  </si>
  <si>
    <t>AEO.2026.ELECTRNP.ECI_ACFTDELIV_AIRT_NBTR_NA_NA_IND_UNIT.A</t>
  </si>
  <si>
    <t>Air Travel: Aircraft Deliveries: India: Narrow Body Aircraft: Alternative Electricity and Transportation</t>
  </si>
  <si>
    <t>AEO.2026.ELECTRNP.ECI_ACFTDELIV_AIRT_NA_NA_NA_IND_UNIT.A</t>
  </si>
  <si>
    <t>Air Travel: Aircraft Deliveries: India: Alternative Electricity and Transportation</t>
  </si>
  <si>
    <t>AEO.2026.ELECTRNP.ECI_ACFTDELIV_AIRT_REGJ_NA_NA_CHN_UNIT.A</t>
  </si>
  <si>
    <t>Air Travel: Aircraft Deliveries: China: Regional Jets: Alternative Electricity and Transportation</t>
  </si>
  <si>
    <t>AEO.2026.ELECTRNP.ECI_ACFTDELIV_AIRT_WBE_NA_NA_CHN_UNIT.A</t>
  </si>
  <si>
    <t>Air Travel: Aircraft Deliveries: China: Wide Body Aircraft: Alternative Electricity and Transportation</t>
  </si>
  <si>
    <t>AEO.2026.ELECTRNP.ECI_ACFTDELIV_AIRT_NBTR_NA_NA_CHN_UNIT.A</t>
  </si>
  <si>
    <t>Air Travel: Aircraft Deliveries: China: Narrow Body Aircraft: Alternative Electricity and Transportation</t>
  </si>
  <si>
    <t>AEO.2026.ELECTRNP.ECI_ACFTDELIV_AIRT_NA_NA_NA_CHN_UNIT.A</t>
  </si>
  <si>
    <t>Air Travel: Aircraft Deliveries: China: Alternative Electricity and Transportation</t>
  </si>
  <si>
    <t>AEO.2026.ELECTRNP.ECI_ACFTDELIV_AIRT_REGJ_NA_NA_OEUAS_UNIT.A</t>
  </si>
  <si>
    <t>Air Travel: Aircraft Deliveries: Eastern Europe and Eurasia: Regional Jets: Alternative Electricity and Transportation</t>
  </si>
  <si>
    <t>AEO.2026.ELECTRNP.ECI_ACFTDELIV_AIRT_WBE_NA_NA_OEUAS_UNIT.A</t>
  </si>
  <si>
    <t>Air Travel: Aircraft Deliveries: Eastern Europe and Eurasia: Wide Body Aircraft: Alternative Electricity and Transportation</t>
  </si>
  <si>
    <t>AEO.2026.ELECTRNP.ECI_ACFTDELIV_AIRT_NBTR_NA_NA_OEUAS_UNIT.A</t>
  </si>
  <si>
    <t>Air Travel: Aircraft Deliveries: Eastern Europe and Eurasia: Narrow Body Aircraft: Alternative Electricity and Transportation</t>
  </si>
  <si>
    <t>AEO.2026.ELECTRNP.ECI_ACFTDELIV_AIRT_NA_NA_NA_OEUAS_UNIT.A</t>
  </si>
  <si>
    <t>Air Travel: Aircraft Deliveries: Eastern Europe and Eurasia: Alternative Electricity and Transportation</t>
  </si>
  <si>
    <t>AEO.2026.ELECTRNP.ECI_ACFTDELIV_AIRT_REGJ_NA_NA_RUS_UNIT.A</t>
  </si>
  <si>
    <t>Air Travel: Aircraft Deliveries: Russia: Regional Jets: Alternative Electricity and Transportation</t>
  </si>
  <si>
    <t>AEO.2026.ELECTRNP.ECI_ACFTDELIV_AIRT_WBE_NA_NA_RUS_UNIT.A</t>
  </si>
  <si>
    <t>Air Travel: Aircraft Deliveries: Russia: Wide Body Aircraft: Alternative Electricity and Transportation</t>
  </si>
  <si>
    <t>AEO.2026.ELECTRNP.ECI_ACFTDELIV_AIRT_NBTR_NA_NA_RUS_UNIT.A</t>
  </si>
  <si>
    <t>Air Travel: Aircraft Deliveries: Russia: Narrow Body Aircraft: Alternative Electricity and Transportation</t>
  </si>
  <si>
    <t>AEO.2026.ELECTRNP.ECI_ACFTDELIV_AIRT_NA_NA_NA_RUS_UNIT.A</t>
  </si>
  <si>
    <t>Air Travel: Aircraft Deliveries: Russia: Alternative Electricity and Transportation</t>
  </si>
  <si>
    <t>AEO.2026.ELECTRNP.ECI_ACFTDELIV_AIRT_REGJ_NA_NA_SOK_UNIT.A</t>
  </si>
  <si>
    <t>Air Travel: Aircraft Deliveries: South Korea: Regional Jets: Alternative Electricity and Transportation</t>
  </si>
  <si>
    <t>AEO.2026.ELECTRNP.ECI_ACFTDELIV_AIRT_WBE_NA_NA_SOK_UNIT.A</t>
  </si>
  <si>
    <t>Air Travel: Aircraft Deliveries: South Korea: Wide Body Aircraft: Alternative Electricity and Transportation</t>
  </si>
  <si>
    <t>AEO.2026.ELECTRNP.ECI_ACFTDELIV_AIRT_NBTR_NA_NA_SOK_UNIT.A</t>
  </si>
  <si>
    <t>Air Travel: Aircraft Deliveries: South Korea: Narrow Body Aircraft: Alternative Electricity and Transportation</t>
  </si>
  <si>
    <t>AEO.2026.ELECTRNP.ECI_ACFTDELIV_AIRT_NA_NA_NA_SOK_UNIT.A</t>
  </si>
  <si>
    <t>Air Travel: Aircraft Deliveries: South Korea: Alternative Electricity and Transportation</t>
  </si>
  <si>
    <t>AEO.2026.ELECTRNP.ECI_ACFTDELIV_AIRT_REGJ_NA_NA_AUNZ_UNIT.A</t>
  </si>
  <si>
    <t>Air Travel: Aircraft Deliveries: Australia and New Zealand: Regional Jets: Alternative Electricity and Transportation</t>
  </si>
  <si>
    <t>AEO.2026.ELECTRNP.ECI_ACFTDELIV_AIRT_WBE_NA_NA_AUNZ_UNIT.A</t>
  </si>
  <si>
    <t>Air Travel: Aircraft Deliveries: Australia and New Zealand: Wide Body Aircraft: Alternative Electricity and Transportation</t>
  </si>
  <si>
    <t>AEO.2026.ELECTRNP.ECI_ACFTDELIV_AIRT_NBTR_NA_NA_AUNZ_UNIT.A</t>
  </si>
  <si>
    <t>Air Travel: Aircraft Deliveries: Australia and New Zealand: Narrow Body Aircraft: Alternative Electricity and Transportation</t>
  </si>
  <si>
    <t>AEO.2026.ELECTRNP.ECI_ACFTDELIV_AIRT_NA_NA_NA_AUNZ_UNIT.A</t>
  </si>
  <si>
    <t>Air Travel: Aircraft Deliveries: Australia and New Zealand: Alternative Electricity and Transportation</t>
  </si>
  <si>
    <t>AEO.2026.ELECTRNP.ECI_ACFTDELIV_AIRT_REGJ_NA_NA_JPN_UNIT.A</t>
  </si>
  <si>
    <t>Air Travel: Aircraft Deliveries: Japan: Regional Jets: Alternative Electricity and Transportation</t>
  </si>
  <si>
    <t>AEO.2026.ELECTRNP.ECI_ACFTDELIV_AIRT_WBE_NA_NA_JPN_UNIT.A</t>
  </si>
  <si>
    <t>Air Travel: Aircraft Deliveries: Japan: Wide Body Aircraft: Alternative Electricity and Transportation</t>
  </si>
  <si>
    <t>AEO.2026.ELECTRNP.ECI_ACFTDELIV_AIRT_NBTR_NA_NA_JPN_UNIT.A</t>
  </si>
  <si>
    <t>Air Travel: Aircraft Deliveries: Japan: Narrow Body Aircraft: Alternative Electricity and Transportation</t>
  </si>
  <si>
    <t>AEO.2026.ELECTRNP.ECI_ACFTDELIV_AIRT_NA_NA_NA_JPN_UNIT.A</t>
  </si>
  <si>
    <t>Air Travel: Aircraft Deliveries: Japan: Alternative Electricity and Transportation</t>
  </si>
  <si>
    <t>AEO.2026.ELECTRNP.ECI_ACFTDELIV_AIRT_REGJ_NA_NA_OCDEU_UNIT.A</t>
  </si>
  <si>
    <t>Air Travel: Aircraft Deliveries: Western Europe: Regional Jets: Alternative Electricity and Transportation</t>
  </si>
  <si>
    <t>AEO.2026.ELECTRNP.ECI_ACFTDELIV_AIRT_WBE_NA_NA_OCDEU_UNIT.A</t>
  </si>
  <si>
    <t>Air Travel: Aircraft Deliveries: Western Europe: Wide Body Aircraft: Alternative Electricity and Transportation</t>
  </si>
  <si>
    <t>AEO.2026.ELECTRNP.ECI_ACFTDELIV_AIRT_NBTR_NA_NA_OCDEU_UNIT.A</t>
  </si>
  <si>
    <t>Air Travel: Aircraft Deliveries: Western Europe: Narrow Body Aircraft: Alternative Electricity and Transportation</t>
  </si>
  <si>
    <t>AEO.2026.ELECTRNP.ECI_ACFTDELIV_AIRT_NA_NA_NA_OCDEU_UNIT.A</t>
  </si>
  <si>
    <t>Air Travel: Aircraft Deliveries: Western Europe: Alternative Electricity and Transportation</t>
  </si>
  <si>
    <t>AEO.2026.ELECTRNP.ECI_ACFTDELIV_AIRT_REGJ_NA_NA_MAOOAS_UNIT.A</t>
  </si>
  <si>
    <t>Air Travel: Aircraft Deliveries: Mexico: Regional Jets: Alternative Electricity and Transportation</t>
  </si>
  <si>
    <t>AEO.2026.ELECTRNP.ECI_ACFTDELIV_AIRT_WBE_NA_NA_MAOOAS_UNIT.A</t>
  </si>
  <si>
    <t>Air Travel: Aircraft Deliveries: Mexico: Wide Body Aircraft: Alternative Electricity and Transportation</t>
  </si>
  <si>
    <t>AEO.2026.ELECTRNP.ECI_ACFTDELIV_AIRT_NBTR_NA_NA_MAOOAS_UNIT.A</t>
  </si>
  <si>
    <t>Air Travel: Aircraft Deliveries: Mexico: Narrow Body Aircraft: Alternative Electricity and Transportation</t>
  </si>
  <si>
    <t>AEO.2026.ELECTRNP.ECI_ACFTDELIV_AIRT_NA_NA_NA_MAOOAS_UNIT.A</t>
  </si>
  <si>
    <t>Air Travel: Aircraft Deliveries: Mexico: Alternative Electricity and Transportation</t>
  </si>
  <si>
    <t>AEO.2026.ELECTRNP.ECI_ACFTDELIV_AIRT_REGJ_NA_NA_CAN_UNIT.A</t>
  </si>
  <si>
    <t>Air Travel: Aircraft Deliveries: Canada: Regional Jets: Alternative Electricity and Transportation</t>
  </si>
  <si>
    <t>AEO.2026.ELECTRNP.ECI_ACFTDELIV_AIRT_WBE_NA_NA_CAN_UNIT.A</t>
  </si>
  <si>
    <t>Air Travel: Aircraft Deliveries: Canada: Wide Body Aircraft: Alternative Electricity and Transportation</t>
  </si>
  <si>
    <t>AEO.2026.ELECTRNP.ECI_ACFTDELIV_AIRT_NBTR_NA_NA_CAN_UNIT.A</t>
  </si>
  <si>
    <t>Air Travel: Aircraft Deliveries: Canada: Narrow Body Aircraft: Alternative Electricity and Transportation</t>
  </si>
  <si>
    <t>AEO.2026.ELECTRNP.ECI_ACFTDELIV_AIRT_NA_NA_NA_CAN_UNIT.A</t>
  </si>
  <si>
    <t>Air Travel: Aircraft Deliveries: Canada: Alternative Electricity and Transportation</t>
  </si>
  <si>
    <t>AEO.2026.ELECTRNP.ECI_ACFTDELIV_AIRT_REGJ_NA_NA_USA_UNIT.A</t>
  </si>
  <si>
    <t>Air Travel: Aircraft Deliveries: U.S.: Regional Jets: Alternative Electricity and Transportation</t>
  </si>
  <si>
    <t>AEO.2026.ELECTRNP.ECI_ACFTDELIV_AIRT_WBE_NA_NA_USA_UNIT.A</t>
  </si>
  <si>
    <t>Air Travel: Aircraft Deliveries: U.S.: Wide Body Aircraft: Alternative Electricity and Transportation</t>
  </si>
  <si>
    <t>AEO.2026.ELECTRNP.ECI_ACFTDELIV_AIRT_NBTR_NA_NA_USA_UNIT.A</t>
  </si>
  <si>
    <t>Air Travel: Aircraft Deliveries: U.S.: Narrow Body Aircraft: Alternative Electricity and Transportation</t>
  </si>
  <si>
    <t>AEO.2026.ELECTRNP.ECI_ACFTDELIV_AIRT_NA_NA_NA_USA_UNIT.A</t>
  </si>
  <si>
    <t>Air Travel: Aircraft Deliveries: U.S.: Alternative Electricity and Transportation</t>
  </si>
  <si>
    <t>AEO.2026.ELECTRNP.ECI_SMD_AIRT_NA_NA_NA_WRLD_BLNMLS.A</t>
  </si>
  <si>
    <t>Air Travel: Seat Miles Demanded: World: Alternative Electricity and Transportation</t>
  </si>
  <si>
    <t>AEO.2026.ELECTRNP.ECI_SMD_AIRT_REGJ_NA_NA_WRLD_BLNMLS.A</t>
  </si>
  <si>
    <t>Air Travel: Seat Miles Demanded: World: Regional Jets: Alternative Electricity and Transportation</t>
  </si>
  <si>
    <t>AEO.2026.ELECTRNP.ECI_SMD_AIRT_WBE_NA_NA_WRLD_BLNMLS.A</t>
  </si>
  <si>
    <t>Air Travel: Seat Miles Demanded: World: Wide Body Aircraft: Alternative Electricity and Transportation</t>
  </si>
  <si>
    <t>AEO.2026.ELECTRNP.ECI_SMD_AIRT_NBTR_NA_NA_WRLD_BLNMLS.A</t>
  </si>
  <si>
    <t>Air Travel: Seat Miles Demanded: World: Narrow Body Aircraft: Alternative Electricity and Transportation</t>
  </si>
  <si>
    <t>AEO.2026.ELECTRNP.ECI_SMD_AIRT_REGJ_NA_NA_ONOAS_BLNMLS.A</t>
  </si>
  <si>
    <t>Air Travel: Seat Miles Demanded: Other Americas: Regional Jets: Alternative Electricity and Transportation</t>
  </si>
  <si>
    <t>AEO.2026.ELECTRNP.ECI_SMD_AIRT_WBE_NA_NA_ONOAS_BLNMLS.A</t>
  </si>
  <si>
    <t>Air Travel: Seat Miles Demanded: Other Americas: Wide Body Aircraft: Alternative Electricity and Transportation</t>
  </si>
  <si>
    <t>AEO.2026.ELECTRNP.ECI_SMD_AIRT_NBTR_NA_NA_ONOAS_BLNMLS.A</t>
  </si>
  <si>
    <t>Air Travel: Seat Miles Demanded: Other Americas: Narrow Body Aircraft: Alternative Electricity and Transportation</t>
  </si>
  <si>
    <t>AEO.2026.ELECTRNP.ECI_SMD_AIRT_NA_NA_NA_ONOAS_BLNMLS.A</t>
  </si>
  <si>
    <t>Air Travel: Seat Miles Demanded: Other Americas: Alternative Electricity and Transportation</t>
  </si>
  <si>
    <t>AEO.2026.ELECTRNP.ECI_SMD_AIRT_REGJ_NA_NA_BRZ_BLNMLS.A</t>
  </si>
  <si>
    <t>Air Travel: Seat Miles Demanded: Brazil: Regional Jets: Alternative Electricity and Transportation</t>
  </si>
  <si>
    <t>AEO.2026.ELECTRNP.ECI_SMD_AIRT_WBE_NA_NA_BRZ_BLNMLS.A</t>
  </si>
  <si>
    <t>Air Travel: Seat Miles Demanded: Brazil: Wide Body Aircraft: Alternative Electricity and Transportation</t>
  </si>
  <si>
    <t>AEO.2026.ELECTRNP.ECI_SMD_AIRT_NBTR_NA_NA_BRZ_BLNMLS.A</t>
  </si>
  <si>
    <t>Air Travel: Seat Miles Demanded: Brazil: Narrow Body Aircraft: Alternative Electricity and Transportation</t>
  </si>
  <si>
    <t>AEO.2026.ELECTRNP.ECI_SMD_AIRT_NA_NA_NA_BRZ_BLNMLS.A</t>
  </si>
  <si>
    <t>Air Travel: Seat Miles Demanded: Brazil: Alternative Electricity and Transportation</t>
  </si>
  <si>
    <t>AEO.2026.ELECTRNP.ECI_SMD_AIRT_REGJ_NA_NA_AFR_BLNMLS.A</t>
  </si>
  <si>
    <t>Air Travel: Seat Miles Demanded: Africa: Regional Jets: Alternative Electricity and Transportation</t>
  </si>
  <si>
    <t>AEO.2026.ELECTRNP.ECI_SMD_AIRT_WBE_NA_NA_AFR_BLNMLS.A</t>
  </si>
  <si>
    <t>Air Travel: Seat Miles Demanded: Africa: Wide Body Aircraft: Alternative Electricity and Transportation</t>
  </si>
  <si>
    <t>AEO.2026.ELECTRNP.ECI_SMD_AIRT_NBTR_NA_NA_AFR_BLNMLS.A</t>
  </si>
  <si>
    <t>Air Travel: Seat Miles Demanded: Africa: Narrow Body Aircraft: Alternative Electricity and Transportation</t>
  </si>
  <si>
    <t>AEO.2026.ELECTRNP.ECI_SMD_AIRT_NA_NA_NA_AFR_BLNMLS.A</t>
  </si>
  <si>
    <t>Air Travel: Seat Miles Demanded: Africa: Alternative Electricity and Transportation</t>
  </si>
  <si>
    <t>AEO.2026.ELECTRNP.ECI_SMD_AIRT_REGJ_NA_NA_MDE_BLNMLS.A</t>
  </si>
  <si>
    <t>Air Travel: Seat Miles Demanded: Middle East: Regional Jets: Alternative Electricity and Transportation</t>
  </si>
  <si>
    <t>AEO.2026.ELECTRNP.ECI_SMD_AIRT_WBE_NA_NA_MDE_BLNMLS.A</t>
  </si>
  <si>
    <t>Air Travel: Seat Miles Demanded: Middle East: Wide Body Aircraft: Alternative Electricity and Transportation</t>
  </si>
  <si>
    <t>AEO.2026.ELECTRNP.ECI_SMD_AIRT_NBTR_NA_NA_MDE_BLNMLS.A</t>
  </si>
  <si>
    <t>Air Travel: Seat Miles Demanded: Middle East: Narrow Body Aircraft: Alternative Electricity and Transportation</t>
  </si>
  <si>
    <t>AEO.2026.ELECTRNP.ECI_SMD_AIRT_NA_NA_NA_MDE_BLNMLS.A</t>
  </si>
  <si>
    <t>Air Travel: Seat Miles Demanded: Middle East: Alternative Electricity and Transportation</t>
  </si>
  <si>
    <t>AEO.2026.ELECTRNP.ECI_SMD_AIRT_REGJ_NA_NA_ONCDAS_BLNMLS.A</t>
  </si>
  <si>
    <t>Air Travel: Seat Miles Demanded: Other Asia Pacific: Regional Jets: Alternative Electricity and Transportation</t>
  </si>
  <si>
    <t>AEO.2026.ELECTRNP.ECI_SMD_AIRT_WBE_NA_NA_ONCDAS_BLNMLS.A</t>
  </si>
  <si>
    <t>Air Travel: Seat Miles Demanded: Other Asia Pacific: Wide Body Aircraft: Alternative Electricity and Transportation</t>
  </si>
  <si>
    <t>AEO.2026.ELECTRNP.ECI_SMD_AIRT_NBTR_NA_NA_ONCDAS_BLNMLS.A</t>
  </si>
  <si>
    <t>Air Travel: Seat Miles Demanded: Other Asia Pacific: Narrow Body Aircraft: Alternative Electricity and Transportation</t>
  </si>
  <si>
    <t>AEO.2026.ELECTRNP.ECI_SMD_AIRT_NA_NA_NA_ONCDAS_BLNMLS.A</t>
  </si>
  <si>
    <t>Air Travel: Seat Miles Demanded: Other Asia Pacific: Alternative Electricity and Transportation</t>
  </si>
  <si>
    <t>AEO.2026.ELECTRNP.ECI_SMD_AIRT_REGJ_NA_NA_IND_BLNMLS.A</t>
  </si>
  <si>
    <t>Air Travel: Seat Miles Demanded: India: Regional Jets: Alternative Electricity and Transportation</t>
  </si>
  <si>
    <t>AEO.2026.ELECTRNP.ECI_SMD_AIRT_WBE_NA_NA_IND_BLNMLS.A</t>
  </si>
  <si>
    <t>Air Travel: Seat Miles Demanded: India: Wide Body Aircraft: Alternative Electricity and Transportation</t>
  </si>
  <si>
    <t>AEO.2026.ELECTRNP.ECI_SMD_AIRT_NBTR_NA_NA_IND_BLNMLS.A</t>
  </si>
  <si>
    <t>Air Travel: Seat Miles Demanded: India: Narrow Body Aircraft: Alternative Electricity and Transportation</t>
  </si>
  <si>
    <t>AEO.2026.ELECTRNP.ECI_SMD_AIRT_NA_NA_NA_IND_BLNMLS.A</t>
  </si>
  <si>
    <t>Air Travel: Seat Miles Demanded: India: Alternative Electricity and Transportation</t>
  </si>
  <si>
    <t>AEO.2026.ELECTRNP.ECI_SMD_AIRT_REGJ_NA_NA_CHN_BLNMLS.A</t>
  </si>
  <si>
    <t>Air Travel: Seat Miles Demanded: China: Regional Jets: Alternative Electricity and Transportation</t>
  </si>
  <si>
    <t>AEO.2026.ELECTRNP.ECI_SMD_AIRT_WBE_NA_NA_CHN_BLNMLS.A</t>
  </si>
  <si>
    <t>Air Travel: Seat Miles Demanded: China: Wide Body Aircraft: Alternative Electricity and Transportation</t>
  </si>
  <si>
    <t>AEO.2026.ELECTRNP.ECI_SMD_AIRT_NBTR_NA_NA_CHN_BLNMLS.A</t>
  </si>
  <si>
    <t>Air Travel: Seat Miles Demanded: China: Narrow Body Aircraft: Alternative Electricity and Transportation</t>
  </si>
  <si>
    <t>AEO.2026.ELECTRNP.ECI_SMD_AIRT_NA_NA_NA_CHN_BLNMLS.A</t>
  </si>
  <si>
    <t>Air Travel: Seat Miles Demanded: China: Alternative Electricity and Transportation</t>
  </si>
  <si>
    <t>AEO.2026.ELECTRNP.ECI_SMD_AIRT_REGJ_NA_NA_OEUAS_BLNMLS.A</t>
  </si>
  <si>
    <t>Air Travel: Seat Miles Demanded: Eastern Europe and Eurasia: Regional Jets: Alternative Electricity and Transportation</t>
  </si>
  <si>
    <t>AEO.2026.ELECTRNP.ECI_SMD_AIRT_WBE_NA_NA_OEUAS_BLNMLS.A</t>
  </si>
  <si>
    <t>Air Travel: Seat Miles Demanded: Eastern Europe and Eurasia: Wide Body Aircraft: Alternative Electricity and Transportation</t>
  </si>
  <si>
    <t>AEO.2026.ELECTRNP.ECI_SMD_AIRT_NBTR_NA_NA_OEUAS_BLNMLS.A</t>
  </si>
  <si>
    <t>Air Travel: Seat Miles Demanded: Eastern Europe and Eurasia: Narrow Body Aircraft: Alternative Electricity and Transportation</t>
  </si>
  <si>
    <t>AEO.2026.ELECTRNP.ECI_SMD_AIRT_NA_NA_NA_OEUAS_BLNMLS.A</t>
  </si>
  <si>
    <t>Air Travel: Seat Miles Demanded: Eastern Europe and Eurasia: Alternative Electricity and Transportation</t>
  </si>
  <si>
    <t>AEO.2026.ELECTRNP.ECI_SMD_AIRT_REGJ_NA_NA_RUS_BLNMLS.A</t>
  </si>
  <si>
    <t>Air Travel: Seat Miles Demanded: Russia: Regional Jets: Alternative Electricity and Transportation</t>
  </si>
  <si>
    <t>AEO.2026.ELECTRNP.ECI_SMD_AIRT_WBE_NA_NA_RUS_BLNMLS.A</t>
  </si>
  <si>
    <t>Air Travel: Seat Miles Demanded: Russia: Wide Body Aircraft: Alternative Electricity and Transportation</t>
  </si>
  <si>
    <t>AEO.2026.ELECTRNP.ECI_SMD_AIRT_NBTR_NA_NA_RUS_BLNMLS.A</t>
  </si>
  <si>
    <t>Air Travel: Seat Miles Demanded: Russia: Narrow Body Aircraft: Alternative Electricity and Transportation</t>
  </si>
  <si>
    <t>AEO.2026.ELECTRNP.ECI_SMD_AIRT_NA_NA_NA_RUS_BLNMLS.A</t>
  </si>
  <si>
    <t>Air Travel: Seat Miles Demanded: Russia: Alternative Electricity and Transportation</t>
  </si>
  <si>
    <t>AEO.2026.ELECTRNP.ECI_SMD_AIRT_REGJ_NA_NA_SOK_BLNMLS.A</t>
  </si>
  <si>
    <t>Air Travel: Seat Miles Demanded: South Korea: Regional Jets: Alternative Electricity and Transportation</t>
  </si>
  <si>
    <t>AEO.2026.ELECTRNP.ECI_SMD_AIRT_WBE_NA_NA_SOK_BLNMLS.A</t>
  </si>
  <si>
    <t>Air Travel: Seat Miles Demanded: South Korea: Wide Body Aircraft: Alternative Electricity and Transportation</t>
  </si>
  <si>
    <t>AEO.2026.ELECTRNP.ECI_SMD_AIRT_NBTR_NA_NA_SOK_BLNMLS.A</t>
  </si>
  <si>
    <t>Air Travel: Seat Miles Demanded: South Korea: Narrow Body Aircraft: Alternative Electricity and Transportation</t>
  </si>
  <si>
    <t>AEO.2026.ELECTRNP.ECI_SMD_AIRT_NA_NA_NA_SOK_BLNMLS.A</t>
  </si>
  <si>
    <t>Air Travel: Seat Miles Demanded: South Korea: Alternative Electricity and Transportation</t>
  </si>
  <si>
    <t>AEO.2026.ELECTRNP.ECI_SMD_AIRT_REGJ_NA_NA_AUNZ_BLNMLS.A</t>
  </si>
  <si>
    <t>Air Travel: Seat Miles Demanded: Australia and New Zealand: Regional Jets: Alternative Electricity and Transportation</t>
  </si>
  <si>
    <t>AEO.2026.ELECTRNP.ECI_SMD_AIRT_WBE_NA_NA_AUNZ_BLNMLS.A</t>
  </si>
  <si>
    <t>Air Travel: Seat Miles Demanded: Australia and New Zealand: Wide Body Aircraft: Alternative Electricity and Transportation</t>
  </si>
  <si>
    <t>AEO.2026.ELECTRNP.ECI_SMD_AIRT_NBTR_NA_NA_AUNZ_BLNMLS.A</t>
  </si>
  <si>
    <t>Air Travel: Seat Miles Demanded: Australia and New Zealand: Narrow Body Aircraft: Alternative Electricity and Transportation</t>
  </si>
  <si>
    <t>AEO.2026.ELECTRNP.ECI_SMD_AIRT_NA_NA_NA_AUNZ_BLNMLS.A</t>
  </si>
  <si>
    <t>Air Travel: Seat Miles Demanded: Australia and New Zealand: Alternative Electricity and Transportation</t>
  </si>
  <si>
    <t>AEO.2026.ELECTRNP.ECI_SMD_AIRT_REGJ_NA_NA_JPN_BLNMLS.A</t>
  </si>
  <si>
    <t>Air Travel: Seat Miles Demanded: Japan: Regional Jets: Alternative Electricity and Transportation</t>
  </si>
  <si>
    <t>AEO.2026.ELECTRNP.ECI_SMD_AIRT_WBE_NA_NA_JPN_BLNMLS.A</t>
  </si>
  <si>
    <t>Air Travel: Seat Miles Demanded: Japan: Wide Body Aircraft: Alternative Electricity and Transportation</t>
  </si>
  <si>
    <t>AEO.2026.ELECTRNP.ECI_SMD_AIRT_NBTR_NA_NA_JPN_BLNMLS.A</t>
  </si>
  <si>
    <t>Air Travel: Seat Miles Demanded: Japan: Narrow Body Aircraft: Alternative Electricity and Transportation</t>
  </si>
  <si>
    <t>AEO.2026.ELECTRNP.ECI_SMD_AIRT_NA_NA_NA_JPN_BLNMLS.A</t>
  </si>
  <si>
    <t>Air Travel: Seat Miles Demanded: Japan: Alternative Electricity and Transportation</t>
  </si>
  <si>
    <t>AEO.2026.ELECTRNP.ECI_SMD_AIRT_REGJ_NA_NA_OCDEU_BLNMLS.A</t>
  </si>
  <si>
    <t>Air Travel: Seat Miles Demanded: Western Europe: Regional Jets: Alternative Electricity and Transportation</t>
  </si>
  <si>
    <t>AEO.2026.ELECTRNP.ECI_SMD_AIRT_WBE_NA_NA_OCDEU_BLNMLS.A</t>
  </si>
  <si>
    <t>Air Travel: Seat Miles Demanded: Western Europe: Wide Body Aircraft: Alternative Electricity and Transportation</t>
  </si>
  <si>
    <t>AEO.2026.ELECTRNP.ECI_SMD_AIRT_NBTR_NA_NA_OCDEU_BLNMLS.A</t>
  </si>
  <si>
    <t>Air Travel: Seat Miles Demanded: Western Europe: Narrow Body Aircraft: Alternative Electricity and Transportation</t>
  </si>
  <si>
    <t>AEO.2026.ELECTRNP.ECI_SMD_AIRT_NA_NA_NA_OCDEU_BLNMLS.A</t>
  </si>
  <si>
    <t>Air Travel: Seat Miles Demanded: Western Europe: Alternative Electricity and Transportation</t>
  </si>
  <si>
    <t>AEO.2026.ELECTRNP.ECI_SMD_AIRT_REGJ_NA_NA_MAOOAS_BLNMLS.A</t>
  </si>
  <si>
    <t>Air Travel: Seat Miles Demanded: Mexico: Regional Jets: Alternative Electricity and Transportation</t>
  </si>
  <si>
    <t>AEO.2026.ELECTRNP.ECI_SMD_AIRT_WBE_NA_NA_MAOOAS_BLNMLS.A</t>
  </si>
  <si>
    <t>Air Travel: Seat Miles Demanded: Mexico: Wide Body Aircraft: Alternative Electricity and Transportation</t>
  </si>
  <si>
    <t>AEO.2026.ELECTRNP.ECI_SMD_AIRT_NBTR_NA_NA_MAOOAS_BLNMLS.A</t>
  </si>
  <si>
    <t>Air Travel: Seat Miles Demanded: Mexico: Narrow Body Aircraft: Alternative Electricity and Transportation</t>
  </si>
  <si>
    <t>AEO.2026.ELECTRNP.ECI_SMD_AIRT_NA_NA_NA_MAOOAS_BLNMLS.A</t>
  </si>
  <si>
    <t>Air Travel: Seat Miles Demanded: Mexico: Alternative Electricity and Transportation</t>
  </si>
  <si>
    <t>AEO.2026.ELECTRNP.ECI_SMD_AIRT_REGJ_NA_NA_CAN_BLNMLS.A</t>
  </si>
  <si>
    <t>Air Travel: Seat Miles Demanded: Canada: Regional Jets: Alternative Electricity and Transportation</t>
  </si>
  <si>
    <t>AEO.2026.ELECTRNP.ECI_SMD_AIRT_WBE_NA_NA_CAN_BLNMLS.A</t>
  </si>
  <si>
    <t>Air Travel: Seat Miles Demanded: Canada: Wide Body Aircraft: Alternative Electricity and Transportation</t>
  </si>
  <si>
    <t>AEO.2026.ELECTRNP.ECI_SMD_AIRT_NBTR_NA_NA_CAN_BLNMLS.A</t>
  </si>
  <si>
    <t>Air Travel: Seat Miles Demanded: Canada: Narrow Body Aircraft: Alternative Electricity and Transportation</t>
  </si>
  <si>
    <t>AEO.2026.ELECTRNP.ECI_SMD_AIRT_NA_NA_NA_CAN_BLNMLS.A</t>
  </si>
  <si>
    <t>Air Travel: Seat Miles Demanded: Canada: Alternative Electricity and Transportation</t>
  </si>
  <si>
    <t>AEO.2026.ELECTRNP.ECI_SMD_AIRT_REGJ_NA_NA_USA_BLNMLS.A</t>
  </si>
  <si>
    <t>Air Travel: Seat Miles Demanded: U.S.: Regional Jets: Alternative Electricity and Transportation</t>
  </si>
  <si>
    <t>AEO.2026.ELECTRNP.ECI_SMD_AIRT_WBE_NA_NA_USA_BLNMLS.A</t>
  </si>
  <si>
    <t>Air Travel: Seat Miles Demanded: U.S.: Wide Body Aircraft: Alternative Electricity and Transportation</t>
  </si>
  <si>
    <t>AEO.2026.ELECTRNP.ECI_SMD_AIRT_NBTR_NA_NA_USA_BLNMLS.A</t>
  </si>
  <si>
    <t>Air Travel: Seat Miles Demanded: U.S.: Narrow Body Aircraft: Alternative Electricity and Transportation</t>
  </si>
  <si>
    <t>AEO.2026.ELECTRNP.ECI_SMD_AIRT_NA_NA_NA_USA_BLNMLS.A</t>
  </si>
  <si>
    <t>Air Travel: Seat Miles Demanded: U.S.: Alternative Electricity and Transportation</t>
  </si>
  <si>
    <t>AEO.2026.ELECTRNP.ECI_RTM_AIRT_NA_NA_NA_WRLD_BLNMLS.A</t>
  </si>
  <si>
    <t>Air Travel: Travel Demand: Revenue Ton Miles: Freight: World: Alternative Electricity and Transportation</t>
  </si>
  <si>
    <t>Air Travel: Travel Demand: Revenue Ton Miles: Freight: International World: Alternative Electricity and Transportation</t>
  </si>
  <si>
    <t>Air Travel: Travel Demand: Revenue Ton Miles: Freight: Domestic World: Alternative Electricity and Transportation</t>
  </si>
  <si>
    <t>AEO.2026.ELECTRNP.ECI_RTM_AIRT_NA_NA_NA_ONOAS_BLNMLS.A</t>
  </si>
  <si>
    <t>Air Travel: Travel Demand: Revenue Ton Miles: Freight: Other Americas: Alternative Electricity and Transportation</t>
  </si>
  <si>
    <t>AEO.2026.ELECTRNP.ECI_RTM_AIRT_NA_NA_NA_BRZ_BLNMLS.A</t>
  </si>
  <si>
    <t>Air Travel: Travel Demand: Revenue Ton Miles: Freight: Brazil: Alternative Electricity and Transportation</t>
  </si>
  <si>
    <t>AEO.2026.ELECTRNP.ECI_RTM_AIRT_NA_NA_NA_AFR_BLNMLS.A</t>
  </si>
  <si>
    <t>Air Travel: Travel Demand: Revenue Ton Miles: Freight: Africa: Alternative Electricity and Transportation</t>
  </si>
  <si>
    <t>AEO.2026.ELECTRNP.ECI_RTM_AIRT_NA_NA_NA_MDE_BLNMLS.A</t>
  </si>
  <si>
    <t>Air Travel: Travel Demand: Revenue Ton Miles: Freight: Middle East: Alternative Electricity and Transportation</t>
  </si>
  <si>
    <t>AEO.2026.ELECTRNP.ECI_RTM_AIRT_NA_NA_NA_ONCDAS_BLNMLS.A</t>
  </si>
  <si>
    <t>Air Travel: Travel Demand: Revenue Ton Miles: Freight: Other Asia Pacific: Alternative Electricity and Transportation</t>
  </si>
  <si>
    <t>AEO.2026.ELECTRNP.ECI_RTM_AIRT_NA_NA_NA_IND_BLNMLS.A</t>
  </si>
  <si>
    <t>Air Travel: Travel Demand: Revenue Ton Miles: Freight: India: Alternative Electricity and Transportation</t>
  </si>
  <si>
    <t>AEO.2026.ELECTRNP.ECI_RTM_AIRT_NA_NA_NA_CHN_BLNMLS.A</t>
  </si>
  <si>
    <t>Air Travel: Travel Demand: Revenue Ton Miles: Freight: China: Alternative Electricity and Transportation</t>
  </si>
  <si>
    <t>AEO.2026.ELECTRNP.ECI_RTM_AIRT_NA_NA_NA_OEUAS_BLNMLS.A</t>
  </si>
  <si>
    <t>Air Travel: Travel Demand: Revenue Ton Miles: Freight: Eastern Europe and Eurasia: Alternative Electricity and Transportation</t>
  </si>
  <si>
    <t>AEO.2026.ELECTRNP.ECI_RTM_AIRT_NA_NA_NA_RUS_BLNMLS.A</t>
  </si>
  <si>
    <t>Air Travel: Travel Demand: Revenue Ton Miles: Freight: Russia: Alternative Electricity and Transportation</t>
  </si>
  <si>
    <t>AEO.2026.ELECTRNP.ECI_RTM_AIRT_NA_NA_NA_SOK_BLNMLS.A</t>
  </si>
  <si>
    <t>Air Travel: Travel Demand: Revenue Ton Miles: Freight: South Korea: Alternative Electricity and Transportation</t>
  </si>
  <si>
    <t>AEO.2026.ELECTRNP.ECI_RTM_AIRT_NA_NA_NA_AUNZ_BLNMLS.A</t>
  </si>
  <si>
    <t>Air Travel: Travel Demand: Revenue Ton Miles: Freight: Australia and New Zealand: Alternative Electricity and Transportation</t>
  </si>
  <si>
    <t>AEO.2026.ELECTRNP.ECI_RTM_AIRT_NA_NA_NA_JPN_BLNMLS.A</t>
  </si>
  <si>
    <t>Air Travel: Travel Demand: Revenue Ton Miles: Freight: Japan: Alternative Electricity and Transportation</t>
  </si>
  <si>
    <t>AEO.2026.ELECTRNP.ECI_RTM_AIRT_NA_NA_NA_OCDEU_BLNMLS.A</t>
  </si>
  <si>
    <t>Air Travel: Travel Demand: Revenue Ton Miles: Freight: Western Europe: Alternative Electricity and Transportation</t>
  </si>
  <si>
    <t>AEO.2026.ELECTRNP.ECI_RTM_AIRT_NA_NA_NA_MAOOAS_BLNMLS.A</t>
  </si>
  <si>
    <t>Air Travel: Travel Demand: Revenue Ton Miles: Freight: Mexico: Alternative Electricity and Transportation</t>
  </si>
  <si>
    <t>AEO.2026.ELECTRNP.ECI_RTM_AIRT_NA_NA_NA_CAN_BLNMLS.A</t>
  </si>
  <si>
    <t>Air Travel: Travel Demand: Revenue Ton Miles: Freight: Canada: Alternative Electricity and Transportation</t>
  </si>
  <si>
    <t>AEO.2026.ELECTRNP.ECI_RTM_AIRT_NA_NA_NA_USA_BLNMLS.A</t>
  </si>
  <si>
    <t>Air Travel: Travel Demand: Revenue Ton Miles: Freight: U.S.: Alternative Electricity and Transportation</t>
  </si>
  <si>
    <t>AEO.2026.ELECTRNP.ECI_RPM_AIRT_INTA_NA_NA_WRLD_BLNMLS.A</t>
  </si>
  <si>
    <t>Air Travel: Travel Demand: Revenue Passenger Miles: World: Alternative Electricity and Transportation</t>
  </si>
  <si>
    <t>Air Travel: Travel Demand: Revenue Passenger Miles: International World: Alternative Electricity and Transportation</t>
  </si>
  <si>
    <t>AEO.2026.ELECTRNP.ECI_RPM_AIRT_INTA_NA_NA_ONOAS_BLNMLS.A</t>
  </si>
  <si>
    <t>Air Travel: Travel Demand: Revenue Passenger Miles: International Other Americas: Alternative Electricity and Transportation</t>
  </si>
  <si>
    <t>AEO.2026.ELECTRNP.ECI_RPM_AIRT_INTA_NA_NA_BRZ_BLNMLS.A</t>
  </si>
  <si>
    <t>Air Travel: Travel Demand: Revenue Passenger Miles: International Brazil: Alternative Electricity and Transportation</t>
  </si>
  <si>
    <t>AEO.2026.ELECTRNP.ECI_RPM_AIRT_INTA_NA_NA_AFR_BLNMLS.A</t>
  </si>
  <si>
    <t>Air Travel: Travel Demand: Revenue Passenger Miles: International Africa: Alternative Electricity and Transportation</t>
  </si>
  <si>
    <t>AEO.2026.ELECTRNP.ECI_RPM_AIRT_INTA_NA_NA_MDE_BLNMLS.A</t>
  </si>
  <si>
    <t>Air Travel: Travel Demand: Revenue Passenger Miles: International Middle East: Alternative Electricity and Transportation</t>
  </si>
  <si>
    <t>AEO.2026.ELECTRNP.ECI_RPM_AIRT_INTA_NA_NA_ONCDAS_BLNMLS.A</t>
  </si>
  <si>
    <t>Air Travel: Travel Demand: Revenue Passenger Miles: International Other Asia Pacific: Alternative Electricity and Transportation</t>
  </si>
  <si>
    <t>AEO.2026.ELECTRNP.ECI_RPM_AIRT_INTA_NA_NA_IND_BLNMLS.A</t>
  </si>
  <si>
    <t>Air Travel: Travel Demand: Revenue Passenger Miles: International India: Alternative Electricity and Transportation</t>
  </si>
  <si>
    <t>AEO.2026.ELECTRNP.ECI_RPM_AIRT_INTA_NA_NA_CHN_BLNMLS.A</t>
  </si>
  <si>
    <t>Air Travel: Travel Demand: Revenue Passenger Miles: International China: Alternative Electricity and Transportation</t>
  </si>
  <si>
    <t>AEO.2026.ELECTRNP.ECI_RPM_AIRT_INTA_NA_NA_OEUAS_BLNMLS.A</t>
  </si>
  <si>
    <t>Air Travel: Travel Demand: Revenue Passenger Miles: International Eastern Europe and Eurasia: Alternative Electricity and Transportation</t>
  </si>
  <si>
    <t>AEO.2026.ELECTRNP.ECI_RPM_AIRT_INTA_NA_NA_RUS_BLNMLS.A</t>
  </si>
  <si>
    <t>Air Travel: Travel Demand: Revenue Passenger Miles: International Russia: Alternative Electricity and Transportation</t>
  </si>
  <si>
    <t>AEO.2026.ELECTRNP.ECI_RPM_AIRT_INTA_NA_NA_SOK_BLNMLS.A</t>
  </si>
  <si>
    <t>Air Travel: Travel Demand: Revenue Passenger Miles: International South Korea: Alternative Electricity and Transportation</t>
  </si>
  <si>
    <t>AEO.2026.ELECTRNP.ECI_RPM_AIRT_INTA_NA_NA_AUNZ_BLNMLS.A</t>
  </si>
  <si>
    <t>Air Travel: Travel Demand: Revenue Passenger Miles: International Australia and New Zealand: Alternative Electricity and Transportation</t>
  </si>
  <si>
    <t>AEO.2026.ELECTRNP.ECI_RPM_AIRT_INTA_NA_NA_JPN_BLNMLS.A</t>
  </si>
  <si>
    <t>Air Travel: Travel Demand: Revenue Passenger Miles: International Japan: Alternative Electricity and Transportation</t>
  </si>
  <si>
    <t>AEO.2026.ELECTRNP.ECI_RPM_AIRT_INTA_NA_NA_OCDEU_BLNMLS.A</t>
  </si>
  <si>
    <t>Air Travel: Travel Demand: Revenue Passenger Miles: International Western Europe: Alternative Electricity and Transportation</t>
  </si>
  <si>
    <t>AEO.2026.ELECTRNP.ECI_RPM_AIRT_INTA_NA_NA_MAOOAS_BLNMLS.A</t>
  </si>
  <si>
    <t>Air Travel: Travel Demand: Revenue Passenger Miles: International Mexico: Alternative Electricity and Transportation</t>
  </si>
  <si>
    <t>AEO.2026.ELECTRNP.ECI_RPM_AIRT_INTA_NA_NA_CAN_BLNMLS.A</t>
  </si>
  <si>
    <t>Air Travel: Travel Demand: Revenue Passenger Miles: International Canada: Alternative Electricity and Transportation</t>
  </si>
  <si>
    <t>AEO.2026.ELECTRNP.ECI_RPM_AIRT_INTA_NA_NA_USA_BLNMLS.A</t>
  </si>
  <si>
    <t>Air Travel: Travel Demand: Revenue Passenger Miles: International U.S.: Alternative Electricity and Transportation</t>
  </si>
  <si>
    <t>AEO.2026.ELECTRNP.ECI_RPM_AIRT_DMS_NA_NA_WRLD_BLNMLS.A</t>
  </si>
  <si>
    <t>Air Travel: Travel Demand: Revenue Passenger Miles: Domestic: World: Alternative Electricity and Transportation</t>
  </si>
  <si>
    <t>AEO.2026.ELECTRNP.ECI_RPM_AIRT_DMS_NA_NA_ONOAS_BLNMLS.A</t>
  </si>
  <si>
    <t>Air Travel: Travel Demand: Revenue Passenger Miles: Domestic: Other Americas: Alternative Electricity and Transportation</t>
  </si>
  <si>
    <t>AEO.2026.ELECTRNP.ECI_RPM_AIRT_DMS_NA_NA_BRZ_BLNMLS.A</t>
  </si>
  <si>
    <t>Air Travel: Travel Demand: Revenue Passenger Miles: Domestic: Brazil: Alternative Electricity and Transportation</t>
  </si>
  <si>
    <t>AEO.2026.ELECTRNP.ECI_RPM_AIRT_DMS_NA_NA_AFR_BLNMLS.A</t>
  </si>
  <si>
    <t>Air Travel: Travel Demand: Revenue Passenger Miles: Domestic: Africa: Alternative Electricity and Transportation</t>
  </si>
  <si>
    <t>AEO.2026.ELECTRNP.ECI_RPM_AIRT_DMS_NA_NA_MDE_BLNMLS.A</t>
  </si>
  <si>
    <t>Air Travel: Travel Demand: Revenue Passenger Miles: Domestic: Middle East: Alternative Electricity and Transportation</t>
  </si>
  <si>
    <t>AEO.2026.ELECTRNP.ECI_RPM_AIRT_DMS_NA_NA_ONCDAS_BLNMLS.A</t>
  </si>
  <si>
    <t>Air Travel: Travel Demand: Revenue Passenger Miles: Domestic: Other Asia Pacific: Alternative Electricity and Transportation</t>
  </si>
  <si>
    <t>AEO.2026.ELECTRNP.ECI_RPM_AIRT_DMS_NA_NA_IND_BLNMLS.A</t>
  </si>
  <si>
    <t>Air Travel: Travel Demand: Revenue Passenger Miles: Domestic: India: Alternative Electricity and Transportation</t>
  </si>
  <si>
    <t>AEO.2026.ELECTRNP.ECI_RPM_AIRT_DMS_NA_NA_CHN_BLNMLS.A</t>
  </si>
  <si>
    <t>Air Travel: Travel Demand: Revenue Passenger Miles: Domestic: China: Alternative Electricity and Transportation</t>
  </si>
  <si>
    <t>AEO.2026.ELECTRNP.ECI_RPM_AIRT_DMS_NA_NA_OEUAS_BLNMLS.A</t>
  </si>
  <si>
    <t>Air Travel: Travel Demand: Revenue Passenger Miles: Domestic: Eastern Europe and Eurasia: Alternative Electricity and Transportation</t>
  </si>
  <si>
    <t>AEO.2026.ELECTRNP.ECI_RPM_AIRT_DMS_NA_NA_RUS_BLNMLS.A</t>
  </si>
  <si>
    <t>Air Travel: Travel Demand: Revenue Passenger Miles: Domestic: Russia: Alternative Electricity and Transportation</t>
  </si>
  <si>
    <t>AEO.2026.ELECTRNP.ECI_RPM_AIRT_DMS_NA_NA_SOK_BLNMLS.A</t>
  </si>
  <si>
    <t>Air Travel: Travel Demand: Revenue Passenger Miles: Domestic: South Korea: Alternative Electricity and Transportation</t>
  </si>
  <si>
    <t>AEO.2026.ELECTRNP.ECI_RPM_AIRT_DMS_NA_NA_AUNZ_BLNMLS.A</t>
  </si>
  <si>
    <t>Air Travel: Travel Demand: Revenue Passenger Miles: Domestic: Australia and New Zealand: Alternative Electricity and Transportation</t>
  </si>
  <si>
    <t>AEO.2026.ELECTRNP.ECI_RPM_AIRT_DMS_NA_NA_JPN_BLNMLS.A</t>
  </si>
  <si>
    <t>Air Travel: Travel Demand: Revenue Passenger Miles: Domestic: Japan: Alternative Electricity and Transportation</t>
  </si>
  <si>
    <t>AEO.2026.ELECTRNP.ECI_RPM_AIRT_DMS_NA_NA_OCDEU_BLNMLS.A</t>
  </si>
  <si>
    <t>Air Travel: Travel Demand: Revenue Passenger Miles: Domestic: Western Europe: Alternative Electricity and Transportation</t>
  </si>
  <si>
    <t>AEO.2026.ELECTRNP.ECI_RPM_AIRT_DMS_NA_NA_MAOOAS_BLNMLS.A</t>
  </si>
  <si>
    <t>Air Travel: Travel Demand: Revenue Passenger Miles: Domestic: Mexico: Alternative Electricity and Transportation</t>
  </si>
  <si>
    <t>AEO.2026.ELECTRNP.ECI_RPM_AIRT_DMS_NA_NA_CAN_BLNMLS.A</t>
  </si>
  <si>
    <t>Air Travel: Travel Demand: Revenue Passenger Miles: Domestic: Canada: Alternative Electricity and Transportation</t>
  </si>
  <si>
    <t>AEO.2026.ELECTRNP.ECI_RPM_AIRT_DMS_NA_NA_USA_BLNMLS.A</t>
  </si>
  <si>
    <t>Air Travel: Travel Demand: Revenue Passenger Miles: Domestic: U.S.: Alternative Electricity and Transportation</t>
  </si>
  <si>
    <t>AEO.2026.ELECTRNP.ECI_POP_NA_NA_NA_NA_ONOAS_MILL.A</t>
  </si>
  <si>
    <t>Air Travel: Drivers: Population: Other Americas: Alternative Electricity and Transportation</t>
  </si>
  <si>
    <t>AEO.2026.ELECTRNP.ECI_POP_NA_NA_NA_NA_BRZ_MILL.A</t>
  </si>
  <si>
    <t>Air Travel: Drivers: Population: Brazil: Alternative Electricity and Transportation</t>
  </si>
  <si>
    <t>AEO.2026.ELECTRNP.ECI_POP_NA_NA_NA_NA_AFR_MILL.A</t>
  </si>
  <si>
    <t>Air Travel: Drivers: Population: Africa: Alternative Electricity and Transportation</t>
  </si>
  <si>
    <t>AEO.2026.ELECTRNP.ECI_POP_NA_NA_NA_NA_MDE_MILL.A</t>
  </si>
  <si>
    <t>Air Travel: Drivers: Population: Middle East: Alternative Electricity and Transportation</t>
  </si>
  <si>
    <t>AEO.2026.ELECTRNP.ECI_POP_NA_NA_NA_NA_ONCDAS_MILL.A</t>
  </si>
  <si>
    <t>Air Travel: Drivers: Population: Other Asia Pacific: Alternative Electricity and Transportation</t>
  </si>
  <si>
    <t>AEO.2026.ELECTRNP.ECI_POP_NA_NA_NA_NA_IND_MILL.A</t>
  </si>
  <si>
    <t>Air Travel: Drivers: Population: India: Alternative Electricity and Transportation</t>
  </si>
  <si>
    <t>AEO.2026.ELECTRNP.ECI_POP_NA_NA_NA_NA_CHN_MILL.A</t>
  </si>
  <si>
    <t>Air Travel: Drivers: Population: China: Alternative Electricity and Transportation</t>
  </si>
  <si>
    <t>AEO.2026.ELECTRNP.ECI_POP_NA_NA_NA_NA_OEUAS_MILL.A</t>
  </si>
  <si>
    <t>Air Travel: Drivers: Population: Eastern Europe and Eurasia: Alternative Electricity and Transportation</t>
  </si>
  <si>
    <t>AEO.2026.ELECTRNP.ECI_POP_NA_NA_NA_NA_RUS_MILL.A</t>
  </si>
  <si>
    <t>Air Travel: Drivers: Population: Russia: Alternative Electricity and Transportation</t>
  </si>
  <si>
    <t>AEO.2026.ELECTRNP.ECI_POP_NA_NA_NA_NA_SOK_MILL.A</t>
  </si>
  <si>
    <t>Air Travel: Drivers: Population: South Korea: Alternative Electricity and Transportation</t>
  </si>
  <si>
    <t>AEO.2026.ELECTRNP.ECI_POP_NA_NA_NA_NA_AUNZ_MILL.A</t>
  </si>
  <si>
    <t>Air Travel: Drivers: Population: Australia and New Zealand: Alternative Electricity and Transportation</t>
  </si>
  <si>
    <t>AEO.2026.ELECTRNP.ECI_POP_NA_NA_NA_NA_JPN_MILL.A</t>
  </si>
  <si>
    <t>Air Travel: Drivers: Population: Japan: Alternative Electricity and Transportation</t>
  </si>
  <si>
    <t>AEO.2026.ELECTRNP.ECI_POP_NA_NA_NA_NA_OCDEU_MILL.A</t>
  </si>
  <si>
    <t>Air Travel: Drivers: Population: Western Europe: Alternative Electricity and Transportation</t>
  </si>
  <si>
    <t>AEO.2026.ELECTRNP.ECI_POP_NA_NA_NA_NA_MAOOAS_MILL.A</t>
  </si>
  <si>
    <t>Air Travel: Drivers: Population: Mexico: Alternative Electricity and Transportation</t>
  </si>
  <si>
    <t>AEO.2026.ELECTRNP.ECI_POP_NA_NA_NA_NA_CAN_MILL.A</t>
  </si>
  <si>
    <t>Air Travel: Drivers: Population: Canada: Alternative Electricity and Transportation</t>
  </si>
  <si>
    <t>AEO.2026.ELECTRNP.ECI_POP_NA_NA_NA_NA_USA_MILL.A</t>
  </si>
  <si>
    <t>Air Travel: Drivers: Population: U.S.: Alternative Electricity and Transportation</t>
  </si>
  <si>
    <t>AEO.2026.ELECTRNP.CAP_LDFAC_AIRT_INTA_NA_NA_NA_FRAC.A</t>
  </si>
  <si>
    <t>Air Travel: Load Factor: U.S. International: Alternative Electricity and Transportation</t>
  </si>
  <si>
    <t>AEO.2026.ELECTRNP.CAP_LDFAC_AIRT_DMS_NA_NA_NA_FRAC.A</t>
  </si>
  <si>
    <t>Air Travel: Load Factor: U.S. Domestic: Alternative Electricity and Transportation</t>
  </si>
  <si>
    <t>AEO.2026.ELECTRNP.PRCE_FUL_AIRT_NA_NA_NA_NA_87DLRPMBTU.A</t>
  </si>
  <si>
    <t>Air Travel: Fuel Cost: Alternative Electricity and Transportation</t>
  </si>
  <si>
    <t>Thu Apr 23 2026 15:05:22 GMT-0700 (Pacific Daylight Time)</t>
  </si>
  <si>
    <t>https://www.eia.gov/outlooks/aeo/data/browser/#/?id=57-AEO2026&amp;cases=electrnp&amp;sourcekey=0</t>
  </si>
  <si>
    <t>table with row headers in column A and column headers in rows 3 through 4. (leading dots indicate sub-parts)</t>
  </si>
  <si>
    <t>Annual Estimates of the Resident Population for the United States, Regions, States, District of Columbia, and Puerto Rico: April 1, 2020
 to July 1, 2025</t>
  </si>
  <si>
    <t>Geographic Area</t>
  </si>
  <si>
    <t>April 1, 2020 Estimates Base</t>
  </si>
  <si>
    <t>Population Estimate (as of July 1)</t>
  </si>
  <si>
    <t>Northeast</t>
  </si>
  <si>
    <t>Midwest</t>
  </si>
  <si>
    <t>South</t>
  </si>
  <si>
    <t>West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</si>
  <si>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</si>
  <si>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</si>
  <si>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</si>
  <si>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</si>
  <si>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</si>
  <si>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</si>
  <si>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</si>
  <si>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</si>
  <si>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</si>
  <si>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</si>
  <si>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</si>
  <si>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</si>
  <si>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</si>
  <si>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</si>
  <si>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</si>
  <si>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</si>
  <si>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</si>
  <si>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</si>
  <si>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</si>
  <si>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</si>
  <si>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</si>
  <si>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</si>
  <si>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</si>
  <si>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</si>
  <si>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</si>
  <si>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</si>
  <si>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</si>
  <si>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</si>
  <si>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</si>
  <si>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</si>
  <si>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</si>
  <si>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</si>
  <si>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</si>
  <si>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</si>
  <si>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</si>
  <si>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</si>
  <si>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</si>
  <si>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</si>
  <si>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</si>
  <si>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</si>
  <si>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</si>
  <si>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</si>
  <si>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</si>
  <si>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</si>
  <si>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</si>
  <si>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</si>
  <si>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</si>
  <si>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</si>
  <si>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</si>
  <si>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</si>
  <si>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</si>
  <si>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.Puerto Rico</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</si>
  <si>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</si>
  <si>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The estimates are based on the 2020 Modified Age and Race Census (MARC) file and include changes from Count Question Resolution, the Post-Census Group Quarters Review, and geographic revisions. For population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All geographic boundaries for the 2025 population estimates series are as of January 1, 2025.</t>
  </si>
  <si>
    <t>Suggested Citation:</t>
  </si>
  <si>
    <t>Annual Estimates of the Resident Population for the United States, Regions, States, District of Columbia, and Puerto Rico: April 1, 2020 to July 1, 2025 (NST-EST2025-POP)</t>
  </si>
  <si>
    <t>Source: U.S. Census Bureau, Population Division</t>
  </si>
  <si>
    <t>Release Date: January 2026</t>
  </si>
  <si>
    <t>Total Population for the U.S., the 50 States, and the District of Columbia: Census 2020 and Projections 2030-2050</t>
  </si>
  <si>
    <t>Released on July 1, 2024 by the University of Virginia, Weldon Cooper Center for Public Service, https://www.coopercenter.org/national-population-projections</t>
  </si>
  <si>
    <t>FIPS</t>
  </si>
  <si>
    <t>Geography Name</t>
  </si>
  <si>
    <t>Total Population</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</si>
  <si>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</si>
  <si>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</si>
  <si>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</si>
  <si>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</si>
  <si>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</si>
  <si>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</si>
  <si>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</si>
  <si>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</si>
  <si>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</si>
  <si>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</si>
  <si>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</si>
  <si>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</si>
  <si>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</si>
  <si>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</si>
  <si>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</si>
  <si>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</si>
  <si>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</si>
  <si>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</si>
  <si>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</si>
  <si>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</si>
  <si>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</si>
  <si>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</si>
  <si>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</si>
  <si>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</si>
  <si>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</si>
  <si>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</si>
  <si>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</si>
  <si>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</si>
  <si>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</si>
  <si>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</si>
  <si>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</si>
  <si>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</si>
  <si>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</si>
  <si>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</si>
  <si>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</si>
  <si>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</si>
  <si>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</si>
  <si>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</si>
  <si>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</si>
  <si>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</si>
  <si>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</si>
  <si>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</si>
  <si>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</si>
  <si>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</si>
  <si>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</si>
  <si>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</si>
  <si>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</si>
  <si>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</si>
  <si>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</si>
  <si>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</si>
  <si>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</si>
  <si>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Subgroups may not sum to total due to rounding</t>
  </si>
  <si>
    <t>State name (Census/Cooper format)</t>
  </si>
  <si>
    <t>Active state name:</t>
  </si>
  <si>
    <t>What the state adjustment does</t>
  </si>
  <si>
    <t>BCDTRtSY-psgr / BCDTRtSY-frgt (original IA tabs): one national growth curve, applied to every state.</t>
  </si>
  <si>
    <t>BCDTRtSY-state-adjusted (new tab): same national curve × (state pop growth / national pop growth).</t>
  </si>
  <si>
    <t>Formula per cell:</t>
  </si>
  <si>
    <t xml:space="preserve">   state_adjusted[mode, year] = national_BCDTRtSY[mode, year]</t>
  </si>
  <si>
    <t xml:space="preserve">       × (state_pop[year] / state_pop[2024])</t>
  </si>
  <si>
    <t xml:space="preserve">       / (US_pop[year] / US_pop[2024])</t>
  </si>
  <si>
    <t>States projected to grow faster than national average (TX, AZ, FL, etc.) → multiplier &gt; 1.</t>
  </si>
  <si>
    <t>Slower-growth states (WV, IL, CT) → multiplier &lt; 1.</t>
  </si>
  <si>
    <t>2024 = 1.000 by definition (start year).</t>
  </si>
  <si>
    <t>Population sources:</t>
  </si>
  <si>
    <t xml:space="preserve">  • 2024–2025: Census Bureau NST-EST2025-POP (annual estimates)</t>
  </si>
  <si>
    <t xml:space="preserve">  • 2026–2029: linear interpolation Census 2025 → Cooper 2030</t>
  </si>
  <si>
    <t xml:space="preserve">  • 2030, 2040, 2050: UVA Weldon Cooper Center state projections (released July 2024)</t>
  </si>
  <si>
    <t xml:space="preserve">  • 2031–2039, 2041–2049: linear interpolation between Cooper anchor years</t>
  </si>
  <si>
    <t>Per organizational guidance: framing as inputs for staff review. Population projections</t>
  </si>
  <si>
    <t>should be verified against primary sources before external use.</t>
  </si>
  <si>
    <t>Cargo Dist Transported Relative to Start Year (dimensionless) — STATE-ADJUSTED</t>
  </si>
  <si>
    <t>Active state:</t>
  </si>
  <si>
    <t>Change About-state-adjustment!B1 to switch states.</t>
  </si>
  <si>
    <t>Source citations</t>
  </si>
  <si>
    <t>Compiled from docs/methodology/*.md and builder scripts. Built 2026-06-04. Per organizational guidance: framed as inputs for staff review. Staff should verify every URL and version against the primary source before incorporating these citations in published work.</t>
  </si>
  <si>
    <t>Energy Innovation (internal)</t>
  </si>
  <si>
    <t>IA reference workbook BCDTRtSY — BAU Cargo Distance Transported Relative to Start Year (national growth curves)</t>
  </si>
  <si>
    <t>internal eps-us repo: InputData/trans/BCDTRtSY/</t>
  </si>
  <si>
    <t>BAU Cargo Dist Transported Relative to Start Yr.xlsx — EPS US baseline snapshot, TBD: confirm EPS version with staff</t>
  </si>
  <si>
    <t>Annual Energy Outlook 2026 — Transportation Tables 7, 35, 45, 47, 49 (national growth-rate sources)</t>
  </si>
  <si>
    <t>https://www.eia.gov/outlooks/aeo/</t>
  </si>
  <si>
    <t>Tables 7 (Travel Indicators), 35 (Energy Use by Mode), 45 (Car Stock), 47 (Air Travel), 49 (Freight Truck) — embedded verbatim in workbook, April 2026</t>
  </si>
  <si>
    <t>Annual Energy Outlook 2025 — Transportation Tables 7, 35, 45–49 (legacy IA references)</t>
  </si>
  <si>
    <t>Tables 7, 35, 45, 46, 47, 49 — embedded verbatim in workbook (from IA reference, December 2025 release)</t>
  </si>
  <si>
    <t>Inventory of U.S. Greenhouse Gas Emissions and Sinks, Table 3-13 — Transportation Fuel Use by Vehicle Type</t>
  </si>
  <si>
    <t>https://www.epa.gov/ghgemissions/inventory-us-greenhouse-gas-emissions-and-sinks</t>
  </si>
  <si>
    <t>EPA GHG Inventory (2022 reporting year, embedded verbatim in IA reference)</t>
  </si>
  <si>
    <t>Census Bureau</t>
  </si>
  <si>
    <t>State Population Totals — Vintage 2025 (NST-EST2025-POP)</t>
  </si>
  <si>
    <t>https://www.census.gov/programs-surveys/popest/data/tables.html</t>
  </si>
  <si>
    <t>NST-EST2025-POP.xlsx (annual estimates 2020–2025)</t>
  </si>
  <si>
    <t>University of Virginia Weldon Cooper Center for Public Service</t>
  </si>
  <si>
    <t>National Population Projections (state-level, 2020 base)</t>
  </si>
  <si>
    <t>https://www.coopercenter.org/national-population-projections</t>
  </si>
  <si>
    <t>NationalProjections_ProjectedTotalPopulation_2030-2050.xlsx (released July 2024)</t>
  </si>
  <si>
    <t>State</t>
  </si>
  <si>
    <t>Abbr.</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</si>
  <si>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</si>
  <si>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</si>
  <si>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</si>
  <si>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</si>
  <si>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</si>
  <si>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</si>
  <si>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</si>
  <si>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</si>
  <si>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</si>
  <si>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</si>
  <si>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</si>
  <si>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</si>
  <si>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</si>
  <si>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</si>
  <si>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</si>
  <si>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</si>
  <si>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</si>
  <si>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</si>
  <si>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</si>
  <si>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</si>
  <si>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</si>
  <si>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</si>
  <si>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</si>
  <si>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</si>
  <si>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</si>
  <si>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</si>
  <si>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</si>
  <si>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</si>
  <si>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</si>
  <si>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</si>
  <si>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</si>
  <si>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</si>
  <si>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</si>
  <si>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</si>
  <si>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</si>
  <si>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</si>
  <si>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</si>
  <si>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</si>
  <si>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</si>
  <si>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</si>
  <si>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</si>
  <si>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template</t>
  </si>
  <si>
    <t>National data for template (added)</t>
  </si>
  <si>
    <t>TN</t>
  </si>
  <si>
    <t>TX</t>
  </si>
  <si>
    <t>UT</t>
  </si>
  <si>
    <t>VT</t>
  </si>
  <si>
    <t>VA</t>
  </si>
  <si>
    <t>WA</t>
  </si>
  <si>
    <t>WV</t>
  </si>
  <si>
    <t>WI</t>
  </si>
  <si>
    <t>WY</t>
  </si>
  <si>
    <t>Each cell = (national BCDTRtSY[y] / national BCDTRtSY[2025]) x (state_pop[y]/state_pop[2025]) / (US_pop[y]/US_pop[2025]). 2025 = 1 by definition (state model start year). 2024 column is pre-start filler mirroring the US tab.</t>
  </si>
  <si>
    <t>2026-08-14 re-anchor: US ratios are AEO 2026 / AEO 2026(2025) -- single edition. The previous AEO2026/AEO2025(2024) mix injected the editions' ~-7% level re-benchmark into 2025 as a fake demand drop (EPS gasoline -7% vs SEDS in all 48 states). See docs/findings/bcdtrtsy-aeo-vintage-seam-2026-08-14.md</t>
  </si>
  <si>
    <t>2026-08-14: re-anchored to 2025 = 1 on AEO 2026 alone (was mixed AEO2025/AEO2026, which put the editions' level re-benchmark into 2025 as a fake -5.7% LDV travel drop). Population adjustment re-anchored 2024 -&gt; 2025 to match. Approved by Olivia 2026-08-14.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</si>
</sst>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0.0%"/>
    <numFmt numFmtId="165" formatCode="#,##0.0"/>
    <numFmt numFmtId="166" formatCode="###0.00_)"/>
    <numFmt numFmtId="167" formatCode="#,##0_)"/>
    <numFmt numFmtId="168" formatCode="0.000"/>
  </numFmts>
  <fonts count="71">
    <font>
      <sz val="11"/>
      <color theme="1"/>
      <name val="Calibri"/>
      <family val="2"/>
      <scheme val="minor"/>
    </font>
    <font>
      <sz val="11"/>
      <color theme="1"/>
      <name val="Calibri"/>
      <family val="2"/>
      <scheme val="minor"/>
    </font>
    <font>
      <b/>
      <sz val="11"/>
      <color theme="1"/>
      <name val="Calibri"/>
      <family val="2"/>
      <scheme val="minor"/>
    </font>
    <font>
      <sz val="9"/>
      <color indexed="8"/>
      <name val="Calibri"/>
      <family val="2"/>
    </font>
    <font>
      <sz val="9"/>
      <name val="Calibri"/>
      <family val="2"/>
    </font>
    <font>
      <b/>
      <sz val="9"/>
      <color indexed="8"/>
      <name val="Calibri"/>
      <family val="2"/>
    </font>
    <font>
      <sz val="8"/>
      <name val="Arial"/>
      <family val="2"/>
    </font>
    <font>
      <b/>
      <sz val="12"/>
      <color indexed="30"/>
      <name val="Calibri"/>
      <family val="2"/>
    </font>
    <font>
      <sz val="10"/>
      <color indexed="8"/>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2"/>
      <name val="Helv"/>
    </font>
    <font>
      <sz val="10"/>
      <name val="Arial"/>
      <family val="2"/>
    </font>
    <font>
      <b/>
      <sz val="12"/>
      <name val="Helv"/>
    </font>
    <font>
      <sz val="10"/>
      <name val="Helv"/>
    </font>
    <font>
      <sz val="10"/>
      <name val="Helv"/>
      <family val="2"/>
    </font>
    <font>
      <sz val="9"/>
      <name val="Helv"/>
    </font>
    <font>
      <vertAlign val="superscript"/>
      <sz val="12"/>
      <name val="Helv"/>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0"/>
      <name val="Helv"/>
    </font>
    <font>
      <b/>
      <sz val="10"/>
      <name val="Helv"/>
      <family val="2"/>
    </font>
    <font>
      <b/>
      <sz val="9"/>
      <name val="Helv"/>
    </font>
    <font>
      <sz val="8.5"/>
      <name val="Helv"/>
    </font>
    <font>
      <u/>
      <sz val="10"/>
      <color indexed="12"/>
      <name val="Arial"/>
      <family val="2"/>
    </font>
    <font>
      <sz val="11"/>
      <color indexed="62"/>
      <name val="Calibri"/>
      <family val="2"/>
    </font>
    <font>
      <sz val="11"/>
      <color indexed="52"/>
      <name val="Calibri"/>
      <family val="2"/>
    </font>
    <font>
      <sz val="11"/>
      <color indexed="60"/>
      <name val="Calibri"/>
      <family val="2"/>
    </font>
    <font>
      <sz val="18"/>
      <name val="P-AVGARD"/>
    </font>
    <font>
      <b/>
      <sz val="11"/>
      <color indexed="63"/>
      <name val="Calibri"/>
      <family val="2"/>
    </font>
    <font>
      <sz val="8"/>
      <name val="Helv"/>
    </font>
    <font>
      <vertAlign val="superscript"/>
      <sz val="12"/>
      <name val="Helv"/>
      <family val="2"/>
    </font>
    <font>
      <sz val="8"/>
      <name val="Helv"/>
      <family val="2"/>
    </font>
    <font>
      <b/>
      <sz val="18"/>
      <color indexed="56"/>
      <name val="Cambria"/>
      <family val="2"/>
    </font>
    <font>
      <b/>
      <sz val="14"/>
      <name val="Helv"/>
    </font>
    <font>
      <b/>
      <sz val="11"/>
      <color indexed="8"/>
      <name val="Calibri"/>
      <family val="2"/>
    </font>
    <font>
      <sz val="11"/>
      <color indexed="10"/>
      <name val="Calibri"/>
      <family val="2"/>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u/>
      <sz val="11"/>
      <color theme="10"/>
      <name val="Calibri"/>
      <family val="2"/>
      <scheme val="minor"/>
    </font>
    <font>
      <sz val="11"/>
      <color rgb="FF9C6500"/>
      <name val="Calibri"/>
      <family val="2"/>
      <scheme val="minor"/>
    </font>
    <font>
      <i/>
      <sz val="11"/>
      <color theme="1"/>
      <name val="Calibri"/>
      <family val="2"/>
      <scheme val="minor"/>
    </font>
    <font>
      <b/>
      <sz val="9"/>
      <name val="Calibri"/>
      <family val="2"/>
    </font>
    <font>
      <sz val="9"/>
      <name val="Calibri"/>
      <family val="2"/>
    </font>
    <font>
      <sz val="10"/>
      <name val="Calibri"/>
      <family val="2"/>
    </font>
    <font>
      <b/>
      <sz val="12"/>
      <color rgb="FF000000"/>
      <name val="Calibri"/>
      <family val="2"/>
      <scheme val="minor"/>
    </font>
    <font>
      <sz val="9"/>
      <color rgb="FF000000"/>
      <name val="Calibri"/>
      <family val="2"/>
      <scheme val="minor"/>
    </font>
    <font>
      <b/>
      <sz val="9"/>
      <color rgb="FF000000"/>
      <name val="Calibri"/>
      <family val="2"/>
      <scheme val="minor"/>
    </font>
    <font>
      <b/>
      <sz val="12"/>
      <color theme="1"/>
      <name val="Calibri"/>
      <family val="2"/>
      <scheme val="minor"/>
    </font>
    <font>
      <b/>
      <sz val="14"/>
      <color theme="1"/>
      <name val="Calibri"/>
      <family val="2"/>
      <scheme val="minor"/>
    </font>
    <font>
      <b/>
      <sz val="11"/>
      <color rgb="FF1F4E79"/>
      <name val="Calibri"/>
      <family val="2"/>
      <scheme val="minor"/>
    </font>
    <font>
      <u/>
      <sz val="11"/>
      <color rgb="FF0563C1"/>
      <name val="Calibri"/>
      <family val="2"/>
      <scheme val="minor"/>
    </font>
    <font>
      <sz val="11"/>
      <color rgb="FF000000"/>
      <name val="Calibri"/>
      <family val="2"/>
    </font>
  </fonts>
  <fills count="64">
    <fill>
      <patternFill patternType="none"/>
    </fill>
    <fill>
      <patternFill patternType="gray125"/>
    </fill>
    <fill>
      <patternFill patternType="solid">
        <fgColor rgb="FFFFFFCC"/>
      </patternFill>
    </fill>
    <fill>
      <patternFill patternType="solid">
        <fgColor theme="0" tint="-0.24997711111789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9"/>
      </patternFill>
    </fill>
    <fill>
      <patternFill patternType="solid">
        <fgColor indexed="43"/>
      </patternFill>
    </fill>
    <fill>
      <patternFill patternType="solid">
        <fgColor indexed="26"/>
      </patternFill>
    </fill>
    <fill>
      <patternFill patternType="solid">
        <fgColor indexed="22"/>
        <bgColor indexed="55"/>
      </patternFill>
    </fill>
    <fill>
      <patternFill patternType="solid">
        <fgColor rgb="FFFFFF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theme="7" tint="0.59999389629810485"/>
        <bgColor indexed="64"/>
      </patternFill>
    </fill>
    <fill>
      <patternFill patternType="solid">
        <fgColor theme="6" tint="0.39997558519241921"/>
        <bgColor indexed="64"/>
      </patternFill>
    </fill>
    <fill>
      <patternFill patternType="solid">
        <fgColor theme="2" tint="-0.249977111117893"/>
        <bgColor indexed="64"/>
      </patternFill>
    </fill>
    <fill>
      <patternFill patternType="solid">
        <fgColor rgb="FFFFF59D"/>
        <bgColor indexed="64"/>
      </patternFill>
    </fill>
  </fills>
  <borders count="27">
    <border>
      <left/>
      <right/>
      <top/>
      <bottom/>
      <diagonal/>
    </border>
    <border>
      <left style="thin">
        <color rgb="FFB2B2B2"/>
      </left>
      <right style="thin">
        <color rgb="FFB2B2B2"/>
      </right>
      <top style="thin">
        <color rgb="FFB2B2B2"/>
      </top>
      <bottom style="thin">
        <color rgb="FFB2B2B2"/>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hair">
        <color indexed="64"/>
      </bottom>
      <diagonal/>
    </border>
    <border>
      <left/>
      <right/>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hair">
        <color indexed="8"/>
      </bottom>
      <diagonal/>
    </border>
    <border>
      <left/>
      <right/>
      <top style="thin">
        <color indexed="62"/>
      </top>
      <bottom style="double">
        <color indexed="6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s>
  <cellStyleXfs count="228">
    <xf numFmtId="0" fontId="0" fillId="0" borderId="0"/>
    <xf numFmtId="0" fontId="3" fillId="0" borderId="0"/>
    <xf numFmtId="0" fontId="3" fillId="0" borderId="2" applyNumberFormat="0" applyProtection="0">
      <alignment wrapText="1"/>
    </xf>
    <xf numFmtId="0" fontId="5" fillId="0" borderId="3" applyNumberFormat="0" applyProtection="0">
      <alignment wrapText="1"/>
    </xf>
    <xf numFmtId="0" fontId="3" fillId="0" borderId="4" applyNumberFormat="0" applyFont="0" applyProtection="0">
      <alignment wrapText="1"/>
    </xf>
    <xf numFmtId="0" fontId="5" fillId="0" borderId="5" applyNumberFormat="0" applyProtection="0">
      <alignment wrapText="1"/>
    </xf>
    <xf numFmtId="0" fontId="3" fillId="0" borderId="0" applyNumberFormat="0" applyFill="0" applyBorder="0" applyAlignment="0" applyProtection="0"/>
    <xf numFmtId="0" fontId="7" fillId="0" borderId="0" applyNumberFormat="0" applyProtection="0">
      <alignment horizontal="left"/>
    </xf>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7" borderId="0" applyNumberFormat="0" applyBorder="0" applyAlignment="0" applyProtection="0"/>
    <xf numFmtId="0" fontId="9" fillId="10" borderId="0" applyNumberFormat="0" applyBorder="0" applyAlignment="0" applyProtection="0"/>
    <xf numFmtId="0" fontId="9" fillId="13" borderId="0" applyNumberFormat="0" applyBorder="0" applyAlignment="0" applyProtection="0"/>
    <xf numFmtId="0" fontId="10" fillId="14" borderId="0" applyNumberFormat="0" applyBorder="0" applyAlignment="0" applyProtection="0"/>
    <xf numFmtId="0" fontId="10" fillId="11" borderId="0" applyNumberFormat="0" applyBorder="0" applyAlignment="0" applyProtection="0"/>
    <xf numFmtId="0" fontId="10" fillId="12"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8"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21" borderId="0" applyNumberFormat="0" applyBorder="0" applyAlignment="0" applyProtection="0"/>
    <xf numFmtId="0" fontId="11" fillId="5" borderId="0" applyNumberFormat="0" applyBorder="0" applyAlignment="0" applyProtection="0"/>
    <xf numFmtId="0" fontId="3" fillId="0" borderId="4" applyNumberFormat="0" applyFont="0" applyProtection="0">
      <alignment wrapText="1"/>
    </xf>
    <xf numFmtId="0" fontId="12" fillId="22" borderId="6" applyNumberFormat="0" applyAlignment="0" applyProtection="0"/>
    <xf numFmtId="0" fontId="13" fillId="23" borderId="7" applyNumberFormat="0" applyAlignment="0" applyProtection="0"/>
    <xf numFmtId="0" fontId="14" fillId="0" borderId="0">
      <alignment horizontal="center" vertical="center" wrapText="1"/>
    </xf>
    <xf numFmtId="43" fontId="15"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1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6" fillId="0" borderId="0">
      <alignment horizontal="left" vertical="center" wrapText="1"/>
    </xf>
    <xf numFmtId="44" fontId="1" fillId="0" borderId="0" applyFont="0" applyFill="0" applyBorder="0" applyAlignment="0" applyProtection="0"/>
    <xf numFmtId="44" fontId="1" fillId="0" borderId="0" applyFont="0" applyFill="0" applyBorder="0" applyAlignment="0" applyProtection="0"/>
    <xf numFmtId="44" fontId="15" fillId="0" borderId="0" applyFont="0" applyFill="0" applyBorder="0" applyAlignment="0" applyProtection="0"/>
    <xf numFmtId="166" fontId="17" fillId="0" borderId="8" applyNumberFormat="0" applyFill="0">
      <alignment horizontal="right"/>
    </xf>
    <xf numFmtId="166" fontId="18" fillId="0" borderId="8" applyNumberFormat="0" applyFill="0">
      <alignment horizontal="right"/>
    </xf>
    <xf numFmtId="167" fontId="19" fillId="0" borderId="8">
      <alignment horizontal="right" vertical="center"/>
    </xf>
    <xf numFmtId="49" fontId="20" fillId="0" borderId="8">
      <alignment horizontal="left" vertical="center"/>
    </xf>
    <xf numFmtId="166" fontId="17" fillId="0" borderId="8" applyNumberFormat="0" applyFill="0">
      <alignment horizontal="right"/>
    </xf>
    <xf numFmtId="0" fontId="21" fillId="0" borderId="0" applyNumberFormat="0" applyFill="0" applyBorder="0" applyAlignment="0" applyProtection="0"/>
    <xf numFmtId="0" fontId="3" fillId="0" borderId="0" applyNumberFormat="0" applyFill="0" applyBorder="0" applyAlignment="0" applyProtection="0"/>
    <xf numFmtId="0" fontId="3" fillId="0" borderId="2" applyNumberFormat="0" applyProtection="0">
      <alignment wrapText="1"/>
    </xf>
    <xf numFmtId="0" fontId="22" fillId="6" borderId="0" applyNumberFormat="0" applyBorder="0" applyAlignment="0" applyProtection="0"/>
    <xf numFmtId="0" fontId="5" fillId="0" borderId="5" applyNumberFormat="0" applyProtection="0">
      <alignment wrapText="1"/>
    </xf>
    <xf numFmtId="0" fontId="23" fillId="0" borderId="9" applyNumberFormat="0" applyFill="0" applyAlignment="0" applyProtection="0"/>
    <xf numFmtId="0" fontId="24" fillId="0" borderId="10" applyNumberFormat="0" applyFill="0" applyAlignment="0" applyProtection="0"/>
    <xf numFmtId="0" fontId="25" fillId="0" borderId="11" applyNumberFormat="0" applyFill="0" applyAlignment="0" applyProtection="0"/>
    <xf numFmtId="0" fontId="25" fillId="0" borderId="0" applyNumberFormat="0" applyFill="0" applyBorder="0" applyAlignment="0" applyProtection="0"/>
    <xf numFmtId="0" fontId="26" fillId="0" borderId="8">
      <alignment horizontal="left"/>
    </xf>
    <xf numFmtId="0" fontId="27" fillId="0" borderId="8">
      <alignment horizontal="left"/>
    </xf>
    <xf numFmtId="0" fontId="28" fillId="0" borderId="12">
      <alignment horizontal="right" vertical="center"/>
    </xf>
    <xf numFmtId="0" fontId="29" fillId="0" borderId="8">
      <alignment horizontal="left" vertical="center"/>
    </xf>
    <xf numFmtId="0" fontId="17" fillId="0" borderId="8">
      <alignment horizontal="left" vertical="center"/>
    </xf>
    <xf numFmtId="0" fontId="26" fillId="0" borderId="8">
      <alignment horizontal="left"/>
    </xf>
    <xf numFmtId="0" fontId="26" fillId="24" borderId="0">
      <alignment horizontal="centerContinuous" wrapText="1"/>
    </xf>
    <xf numFmtId="49" fontId="26" fillId="24" borderId="13">
      <alignment horizontal="left" vertical="center"/>
    </xf>
    <xf numFmtId="0" fontId="26" fillId="24" borderId="0">
      <alignment horizontal="centerContinuous" vertical="center" wrapText="1"/>
    </xf>
    <xf numFmtId="0" fontId="30" fillId="0" borderId="0" applyNumberFormat="0" applyFill="0" applyBorder="0" applyAlignment="0" applyProtection="0">
      <alignment vertical="top"/>
      <protection locked="0"/>
    </xf>
    <xf numFmtId="0" fontId="31" fillId="9" borderId="6" applyNumberFormat="0" applyAlignment="0" applyProtection="0"/>
    <xf numFmtId="0" fontId="32" fillId="0" borderId="14" applyNumberFormat="0" applyFill="0" applyAlignment="0" applyProtection="0"/>
    <xf numFmtId="0" fontId="33" fillId="25" borderId="0" applyNumberFormat="0" applyBorder="0" applyAlignment="0" applyProtection="0"/>
    <xf numFmtId="0" fontId="1" fillId="0" borderId="0"/>
    <xf numFmtId="0" fontId="1" fillId="0" borderId="0"/>
    <xf numFmtId="0" fontId="15" fillId="0" borderId="0"/>
    <xf numFmtId="0" fontId="34" fillId="0" borderId="0"/>
    <xf numFmtId="0" fontId="15" fillId="0" borderId="0"/>
    <xf numFmtId="0" fontId="1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5" fillId="0" borderId="0"/>
    <xf numFmtId="0" fontId="15" fillId="0" borderId="0"/>
    <xf numFmtId="0" fontId="1" fillId="0" borderId="0"/>
    <xf numFmtId="0" fontId="1" fillId="0" borderId="0"/>
    <xf numFmtId="0" fontId="1" fillId="0" borderId="0"/>
    <xf numFmtId="0" fontId="15" fillId="0" borderId="0"/>
    <xf numFmtId="0" fontId="1" fillId="2" borderId="1" applyNumberFormat="0" applyFont="0" applyAlignment="0" applyProtection="0"/>
    <xf numFmtId="0" fontId="15" fillId="26" borderId="15" applyNumberFormat="0" applyFont="0" applyAlignment="0" applyProtection="0"/>
    <xf numFmtId="0" fontId="35" fillId="22" borderId="16" applyNumberFormat="0" applyAlignment="0" applyProtection="0"/>
    <xf numFmtId="0" fontId="5" fillId="0" borderId="3" applyNumberFormat="0" applyProtection="0">
      <alignment wrapText="1"/>
    </xf>
    <xf numFmtId="9" fontId="1" fillId="0" borderId="0" applyFont="0" applyFill="0" applyBorder="0" applyAlignment="0" applyProtection="0"/>
    <xf numFmtId="9" fontId="1"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 fillId="0" borderId="0" applyFont="0" applyFill="0" applyBorder="0" applyAlignment="0" applyProtection="0"/>
    <xf numFmtId="3" fontId="19" fillId="0" borderId="0">
      <alignment horizontal="left" vertical="center"/>
    </xf>
    <xf numFmtId="0" fontId="14" fillId="0" borderId="0">
      <alignment horizontal="left" vertical="center"/>
    </xf>
    <xf numFmtId="0" fontId="36" fillId="0" borderId="0">
      <alignment horizontal="right"/>
    </xf>
    <xf numFmtId="49" fontId="36" fillId="0" borderId="0">
      <alignment horizontal="center"/>
    </xf>
    <xf numFmtId="0" fontId="20" fillId="0" borderId="0">
      <alignment horizontal="right"/>
    </xf>
    <xf numFmtId="0" fontId="37" fillId="0" borderId="0">
      <alignment horizontal="right"/>
    </xf>
    <xf numFmtId="0" fontId="36" fillId="0" borderId="0">
      <alignment horizontal="left"/>
    </xf>
    <xf numFmtId="0" fontId="38" fillId="0" borderId="0">
      <alignment horizontal="left"/>
    </xf>
    <xf numFmtId="49" fontId="19" fillId="0" borderId="0">
      <alignment horizontal="left" vertical="center"/>
    </xf>
    <xf numFmtId="49" fontId="20" fillId="0" borderId="8">
      <alignment horizontal="left"/>
    </xf>
    <xf numFmtId="166" fontId="19" fillId="0" borderId="0" applyNumberFormat="0">
      <alignment horizontal="right"/>
    </xf>
    <xf numFmtId="0" fontId="28" fillId="27" borderId="0">
      <alignment horizontal="centerContinuous" vertical="center" wrapText="1"/>
    </xf>
    <xf numFmtId="0" fontId="28" fillId="0" borderId="17">
      <alignment horizontal="left" vertical="center"/>
    </xf>
    <xf numFmtId="0" fontId="7" fillId="0" borderId="0" applyNumberFormat="0" applyProtection="0">
      <alignment horizontal="left"/>
    </xf>
    <xf numFmtId="0" fontId="39" fillId="0" borderId="0" applyNumberFormat="0" applyFill="0" applyBorder="0" applyAlignment="0" applyProtection="0"/>
    <xf numFmtId="0" fontId="26" fillId="0" borderId="0">
      <alignment horizontal="left"/>
    </xf>
    <xf numFmtId="0" fontId="16" fillId="0" borderId="0">
      <alignment horizontal="left"/>
    </xf>
    <xf numFmtId="0" fontId="17" fillId="0" borderId="0">
      <alignment horizontal="left"/>
    </xf>
    <xf numFmtId="0" fontId="40" fillId="0" borderId="0">
      <alignment horizontal="left" vertical="top"/>
    </xf>
    <xf numFmtId="0" fontId="16" fillId="0" borderId="0">
      <alignment horizontal="left"/>
    </xf>
    <xf numFmtId="0" fontId="17" fillId="0" borderId="0">
      <alignment horizontal="left"/>
    </xf>
    <xf numFmtId="0" fontId="41" fillId="0" borderId="18" applyNumberFormat="0" applyFill="0" applyAlignment="0" applyProtection="0"/>
    <xf numFmtId="0" fontId="42" fillId="0" borderId="0" applyNumberFormat="0" applyFill="0" applyBorder="0" applyAlignment="0" applyProtection="0"/>
    <xf numFmtId="49" fontId="19" fillId="0" borderId="8">
      <alignment horizontal="left"/>
    </xf>
    <xf numFmtId="0" fontId="28" fillId="0" borderId="12">
      <alignment horizontal="left"/>
    </xf>
    <xf numFmtId="0" fontId="26" fillId="0" borderId="0">
      <alignment horizontal="left" vertical="center"/>
    </xf>
    <xf numFmtId="49" fontId="36" fillId="0" borderId="8">
      <alignment horizontal="left"/>
    </xf>
    <xf numFmtId="0" fontId="43" fillId="0" borderId="0" applyNumberFormat="0" applyFill="0" applyBorder="0" applyAlignment="0" applyProtection="0"/>
    <xf numFmtId="0" fontId="44" fillId="0" borderId="19" applyNumberFormat="0" applyFill="0" applyAlignment="0" applyProtection="0"/>
    <xf numFmtId="0" fontId="45" fillId="0" borderId="20" applyNumberFormat="0" applyFill="0" applyAlignment="0" applyProtection="0"/>
    <xf numFmtId="0" fontId="46" fillId="0" borderId="21" applyNumberFormat="0" applyFill="0" applyAlignment="0" applyProtection="0"/>
    <xf numFmtId="0" fontId="46" fillId="0" borderId="0" applyNumberFormat="0" applyFill="0" applyBorder="0" applyAlignment="0" applyProtection="0"/>
    <xf numFmtId="0" fontId="47" fillId="29" borderId="0" applyNumberFormat="0" applyBorder="0" applyAlignment="0" applyProtection="0"/>
    <xf numFmtId="0" fontId="48" fillId="30" borderId="0" applyNumberFormat="0" applyBorder="0" applyAlignment="0" applyProtection="0"/>
    <xf numFmtId="0" fontId="49" fillId="32" borderId="22" applyNumberFormat="0" applyAlignment="0" applyProtection="0"/>
    <xf numFmtId="0" fontId="50" fillId="33" borderId="23" applyNumberFormat="0" applyAlignment="0" applyProtection="0"/>
    <xf numFmtId="0" fontId="51" fillId="33" borderId="22" applyNumberFormat="0" applyAlignment="0" applyProtection="0"/>
    <xf numFmtId="0" fontId="52" fillId="0" borderId="24" applyNumberFormat="0" applyFill="0" applyAlignment="0" applyProtection="0"/>
    <xf numFmtId="0" fontId="53" fillId="34" borderId="25" applyNumberFormat="0" applyAlignment="0" applyProtection="0"/>
    <xf numFmtId="0" fontId="54" fillId="0" borderId="0" applyNumberFormat="0" applyFill="0" applyBorder="0" applyAlignment="0" applyProtection="0"/>
    <xf numFmtId="0" fontId="1" fillId="2" borderId="1" applyNumberFormat="0" applyFont="0" applyAlignment="0" applyProtection="0"/>
    <xf numFmtId="0" fontId="55" fillId="0" borderId="0" applyNumberFormat="0" applyFill="0" applyBorder="0" applyAlignment="0" applyProtection="0"/>
    <xf numFmtId="0" fontId="2" fillId="0" borderId="26" applyNumberFormat="0" applyFill="0" applyAlignment="0" applyProtection="0"/>
    <xf numFmtId="0" fontId="56" fillId="35"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56" fillId="39" borderId="0" applyNumberFormat="0" applyBorder="0" applyAlignment="0" applyProtection="0"/>
    <xf numFmtId="0" fontId="1" fillId="40" borderId="0" applyNumberFormat="0" applyBorder="0" applyAlignment="0" applyProtection="0"/>
    <xf numFmtId="0" fontId="1" fillId="41" borderId="0" applyNumberFormat="0" applyBorder="0" applyAlignment="0" applyProtection="0"/>
    <xf numFmtId="0" fontId="56" fillId="43" borderId="0" applyNumberFormat="0" applyBorder="0" applyAlignment="0" applyProtection="0"/>
    <xf numFmtId="0" fontId="1" fillId="44" borderId="0" applyNumberFormat="0" applyBorder="0" applyAlignment="0" applyProtection="0"/>
    <xf numFmtId="0" fontId="1" fillId="45" borderId="0" applyNumberFormat="0" applyBorder="0" applyAlignment="0" applyProtection="0"/>
    <xf numFmtId="0" fontId="56" fillId="47" borderId="0" applyNumberFormat="0" applyBorder="0" applyAlignment="0" applyProtection="0"/>
    <xf numFmtId="0" fontId="1" fillId="48" borderId="0" applyNumberFormat="0" applyBorder="0" applyAlignment="0" applyProtection="0"/>
    <xf numFmtId="0" fontId="1" fillId="49" borderId="0" applyNumberFormat="0" applyBorder="0" applyAlignment="0" applyProtection="0"/>
    <xf numFmtId="0" fontId="56" fillId="51" borderId="0" applyNumberFormat="0" applyBorder="0" applyAlignment="0" applyProtection="0"/>
    <xf numFmtId="0" fontId="1" fillId="52" borderId="0" applyNumberFormat="0" applyBorder="0" applyAlignment="0" applyProtection="0"/>
    <xf numFmtId="0" fontId="1" fillId="53" borderId="0" applyNumberFormat="0" applyBorder="0" applyAlignment="0" applyProtection="0"/>
    <xf numFmtId="0" fontId="56" fillId="55" borderId="0" applyNumberFormat="0" applyBorder="0" applyAlignment="0" applyProtection="0"/>
    <xf numFmtId="0" fontId="1" fillId="56" borderId="0" applyNumberFormat="0" applyBorder="0" applyAlignment="0" applyProtection="0"/>
    <xf numFmtId="0" fontId="1" fillId="57" borderId="0" applyNumberFormat="0" applyBorder="0" applyAlignment="0" applyProtection="0"/>
    <xf numFmtId="0" fontId="57" fillId="0" borderId="0" applyNumberFormat="0" applyFill="0" applyBorder="0" applyAlignment="0" applyProtection="0"/>
    <xf numFmtId="0" fontId="58" fillId="31" borderId="0" applyNumberFormat="0" applyBorder="0" applyAlignment="0" applyProtection="0"/>
    <xf numFmtId="0" fontId="56" fillId="38" borderId="0" applyNumberFormat="0" applyBorder="0" applyAlignment="0" applyProtection="0"/>
    <xf numFmtId="0" fontId="56" fillId="42" borderId="0" applyNumberFormat="0" applyBorder="0" applyAlignment="0" applyProtection="0"/>
    <xf numFmtId="0" fontId="56" fillId="46" borderId="0" applyNumberFormat="0" applyBorder="0" applyAlignment="0" applyProtection="0"/>
    <xf numFmtId="0" fontId="56" fillId="50" borderId="0" applyNumberFormat="0" applyBorder="0" applyAlignment="0" applyProtection="0"/>
    <xf numFmtId="0" fontId="56" fillId="54" borderId="0" applyNumberFormat="0" applyBorder="0" applyAlignment="0" applyProtection="0"/>
    <xf numFmtId="0" fontId="56" fillId="58"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1" fillId="40" borderId="0" applyNumberFormat="0" applyBorder="0" applyAlignment="0" applyProtection="0"/>
    <xf numFmtId="0" fontId="1" fillId="41" borderId="0" applyNumberFormat="0" applyBorder="0" applyAlignment="0" applyProtection="0"/>
    <xf numFmtId="0" fontId="1" fillId="44"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49" borderId="0" applyNumberFormat="0" applyBorder="0" applyAlignment="0" applyProtection="0"/>
    <xf numFmtId="0" fontId="1" fillId="52" borderId="0" applyNumberFormat="0" applyBorder="0" applyAlignment="0" applyProtection="0"/>
    <xf numFmtId="0" fontId="1" fillId="53" borderId="0" applyNumberFormat="0" applyBorder="0" applyAlignment="0" applyProtection="0"/>
    <xf numFmtId="0" fontId="1" fillId="56" borderId="0" applyNumberFormat="0" applyBorder="0" applyAlignment="0" applyProtection="0"/>
    <xf numFmtId="0" fontId="1" fillId="57" borderId="0" applyNumberFormat="0" applyBorder="0" applyAlignment="0" applyProtection="0"/>
    <xf numFmtId="9" fontId="1" fillId="0" borderId="0" applyFont="0" applyFill="0" applyBorder="0" applyAlignment="0" applyProtection="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43" fontId="1" fillId="0" borderId="0" applyFont="0" applyFill="0" applyBorder="0" applyAlignment="0" applyProtection="0"/>
  </cellStyleXfs>
  <cellXfs count="78">
    <xf numFmtId="0" fontId="0" fillId="0" borderId="0" xfId="0"/>
    <xf numFmtId="0" fontId="2" fillId="0" borderId="0" xfId="0" applyFont="1"/>
    <xf numFmtId="0" fontId="2" fillId="3" borderId="0" xfId="0" applyFont="1" applyFill="1"/>
    <xf numFmtId="0" fontId="0" fillId="0" borderId="0" xfId="0" applyAlignment="1">
      <alignment horizontal="left"/>
    </xf>
    <xf numFmtId="0" fontId="57" fillId="0" borderId="0" xfId="187"/>
    <xf numFmtId="0" fontId="0" fillId="28" borderId="0" xfId="0" applyFill="1"/>
    <xf numFmtId="0" fontId="3" fillId="0" borderId="0" xfId="1"/>
    <xf numFmtId="0" fontId="5" fillId="0" borderId="3" xfId="3">
      <alignment wrapText="1"/>
    </xf>
    <xf numFmtId="0" fontId="4" fillId="0" borderId="0" xfId="1" applyFont="1"/>
    <xf numFmtId="10" fontId="0" fillId="0" borderId="0" xfId="0" applyNumberFormat="1"/>
    <xf numFmtId="11" fontId="0" fillId="0" borderId="0" xfId="0" applyNumberFormat="1"/>
    <xf numFmtId="0" fontId="0" fillId="0" borderId="0" xfId="0" applyAlignment="1">
      <alignment horizontal="left" vertical="top"/>
    </xf>
    <xf numFmtId="0" fontId="6" fillId="0" borderId="0" xfId="1" applyFont="1"/>
    <xf numFmtId="0" fontId="8" fillId="0" borderId="0" xfId="1" applyFont="1"/>
    <xf numFmtId="168" fontId="0" fillId="0" borderId="0" xfId="207" applyNumberFormat="1" applyFont="1"/>
    <xf numFmtId="0" fontId="59" fillId="0" borderId="0" xfId="0" applyFont="1"/>
    <xf numFmtId="4" fontId="0" fillId="0" borderId="0" xfId="0" applyNumberFormat="1"/>
    <xf numFmtId="3" fontId="0" fillId="0" borderId="0" xfId="0" applyNumberFormat="1"/>
    <xf numFmtId="9" fontId="0" fillId="0" borderId="0" xfId="207" applyFont="1"/>
    <xf numFmtId="0" fontId="3" fillId="0" borderId="0" xfId="222"/>
    <xf numFmtId="0" fontId="5" fillId="0" borderId="5" xfId="224">
      <alignment wrapText="1"/>
    </xf>
    <xf numFmtId="0" fontId="7" fillId="0" borderId="0" xfId="226">
      <alignment horizontal="left"/>
    </xf>
    <xf numFmtId="0" fontId="3" fillId="0" borderId="0" xfId="1" applyAlignment="1">
      <alignment horizontal="left"/>
    </xf>
    <xf numFmtId="0" fontId="5" fillId="0" borderId="3" xfId="225">
      <alignment wrapText="1"/>
    </xf>
    <xf numFmtId="0" fontId="3" fillId="0" borderId="4" xfId="221">
      <alignment wrapText="1"/>
    </xf>
    <xf numFmtId="3" fontId="3" fillId="0" borderId="4" xfId="221" applyNumberFormat="1" applyAlignment="1">
      <alignment horizontal="right" wrapText="1"/>
    </xf>
    <xf numFmtId="3" fontId="5" fillId="0" borderId="3" xfId="225" applyNumberFormat="1" applyAlignment="1">
      <alignment horizontal="right" wrapText="1"/>
    </xf>
    <xf numFmtId="0" fontId="60" fillId="0" borderId="0" xfId="1" applyFont="1" applyAlignment="1">
      <alignment horizontal="right"/>
    </xf>
    <xf numFmtId="164" fontId="3" fillId="0" borderId="4" xfId="221" applyNumberFormat="1" applyAlignment="1">
      <alignment horizontal="right" wrapText="1"/>
    </xf>
    <xf numFmtId="164" fontId="5" fillId="0" borderId="3" xfId="225" applyNumberFormat="1" applyAlignment="1">
      <alignment horizontal="right" wrapText="1"/>
    </xf>
    <xf numFmtId="0" fontId="3" fillId="0" borderId="0" xfId="1" applyAlignment="1">
      <alignment horizontal="right"/>
    </xf>
    <xf numFmtId="0" fontId="62" fillId="0" borderId="0" xfId="1" applyFont="1"/>
    <xf numFmtId="0" fontId="5" fillId="0" borderId="0" xfId="225" applyBorder="1">
      <alignment wrapText="1"/>
    </xf>
    <xf numFmtId="3" fontId="5" fillId="0" borderId="0" xfId="225" applyNumberFormat="1" applyBorder="1" applyAlignment="1">
      <alignment horizontal="right" wrapText="1"/>
    </xf>
    <xf numFmtId="164" fontId="5" fillId="0" borderId="0" xfId="225" applyNumberFormat="1" applyBorder="1" applyAlignment="1">
      <alignment horizontal="right" wrapText="1"/>
    </xf>
    <xf numFmtId="0" fontId="61" fillId="0" borderId="0" xfId="223" applyFont="1" applyBorder="1">
      <alignment wrapText="1"/>
    </xf>
    <xf numFmtId="0" fontId="60" fillId="0" borderId="5" xfId="224" applyFont="1" applyAlignment="1">
      <alignment horizontal="right"/>
    </xf>
    <xf numFmtId="0" fontId="0" fillId="59" borderId="0" xfId="0" applyFill="1"/>
    <xf numFmtId="10" fontId="0" fillId="59" borderId="0" xfId="0" applyNumberFormat="1" applyFill="1"/>
    <xf numFmtId="10" fontId="2" fillId="0" borderId="0" xfId="0" applyNumberFormat="1" applyFont="1"/>
    <xf numFmtId="0" fontId="0" fillId="60" borderId="0" xfId="0" applyFill="1"/>
    <xf numFmtId="10" fontId="0" fillId="60" borderId="0" xfId="0" applyNumberFormat="1" applyFill="1"/>
    <xf numFmtId="0" fontId="0" fillId="0" borderId="0" xfId="207" applyNumberFormat="1" applyFont="1" applyAlignment="1"/>
    <xf numFmtId="10" fontId="0" fillId="28" borderId="0" xfId="0" applyNumberFormat="1" applyFill="1"/>
    <xf numFmtId="0" fontId="0" fillId="61" borderId="0" xfId="0" applyFill="1"/>
    <xf numFmtId="10" fontId="0" fillId="61" borderId="0" xfId="0" applyNumberFormat="1" applyFill="1"/>
    <xf numFmtId="9" fontId="0" fillId="61" borderId="0" xfId="207" applyFont="1" applyFill="1"/>
    <xf numFmtId="3" fontId="63" fillId="0" borderId="0" xfId="0" applyNumberFormat="1" applyFont="1"/>
    <xf numFmtId="3" fontId="64" fillId="0" borderId="0" xfId="0" applyNumberFormat="1" applyFont="1"/>
    <xf numFmtId="4" fontId="63" fillId="0" borderId="0" xfId="0" applyNumberFormat="1" applyFont="1"/>
    <xf numFmtId="1" fontId="65" fillId="0" borderId="0" xfId="0" applyNumberFormat="1" applyFont="1"/>
    <xf numFmtId="4" fontId="64" fillId="0" borderId="0" xfId="0" applyNumberFormat="1" applyFont="1"/>
    <xf numFmtId="4" fontId="65" fillId="0" borderId="0" xfId="0" applyNumberFormat="1" applyFont="1"/>
    <xf numFmtId="3" fontId="65" fillId="0" borderId="0" xfId="0" applyNumberFormat="1" applyFont="1"/>
    <xf numFmtId="165" fontId="64" fillId="0" borderId="0" xfId="0" applyNumberFormat="1" applyFont="1"/>
    <xf numFmtId="165" fontId="65" fillId="0" borderId="0" xfId="0" applyNumberFormat="1" applyFont="1"/>
    <xf numFmtId="0" fontId="0" fillId="0" borderId="5" xfId="0" applyBorder="1"/>
    <xf numFmtId="3" fontId="64" fillId="28" borderId="0" xfId="0" applyNumberFormat="1" applyFont="1" applyFill="1"/>
    <xf numFmtId="0" fontId="0" fillId="62" borderId="0" xfId="0" applyFill="1"/>
    <xf numFmtId="10" fontId="0" fillId="62" borderId="0" xfId="0" applyNumberFormat="1" applyFill="1"/>
    <xf numFmtId="165" fontId="64" fillId="62" borderId="0" xfId="0" applyNumberFormat="1" applyFont="1" applyFill="1"/>
    <xf numFmtId="4" fontId="64" fillId="28" borderId="0" xfId="0" applyNumberFormat="1" applyFont="1" applyFill="1"/>
    <xf numFmtId="9" fontId="64" fillId="0" borderId="0" xfId="207" applyFont="1"/>
    <xf numFmtId="0" fontId="0" fillId="0" borderId="0" xfId="0" applyAlignment="1">
      <alignment wrapText="1"/>
    </xf>
    <xf numFmtId="0" fontId="66" fillId="0" borderId="0" xfId="0" applyFont="1"/>
    <xf numFmtId="0" fontId="66" fillId="63" borderId="0" xfId="0" applyFont="1" applyFill="1"/>
    <xf numFmtId="168" fontId="0" fillId="0" borderId="0" xfId="0" applyNumberFormat="1"/>
    <xf numFmtId="0" fontId="67" fillId="0" borderId="0" xfId="0" applyFont="1"/>
    <xf numFmtId="0" fontId="59" fillId="0" borderId="0" xfId="0" applyFont="1" applyAlignment="1">
      <alignment wrapText="1"/>
    </xf>
    <xf numFmtId="0" fontId="68" fillId="0" borderId="0" xfId="0" applyFont="1"/>
    <xf numFmtId="0" fontId="69" fillId="0" borderId="0" xfId="0" applyFont="1"/>
    <xf numFmtId="0" fontId="70" fillId="0" borderId="0" xfId="0" applyFont="1"/>
    <xf numFmtId="0" fontId="0" fillId="3" borderId="0" xfId="0" applyFill="1"/>
    <xf numFmtId="4" fontId="0" fillId="3" borderId="0" xfId="227" applyNumberFormat="1" applyFont="1" applyFill="1"/>
    <xf numFmtId="0" fontId="3" fillId="0" borderId="0" xfId="1"/>
    <xf numFmtId="0" fontId="61" fillId="0" borderId="2" xfId="223" applyFont="1">
      <alignment wrapText="1"/>
    </xf>
    <xf numFmtId="0" fontId="3" fillId="0" borderId="2" xfId="1" applyBorder="1"/>
    <xf numFmtId="14" fontId="59" fillId="0" borderId="0" xfId="0" applyNumberFormat="1" applyFont="1"/>
  </cellXfs>
  <cellStyles count="228">
    <cellStyle name="20% - Accent1" xfId="170" builtinId="30" customBuiltin="1"/>
    <cellStyle name="20% - Accent1 2" xfId="8" xr:uid="{00000000-0005-0000-0000-000001000000}"/>
    <cellStyle name="20% - Accent1 2 2" xfId="195" xr:uid="{00000000-0005-0000-0000-000002000000}"/>
    <cellStyle name="20% - Accent2" xfId="173" builtinId="34" customBuiltin="1"/>
    <cellStyle name="20% - Accent2 2" xfId="9" xr:uid="{00000000-0005-0000-0000-000004000000}"/>
    <cellStyle name="20% - Accent2 2 2" xfId="197" xr:uid="{00000000-0005-0000-0000-000005000000}"/>
    <cellStyle name="20% - Accent3" xfId="176" builtinId="38" customBuiltin="1"/>
    <cellStyle name="20% - Accent3 2" xfId="10" xr:uid="{00000000-0005-0000-0000-000007000000}"/>
    <cellStyle name="20% - Accent3 2 2" xfId="199" xr:uid="{00000000-0005-0000-0000-000008000000}"/>
    <cellStyle name="20% - Accent4" xfId="179" builtinId="42" customBuiltin="1"/>
    <cellStyle name="20% - Accent4 2" xfId="11" xr:uid="{00000000-0005-0000-0000-00000A000000}"/>
    <cellStyle name="20% - Accent4 2 2" xfId="201" xr:uid="{00000000-0005-0000-0000-00000B000000}"/>
    <cellStyle name="20% - Accent5" xfId="182" builtinId="46" customBuiltin="1"/>
    <cellStyle name="20% - Accent5 2" xfId="12" xr:uid="{00000000-0005-0000-0000-00000D000000}"/>
    <cellStyle name="20% - Accent5 2 2" xfId="203" xr:uid="{00000000-0005-0000-0000-00000E000000}"/>
    <cellStyle name="20% - Accent6" xfId="185" builtinId="50" customBuiltin="1"/>
    <cellStyle name="20% - Accent6 2" xfId="13" xr:uid="{00000000-0005-0000-0000-000010000000}"/>
    <cellStyle name="20% - Accent6 2 2" xfId="205" xr:uid="{00000000-0005-0000-0000-000011000000}"/>
    <cellStyle name="40% - Accent1" xfId="171" builtinId="31" customBuiltin="1"/>
    <cellStyle name="40% - Accent1 2" xfId="14" xr:uid="{00000000-0005-0000-0000-000013000000}"/>
    <cellStyle name="40% - Accent1 2 2" xfId="196" xr:uid="{00000000-0005-0000-0000-000014000000}"/>
    <cellStyle name="40% - Accent2" xfId="174" builtinId="35" customBuiltin="1"/>
    <cellStyle name="40% - Accent2 2" xfId="15" xr:uid="{00000000-0005-0000-0000-000016000000}"/>
    <cellStyle name="40% - Accent2 2 2" xfId="198" xr:uid="{00000000-0005-0000-0000-000017000000}"/>
    <cellStyle name="40% - Accent3" xfId="177" builtinId="39" customBuiltin="1"/>
    <cellStyle name="40% - Accent3 2" xfId="16" xr:uid="{00000000-0005-0000-0000-000019000000}"/>
    <cellStyle name="40% - Accent3 2 2" xfId="200" xr:uid="{00000000-0005-0000-0000-00001A000000}"/>
    <cellStyle name="40% - Accent4" xfId="180" builtinId="43" customBuiltin="1"/>
    <cellStyle name="40% - Accent4 2" xfId="17" xr:uid="{00000000-0005-0000-0000-00001C000000}"/>
    <cellStyle name="40% - Accent4 2 2" xfId="202" xr:uid="{00000000-0005-0000-0000-00001D000000}"/>
    <cellStyle name="40% - Accent5" xfId="183" builtinId="47" customBuiltin="1"/>
    <cellStyle name="40% - Accent5 2" xfId="18" xr:uid="{00000000-0005-0000-0000-00001F000000}"/>
    <cellStyle name="40% - Accent5 2 2" xfId="204" xr:uid="{00000000-0005-0000-0000-000020000000}"/>
    <cellStyle name="40% - Accent6" xfId="186" builtinId="51" customBuiltin="1"/>
    <cellStyle name="40% - Accent6 2" xfId="19" xr:uid="{00000000-0005-0000-0000-000022000000}"/>
    <cellStyle name="40% - Accent6 2 2" xfId="206" xr:uid="{00000000-0005-0000-0000-000023000000}"/>
    <cellStyle name="60% - Accent1 2" xfId="20" xr:uid="{00000000-0005-0000-0000-000024000000}"/>
    <cellStyle name="60% - Accent1 3" xfId="189" xr:uid="{00000000-0005-0000-0000-000025000000}"/>
    <cellStyle name="60% - Accent2 2" xfId="21" xr:uid="{00000000-0005-0000-0000-000026000000}"/>
    <cellStyle name="60% - Accent2 3" xfId="190" xr:uid="{00000000-0005-0000-0000-000027000000}"/>
    <cellStyle name="60% - Accent3 2" xfId="22" xr:uid="{00000000-0005-0000-0000-000028000000}"/>
    <cellStyle name="60% - Accent3 3" xfId="191" xr:uid="{00000000-0005-0000-0000-000029000000}"/>
    <cellStyle name="60% - Accent4 2" xfId="23" xr:uid="{00000000-0005-0000-0000-00002A000000}"/>
    <cellStyle name="60% - Accent4 3" xfId="192" xr:uid="{00000000-0005-0000-0000-00002B000000}"/>
    <cellStyle name="60% - Accent5 2" xfId="24" xr:uid="{00000000-0005-0000-0000-00002C000000}"/>
    <cellStyle name="60% - Accent5 3" xfId="193" xr:uid="{00000000-0005-0000-0000-00002D000000}"/>
    <cellStyle name="60% - Accent6 2" xfId="25" xr:uid="{00000000-0005-0000-0000-00002E000000}"/>
    <cellStyle name="60% - Accent6 3" xfId="194" xr:uid="{00000000-0005-0000-0000-00002F000000}"/>
    <cellStyle name="Accent1" xfId="169" builtinId="29" customBuiltin="1"/>
    <cellStyle name="Accent1 2" xfId="26" xr:uid="{00000000-0005-0000-0000-000031000000}"/>
    <cellStyle name="Accent2" xfId="172" builtinId="33" customBuiltin="1"/>
    <cellStyle name="Accent2 2" xfId="27" xr:uid="{00000000-0005-0000-0000-000033000000}"/>
    <cellStyle name="Accent3" xfId="175" builtinId="37" customBuiltin="1"/>
    <cellStyle name="Accent3 2" xfId="28" xr:uid="{00000000-0005-0000-0000-000035000000}"/>
    <cellStyle name="Accent4" xfId="178" builtinId="41" customBuiltin="1"/>
    <cellStyle name="Accent4 2" xfId="29" xr:uid="{00000000-0005-0000-0000-000037000000}"/>
    <cellStyle name="Accent5" xfId="181" builtinId="45" customBuiltin="1"/>
    <cellStyle name="Accent5 2" xfId="30" xr:uid="{00000000-0005-0000-0000-000039000000}"/>
    <cellStyle name="Accent6" xfId="184" builtinId="49" customBuiltin="1"/>
    <cellStyle name="Accent6 2" xfId="31" xr:uid="{00000000-0005-0000-0000-00003B000000}"/>
    <cellStyle name="Bad" xfId="159" builtinId="27" customBuiltin="1"/>
    <cellStyle name="Bad 2" xfId="32" xr:uid="{00000000-0005-0000-0000-00003D000000}"/>
    <cellStyle name="Body: normal cell" xfId="4" xr:uid="{00000000-0005-0000-0000-00003E000000}"/>
    <cellStyle name="Body: normal cell 2" xfId="33" xr:uid="{00000000-0005-0000-0000-00003F000000}"/>
    <cellStyle name="Body: normal cell 2 2" xfId="221" xr:uid="{9F1189E0-253F-4740-8EF7-1E1F7170DDF5}"/>
    <cellStyle name="Body: normal cell 3" xfId="215" xr:uid="{06F9487A-E3B1-4401-B33F-A1D59968A6A2}"/>
    <cellStyle name="Body: normal cell 4" xfId="208" xr:uid="{C6305E00-CA4D-49E4-A695-2171446F05F2}"/>
    <cellStyle name="Calculation" xfId="162" builtinId="22" customBuiltin="1"/>
    <cellStyle name="Calculation 2" xfId="34" xr:uid="{00000000-0005-0000-0000-000041000000}"/>
    <cellStyle name="Check Cell" xfId="164" builtinId="23" customBuiltin="1"/>
    <cellStyle name="Check Cell 2" xfId="35" xr:uid="{00000000-0005-0000-0000-000043000000}"/>
    <cellStyle name="Column heading" xfId="36" xr:uid="{00000000-0005-0000-0000-000044000000}"/>
    <cellStyle name="Comma" xfId="227" builtinId="3"/>
    <cellStyle name="Comma 2" xfId="37" xr:uid="{00000000-0005-0000-0000-000045000000}"/>
    <cellStyle name="Comma 2 2" xfId="38" xr:uid="{00000000-0005-0000-0000-000046000000}"/>
    <cellStyle name="Comma 3" xfId="39" xr:uid="{00000000-0005-0000-0000-000047000000}"/>
    <cellStyle name="Comma 4" xfId="40" xr:uid="{00000000-0005-0000-0000-000048000000}"/>
    <cellStyle name="Comma 5" xfId="41" xr:uid="{00000000-0005-0000-0000-000049000000}"/>
    <cellStyle name="Comma 6" xfId="42" xr:uid="{00000000-0005-0000-0000-00004A000000}"/>
    <cellStyle name="Comma 7" xfId="43" xr:uid="{00000000-0005-0000-0000-00004B000000}"/>
    <cellStyle name="Comma 8" xfId="44" xr:uid="{00000000-0005-0000-0000-00004C000000}"/>
    <cellStyle name="Corner heading" xfId="45" xr:uid="{00000000-0005-0000-0000-00004D000000}"/>
    <cellStyle name="Currency 2" xfId="46" xr:uid="{00000000-0005-0000-0000-00004E000000}"/>
    <cellStyle name="Currency 3" xfId="47" xr:uid="{00000000-0005-0000-0000-00004F000000}"/>
    <cellStyle name="Currency 3 2" xfId="48" xr:uid="{00000000-0005-0000-0000-000050000000}"/>
    <cellStyle name="Data" xfId="49" xr:uid="{00000000-0005-0000-0000-000051000000}"/>
    <cellStyle name="Data 2" xfId="50" xr:uid="{00000000-0005-0000-0000-000052000000}"/>
    <cellStyle name="Data no deci" xfId="51" xr:uid="{00000000-0005-0000-0000-000053000000}"/>
    <cellStyle name="Data Superscript" xfId="52" xr:uid="{00000000-0005-0000-0000-000054000000}"/>
    <cellStyle name="Data_1-1A-Regular" xfId="53" xr:uid="{00000000-0005-0000-0000-000055000000}"/>
    <cellStyle name="Explanatory Text" xfId="167" builtinId="53" customBuiltin="1"/>
    <cellStyle name="Explanatory Text 2" xfId="54" xr:uid="{00000000-0005-0000-0000-000057000000}"/>
    <cellStyle name="Font: Calibri, 9pt regular" xfId="6" xr:uid="{00000000-0005-0000-0000-000058000000}"/>
    <cellStyle name="Font: Calibri, 9pt regular 2" xfId="55" xr:uid="{00000000-0005-0000-0000-000059000000}"/>
    <cellStyle name="Font: Calibri, 9pt regular 2 2" xfId="222" xr:uid="{BCD055C3-1FEB-498B-B408-784A080E8E38}"/>
    <cellStyle name="Font: Calibri, 9pt regular 3" xfId="216" xr:uid="{0BD7D402-278F-4782-A177-BADCF3B581A9}"/>
    <cellStyle name="Font: Calibri, 9pt regular 4" xfId="209" xr:uid="{519CF548-359B-4491-8B1A-D50E86113721}"/>
    <cellStyle name="Footnotes: top row" xfId="2" xr:uid="{00000000-0005-0000-0000-00005A000000}"/>
    <cellStyle name="Footnotes: top row 2" xfId="56" xr:uid="{00000000-0005-0000-0000-00005B000000}"/>
    <cellStyle name="Footnotes: top row 2 2" xfId="223" xr:uid="{5F106645-4A5E-425C-8474-CF6B55DAA707}"/>
    <cellStyle name="Footnotes: top row 3" xfId="217" xr:uid="{A936FBD4-269B-416E-A371-0F26F5E8842C}"/>
    <cellStyle name="Footnotes: top row 4" xfId="210" xr:uid="{98969F2B-9162-4D43-8D7B-4878AB5C436D}"/>
    <cellStyle name="Good" xfId="158" builtinId="26" customBuiltin="1"/>
    <cellStyle name="Good 2" xfId="57" xr:uid="{00000000-0005-0000-0000-00005D000000}"/>
    <cellStyle name="Header: bottom row" xfId="5" xr:uid="{00000000-0005-0000-0000-00005E000000}"/>
    <cellStyle name="Header: bottom row 2" xfId="58" xr:uid="{00000000-0005-0000-0000-00005F000000}"/>
    <cellStyle name="Header: bottom row 2 2" xfId="224" xr:uid="{49771800-68B2-41F3-9DA5-445EB1C6759C}"/>
    <cellStyle name="Header: bottom row 3" xfId="218" xr:uid="{8290FB4E-9BD8-484A-AF49-F7A30BEF32E5}"/>
    <cellStyle name="Header: bottom row 4" xfId="211" xr:uid="{639BC003-3855-42E3-85DF-BA800ECAF917}"/>
    <cellStyle name="Heading 1" xfId="154" builtinId="16" customBuiltin="1"/>
    <cellStyle name="Heading 1 2" xfId="59" xr:uid="{00000000-0005-0000-0000-000061000000}"/>
    <cellStyle name="Heading 2" xfId="155" builtinId="17" customBuiltin="1"/>
    <cellStyle name="Heading 2 2" xfId="60" xr:uid="{00000000-0005-0000-0000-000063000000}"/>
    <cellStyle name="Heading 3" xfId="156" builtinId="18" customBuiltin="1"/>
    <cellStyle name="Heading 3 2" xfId="61" xr:uid="{00000000-0005-0000-0000-000065000000}"/>
    <cellStyle name="Heading 4" xfId="157" builtinId="19" customBuiltin="1"/>
    <cellStyle name="Heading 4 2" xfId="62" xr:uid="{00000000-0005-0000-0000-000067000000}"/>
    <cellStyle name="Hed Side" xfId="63" xr:uid="{00000000-0005-0000-0000-000068000000}"/>
    <cellStyle name="Hed Side 2" xfId="64" xr:uid="{00000000-0005-0000-0000-000069000000}"/>
    <cellStyle name="Hed Side bold" xfId="65" xr:uid="{00000000-0005-0000-0000-00006A000000}"/>
    <cellStyle name="Hed Side Indent" xfId="66" xr:uid="{00000000-0005-0000-0000-00006B000000}"/>
    <cellStyle name="Hed Side Regular" xfId="67" xr:uid="{00000000-0005-0000-0000-00006C000000}"/>
    <cellStyle name="Hed Side_1-1A-Regular" xfId="68" xr:uid="{00000000-0005-0000-0000-00006D000000}"/>
    <cellStyle name="Hed Top" xfId="69" xr:uid="{00000000-0005-0000-0000-00006E000000}"/>
    <cellStyle name="Hed Top - SECTION" xfId="70" xr:uid="{00000000-0005-0000-0000-00006F000000}"/>
    <cellStyle name="Hed Top_3-new4" xfId="71" xr:uid="{00000000-0005-0000-0000-000070000000}"/>
    <cellStyle name="Hyperlink" xfId="187" builtinId="8"/>
    <cellStyle name="Hyperlink 2" xfId="72" xr:uid="{00000000-0005-0000-0000-000072000000}"/>
    <cellStyle name="Input" xfId="160" builtinId="20" customBuiltin="1"/>
    <cellStyle name="Input 2" xfId="73" xr:uid="{00000000-0005-0000-0000-000074000000}"/>
    <cellStyle name="Linked Cell" xfId="163" builtinId="24" customBuiltin="1"/>
    <cellStyle name="Linked Cell 2" xfId="74" xr:uid="{00000000-0005-0000-0000-000076000000}"/>
    <cellStyle name="Neutral 2" xfId="75" xr:uid="{00000000-0005-0000-0000-000077000000}"/>
    <cellStyle name="Neutral 3" xfId="188" xr:uid="{00000000-0005-0000-0000-000078000000}"/>
    <cellStyle name="Normal" xfId="0" builtinId="0"/>
    <cellStyle name="Normal 10" xfId="76" xr:uid="{00000000-0005-0000-0000-00007A000000}"/>
    <cellStyle name="Normal 11" xfId="77" xr:uid="{00000000-0005-0000-0000-00007B000000}"/>
    <cellStyle name="Normal 2" xfId="1" xr:uid="{00000000-0005-0000-0000-00007C000000}"/>
    <cellStyle name="Normal 2 2" xfId="78" xr:uid="{00000000-0005-0000-0000-00007D000000}"/>
    <cellStyle name="Normal 2 3" xfId="79" xr:uid="{00000000-0005-0000-0000-00007E000000}"/>
    <cellStyle name="Normal 3" xfId="80" xr:uid="{00000000-0005-0000-0000-00007F000000}"/>
    <cellStyle name="Normal 3 2" xfId="81" xr:uid="{00000000-0005-0000-0000-000080000000}"/>
    <cellStyle name="Normal 3 2 2" xfId="82" xr:uid="{00000000-0005-0000-0000-000081000000}"/>
    <cellStyle name="Normal 3 2 2 2" xfId="83" xr:uid="{00000000-0005-0000-0000-000082000000}"/>
    <cellStyle name="Normal 3 2 3" xfId="84" xr:uid="{00000000-0005-0000-0000-000083000000}"/>
    <cellStyle name="Normal 3 3" xfId="85" xr:uid="{00000000-0005-0000-0000-000084000000}"/>
    <cellStyle name="Normal 3 3 2" xfId="86" xr:uid="{00000000-0005-0000-0000-000085000000}"/>
    <cellStyle name="Normal 3 3 2 2" xfId="87" xr:uid="{00000000-0005-0000-0000-000086000000}"/>
    <cellStyle name="Normal 3 3 3" xfId="88" xr:uid="{00000000-0005-0000-0000-000087000000}"/>
    <cellStyle name="Normal 3 4" xfId="89" xr:uid="{00000000-0005-0000-0000-000088000000}"/>
    <cellStyle name="Normal 3 4 2" xfId="90" xr:uid="{00000000-0005-0000-0000-000089000000}"/>
    <cellStyle name="Normal 3 5" xfId="91" xr:uid="{00000000-0005-0000-0000-00008A000000}"/>
    <cellStyle name="Normal 3 6" xfId="92" xr:uid="{00000000-0005-0000-0000-00008B000000}"/>
    <cellStyle name="Normal 3 7" xfId="93" xr:uid="{00000000-0005-0000-0000-00008C000000}"/>
    <cellStyle name="Normal 4" xfId="94" xr:uid="{00000000-0005-0000-0000-00008D000000}"/>
    <cellStyle name="Normal 4 2" xfId="95" xr:uid="{00000000-0005-0000-0000-00008E000000}"/>
    <cellStyle name="Normal 4 2 2" xfId="96" xr:uid="{00000000-0005-0000-0000-00008F000000}"/>
    <cellStyle name="Normal 4 2 2 2" xfId="97" xr:uid="{00000000-0005-0000-0000-000090000000}"/>
    <cellStyle name="Normal 4 2 3" xfId="98" xr:uid="{00000000-0005-0000-0000-000091000000}"/>
    <cellStyle name="Normal 4 3" xfId="99" xr:uid="{00000000-0005-0000-0000-000092000000}"/>
    <cellStyle name="Normal 4 3 2" xfId="100" xr:uid="{00000000-0005-0000-0000-000093000000}"/>
    <cellStyle name="Normal 4 3 2 2" xfId="101" xr:uid="{00000000-0005-0000-0000-000094000000}"/>
    <cellStyle name="Normal 4 3 3" xfId="102" xr:uid="{00000000-0005-0000-0000-000095000000}"/>
    <cellStyle name="Normal 4 4" xfId="103" xr:uid="{00000000-0005-0000-0000-000096000000}"/>
    <cellStyle name="Normal 4 4 2" xfId="104" xr:uid="{00000000-0005-0000-0000-000097000000}"/>
    <cellStyle name="Normal 4 5" xfId="105" xr:uid="{00000000-0005-0000-0000-000098000000}"/>
    <cellStyle name="Normal 4 6" xfId="106" xr:uid="{00000000-0005-0000-0000-000099000000}"/>
    <cellStyle name="Normal 4 7" xfId="107" xr:uid="{00000000-0005-0000-0000-00009A000000}"/>
    <cellStyle name="Normal 4 8" xfId="214" xr:uid="{C66652ED-7207-4F72-99D7-B2F497538203}"/>
    <cellStyle name="Normal 5" xfId="108" xr:uid="{00000000-0005-0000-0000-00009B000000}"/>
    <cellStyle name="Normal 5 2" xfId="109" xr:uid="{00000000-0005-0000-0000-00009C000000}"/>
    <cellStyle name="Normal 5 3" xfId="110" xr:uid="{00000000-0005-0000-0000-00009D000000}"/>
    <cellStyle name="Normal 6" xfId="111" xr:uid="{00000000-0005-0000-0000-00009E000000}"/>
    <cellStyle name="Normal 6 2" xfId="112" xr:uid="{00000000-0005-0000-0000-00009F000000}"/>
    <cellStyle name="Normal 7" xfId="113" xr:uid="{00000000-0005-0000-0000-0000A0000000}"/>
    <cellStyle name="Normal 7 2" xfId="114" xr:uid="{00000000-0005-0000-0000-0000A1000000}"/>
    <cellStyle name="Normal 8" xfId="115" xr:uid="{00000000-0005-0000-0000-0000A2000000}"/>
    <cellStyle name="Normal 9" xfId="116" xr:uid="{00000000-0005-0000-0000-0000A3000000}"/>
    <cellStyle name="Note" xfId="166" builtinId="10" customBuiltin="1"/>
    <cellStyle name="Note 2" xfId="117" xr:uid="{00000000-0005-0000-0000-0000A5000000}"/>
    <cellStyle name="Note 2 2" xfId="118" xr:uid="{00000000-0005-0000-0000-0000A6000000}"/>
    <cellStyle name="Output" xfId="161" builtinId="21" customBuiltin="1"/>
    <cellStyle name="Output 2" xfId="119" xr:uid="{00000000-0005-0000-0000-0000A8000000}"/>
    <cellStyle name="Parent row" xfId="3" xr:uid="{00000000-0005-0000-0000-0000A9000000}"/>
    <cellStyle name="Parent row 2" xfId="120" xr:uid="{00000000-0005-0000-0000-0000AA000000}"/>
    <cellStyle name="Parent row 2 2" xfId="225" xr:uid="{A0EC3B3E-2FBE-4405-959C-3851598653E8}"/>
    <cellStyle name="Parent row 3" xfId="219" xr:uid="{83B1DB15-6E9E-42D2-A177-5895380696A6}"/>
    <cellStyle name="Parent row 4" xfId="212" xr:uid="{5BAF48A9-F5B6-4F20-803F-2C380CAC8CDA}"/>
    <cellStyle name="Percent" xfId="207" builtinId="5"/>
    <cellStyle name="Percent 2" xfId="121" xr:uid="{00000000-0005-0000-0000-0000AB000000}"/>
    <cellStyle name="Percent 2 2" xfId="122" xr:uid="{00000000-0005-0000-0000-0000AC000000}"/>
    <cellStyle name="Percent 3" xfId="123" xr:uid="{00000000-0005-0000-0000-0000AD000000}"/>
    <cellStyle name="Percent 3 2" xfId="124" xr:uid="{00000000-0005-0000-0000-0000AE000000}"/>
    <cellStyle name="Percent 4" xfId="125" xr:uid="{00000000-0005-0000-0000-0000AF000000}"/>
    <cellStyle name="Reference" xfId="126" xr:uid="{00000000-0005-0000-0000-0000B0000000}"/>
    <cellStyle name="Row heading" xfId="127" xr:uid="{00000000-0005-0000-0000-0000B1000000}"/>
    <cellStyle name="Source Hed" xfId="128" xr:uid="{00000000-0005-0000-0000-0000B2000000}"/>
    <cellStyle name="Source Letter" xfId="129" xr:uid="{00000000-0005-0000-0000-0000B3000000}"/>
    <cellStyle name="Source Superscript" xfId="130" xr:uid="{00000000-0005-0000-0000-0000B4000000}"/>
    <cellStyle name="Source Superscript 2" xfId="131" xr:uid="{00000000-0005-0000-0000-0000B5000000}"/>
    <cellStyle name="Source Text" xfId="132" xr:uid="{00000000-0005-0000-0000-0000B6000000}"/>
    <cellStyle name="Source Text 2" xfId="133" xr:uid="{00000000-0005-0000-0000-0000B7000000}"/>
    <cellStyle name="State" xfId="134" xr:uid="{00000000-0005-0000-0000-0000B8000000}"/>
    <cellStyle name="Superscript" xfId="135" xr:uid="{00000000-0005-0000-0000-0000B9000000}"/>
    <cellStyle name="Table Data" xfId="136" xr:uid="{00000000-0005-0000-0000-0000BA000000}"/>
    <cellStyle name="Table Head Top" xfId="137" xr:uid="{00000000-0005-0000-0000-0000BB000000}"/>
    <cellStyle name="Table Hed Side" xfId="138" xr:uid="{00000000-0005-0000-0000-0000BC000000}"/>
    <cellStyle name="Table title" xfId="7" xr:uid="{00000000-0005-0000-0000-0000BD000000}"/>
    <cellStyle name="Table title 2" xfId="139" xr:uid="{00000000-0005-0000-0000-0000BE000000}"/>
    <cellStyle name="Table title 2 2" xfId="226" xr:uid="{B364316B-0C80-45CD-8E7F-7AE953291CD4}"/>
    <cellStyle name="Table title 3" xfId="220" xr:uid="{A5BAA771-02BA-462F-80B2-1D60A4CCF809}"/>
    <cellStyle name="Table title 4" xfId="213" xr:uid="{9EE90202-27A6-4017-A4B6-C2010A196C0E}"/>
    <cellStyle name="Title" xfId="153" builtinId="15" customBuiltin="1"/>
    <cellStyle name="Title 2" xfId="140" xr:uid="{00000000-0005-0000-0000-0000C0000000}"/>
    <cellStyle name="Title Text" xfId="141" xr:uid="{00000000-0005-0000-0000-0000C1000000}"/>
    <cellStyle name="Title Text 1" xfId="142" xr:uid="{00000000-0005-0000-0000-0000C2000000}"/>
    <cellStyle name="Title Text 2" xfId="143" xr:uid="{00000000-0005-0000-0000-0000C3000000}"/>
    <cellStyle name="Title-1" xfId="144" xr:uid="{00000000-0005-0000-0000-0000C4000000}"/>
    <cellStyle name="Title-2" xfId="145" xr:uid="{00000000-0005-0000-0000-0000C5000000}"/>
    <cellStyle name="Title-3" xfId="146" xr:uid="{00000000-0005-0000-0000-0000C6000000}"/>
    <cellStyle name="Total" xfId="168" builtinId="25" customBuiltin="1"/>
    <cellStyle name="Total 2" xfId="147" xr:uid="{00000000-0005-0000-0000-0000C8000000}"/>
    <cellStyle name="Warning Text" xfId="165" builtinId="11" customBuiltin="1"/>
    <cellStyle name="Warning Text 2" xfId="148" xr:uid="{00000000-0005-0000-0000-0000CA000000}"/>
    <cellStyle name="Wrap" xfId="149" xr:uid="{00000000-0005-0000-0000-0000CB000000}"/>
    <cellStyle name="Wrap Bold" xfId="150" xr:uid="{00000000-0005-0000-0000-0000CC000000}"/>
    <cellStyle name="Wrap Title" xfId="151" xr:uid="{00000000-0005-0000-0000-0000CD000000}"/>
    <cellStyle name="Wrap_NTS99-~11" xfId="152" xr:uid="{00000000-0005-0000-0000-0000CE000000}"/>
  </cellStyles>
  <dxfs count="20">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border>
        <left/>
        <right/>
        <top/>
        <bottom style="thick">
          <color rgb="FF0096D7"/>
        </bottom>
        <vertical/>
        <horizontal/>
      </border>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WINDOWS/TEMP/USFreight97-93.xls" TargetMode="External"/><Relationship Id="rId1" Type="http://schemas.openxmlformats.org/officeDocument/2006/relationships/externalLinkPath" Target="/WINDOWS/TEMP/USFreight97-9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WINDOWS\TEMP\USFreight97-93.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MeganM/Documents/eps-us/InputData/trans/BNVFE/BAU%20New%20Veh%20Fuel%20Economy.xlsx" TargetMode="External"/><Relationship Id="rId1" Type="http://schemas.openxmlformats.org/officeDocument/2006/relationships/externalLinkPath" Target="/Users/MeganM/Documents/eps-us/InputData/trans/BNVFE/BAU%20New%20Veh%20Fuel%20Econom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ail shipments 93-97"/>
      <sheetName val="Waterborne Flows 93-97"/>
      <sheetName val="Air and vessel 93-97"/>
      <sheetName val="Figure 2 compare"/>
      <sheetName val="Factors Comparisons"/>
      <sheetName val="1997  Table 1a Modified"/>
      <sheetName val="Figure 1"/>
      <sheetName val="1993-97 Table 1  US Highlights"/>
      <sheetName val="93-97 US Freight Table 1"/>
      <sheetName val="93-97 US Freight Table 1 (b)"/>
      <sheetName val="93-97 Percents Tab 2&amp;3"/>
      <sheetName val="Integrated View 93-97"/>
      <sheetName val="Figure 3 modal shares"/>
      <sheetName val="1993-97 Percents"/>
      <sheetName val="BTS &amp; ORNL estimates"/>
      <sheetName val="Oil Pipeline (2)"/>
      <sheetName val="1997 Table 2"/>
      <sheetName val="Table 4 Distance"/>
      <sheetName val="Distance percent change"/>
      <sheetName val="Distance 93-97"/>
      <sheetName val="Distance Fig value per ton"/>
      <sheetName val="Distance Bar"/>
      <sheetName val="Table 5 Size 93-97"/>
      <sheetName val="Size percent change"/>
      <sheetName val="Size Fig value per ton"/>
      <sheetName val="Size Bar "/>
      <sheetName val="BTS Mode"/>
      <sheetName val="Ton-miles data"/>
      <sheetName val="Ton-miles figure"/>
      <sheetName val="table 3 commodities"/>
      <sheetName val="Commodities ranked by value"/>
      <sheetName val="Commod ranked by tons"/>
      <sheetName val="Commod ranked by ton-miles"/>
      <sheetName val="Commod ranked by miles per ton "/>
      <sheetName val="Commod ranked by val per t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sheetData sheetId="24"/>
      <sheetData sheetId="25" refreshError="1"/>
      <sheetData sheetId="26"/>
      <sheetData sheetId="27"/>
      <sheetData sheetId="28"/>
      <sheetData sheetId="29"/>
      <sheetData sheetId="30"/>
      <sheetData sheetId="31"/>
      <sheetData sheetId="32"/>
      <sheetData sheetId="33"/>
      <sheetData sheetId="3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il shipments 93-97"/>
      <sheetName val="Waterborne Flows 93-97"/>
      <sheetName val="Air and vessel 93-97"/>
      <sheetName val="Figure 2 compare"/>
      <sheetName val="Factors Comparisons"/>
      <sheetName val="1997  Table 1a Modified"/>
      <sheetName val="Figure 1"/>
      <sheetName val="1993-97 Table 1  US Highlights"/>
      <sheetName val="93-97 US Freight Table 1"/>
      <sheetName val="93-97 US Freight Table 1 (b)"/>
      <sheetName val="93-97 Percents Tab 2&amp;3"/>
      <sheetName val="Integrated View 93-97"/>
      <sheetName val="Figure 3 modal shares"/>
      <sheetName val="1993-97 Percents"/>
      <sheetName val="BTS &amp; ORNL estimates"/>
      <sheetName val="Oil Pipeline (2)"/>
      <sheetName val="1997 Table 2"/>
      <sheetName val="Table 4 Distance"/>
      <sheetName val="Distance percent change"/>
      <sheetName val="Distance 93-97"/>
      <sheetName val="Distance Fig value per ton"/>
      <sheetName val="Distance Bar"/>
      <sheetName val="Table 5 Size 93-97"/>
      <sheetName val="Size percent change"/>
      <sheetName val="Size Fig value per ton"/>
      <sheetName val="Size Bar "/>
      <sheetName val="BTS Mode"/>
      <sheetName val="Ton-miles data"/>
      <sheetName val="Ton-miles figure"/>
      <sheetName val="table 3 commodities"/>
      <sheetName val="Commodities ranked by value"/>
      <sheetName val="Commod ranked by tons"/>
      <sheetName val="Commod ranked by ton-miles"/>
      <sheetName val="Commod ranked by miles per ton "/>
      <sheetName val="Commod ranked by val per t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sheetData sheetId="24"/>
      <sheetData sheetId="25" refreshError="1"/>
      <sheetData sheetId="26"/>
      <sheetData sheetId="27"/>
      <sheetData sheetId="28"/>
      <sheetData sheetId="29"/>
      <sheetData sheetId="30"/>
      <sheetData sheetId="31"/>
      <sheetData sheetId="32"/>
      <sheetData sheetId="33"/>
      <sheetData sheetId="3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bout"/>
      <sheetName val="AEO 7"/>
      <sheetName val="AEO 7 (2020)"/>
      <sheetName val="AEO 35"/>
      <sheetName val="AEO 36"/>
      <sheetName val="AEO 38"/>
      <sheetName val="AEO 40"/>
      <sheetName val="AEO 44"/>
      <sheetName val="AEO 47"/>
      <sheetName val="AEO 48"/>
      <sheetName val="AEO 49"/>
      <sheetName val="AEO 49 (2020)"/>
      <sheetName val="psgr LDVs"/>
      <sheetName val="NTS 1-40"/>
      <sheetName val="NRBS 40"/>
      <sheetName val="NAP F28"/>
      <sheetName val="SYFAFE-passenger"/>
      <sheetName val="SYFAFE-freight"/>
      <sheetName val="Calculations Etc"/>
      <sheetName val="BNVFE-LDVs-psgr"/>
      <sheetName val="BNVFE-LDVs-frgt"/>
      <sheetName val="BNVFE-HDVs-psgr"/>
      <sheetName val="BNVFE-HDVs-frgt"/>
      <sheetName val="BNVFE-aircraft-psgr"/>
      <sheetName val="BNVFE-aircraft-frgt"/>
      <sheetName val="BNVFE-rail-psgr"/>
      <sheetName val="BNVFE-rail-frgt"/>
      <sheetName val="BNVFE-ships-psgr"/>
      <sheetName val="BNVFE-ships-frgt"/>
      <sheetName val="BNVFE-motorbikes-psgr"/>
      <sheetName val="BNVFE-motorbikes-frgt"/>
      <sheetName val="BNVFE_data for BHNVFEAL"/>
    </sheetNames>
    <sheetDataSet>
      <sheetData sheetId="0">
        <row r="136">
          <cell r="B136">
            <v>2019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persons/person.xml><?xml version="1.0" encoding="utf-8"?>
<personList xmlns="http://schemas.microsoft.com/office/spreadsheetml/2018/threadedcomments" xmlns:x="http://schemas.openxmlformats.org/spreadsheetml/2006/main">
  <person displayName="Olivia Ashmoore" id="{F850102D-8EF6-452A-894E-0607648B1B96}" userId="S::olivia@energyinnovation.org::75aa6550-3462-4480-900f-0bd2e542e876"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6" dT="2026-05-11T18:36:09.10" personId="{F850102D-8EF6-452A-894E-0607648B1B96}" id="{2A22338D-E7DB-4541-9D0D-EC7C5C69082B}">
    <text>We use another data source for all other psgr-rail variables. This is only a growth rate. There is a big disconnect between aeo 2025 and aeo 2026. to smooth the trend, we forecast growth based on aeo 2026 and back forecast a growth rate for 2025</text>
  </threadedComment>
</ThreadedComments>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pa.gov/ghgemissions/inventory-us-greenhouse-gas-emissions-and-sinks-1990-2020"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epa.gov/ghgemissions/inventory-us-greenhouse-gas-emissions-and-sinks" TargetMode="External"/><Relationship Id="rId2" Type="http://schemas.openxmlformats.org/officeDocument/2006/relationships/hyperlink" Target="https://www.eia.gov/outlooks/aeo/" TargetMode="External"/><Relationship Id="rId1" Type="http://schemas.openxmlformats.org/officeDocument/2006/relationships/hyperlink" Target="https://www.eia.gov/outlooks/aeo/" TargetMode="External"/><Relationship Id="rId5" Type="http://schemas.openxmlformats.org/officeDocument/2006/relationships/hyperlink" Target="https://www.coopercenter.org/national-population-projections" TargetMode="External"/><Relationship Id="rId4" Type="http://schemas.openxmlformats.org/officeDocument/2006/relationships/hyperlink" Target="https://www.census.gov/programs-surveys/popest/data/tables.html" TargetMode="External"/></Relationships>
</file>

<file path=xl/worksheets/_rels/sheet25.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6"/>
  <sheetViews>
    <sheetView workbookViewId="0">
      <selection activeCell="B1" sqref="B1"/>
    </sheetView>
  </sheetViews>
  <sheetFormatPr defaultRowHeight="14.25"/>
  <cols>
    <col min="1" max="1" width="13.3984375" customWidth="1"/>
    <col min="2" max="2" width="107.3984375" customWidth="1"/>
  </cols>
  <sheetData>
    <row r="1" spans="1:9" ht="15.75">
      <c r="A1" s="1" t="s">
        <v>131</v>
      </c>
      <c r="B1" s="65" t="s">
        <v>2891</v>
      </c>
      <c r="C1" s="77">
        <v>46248</v>
      </c>
      <c r="H1" t="s">
        <v>2981</v>
      </c>
      <c r="I1" t="s">
        <v>2982</v>
      </c>
    </row>
    <row r="2" spans="1:9">
      <c r="B2" t="str">
        <f>VLOOKUP(B1,H2:I52,2)</f>
        <v>CT</v>
      </c>
      <c r="H2" s="71" t="s">
        <v>2885</v>
      </c>
      <c r="I2" s="71" t="s">
        <v>2983</v>
      </c>
    </row>
    <row r="3" spans="1:9">
      <c r="A3" s="1" t="s">
        <v>0</v>
      </c>
      <c r="B3" s="2" t="s">
        <v>119</v>
      </c>
      <c r="H3" s="71" t="s">
        <v>2886</v>
      </c>
      <c r="I3" s="71" t="s">
        <v>2984</v>
      </c>
    </row>
    <row r="4" spans="1:9">
      <c r="B4" t="s">
        <v>117</v>
      </c>
      <c r="H4" s="71" t="s">
        <v>2887</v>
      </c>
      <c r="I4" s="71" t="s">
        <v>2985</v>
      </c>
    </row>
    <row r="5" spans="1:9">
      <c r="B5" s="3" t="s">
        <v>2145</v>
      </c>
      <c r="H5" s="71" t="s">
        <v>2888</v>
      </c>
      <c r="I5" s="71" t="s">
        <v>2986</v>
      </c>
    </row>
    <row r="6" spans="1:9">
      <c r="B6" t="s">
        <v>2146</v>
      </c>
      <c r="H6" s="71" t="s">
        <v>2889</v>
      </c>
      <c r="I6" s="71" t="s">
        <v>2987</v>
      </c>
    </row>
    <row r="7" spans="1:9">
      <c r="B7" t="s">
        <v>2030</v>
      </c>
      <c r="H7" s="71" t="s">
        <v>2890</v>
      </c>
      <c r="I7" s="71" t="s">
        <v>2988</v>
      </c>
    </row>
    <row r="8" spans="1:9">
      <c r="B8" s="4" t="s">
        <v>265</v>
      </c>
      <c r="H8" s="71" t="s">
        <v>2891</v>
      </c>
      <c r="I8" s="71" t="s">
        <v>2989</v>
      </c>
    </row>
    <row r="9" spans="1:9">
      <c r="B9" t="s">
        <v>264</v>
      </c>
      <c r="H9" s="71" t="s">
        <v>2892</v>
      </c>
      <c r="I9" s="71" t="s">
        <v>2990</v>
      </c>
    </row>
    <row r="10" spans="1:9">
      <c r="H10" s="71" t="s">
        <v>2894</v>
      </c>
      <c r="I10" s="71" t="s">
        <v>2991</v>
      </c>
    </row>
    <row r="11" spans="1:9">
      <c r="B11" s="2" t="s">
        <v>323</v>
      </c>
      <c r="H11" s="71" t="s">
        <v>2895</v>
      </c>
      <c r="I11" s="71" t="s">
        <v>2992</v>
      </c>
    </row>
    <row r="12" spans="1:9">
      <c r="B12" t="s">
        <v>324</v>
      </c>
      <c r="H12" s="71" t="s">
        <v>2896</v>
      </c>
      <c r="I12" s="71" t="s">
        <v>2993</v>
      </c>
    </row>
    <row r="13" spans="1:9">
      <c r="B13" s="11">
        <v>2022</v>
      </c>
      <c r="H13" s="71" t="s">
        <v>2897</v>
      </c>
      <c r="I13" s="71" t="s">
        <v>2994</v>
      </c>
    </row>
    <row r="14" spans="1:9">
      <c r="B14" t="s">
        <v>325</v>
      </c>
      <c r="H14" s="71" t="s">
        <v>2898</v>
      </c>
      <c r="I14" s="71" t="s">
        <v>2995</v>
      </c>
    </row>
    <row r="15" spans="1:9">
      <c r="B15" s="4" t="s">
        <v>326</v>
      </c>
      <c r="H15" s="71" t="s">
        <v>2899</v>
      </c>
      <c r="I15" s="71" t="s">
        <v>2996</v>
      </c>
    </row>
    <row r="16" spans="1:9">
      <c r="B16" t="s">
        <v>327</v>
      </c>
      <c r="H16" s="71" t="s">
        <v>2900</v>
      </c>
      <c r="I16" s="71" t="s">
        <v>2997</v>
      </c>
    </row>
    <row r="17" spans="1:9">
      <c r="H17" s="71" t="s">
        <v>2901</v>
      </c>
      <c r="I17" s="71" t="s">
        <v>2998</v>
      </c>
    </row>
    <row r="18" spans="1:9">
      <c r="A18" s="1" t="s">
        <v>108</v>
      </c>
      <c r="H18" s="71" t="s">
        <v>2902</v>
      </c>
      <c r="I18" s="71" t="s">
        <v>2999</v>
      </c>
    </row>
    <row r="19" spans="1:9">
      <c r="A19" t="s">
        <v>127</v>
      </c>
      <c r="H19" s="71" t="s">
        <v>2903</v>
      </c>
      <c r="I19" s="71" t="s">
        <v>3000</v>
      </c>
    </row>
    <row r="20" spans="1:9">
      <c r="A20" t="s">
        <v>128</v>
      </c>
      <c r="H20" s="71" t="s">
        <v>2904</v>
      </c>
      <c r="I20" s="71" t="s">
        <v>3001</v>
      </c>
    </row>
    <row r="21" spans="1:9">
      <c r="A21" t="s">
        <v>129</v>
      </c>
      <c r="H21" s="71" t="s">
        <v>2905</v>
      </c>
      <c r="I21" s="71" t="s">
        <v>3002</v>
      </c>
    </row>
    <row r="22" spans="1:9">
      <c r="A22" t="s">
        <v>266</v>
      </c>
      <c r="H22" s="71" t="s">
        <v>2906</v>
      </c>
      <c r="I22" s="71" t="s">
        <v>3003</v>
      </c>
    </row>
    <row r="23" spans="1:9">
      <c r="A23" t="s">
        <v>130</v>
      </c>
      <c r="H23" s="71" t="s">
        <v>2907</v>
      </c>
      <c r="I23" s="71" t="s">
        <v>3004</v>
      </c>
    </row>
    <row r="24" spans="1:9">
      <c r="A24" t="s">
        <v>267</v>
      </c>
      <c r="H24" s="71" t="s">
        <v>2908</v>
      </c>
      <c r="I24" s="71" t="s">
        <v>3005</v>
      </c>
    </row>
    <row r="25" spans="1:9">
      <c r="H25" s="71" t="s">
        <v>2909</v>
      </c>
      <c r="I25" s="71" t="s">
        <v>3006</v>
      </c>
    </row>
    <row r="26" spans="1:9">
      <c r="A26" t="s">
        <v>124</v>
      </c>
      <c r="H26" s="71" t="s">
        <v>2910</v>
      </c>
      <c r="I26" s="71" t="s">
        <v>3007</v>
      </c>
    </row>
    <row r="27" spans="1:9">
      <c r="A27" t="s">
        <v>125</v>
      </c>
      <c r="H27" s="71" t="s">
        <v>2911</v>
      </c>
      <c r="I27" s="71" t="s">
        <v>3008</v>
      </c>
    </row>
    <row r="28" spans="1:9">
      <c r="A28" t="s">
        <v>126</v>
      </c>
      <c r="H28" s="71" t="s">
        <v>2912</v>
      </c>
      <c r="I28" s="71" t="s">
        <v>3009</v>
      </c>
    </row>
    <row r="29" spans="1:9">
      <c r="H29" s="71" t="s">
        <v>2913</v>
      </c>
      <c r="I29" s="71" t="s">
        <v>3010</v>
      </c>
    </row>
    <row r="30" spans="1:9">
      <c r="A30" t="s">
        <v>268</v>
      </c>
      <c r="H30" s="71" t="s">
        <v>2914</v>
      </c>
      <c r="I30" s="71" t="s">
        <v>3011</v>
      </c>
    </row>
    <row r="31" spans="1:9">
      <c r="A31" t="s">
        <v>269</v>
      </c>
      <c r="H31" s="71" t="s">
        <v>2915</v>
      </c>
      <c r="I31" s="71" t="s">
        <v>3012</v>
      </c>
    </row>
    <row r="32" spans="1:9">
      <c r="A32" t="s">
        <v>3037</v>
      </c>
      <c r="H32" s="71" t="s">
        <v>2916</v>
      </c>
      <c r="I32" s="71" t="s">
        <v>3013</v>
      </c>
    </row>
    <row r="33" spans="1:9">
      <c r="A33" t="s">
        <v>270</v>
      </c>
      <c r="H33" s="71" t="s">
        <v>2917</v>
      </c>
      <c r="I33" s="71" t="s">
        <v>3014</v>
      </c>
    </row>
    <row r="34" spans="1:9">
      <c r="A34" t="s">
        <v>271</v>
      </c>
      <c r="H34" s="71" t="s">
        <v>2918</v>
      </c>
      <c r="I34" s="71" t="s">
        <v>3015</v>
      </c>
    </row>
    <row r="35" spans="1:9">
      <c r="A35" t="s">
        <v>272</v>
      </c>
      <c r="H35" s="71" t="s">
        <v>2919</v>
      </c>
      <c r="I35" s="71" t="s">
        <v>3016</v>
      </c>
    </row>
    <row r="36" spans="1:9">
      <c r="A36" t="s">
        <v>273</v>
      </c>
      <c r="H36" s="71" t="s">
        <v>2920</v>
      </c>
      <c r="I36" s="71" t="s">
        <v>3017</v>
      </c>
    </row>
    <row r="37" spans="1:9">
      <c r="H37" s="71" t="s">
        <v>2921</v>
      </c>
      <c r="I37" s="71" t="s">
        <v>3018</v>
      </c>
    </row>
    <row r="38" spans="1:9">
      <c r="A38" t="s">
        <v>320</v>
      </c>
      <c r="H38" s="71" t="s">
        <v>2922</v>
      </c>
      <c r="I38" s="71" t="s">
        <v>3019</v>
      </c>
    </row>
    <row r="39" spans="1:9">
      <c r="A39" t="s">
        <v>321</v>
      </c>
      <c r="H39" s="71" t="s">
        <v>2923</v>
      </c>
      <c r="I39" s="71" t="s">
        <v>3020</v>
      </c>
    </row>
    <row r="40" spans="1:9">
      <c r="A40" t="s">
        <v>322</v>
      </c>
      <c r="H40" s="71" t="s">
        <v>2924</v>
      </c>
      <c r="I40" s="71" t="s">
        <v>3021</v>
      </c>
    </row>
    <row r="41" spans="1:9">
      <c r="H41" s="71" t="s">
        <v>2925</v>
      </c>
      <c r="I41" s="71" t="s">
        <v>3022</v>
      </c>
    </row>
    <row r="42" spans="1:9">
      <c r="H42" s="71" t="s">
        <v>2926</v>
      </c>
      <c r="I42" s="71" t="s">
        <v>3023</v>
      </c>
    </row>
    <row r="43" spans="1:9">
      <c r="H43" s="72" t="s">
        <v>3024</v>
      </c>
      <c r="I43" s="73" t="s">
        <v>3025</v>
      </c>
    </row>
    <row r="44" spans="1:9">
      <c r="A44" s="1" t="s">
        <v>2938</v>
      </c>
      <c r="H44" s="71" t="s">
        <v>2927</v>
      </c>
      <c r="I44" s="71" t="s">
        <v>3026</v>
      </c>
    </row>
    <row r="45" spans="1:9">
      <c r="H45" s="71" t="s">
        <v>2928</v>
      </c>
      <c r="I45" s="71" t="s">
        <v>3027</v>
      </c>
    </row>
    <row r="46" spans="1:9" ht="15.75">
      <c r="A46" s="64" t="s">
        <v>2939</v>
      </c>
      <c r="H46" s="71" t="s">
        <v>2929</v>
      </c>
      <c r="I46" s="71" t="s">
        <v>3028</v>
      </c>
    </row>
    <row r="47" spans="1:9">
      <c r="A47" t="s">
        <v>2940</v>
      </c>
      <c r="H47" s="71" t="s">
        <v>2930</v>
      </c>
      <c r="I47" s="71" t="s">
        <v>3029</v>
      </c>
    </row>
    <row r="48" spans="1:9">
      <c r="A48" t="s">
        <v>2941</v>
      </c>
      <c r="H48" s="71" t="s">
        <v>2931</v>
      </c>
      <c r="I48" s="71" t="s">
        <v>3030</v>
      </c>
    </row>
    <row r="49" spans="1:9">
      <c r="H49" s="71" t="s">
        <v>2932</v>
      </c>
      <c r="I49" s="71" t="s">
        <v>3031</v>
      </c>
    </row>
    <row r="50" spans="1:9">
      <c r="A50" t="s">
        <v>2942</v>
      </c>
      <c r="H50" s="71" t="s">
        <v>2933</v>
      </c>
      <c r="I50" s="71" t="s">
        <v>3032</v>
      </c>
    </row>
    <row r="51" spans="1:9">
      <c r="A51" t="s">
        <v>2943</v>
      </c>
      <c r="H51" s="71" t="s">
        <v>2934</v>
      </c>
      <c r="I51" s="71" t="s">
        <v>3033</v>
      </c>
    </row>
    <row r="52" spans="1:9">
      <c r="A52" t="s">
        <v>2944</v>
      </c>
      <c r="H52" s="71" t="s">
        <v>2935</v>
      </c>
      <c r="I52" s="71" t="s">
        <v>3034</v>
      </c>
    </row>
    <row r="53" spans="1:9">
      <c r="A53" t="s">
        <v>2945</v>
      </c>
    </row>
    <row r="55" spans="1:9">
      <c r="A55" t="s">
        <v>2946</v>
      </c>
    </row>
    <row r="56" spans="1:9">
      <c r="A56" t="s">
        <v>2947</v>
      </c>
    </row>
    <row r="57" spans="1:9">
      <c r="A57" t="s">
        <v>2948</v>
      </c>
    </row>
    <row r="59" spans="1:9">
      <c r="A59" t="s">
        <v>2949</v>
      </c>
    </row>
    <row r="60" spans="1:9">
      <c r="A60" t="s">
        <v>2950</v>
      </c>
    </row>
    <row r="61" spans="1:9">
      <c r="A61" t="s">
        <v>2951</v>
      </c>
    </row>
    <row r="62" spans="1:9">
      <c r="A62" t="s">
        <v>2952</v>
      </c>
    </row>
    <row r="63" spans="1:9">
      <c r="A63" t="s">
        <v>2953</v>
      </c>
    </row>
    <row r="65" spans="1:1">
      <c r="A65" t="s">
        <v>2954</v>
      </c>
    </row>
    <row r="66" spans="1:1">
      <c r="A66" t="s">
        <v>2955</v>
      </c>
    </row>
  </sheetData>
  <conditionalFormatting sqref="H1:H52">
    <cfRule type="duplicateValues" dxfId="19" priority="1"/>
  </conditionalFormatting>
  <hyperlinks>
    <hyperlink ref="B15" r:id="rId1" xr:uid="{31674276-EE75-45DE-90D8-844FE2EE3988}"/>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2B98C-5D06-411B-8E02-A9B6B807526E}">
  <dimension ref="A1:B32"/>
  <sheetViews>
    <sheetView tabSelected="1" workbookViewId="0">
      <selection activeCell="A2" sqref="A2"/>
    </sheetView>
  </sheetViews>
  <sheetFormatPr defaultRowHeight="14.25"/>
  <cols>
    <col min="1" max="1" width="56.73046875" customWidth="1"/>
    <col min="2" max="2" width="140.73046875" customWidth="1"/>
  </cols>
  <sheetData>
    <row r="1" spans="1:2" ht="18">
      <c r="A1" s="67" t="s">
        <v>2959</v>
      </c>
    </row>
    <row r="2" spans="1:2" ht="81" customHeight="1">
      <c r="A2" s="68" t="s">
        <v>2960</v>
      </c>
      <c r="B2" s="63"/>
    </row>
    <row r="4" spans="1:2">
      <c r="A4" s="1">
        <v>1</v>
      </c>
      <c r="B4" s="69" t="s">
        <v>2961</v>
      </c>
    </row>
    <row r="5" spans="1:2">
      <c r="B5" s="1" t="s">
        <v>2962</v>
      </c>
    </row>
    <row r="6" spans="1:2">
      <c r="B6" s="70" t="s">
        <v>2963</v>
      </c>
    </row>
    <row r="7" spans="1:2">
      <c r="B7" s="15" t="s">
        <v>2964</v>
      </c>
    </row>
    <row r="9" spans="1:2">
      <c r="A9" s="1">
        <v>2</v>
      </c>
      <c r="B9" s="69" t="s">
        <v>117</v>
      </c>
    </row>
    <row r="10" spans="1:2">
      <c r="B10" s="1" t="s">
        <v>2965</v>
      </c>
    </row>
    <row r="11" spans="1:2">
      <c r="B11" s="4" t="s">
        <v>2966</v>
      </c>
    </row>
    <row r="12" spans="1:2">
      <c r="B12" s="15" t="s">
        <v>2967</v>
      </c>
    </row>
    <row r="14" spans="1:2">
      <c r="A14" s="1">
        <v>3</v>
      </c>
      <c r="B14" s="69" t="s">
        <v>117</v>
      </c>
    </row>
    <row r="15" spans="1:2">
      <c r="B15" s="1" t="s">
        <v>2968</v>
      </c>
    </row>
    <row r="16" spans="1:2">
      <c r="B16" s="4" t="s">
        <v>2966</v>
      </c>
    </row>
    <row r="17" spans="1:2">
      <c r="B17" s="15" t="s">
        <v>2969</v>
      </c>
    </row>
    <row r="19" spans="1:2">
      <c r="A19" s="1">
        <v>4</v>
      </c>
      <c r="B19" s="69" t="s">
        <v>324</v>
      </c>
    </row>
    <row r="20" spans="1:2">
      <c r="B20" s="1" t="s">
        <v>2970</v>
      </c>
    </row>
    <row r="21" spans="1:2">
      <c r="B21" s="4" t="s">
        <v>2971</v>
      </c>
    </row>
    <row r="22" spans="1:2">
      <c r="B22" s="15" t="s">
        <v>2972</v>
      </c>
    </row>
    <row r="24" spans="1:2">
      <c r="A24" s="1">
        <v>5</v>
      </c>
      <c r="B24" s="69" t="s">
        <v>2973</v>
      </c>
    </row>
    <row r="25" spans="1:2">
      <c r="B25" s="1" t="s">
        <v>2974</v>
      </c>
    </row>
    <row r="26" spans="1:2">
      <c r="B26" s="4" t="s">
        <v>2975</v>
      </c>
    </row>
    <row r="27" spans="1:2">
      <c r="B27" s="15" t="s">
        <v>2976</v>
      </c>
    </row>
    <row r="29" spans="1:2">
      <c r="A29" s="1">
        <v>6</v>
      </c>
      <c r="B29" s="69" t="s">
        <v>2977</v>
      </c>
    </row>
    <row r="30" spans="1:2">
      <c r="B30" s="1" t="s">
        <v>2978</v>
      </c>
    </row>
    <row r="31" spans="1:2">
      <c r="B31" s="4" t="s">
        <v>2979</v>
      </c>
    </row>
    <row r="32" spans="1:2">
      <c r="B32" s="15" t="s">
        <v>2980</v>
      </c>
    </row>
  </sheetData>
  <hyperlinks>
    <hyperlink ref="B11" r:id="rId1" xr:uid="{46A83A59-7ADF-422A-ACCA-28E192E75DE5}"/>
    <hyperlink ref="B16" r:id="rId2" xr:uid="{558565B8-BFDC-4808-8B17-3163EC9A8ABD}"/>
    <hyperlink ref="B21" r:id="rId3" xr:uid="{A1E5B11D-DE31-4C39-A5B7-C6A9A8F626C3}"/>
    <hyperlink ref="B26" r:id="rId4" xr:uid="{B0881C74-9BB4-49AC-A904-2EA5931A4ED9}"/>
    <hyperlink ref="B31" r:id="rId5" xr:uid="{42D840D3-DA3B-4791-9203-F00D729AB229}"/>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B9A10-58CC-4818-8BAF-FEBD95B70117}">
  <sheetPr>
    <tabColor theme="0" tint="-0.34998626667073579"/>
  </sheetPr>
  <dimension ref="A1"/>
  <sheetViews>
    <sheetView workbookViewId="0"/>
  </sheetViews>
  <sheetFormatPr defaultRowHeight="14.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5ADC0-A334-4529-985A-9F8BD6507449}">
  <dimension ref="A1:G63"/>
  <sheetViews>
    <sheetView workbookViewId="0"/>
  </sheetViews>
  <sheetFormatPr defaultRowHeight="14.25"/>
  <cols>
    <col min="1" max="1" width="44.3984375" customWidth="1"/>
    <col min="2" max="2" width="12.59765625" customWidth="1"/>
  </cols>
  <sheetData>
    <row r="1" spans="1:7">
      <c r="A1" t="s">
        <v>351</v>
      </c>
    </row>
    <row r="3" spans="1:7">
      <c r="A3" t="s">
        <v>352</v>
      </c>
      <c r="B3">
        <v>2020</v>
      </c>
      <c r="C3">
        <v>2021</v>
      </c>
      <c r="G3" t="s">
        <v>389</v>
      </c>
    </row>
    <row r="4" spans="1:7">
      <c r="A4" t="s">
        <v>353</v>
      </c>
      <c r="B4">
        <v>937</v>
      </c>
      <c r="C4" s="16">
        <v>1029</v>
      </c>
      <c r="F4" t="s">
        <v>157</v>
      </c>
      <c r="G4">
        <f>SUM(C8,C15,C35,C41,C45)/SUM(B45,B41,B35,B15,B8)</f>
        <v>1.0416666666666667</v>
      </c>
    </row>
    <row r="5" spans="1:7">
      <c r="A5" t="s">
        <v>354</v>
      </c>
      <c r="B5">
        <v>328</v>
      </c>
      <c r="C5">
        <v>361</v>
      </c>
    </row>
    <row r="6" spans="1:7">
      <c r="A6" t="s">
        <v>355</v>
      </c>
      <c r="B6">
        <v>566</v>
      </c>
      <c r="C6">
        <v>620</v>
      </c>
    </row>
    <row r="7" spans="1:7">
      <c r="A7" t="s">
        <v>356</v>
      </c>
      <c r="B7">
        <v>24</v>
      </c>
      <c r="C7">
        <v>27</v>
      </c>
    </row>
    <row r="8" spans="1:7">
      <c r="A8" s="5" t="s">
        <v>157</v>
      </c>
      <c r="B8">
        <v>3</v>
      </c>
      <c r="C8">
        <v>3</v>
      </c>
    </row>
    <row r="9" spans="1:7">
      <c r="A9" t="s">
        <v>155</v>
      </c>
      <c r="B9">
        <v>7</v>
      </c>
      <c r="C9">
        <v>7</v>
      </c>
    </row>
    <row r="10" spans="1:7">
      <c r="A10" t="s">
        <v>357</v>
      </c>
      <c r="B10">
        <v>10</v>
      </c>
      <c r="C10">
        <v>11</v>
      </c>
    </row>
    <row r="11" spans="1:7">
      <c r="A11" t="s">
        <v>358</v>
      </c>
      <c r="B11">
        <v>455</v>
      </c>
      <c r="C11">
        <v>488</v>
      </c>
    </row>
    <row r="12" spans="1:7">
      <c r="A12" t="s">
        <v>354</v>
      </c>
      <c r="B12">
        <v>3</v>
      </c>
      <c r="C12">
        <v>3</v>
      </c>
    </row>
    <row r="13" spans="1:7">
      <c r="A13" t="s">
        <v>355</v>
      </c>
      <c r="B13">
        <v>30</v>
      </c>
      <c r="C13">
        <v>33</v>
      </c>
    </row>
    <row r="14" spans="1:7">
      <c r="A14" t="s">
        <v>356</v>
      </c>
      <c r="B14">
        <v>353</v>
      </c>
      <c r="C14">
        <v>380</v>
      </c>
    </row>
    <row r="15" spans="1:7">
      <c r="A15" s="5" t="s">
        <v>157</v>
      </c>
      <c r="B15">
        <v>20</v>
      </c>
      <c r="C15">
        <v>21</v>
      </c>
    </row>
    <row r="16" spans="1:7">
      <c r="A16" t="s">
        <v>170</v>
      </c>
      <c r="B16">
        <v>31</v>
      </c>
      <c r="C16">
        <v>32</v>
      </c>
    </row>
    <row r="17" spans="1:3">
      <c r="A17" t="s">
        <v>357</v>
      </c>
      <c r="B17">
        <v>3</v>
      </c>
      <c r="C17">
        <v>3</v>
      </c>
    </row>
    <row r="18" spans="1:3">
      <c r="A18" t="s">
        <v>359</v>
      </c>
      <c r="B18">
        <v>8</v>
      </c>
      <c r="C18">
        <v>8</v>
      </c>
    </row>
    <row r="19" spans="1:3">
      <c r="A19" t="s">
        <v>360</v>
      </c>
      <c r="B19">
        <v>8</v>
      </c>
      <c r="C19">
        <v>7</v>
      </c>
    </row>
    <row r="20" spans="1:3">
      <c r="A20" t="s">
        <v>361</v>
      </c>
      <c r="B20">
        <v>160</v>
      </c>
      <c r="C20">
        <v>203</v>
      </c>
    </row>
    <row r="21" spans="1:3">
      <c r="A21" t="s">
        <v>362</v>
      </c>
      <c r="B21">
        <v>91</v>
      </c>
      <c r="C21">
        <v>119</v>
      </c>
    </row>
    <row r="22" spans="1:3">
      <c r="A22" t="s">
        <v>363</v>
      </c>
      <c r="B22">
        <v>12</v>
      </c>
      <c r="C22">
        <v>13</v>
      </c>
    </row>
    <row r="23" spans="1:3">
      <c r="A23" t="s">
        <v>364</v>
      </c>
      <c r="B23">
        <v>18</v>
      </c>
      <c r="C23">
        <v>21</v>
      </c>
    </row>
    <row r="24" spans="1:3">
      <c r="A24" t="s">
        <v>360</v>
      </c>
      <c r="B24">
        <v>40</v>
      </c>
      <c r="C24">
        <v>51</v>
      </c>
    </row>
    <row r="25" spans="1:3">
      <c r="A25" t="s">
        <v>365</v>
      </c>
      <c r="B25">
        <v>37</v>
      </c>
      <c r="C25">
        <v>48</v>
      </c>
    </row>
    <row r="26" spans="1:3">
      <c r="A26" t="s">
        <v>183</v>
      </c>
      <c r="B26">
        <v>1</v>
      </c>
      <c r="C26">
        <v>1</v>
      </c>
    </row>
    <row r="27" spans="1:3">
      <c r="A27" t="s">
        <v>364</v>
      </c>
      <c r="B27">
        <v>1</v>
      </c>
      <c r="C27">
        <v>1</v>
      </c>
    </row>
    <row r="28" spans="1:3">
      <c r="A28" t="s">
        <v>177</v>
      </c>
      <c r="B28">
        <v>29</v>
      </c>
      <c r="C28">
        <v>46</v>
      </c>
    </row>
    <row r="29" spans="1:3">
      <c r="A29" t="s">
        <v>366</v>
      </c>
      <c r="B29">
        <v>7</v>
      </c>
      <c r="C29">
        <v>24</v>
      </c>
    </row>
    <row r="30" spans="1:3">
      <c r="A30" t="s">
        <v>360</v>
      </c>
      <c r="B30">
        <v>22</v>
      </c>
      <c r="C30">
        <v>22</v>
      </c>
    </row>
    <row r="31" spans="1:3">
      <c r="A31" t="s">
        <v>367</v>
      </c>
      <c r="B31">
        <v>59</v>
      </c>
      <c r="C31">
        <v>65</v>
      </c>
    </row>
    <row r="32" spans="1:3">
      <c r="A32" t="s">
        <v>354</v>
      </c>
      <c r="B32">
        <v>0</v>
      </c>
      <c r="C32">
        <v>0</v>
      </c>
    </row>
    <row r="33" spans="1:3">
      <c r="A33" t="s">
        <v>355</v>
      </c>
      <c r="B33">
        <v>0</v>
      </c>
      <c r="C33">
        <v>0</v>
      </c>
    </row>
    <row r="34" spans="1:3">
      <c r="A34" t="s">
        <v>368</v>
      </c>
      <c r="B34">
        <v>0</v>
      </c>
      <c r="C34">
        <v>0</v>
      </c>
    </row>
    <row r="35" spans="1:3">
      <c r="A35" s="5" t="s">
        <v>157</v>
      </c>
      <c r="B35">
        <v>1</v>
      </c>
      <c r="C35">
        <v>1</v>
      </c>
    </row>
    <row r="36" spans="1:3">
      <c r="A36" t="s">
        <v>369</v>
      </c>
      <c r="B36">
        <v>58</v>
      </c>
      <c r="C36">
        <v>64</v>
      </c>
    </row>
    <row r="37" spans="1:3">
      <c r="A37" t="s">
        <v>370</v>
      </c>
      <c r="B37">
        <v>0</v>
      </c>
      <c r="C37">
        <v>0</v>
      </c>
    </row>
    <row r="38" spans="1:3">
      <c r="A38" t="s">
        <v>354</v>
      </c>
      <c r="B38">
        <v>0</v>
      </c>
      <c r="C38">
        <v>0</v>
      </c>
    </row>
    <row r="39" spans="1:3">
      <c r="A39" t="s">
        <v>355</v>
      </c>
      <c r="B39">
        <v>0</v>
      </c>
      <c r="C39">
        <v>0</v>
      </c>
    </row>
    <row r="40" spans="1:3">
      <c r="A40" t="s">
        <v>356</v>
      </c>
      <c r="B40">
        <v>0</v>
      </c>
      <c r="C40">
        <v>0</v>
      </c>
    </row>
    <row r="41" spans="1:3">
      <c r="A41" s="5" t="s">
        <v>157</v>
      </c>
      <c r="B41">
        <v>0</v>
      </c>
      <c r="C41">
        <v>0</v>
      </c>
    </row>
    <row r="42" spans="1:3">
      <c r="A42" t="s">
        <v>371</v>
      </c>
      <c r="B42">
        <v>4</v>
      </c>
      <c r="C42">
        <v>5</v>
      </c>
    </row>
    <row r="43" spans="1:3">
      <c r="A43" t="s">
        <v>354</v>
      </c>
      <c r="B43">
        <v>1</v>
      </c>
      <c r="C43">
        <v>2</v>
      </c>
    </row>
    <row r="44" spans="1:3">
      <c r="A44" t="s">
        <v>355</v>
      </c>
      <c r="B44">
        <v>0</v>
      </c>
      <c r="C44">
        <v>1</v>
      </c>
    </row>
    <row r="45" spans="1:3">
      <c r="A45" s="5" t="s">
        <v>157</v>
      </c>
      <c r="B45">
        <v>0</v>
      </c>
      <c r="C45">
        <v>0</v>
      </c>
    </row>
    <row r="46" spans="1:3">
      <c r="A46" t="s">
        <v>170</v>
      </c>
      <c r="B46">
        <v>2</v>
      </c>
      <c r="C46">
        <v>2</v>
      </c>
    </row>
    <row r="47" spans="1:3">
      <c r="A47" t="s">
        <v>372</v>
      </c>
      <c r="B47">
        <v>68.099999999999994</v>
      </c>
      <c r="C47">
        <v>75.400000000000006</v>
      </c>
    </row>
    <row r="48" spans="1:3">
      <c r="A48" t="s">
        <v>373</v>
      </c>
      <c r="B48">
        <v>70</v>
      </c>
      <c r="C48">
        <v>80</v>
      </c>
    </row>
    <row r="49" spans="1:3">
      <c r="A49" t="s">
        <v>374</v>
      </c>
      <c r="B49">
        <v>68.099999999999994</v>
      </c>
      <c r="C49">
        <v>75.400000000000006</v>
      </c>
    </row>
    <row r="50" spans="1:3">
      <c r="A50" t="s">
        <v>375</v>
      </c>
      <c r="B50">
        <v>17.7</v>
      </c>
      <c r="C50">
        <v>16.100000000000001</v>
      </c>
    </row>
    <row r="51" spans="1:3">
      <c r="A51" t="s">
        <v>376</v>
      </c>
    </row>
    <row r="52" spans="1:3">
      <c r="A52" t="s">
        <v>377</v>
      </c>
    </row>
    <row r="53" spans="1:3">
      <c r="A53" t="s">
        <v>378</v>
      </c>
    </row>
    <row r="54" spans="1:3">
      <c r="A54" t="s">
        <v>379</v>
      </c>
    </row>
    <row r="55" spans="1:3">
      <c r="A55" t="s">
        <v>380</v>
      </c>
    </row>
    <row r="56" spans="1:3">
      <c r="A56" t="s">
        <v>381</v>
      </c>
    </row>
    <row r="57" spans="1:3">
      <c r="A57" t="s">
        <v>382</v>
      </c>
    </row>
    <row r="58" spans="1:3">
      <c r="A58" t="s">
        <v>383</v>
      </c>
    </row>
    <row r="59" spans="1:3">
      <c r="A59" t="s">
        <v>384</v>
      </c>
    </row>
    <row r="60" spans="1:3">
      <c r="A60" t="s">
        <v>385</v>
      </c>
    </row>
    <row r="61" spans="1:3">
      <c r="A61" t="s">
        <v>386</v>
      </c>
    </row>
    <row r="62" spans="1:3">
      <c r="A62" t="s">
        <v>387</v>
      </c>
    </row>
    <row r="63" spans="1:3">
      <c r="A63" t="s">
        <v>388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33B33-F560-4A97-9238-FD04D3E178B3}">
  <sheetPr>
    <tabColor theme="4" tint="0.39997558519241921"/>
  </sheetPr>
  <dimension ref="A1:AH119"/>
  <sheetViews>
    <sheetView workbookViewId="0"/>
  </sheetViews>
  <sheetFormatPr defaultRowHeight="14.25"/>
  <cols>
    <col min="1" max="1" width="14.86328125" customWidth="1"/>
    <col min="2" max="2" width="25.73046875" customWidth="1"/>
  </cols>
  <sheetData>
    <row r="1" spans="1:33">
      <c r="A1" t="s">
        <v>2023</v>
      </c>
    </row>
    <row r="2" spans="1:33">
      <c r="A2" t="s">
        <v>2022</v>
      </c>
    </row>
    <row r="3" spans="1:33">
      <c r="A3" t="s">
        <v>2021</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101</v>
      </c>
    </row>
    <row r="7" spans="1:33">
      <c r="A7" t="s">
        <v>100</v>
      </c>
    </row>
    <row r="8" spans="1:33">
      <c r="A8" t="s">
        <v>2020</v>
      </c>
    </row>
    <row r="9" spans="1:33">
      <c r="A9" t="s">
        <v>2019</v>
      </c>
      <c r="B9" t="s">
        <v>2018</v>
      </c>
      <c r="C9" t="s">
        <v>2017</v>
      </c>
      <c r="D9" t="s">
        <v>2016</v>
      </c>
      <c r="E9" t="s">
        <v>2009</v>
      </c>
      <c r="F9">
        <v>3013.7297359999998</v>
      </c>
      <c r="G9">
        <v>3058.3715820000002</v>
      </c>
      <c r="H9">
        <v>3083.451172</v>
      </c>
      <c r="I9">
        <v>3100.0170899999998</v>
      </c>
      <c r="J9">
        <v>3112.2297359999998</v>
      </c>
      <c r="K9">
        <v>3125.576172</v>
      </c>
      <c r="L9">
        <v>3140.1669919999999</v>
      </c>
      <c r="M9">
        <v>3154.0073240000002</v>
      </c>
      <c r="N9">
        <v>3161.4350589999999</v>
      </c>
      <c r="O9">
        <v>3167.1464839999999</v>
      </c>
      <c r="P9">
        <v>3171.9169919999999</v>
      </c>
      <c r="Q9">
        <v>3174.3566890000002</v>
      </c>
      <c r="R9">
        <v>3179.41626</v>
      </c>
      <c r="S9">
        <v>3189.5078119999998</v>
      </c>
      <c r="T9">
        <v>3202.960693</v>
      </c>
      <c r="U9">
        <v>3216.1186520000001</v>
      </c>
      <c r="V9">
        <v>3230.5129390000002</v>
      </c>
      <c r="W9">
        <v>3244.2316890000002</v>
      </c>
      <c r="X9">
        <v>3257.2741700000001</v>
      </c>
      <c r="Y9">
        <v>3268.8366700000001</v>
      </c>
      <c r="Z9">
        <v>3279.341797</v>
      </c>
      <c r="AA9">
        <v>3288.4411620000001</v>
      </c>
      <c r="AB9">
        <v>3297.5173340000001</v>
      </c>
      <c r="AC9">
        <v>3308.5703119999998</v>
      </c>
      <c r="AD9">
        <v>3321.3464359999998</v>
      </c>
      <c r="AE9">
        <v>3335.046875</v>
      </c>
      <c r="AF9">
        <v>3349.8640140000002</v>
      </c>
      <c r="AG9" s="9">
        <v>4.0000000000000001E-3</v>
      </c>
    </row>
    <row r="10" spans="1:33" s="40" customFormat="1">
      <c r="A10" s="40" t="s">
        <v>156</v>
      </c>
      <c r="B10" s="40" t="s">
        <v>2015</v>
      </c>
      <c r="C10" s="40" t="s">
        <v>2014</v>
      </c>
      <c r="D10" s="40" t="s">
        <v>2009</v>
      </c>
      <c r="F10" s="40">
        <v>90.234665000000007</v>
      </c>
      <c r="G10" s="40">
        <v>88.746048000000002</v>
      </c>
      <c r="H10" s="40">
        <v>87.524918</v>
      </c>
      <c r="I10" s="40">
        <v>86.879401999999999</v>
      </c>
      <c r="J10" s="40">
        <v>86.146125999999995</v>
      </c>
      <c r="K10" s="40">
        <v>85.551413999999994</v>
      </c>
      <c r="L10" s="40">
        <v>85.088477999999995</v>
      </c>
      <c r="M10" s="40">
        <v>84.555840000000003</v>
      </c>
      <c r="N10" s="40">
        <v>84.013214000000005</v>
      </c>
      <c r="O10" s="40">
        <v>83.542664000000002</v>
      </c>
      <c r="P10" s="40">
        <v>83.043007000000003</v>
      </c>
      <c r="Q10" s="40">
        <v>82.538109000000006</v>
      </c>
      <c r="R10" s="40">
        <v>82.013915999999995</v>
      </c>
      <c r="S10" s="40">
        <v>81.499672000000004</v>
      </c>
      <c r="T10" s="40">
        <v>80.976737999999997</v>
      </c>
      <c r="U10" s="40">
        <v>80.459800999999999</v>
      </c>
      <c r="V10" s="40">
        <v>79.954575000000006</v>
      </c>
      <c r="W10" s="40">
        <v>79.410117999999997</v>
      </c>
      <c r="X10" s="40">
        <v>78.884186</v>
      </c>
      <c r="Y10" s="40">
        <v>78.326515000000001</v>
      </c>
      <c r="Z10" s="40">
        <v>77.806870000000004</v>
      </c>
      <c r="AA10" s="40">
        <v>77.239433000000005</v>
      </c>
      <c r="AB10" s="40">
        <v>76.680190999999994</v>
      </c>
      <c r="AC10" s="40">
        <v>76.081207000000006</v>
      </c>
      <c r="AD10" s="40">
        <v>75.451774999999998</v>
      </c>
      <c r="AE10" s="40">
        <v>74.792136999999997</v>
      </c>
      <c r="AF10" s="40">
        <v>74.117767000000001</v>
      </c>
      <c r="AG10" s="41">
        <v>-8.0000000000000002E-3</v>
      </c>
    </row>
    <row r="11" spans="1:33">
      <c r="A11" t="s">
        <v>2013</v>
      </c>
      <c r="B11" t="s">
        <v>2012</v>
      </c>
      <c r="C11" t="s">
        <v>2011</v>
      </c>
      <c r="D11" t="s">
        <v>2010</v>
      </c>
      <c r="E11" t="s">
        <v>2009</v>
      </c>
      <c r="F11">
        <v>340.05480999999997</v>
      </c>
      <c r="G11">
        <v>346.20788599999997</v>
      </c>
      <c r="H11">
        <v>350.06781000000001</v>
      </c>
      <c r="I11">
        <v>353.52682499999997</v>
      </c>
      <c r="J11">
        <v>356.01293900000002</v>
      </c>
      <c r="K11">
        <v>358.95523100000003</v>
      </c>
      <c r="L11">
        <v>362.11615</v>
      </c>
      <c r="M11">
        <v>364.84686299999998</v>
      </c>
      <c r="N11">
        <v>367.71499599999999</v>
      </c>
      <c r="O11">
        <v>370.28033399999998</v>
      </c>
      <c r="P11">
        <v>373.22686800000002</v>
      </c>
      <c r="Q11">
        <v>376.19421399999999</v>
      </c>
      <c r="R11">
        <v>379.62560999999999</v>
      </c>
      <c r="S11">
        <v>383.28887900000001</v>
      </c>
      <c r="T11">
        <v>386.979919</v>
      </c>
      <c r="U11">
        <v>390.324951</v>
      </c>
      <c r="V11">
        <v>393.89111300000002</v>
      </c>
      <c r="W11">
        <v>397.25488300000001</v>
      </c>
      <c r="X11">
        <v>400.59506199999998</v>
      </c>
      <c r="Y11">
        <v>403.50134300000002</v>
      </c>
      <c r="Z11">
        <v>406.149719</v>
      </c>
      <c r="AA11">
        <v>409.08056599999998</v>
      </c>
      <c r="AB11">
        <v>411.83874500000002</v>
      </c>
      <c r="AC11">
        <v>416.011169</v>
      </c>
      <c r="AD11">
        <v>420.09765599999997</v>
      </c>
      <c r="AE11">
        <v>423.84225500000002</v>
      </c>
      <c r="AF11">
        <v>427.05206299999998</v>
      </c>
      <c r="AG11" s="9">
        <v>8.9999999999999993E-3</v>
      </c>
    </row>
    <row r="12" spans="1:33">
      <c r="A12" t="s">
        <v>2008</v>
      </c>
    </row>
    <row r="13" spans="1:33">
      <c r="A13" t="s">
        <v>425</v>
      </c>
      <c r="B13" t="s">
        <v>2007</v>
      </c>
      <c r="C13" t="s">
        <v>2006</v>
      </c>
      <c r="D13" t="s">
        <v>2002</v>
      </c>
      <c r="F13">
        <v>190.78021200000001</v>
      </c>
      <c r="G13">
        <v>196.637619</v>
      </c>
      <c r="H13">
        <v>200.382034</v>
      </c>
      <c r="I13">
        <v>202.76496900000001</v>
      </c>
      <c r="J13">
        <v>204.50441000000001</v>
      </c>
      <c r="K13">
        <v>205.76622</v>
      </c>
      <c r="L13">
        <v>206.654663</v>
      </c>
      <c r="M13">
        <v>207.15368699999999</v>
      </c>
      <c r="N13">
        <v>207.40228300000001</v>
      </c>
      <c r="O13">
        <v>207.54490699999999</v>
      </c>
      <c r="P13">
        <v>207.693939</v>
      </c>
      <c r="Q13">
        <v>207.716095</v>
      </c>
      <c r="R13">
        <v>207.670807</v>
      </c>
      <c r="S13">
        <v>207.610535</v>
      </c>
      <c r="T13">
        <v>207.429047</v>
      </c>
      <c r="U13">
        <v>207.19026199999999</v>
      </c>
      <c r="V13">
        <v>206.886765</v>
      </c>
      <c r="W13">
        <v>206.52593999999999</v>
      </c>
      <c r="X13">
        <v>206.10232500000001</v>
      </c>
      <c r="Y13">
        <v>205.65777600000001</v>
      </c>
      <c r="Z13">
        <v>205.159729</v>
      </c>
      <c r="AA13">
        <v>204.65632600000001</v>
      </c>
      <c r="AB13">
        <v>204.09098800000001</v>
      </c>
      <c r="AC13">
        <v>203.49281300000001</v>
      </c>
      <c r="AD13">
        <v>202.89883399999999</v>
      </c>
      <c r="AE13">
        <v>202.30595400000001</v>
      </c>
      <c r="AF13">
        <v>201.76945499999999</v>
      </c>
      <c r="AG13" s="9">
        <v>2E-3</v>
      </c>
    </row>
    <row r="14" spans="1:33" s="1" customFormat="1">
      <c r="A14" s="1" t="s">
        <v>2005</v>
      </c>
      <c r="B14" s="1" t="s">
        <v>2004</v>
      </c>
      <c r="C14" s="1" t="s">
        <v>2003</v>
      </c>
      <c r="D14" s="1" t="s">
        <v>2002</v>
      </c>
      <c r="F14" s="1">
        <v>25.878022999999999</v>
      </c>
      <c r="G14" s="1">
        <v>28.773292999999999</v>
      </c>
      <c r="H14" s="1">
        <v>30.990027999999999</v>
      </c>
      <c r="I14" s="1">
        <v>32.691127999999999</v>
      </c>
      <c r="J14" s="1">
        <v>34.018692000000001</v>
      </c>
      <c r="K14" s="1">
        <v>35.161124999999998</v>
      </c>
      <c r="L14" s="1">
        <v>36.109000999999999</v>
      </c>
      <c r="M14" s="1">
        <v>36.852859000000002</v>
      </c>
      <c r="N14" s="1">
        <v>37.463329000000002</v>
      </c>
      <c r="O14" s="1">
        <v>37.964500000000001</v>
      </c>
      <c r="P14" s="1">
        <v>38.458427</v>
      </c>
      <c r="Q14" s="1">
        <v>38.854377999999997</v>
      </c>
      <c r="R14" s="1">
        <v>39.233795000000001</v>
      </c>
      <c r="S14" s="1">
        <v>39.64349</v>
      </c>
      <c r="T14" s="1">
        <v>40.072304000000003</v>
      </c>
      <c r="U14" s="1">
        <v>40.454436999999999</v>
      </c>
      <c r="V14" s="1">
        <v>40.811695</v>
      </c>
      <c r="W14" s="1">
        <v>41.128436999999998</v>
      </c>
      <c r="X14" s="1">
        <v>41.427906</v>
      </c>
      <c r="Y14" s="1">
        <v>41.717632000000002</v>
      </c>
      <c r="Z14" s="1">
        <v>41.951228999999998</v>
      </c>
      <c r="AA14" s="1">
        <v>42.199916999999999</v>
      </c>
      <c r="AB14" s="1">
        <v>42.389290000000003</v>
      </c>
      <c r="AC14" s="1">
        <v>42.613959999999999</v>
      </c>
      <c r="AD14" s="1">
        <v>42.893344999999997</v>
      </c>
      <c r="AE14" s="1">
        <v>43.173431000000001</v>
      </c>
      <c r="AF14" s="1">
        <v>43.548084000000003</v>
      </c>
      <c r="AG14" s="39">
        <v>0.02</v>
      </c>
    </row>
    <row r="15" spans="1:33">
      <c r="A15" t="s">
        <v>2001</v>
      </c>
    </row>
    <row r="16" spans="1:33" s="5" customFormat="1">
      <c r="A16" s="5" t="s">
        <v>165</v>
      </c>
      <c r="B16" s="5" t="s">
        <v>2000</v>
      </c>
      <c r="C16" s="5" t="s">
        <v>1999</v>
      </c>
      <c r="D16" s="5" t="s">
        <v>1998</v>
      </c>
      <c r="F16" s="5">
        <v>1413.1365969999999</v>
      </c>
      <c r="G16" s="5">
        <v>1426.5014650000001</v>
      </c>
      <c r="H16" s="5">
        <v>1461.8975829999999</v>
      </c>
      <c r="I16" s="5">
        <v>1494.7885739999999</v>
      </c>
      <c r="J16" s="5">
        <v>1522.10022</v>
      </c>
      <c r="K16" s="5">
        <v>1551.6201169999999</v>
      </c>
      <c r="L16" s="5">
        <v>1578.6829829999999</v>
      </c>
      <c r="M16" s="5">
        <v>1601.181519</v>
      </c>
      <c r="N16" s="5">
        <v>1627.146362</v>
      </c>
      <c r="O16" s="5">
        <v>1654.892212</v>
      </c>
      <c r="P16" s="5">
        <v>1681.6214600000001</v>
      </c>
      <c r="Q16" s="5">
        <v>1711.017578</v>
      </c>
      <c r="R16" s="5">
        <v>1740.960693</v>
      </c>
      <c r="S16" s="5">
        <v>1772.771851</v>
      </c>
      <c r="T16" s="5">
        <v>1806.9364009999999</v>
      </c>
      <c r="U16" s="5">
        <v>1841.1685789999999</v>
      </c>
      <c r="V16" s="5">
        <v>1875.4395750000001</v>
      </c>
      <c r="W16" s="5">
        <v>1909.125366</v>
      </c>
      <c r="X16" s="5">
        <v>1945.61853</v>
      </c>
      <c r="Y16" s="5">
        <v>1981.3470460000001</v>
      </c>
      <c r="Z16" s="5">
        <v>2014.714111</v>
      </c>
      <c r="AA16" s="5">
        <v>2047.454346</v>
      </c>
      <c r="AB16" s="5">
        <v>2079.6472170000002</v>
      </c>
      <c r="AC16" s="5">
        <v>2117.3378910000001</v>
      </c>
      <c r="AD16" s="5">
        <v>2157.5336910000001</v>
      </c>
      <c r="AE16" s="5">
        <v>2196.0695799999999</v>
      </c>
      <c r="AF16" s="5">
        <v>2234.092529</v>
      </c>
      <c r="AG16" s="43">
        <v>1.7999999999999999E-2</v>
      </c>
    </row>
    <row r="17" spans="1:34">
      <c r="A17" t="s">
        <v>1997</v>
      </c>
    </row>
    <row r="18" spans="1:34">
      <c r="A18" t="s">
        <v>170</v>
      </c>
      <c r="B18" t="s">
        <v>1996</v>
      </c>
      <c r="C18" t="s">
        <v>1995</v>
      </c>
      <c r="D18" t="s">
        <v>1992</v>
      </c>
      <c r="F18">
        <v>1464.855225</v>
      </c>
      <c r="G18">
        <v>1498.5776370000001</v>
      </c>
      <c r="H18">
        <v>1462.373169</v>
      </c>
      <c r="I18">
        <v>1413.733154</v>
      </c>
      <c r="J18">
        <v>1414.115112</v>
      </c>
      <c r="K18">
        <v>1410.565186</v>
      </c>
      <c r="L18">
        <v>1369.7414550000001</v>
      </c>
      <c r="M18">
        <v>1370.1805420000001</v>
      </c>
      <c r="N18">
        <v>1305.8111570000001</v>
      </c>
      <c r="O18">
        <v>1312.2113039999999</v>
      </c>
      <c r="P18">
        <v>1299.8524170000001</v>
      </c>
      <c r="Q18">
        <v>1300.4210210000001</v>
      </c>
      <c r="R18">
        <v>1305.7510990000001</v>
      </c>
      <c r="S18">
        <v>1312.3923339999999</v>
      </c>
      <c r="T18">
        <v>1330.286621</v>
      </c>
      <c r="U18">
        <v>1321.974976</v>
      </c>
      <c r="V18">
        <v>1328.3294679999999</v>
      </c>
      <c r="W18">
        <v>1330.294678</v>
      </c>
      <c r="X18">
        <v>1337.347534</v>
      </c>
      <c r="Y18">
        <v>1345.204712</v>
      </c>
      <c r="Z18">
        <v>1349.7685550000001</v>
      </c>
      <c r="AA18">
        <v>1354.558716</v>
      </c>
      <c r="AB18">
        <v>1355.6860349999999</v>
      </c>
      <c r="AC18">
        <v>1370.355591</v>
      </c>
      <c r="AD18">
        <v>1382.527466</v>
      </c>
      <c r="AE18">
        <v>1392.701904</v>
      </c>
      <c r="AF18">
        <v>1397.21228</v>
      </c>
      <c r="AG18" s="9">
        <v>-2E-3</v>
      </c>
    </row>
    <row r="19" spans="1:34" s="44" customFormat="1">
      <c r="A19" s="44" t="s">
        <v>147</v>
      </c>
      <c r="B19" s="44" t="s">
        <v>1994</v>
      </c>
      <c r="C19" s="44" t="s">
        <v>1993</v>
      </c>
      <c r="D19" s="44" t="s">
        <v>1992</v>
      </c>
      <c r="F19" s="44">
        <v>458.773346</v>
      </c>
      <c r="G19" s="44">
        <v>464.892853</v>
      </c>
      <c r="H19" s="44">
        <v>462.96167000000003</v>
      </c>
      <c r="I19" s="44">
        <v>460.98571800000002</v>
      </c>
      <c r="J19" s="44">
        <v>459.37042200000002</v>
      </c>
      <c r="K19" s="44">
        <v>457.35058600000002</v>
      </c>
      <c r="L19" s="44">
        <v>454.85974099999999</v>
      </c>
      <c r="M19" s="44">
        <v>451.94982900000002</v>
      </c>
      <c r="N19" s="44">
        <v>448.29049700000002</v>
      </c>
      <c r="O19" s="44">
        <v>446.236603</v>
      </c>
      <c r="P19" s="44">
        <v>444.57028200000002</v>
      </c>
      <c r="Q19" s="44">
        <v>442.67672700000003</v>
      </c>
      <c r="R19" s="44">
        <v>440.63128699999999</v>
      </c>
      <c r="S19" s="44">
        <v>439.09964000000002</v>
      </c>
      <c r="T19" s="44">
        <v>437.71414199999998</v>
      </c>
      <c r="U19" s="44">
        <v>435.98474099999999</v>
      </c>
      <c r="V19" s="44">
        <v>434.76898199999999</v>
      </c>
      <c r="W19" s="44">
        <v>433.49096700000001</v>
      </c>
      <c r="X19" s="44">
        <v>432.22720299999997</v>
      </c>
      <c r="Y19" s="44">
        <v>430.67340100000001</v>
      </c>
      <c r="Z19" s="44">
        <v>428.801331</v>
      </c>
      <c r="AA19" s="44">
        <v>427.06716899999998</v>
      </c>
      <c r="AB19" s="44">
        <v>425.27600100000001</v>
      </c>
      <c r="AC19" s="44">
        <v>424.65441900000002</v>
      </c>
      <c r="AD19" s="44">
        <v>423.51385499999998</v>
      </c>
      <c r="AE19" s="44">
        <v>422.14224200000001</v>
      </c>
      <c r="AF19" s="44">
        <v>420.62109400000003</v>
      </c>
      <c r="AG19" s="45">
        <v>-3.0000000000000001E-3</v>
      </c>
      <c r="AH19" s="46">
        <f>AF19/F19</f>
        <v>0.91683856018958876</v>
      </c>
    </row>
    <row r="20" spans="1:34">
      <c r="A20" t="s">
        <v>86</v>
      </c>
    </row>
    <row r="21" spans="1:34">
      <c r="A21" t="s">
        <v>1991</v>
      </c>
    </row>
    <row r="22" spans="1:34">
      <c r="A22" t="s">
        <v>1990</v>
      </c>
      <c r="B22" t="s">
        <v>1989</v>
      </c>
      <c r="C22" t="s">
        <v>1988</v>
      </c>
      <c r="D22" t="s">
        <v>260</v>
      </c>
      <c r="F22">
        <v>39.271113999999997</v>
      </c>
      <c r="G22">
        <v>42.959927</v>
      </c>
      <c r="H22">
        <v>47.575771000000003</v>
      </c>
      <c r="I22">
        <v>47.493256000000002</v>
      </c>
      <c r="J22">
        <v>47.449084999999997</v>
      </c>
      <c r="K22">
        <v>47.490924999999997</v>
      </c>
      <c r="L22">
        <v>47.591320000000003</v>
      </c>
      <c r="M22">
        <v>47.604393000000002</v>
      </c>
      <c r="N22">
        <v>47.569965000000003</v>
      </c>
      <c r="O22">
        <v>47.492598999999998</v>
      </c>
      <c r="P22">
        <v>47.679400999999999</v>
      </c>
      <c r="Q22">
        <v>47.648468000000001</v>
      </c>
      <c r="R22">
        <v>47.59169</v>
      </c>
      <c r="S22">
        <v>47.590065000000003</v>
      </c>
      <c r="T22">
        <v>47.594569999999997</v>
      </c>
      <c r="U22">
        <v>47.597126000000003</v>
      </c>
      <c r="V22">
        <v>47.557651999999997</v>
      </c>
      <c r="W22">
        <v>47.536555999999997</v>
      </c>
      <c r="X22">
        <v>47.522250999999997</v>
      </c>
      <c r="Y22">
        <v>47.527641000000003</v>
      </c>
      <c r="Z22">
        <v>47.509605000000001</v>
      </c>
      <c r="AA22">
        <v>47.515839</v>
      </c>
      <c r="AB22">
        <v>47.499699</v>
      </c>
      <c r="AC22">
        <v>47.476486000000001</v>
      </c>
      <c r="AD22">
        <v>47.471778999999998</v>
      </c>
      <c r="AE22">
        <v>47.466419000000002</v>
      </c>
      <c r="AF22">
        <v>47.51144</v>
      </c>
      <c r="AG22" s="9">
        <v>7.0000000000000001E-3</v>
      </c>
    </row>
    <row r="23" spans="1:34">
      <c r="A23" t="s">
        <v>1966</v>
      </c>
      <c r="B23" t="s">
        <v>1987</v>
      </c>
      <c r="C23" t="s">
        <v>1986</v>
      </c>
      <c r="D23" t="s">
        <v>260</v>
      </c>
      <c r="F23">
        <v>48.175083000000001</v>
      </c>
      <c r="G23">
        <v>52.414535999999998</v>
      </c>
      <c r="H23">
        <v>58.241450999999998</v>
      </c>
      <c r="I23">
        <v>58.255462999999999</v>
      </c>
      <c r="J23">
        <v>58.266669999999998</v>
      </c>
      <c r="K23">
        <v>58.284412000000003</v>
      </c>
      <c r="L23">
        <v>58.290976999999998</v>
      </c>
      <c r="M23">
        <v>58.296238000000002</v>
      </c>
      <c r="N23">
        <v>58.292617999999997</v>
      </c>
      <c r="O23">
        <v>58.297882000000001</v>
      </c>
      <c r="P23">
        <v>58.322220000000002</v>
      </c>
      <c r="Q23">
        <v>58.317551000000002</v>
      </c>
      <c r="R23">
        <v>58.313091</v>
      </c>
      <c r="S23">
        <v>58.312266999999999</v>
      </c>
      <c r="T23">
        <v>58.318325000000002</v>
      </c>
      <c r="U23">
        <v>58.320647999999998</v>
      </c>
      <c r="V23">
        <v>58.313701999999999</v>
      </c>
      <c r="W23">
        <v>58.314289000000002</v>
      </c>
      <c r="X23">
        <v>58.312122000000002</v>
      </c>
      <c r="Y23">
        <v>58.322738999999999</v>
      </c>
      <c r="Z23">
        <v>58.317923999999998</v>
      </c>
      <c r="AA23">
        <v>58.327765999999997</v>
      </c>
      <c r="AB23">
        <v>58.321185999999997</v>
      </c>
      <c r="AC23">
        <v>58.318832</v>
      </c>
      <c r="AD23">
        <v>58.325527000000001</v>
      </c>
      <c r="AE23">
        <v>58.327376999999998</v>
      </c>
      <c r="AF23">
        <v>58.347693999999997</v>
      </c>
      <c r="AG23" s="9">
        <v>7.0000000000000001E-3</v>
      </c>
    </row>
    <row r="24" spans="1:34">
      <c r="A24" t="s">
        <v>1963</v>
      </c>
      <c r="B24" t="s">
        <v>1985</v>
      </c>
      <c r="C24" t="s">
        <v>1984</v>
      </c>
      <c r="D24" t="s">
        <v>260</v>
      </c>
      <c r="F24">
        <v>35.086903</v>
      </c>
      <c r="G24">
        <v>38.087924999999998</v>
      </c>
      <c r="H24">
        <v>42.293404000000002</v>
      </c>
      <c r="I24">
        <v>42.265976000000002</v>
      </c>
      <c r="J24">
        <v>42.251018999999999</v>
      </c>
      <c r="K24">
        <v>42.230449999999998</v>
      </c>
      <c r="L24">
        <v>42.21875</v>
      </c>
      <c r="M24">
        <v>42.207087999999999</v>
      </c>
      <c r="N24">
        <v>42.198193000000003</v>
      </c>
      <c r="O24">
        <v>42.188656000000002</v>
      </c>
      <c r="P24">
        <v>42.178351999999997</v>
      </c>
      <c r="Q24">
        <v>42.170338000000001</v>
      </c>
      <c r="R24">
        <v>42.163196999999997</v>
      </c>
      <c r="S24">
        <v>42.157119999999999</v>
      </c>
      <c r="T24">
        <v>42.150413999999998</v>
      </c>
      <c r="U24">
        <v>42.144038999999999</v>
      </c>
      <c r="V24">
        <v>42.139083999999997</v>
      </c>
      <c r="W24">
        <v>42.13335</v>
      </c>
      <c r="X24">
        <v>42.127730999999997</v>
      </c>
      <c r="Y24">
        <v>42.121071000000001</v>
      </c>
      <c r="Z24">
        <v>42.115974000000001</v>
      </c>
      <c r="AA24">
        <v>42.109614999999998</v>
      </c>
      <c r="AB24">
        <v>42.105437999999999</v>
      </c>
      <c r="AC24">
        <v>42.100982999999999</v>
      </c>
      <c r="AD24">
        <v>42.095027999999999</v>
      </c>
      <c r="AE24">
        <v>42.089644999999997</v>
      </c>
      <c r="AF24">
        <v>42.083157</v>
      </c>
      <c r="AG24" s="9">
        <v>7.0000000000000001E-3</v>
      </c>
    </row>
    <row r="25" spans="1:34">
      <c r="A25" t="s">
        <v>1983</v>
      </c>
      <c r="B25" t="s">
        <v>1982</v>
      </c>
      <c r="C25" t="s">
        <v>1981</v>
      </c>
      <c r="D25" t="s">
        <v>260</v>
      </c>
      <c r="F25">
        <v>39.942822</v>
      </c>
      <c r="G25">
        <v>43.957706000000002</v>
      </c>
      <c r="H25">
        <v>47.924385000000001</v>
      </c>
      <c r="I25">
        <v>48.168633</v>
      </c>
      <c r="J25">
        <v>48.206814000000001</v>
      </c>
      <c r="K25">
        <v>47.845936000000002</v>
      </c>
      <c r="L25">
        <v>47.905158999999998</v>
      </c>
      <c r="M25">
        <v>48.590632999999997</v>
      </c>
      <c r="N25">
        <v>49.493091999999997</v>
      </c>
      <c r="O25">
        <v>48.658332999999999</v>
      </c>
      <c r="P25">
        <v>49.540320999999999</v>
      </c>
      <c r="Q25">
        <v>50.266624</v>
      </c>
      <c r="R25">
        <v>50.779812</v>
      </c>
      <c r="S25">
        <v>51.219344999999997</v>
      </c>
      <c r="T25">
        <v>51.674301</v>
      </c>
      <c r="U25">
        <v>52.231579000000004</v>
      </c>
      <c r="V25">
        <v>52.558425999999997</v>
      </c>
      <c r="W25">
        <v>52.808188999999999</v>
      </c>
      <c r="X25">
        <v>52.984974000000001</v>
      </c>
      <c r="Y25">
        <v>53.223258999999999</v>
      </c>
      <c r="Z25">
        <v>53.349930000000001</v>
      </c>
      <c r="AA25">
        <v>53.548645</v>
      </c>
      <c r="AB25">
        <v>53.654530000000001</v>
      </c>
      <c r="AC25">
        <v>53.715496000000002</v>
      </c>
      <c r="AD25">
        <v>53.847445999999998</v>
      </c>
      <c r="AE25">
        <v>53.972465999999997</v>
      </c>
      <c r="AF25">
        <v>54.298808999999999</v>
      </c>
      <c r="AG25" s="9">
        <v>1.2E-2</v>
      </c>
    </row>
    <row r="26" spans="1:34">
      <c r="A26" t="s">
        <v>1966</v>
      </c>
      <c r="B26" t="s">
        <v>1980</v>
      </c>
      <c r="C26" t="s">
        <v>1979</v>
      </c>
      <c r="D26" t="s">
        <v>260</v>
      </c>
      <c r="F26">
        <v>53.113453</v>
      </c>
      <c r="G26">
        <v>57.640594</v>
      </c>
      <c r="H26">
        <v>63.325600000000001</v>
      </c>
      <c r="I26">
        <v>68.261688000000007</v>
      </c>
      <c r="J26">
        <v>68.800171000000006</v>
      </c>
      <c r="K26">
        <v>66.580070000000006</v>
      </c>
      <c r="L26">
        <v>66.171570000000003</v>
      </c>
      <c r="M26">
        <v>67.334129000000004</v>
      </c>
      <c r="N26">
        <v>70.141272999999998</v>
      </c>
      <c r="O26">
        <v>69.021690000000007</v>
      </c>
      <c r="P26">
        <v>70.175094999999999</v>
      </c>
      <c r="Q26">
        <v>72.345962999999998</v>
      </c>
      <c r="R26">
        <v>73.417396999999994</v>
      </c>
      <c r="S26">
        <v>74.362701000000001</v>
      </c>
      <c r="T26">
        <v>75.273003000000003</v>
      </c>
      <c r="U26">
        <v>76.767471</v>
      </c>
      <c r="V26">
        <v>77.966553000000005</v>
      </c>
      <c r="W26">
        <v>78.546875</v>
      </c>
      <c r="X26">
        <v>79.005652999999995</v>
      </c>
      <c r="Y26">
        <v>79.448586000000006</v>
      </c>
      <c r="Z26">
        <v>79.814239999999998</v>
      </c>
      <c r="AA26">
        <v>80.153214000000006</v>
      </c>
      <c r="AB26">
        <v>80.456695999999994</v>
      </c>
      <c r="AC26">
        <v>80.688453999999993</v>
      </c>
      <c r="AD26">
        <v>80.951462000000006</v>
      </c>
      <c r="AE26">
        <v>81.205382999999998</v>
      </c>
      <c r="AF26">
        <v>81.537047999999999</v>
      </c>
      <c r="AG26" s="9">
        <v>1.7000000000000001E-2</v>
      </c>
    </row>
    <row r="27" spans="1:34">
      <c r="A27" t="s">
        <v>1963</v>
      </c>
      <c r="B27" t="s">
        <v>1978</v>
      </c>
      <c r="C27" t="s">
        <v>1977</v>
      </c>
      <c r="D27" t="s">
        <v>260</v>
      </c>
      <c r="F27">
        <v>34.459515000000003</v>
      </c>
      <c r="G27">
        <v>37.642277</v>
      </c>
      <c r="H27">
        <v>41.127471999999997</v>
      </c>
      <c r="I27">
        <v>40.267257999999998</v>
      </c>
      <c r="J27">
        <v>40.255310000000001</v>
      </c>
      <c r="K27">
        <v>40.242519000000001</v>
      </c>
      <c r="L27">
        <v>40.218753999999997</v>
      </c>
      <c r="M27">
        <v>40.700054000000002</v>
      </c>
      <c r="N27">
        <v>41.130524000000001</v>
      </c>
      <c r="O27">
        <v>40.554600000000001</v>
      </c>
      <c r="P27">
        <v>40.930511000000003</v>
      </c>
      <c r="Q27">
        <v>41.310794999999999</v>
      </c>
      <c r="R27">
        <v>41.765965000000001</v>
      </c>
      <c r="S27">
        <v>42.053348999999997</v>
      </c>
      <c r="T27">
        <v>42.351562000000001</v>
      </c>
      <c r="U27">
        <v>42.643214999999998</v>
      </c>
      <c r="V27">
        <v>42.837719</v>
      </c>
      <c r="W27">
        <v>43.033183999999999</v>
      </c>
      <c r="X27">
        <v>43.158431999999998</v>
      </c>
      <c r="Y27">
        <v>43.308086000000003</v>
      </c>
      <c r="Z27">
        <v>43.407924999999999</v>
      </c>
      <c r="AA27">
        <v>43.533504000000001</v>
      </c>
      <c r="AB27">
        <v>43.621684999999999</v>
      </c>
      <c r="AC27">
        <v>43.68882</v>
      </c>
      <c r="AD27">
        <v>43.782268999999999</v>
      </c>
      <c r="AE27">
        <v>43.872546999999997</v>
      </c>
      <c r="AF27">
        <v>44.049908000000002</v>
      </c>
      <c r="AG27" s="9">
        <v>8.9999999999999993E-3</v>
      </c>
    </row>
    <row r="28" spans="1:34">
      <c r="A28" t="s">
        <v>1976</v>
      </c>
      <c r="B28" t="s">
        <v>1975</v>
      </c>
      <c r="C28" t="s">
        <v>1974</v>
      </c>
      <c r="D28" t="s">
        <v>260</v>
      </c>
      <c r="F28">
        <v>36.992213999999997</v>
      </c>
      <c r="G28">
        <v>40.049953000000002</v>
      </c>
      <c r="H28">
        <v>42.808971</v>
      </c>
      <c r="I28">
        <v>43.230891999999997</v>
      </c>
      <c r="J28">
        <v>44.016902999999999</v>
      </c>
      <c r="K28">
        <v>44.308898999999997</v>
      </c>
      <c r="L28">
        <v>44.989899000000001</v>
      </c>
      <c r="M28">
        <v>45.614960000000004</v>
      </c>
      <c r="N28">
        <v>46.454155</v>
      </c>
      <c r="O28">
        <v>45.667557000000002</v>
      </c>
      <c r="P28">
        <v>46.478081000000003</v>
      </c>
      <c r="Q28">
        <v>47.149428999999998</v>
      </c>
      <c r="R28">
        <v>47.616024000000003</v>
      </c>
      <c r="S28">
        <v>48.020485000000001</v>
      </c>
      <c r="T28">
        <v>48.435195999999998</v>
      </c>
      <c r="U28">
        <v>48.949013000000001</v>
      </c>
      <c r="V28">
        <v>49.253231</v>
      </c>
      <c r="W28">
        <v>49.479267</v>
      </c>
      <c r="X28">
        <v>49.642772999999998</v>
      </c>
      <c r="Y28">
        <v>49.856163000000002</v>
      </c>
      <c r="Z28">
        <v>49.976058999999999</v>
      </c>
      <c r="AA28">
        <v>50.153815999999999</v>
      </c>
      <c r="AB28">
        <v>50.256393000000003</v>
      </c>
      <c r="AC28">
        <v>50.313774000000002</v>
      </c>
      <c r="AD28">
        <v>50.431538000000003</v>
      </c>
      <c r="AE28">
        <v>50.545406</v>
      </c>
      <c r="AF28">
        <v>50.836013999999999</v>
      </c>
      <c r="AG28" s="9">
        <v>1.2E-2</v>
      </c>
    </row>
    <row r="29" spans="1:34">
      <c r="A29" t="s">
        <v>1966</v>
      </c>
      <c r="B29" t="s">
        <v>1973</v>
      </c>
      <c r="C29" t="s">
        <v>1972</v>
      </c>
      <c r="D29" t="s">
        <v>260</v>
      </c>
      <c r="F29">
        <v>48.381923999999998</v>
      </c>
      <c r="G29">
        <v>51.754009000000003</v>
      </c>
      <c r="H29">
        <v>55.653796999999997</v>
      </c>
      <c r="I29">
        <v>59.137737000000001</v>
      </c>
      <c r="J29">
        <v>61.278339000000003</v>
      </c>
      <c r="K29">
        <v>61.308632000000003</v>
      </c>
      <c r="L29">
        <v>62.883270000000003</v>
      </c>
      <c r="M29">
        <v>63.968285000000002</v>
      </c>
      <c r="N29">
        <v>66.642882999999998</v>
      </c>
      <c r="O29">
        <v>65.576897000000002</v>
      </c>
      <c r="P29">
        <v>66.660210000000006</v>
      </c>
      <c r="Q29">
        <v>68.722472999999994</v>
      </c>
      <c r="R29">
        <v>69.727547000000001</v>
      </c>
      <c r="S29">
        <v>70.613060000000004</v>
      </c>
      <c r="T29">
        <v>71.466324</v>
      </c>
      <c r="U29">
        <v>72.886696000000001</v>
      </c>
      <c r="V29">
        <v>74.021286000000003</v>
      </c>
      <c r="W29">
        <v>74.566199999999995</v>
      </c>
      <c r="X29">
        <v>74.998435999999998</v>
      </c>
      <c r="Y29">
        <v>75.416839999999993</v>
      </c>
      <c r="Z29">
        <v>75.761993000000004</v>
      </c>
      <c r="AA29">
        <v>76.083054000000004</v>
      </c>
      <c r="AB29">
        <v>76.370345999999998</v>
      </c>
      <c r="AC29">
        <v>76.590514999999996</v>
      </c>
      <c r="AD29">
        <v>76.839706000000007</v>
      </c>
      <c r="AE29">
        <v>77.080558999999994</v>
      </c>
      <c r="AF29">
        <v>77.395804999999996</v>
      </c>
      <c r="AG29" s="9">
        <v>1.7999999999999999E-2</v>
      </c>
    </row>
    <row r="30" spans="1:34">
      <c r="A30" t="s">
        <v>1963</v>
      </c>
      <c r="B30" t="s">
        <v>1971</v>
      </c>
      <c r="C30" t="s">
        <v>1970</v>
      </c>
      <c r="D30" t="s">
        <v>260</v>
      </c>
      <c r="F30">
        <v>32.114288000000002</v>
      </c>
      <c r="G30">
        <v>34.514839000000002</v>
      </c>
      <c r="H30">
        <v>36.986862000000002</v>
      </c>
      <c r="I30">
        <v>36.634200999999997</v>
      </c>
      <c r="J30">
        <v>37.092925999999999</v>
      </c>
      <c r="K30">
        <v>37.343777000000003</v>
      </c>
      <c r="L30">
        <v>37.577010999999999</v>
      </c>
      <c r="M30">
        <v>38.011017000000002</v>
      </c>
      <c r="N30">
        <v>38.403038000000002</v>
      </c>
      <c r="O30">
        <v>37.869067999999999</v>
      </c>
      <c r="P30">
        <v>38.209907999999999</v>
      </c>
      <c r="Q30">
        <v>38.555424000000002</v>
      </c>
      <c r="R30">
        <v>38.963661000000002</v>
      </c>
      <c r="S30">
        <v>39.224598</v>
      </c>
      <c r="T30">
        <v>39.495063999999999</v>
      </c>
      <c r="U30">
        <v>39.75996</v>
      </c>
      <c r="V30">
        <v>39.93721</v>
      </c>
      <c r="W30">
        <v>40.114798999999998</v>
      </c>
      <c r="X30">
        <v>40.230305000000001</v>
      </c>
      <c r="Y30">
        <v>40.368130000000001</v>
      </c>
      <c r="Z30">
        <v>40.460380999999998</v>
      </c>
      <c r="AA30">
        <v>40.576186999999997</v>
      </c>
      <c r="AB30">
        <v>40.657494</v>
      </c>
      <c r="AC30">
        <v>40.719509000000002</v>
      </c>
      <c r="AD30">
        <v>40.805653</v>
      </c>
      <c r="AE30">
        <v>40.888672</v>
      </c>
      <c r="AF30">
        <v>41.051575</v>
      </c>
      <c r="AG30" s="9">
        <v>8.9999999999999993E-3</v>
      </c>
    </row>
    <row r="31" spans="1:34">
      <c r="A31" t="s">
        <v>1969</v>
      </c>
      <c r="B31" t="s">
        <v>1968</v>
      </c>
      <c r="C31" t="s">
        <v>1967</v>
      </c>
      <c r="D31" t="s">
        <v>260</v>
      </c>
      <c r="F31">
        <v>27.538564999999998</v>
      </c>
      <c r="G31">
        <v>29.747971</v>
      </c>
      <c r="H31">
        <v>31.720669000000001</v>
      </c>
      <c r="I31">
        <v>32.058968</v>
      </c>
      <c r="J31">
        <v>32.641983000000003</v>
      </c>
      <c r="K31">
        <v>32.859589</v>
      </c>
      <c r="L31">
        <v>33.335555999999997</v>
      </c>
      <c r="M31">
        <v>33.786160000000002</v>
      </c>
      <c r="N31">
        <v>34.398437999999999</v>
      </c>
      <c r="O31">
        <v>33.841163999999999</v>
      </c>
      <c r="P31">
        <v>34.423504000000001</v>
      </c>
      <c r="Q31">
        <v>34.906590000000001</v>
      </c>
      <c r="R31">
        <v>35.232799999999997</v>
      </c>
      <c r="S31">
        <v>35.521309000000002</v>
      </c>
      <c r="T31">
        <v>35.816288</v>
      </c>
      <c r="U31">
        <v>36.185467000000003</v>
      </c>
      <c r="V31">
        <v>36.402821000000003</v>
      </c>
      <c r="W31">
        <v>36.561584000000003</v>
      </c>
      <c r="X31">
        <v>36.675685999999999</v>
      </c>
      <c r="Y31">
        <v>36.824798999999999</v>
      </c>
      <c r="Z31">
        <v>36.907935999999999</v>
      </c>
      <c r="AA31">
        <v>37.031731000000001</v>
      </c>
      <c r="AB31">
        <v>37.102466999999997</v>
      </c>
      <c r="AC31">
        <v>37.140445999999997</v>
      </c>
      <c r="AD31">
        <v>37.221237000000002</v>
      </c>
      <c r="AE31">
        <v>37.299518999999997</v>
      </c>
      <c r="AF31">
        <v>37.503345000000003</v>
      </c>
      <c r="AG31" s="9">
        <v>1.2E-2</v>
      </c>
    </row>
    <row r="32" spans="1:34">
      <c r="A32" t="s">
        <v>1966</v>
      </c>
      <c r="B32" t="s">
        <v>1965</v>
      </c>
      <c r="C32" t="s">
        <v>1964</v>
      </c>
      <c r="D32" t="s">
        <v>260</v>
      </c>
      <c r="F32">
        <v>35.736514999999997</v>
      </c>
      <c r="G32">
        <v>38.187514999999998</v>
      </c>
      <c r="H32">
        <v>41.026561999999998</v>
      </c>
      <c r="I32">
        <v>43.567794999999997</v>
      </c>
      <c r="J32">
        <v>45.129069999999999</v>
      </c>
      <c r="K32">
        <v>45.143227000000003</v>
      </c>
      <c r="L32">
        <v>46.28548</v>
      </c>
      <c r="M32">
        <v>47.069462000000001</v>
      </c>
      <c r="N32">
        <v>49.029162999999997</v>
      </c>
      <c r="O32">
        <v>48.263415999999999</v>
      </c>
      <c r="P32">
        <v>49.042400000000001</v>
      </c>
      <c r="Q32">
        <v>50.544037000000003</v>
      </c>
      <c r="R32">
        <v>51.270535000000002</v>
      </c>
      <c r="S32">
        <v>51.909388999999997</v>
      </c>
      <c r="T32">
        <v>52.522804000000001</v>
      </c>
      <c r="U32">
        <v>53.556106999999997</v>
      </c>
      <c r="V32">
        <v>54.379283999999998</v>
      </c>
      <c r="W32">
        <v>54.768990000000002</v>
      </c>
      <c r="X32">
        <v>55.077838999999997</v>
      </c>
      <c r="Y32">
        <v>55.373089</v>
      </c>
      <c r="Z32">
        <v>55.619441999999999</v>
      </c>
      <c r="AA32">
        <v>55.844054999999997</v>
      </c>
      <c r="AB32">
        <v>56.048706000000003</v>
      </c>
      <c r="AC32">
        <v>56.203578999999998</v>
      </c>
      <c r="AD32">
        <v>56.377032999999997</v>
      </c>
      <c r="AE32">
        <v>56.545631</v>
      </c>
      <c r="AF32">
        <v>56.762431999999997</v>
      </c>
      <c r="AG32" s="9">
        <v>1.7999999999999999E-2</v>
      </c>
    </row>
    <row r="33" spans="1:33">
      <c r="A33" t="s">
        <v>1963</v>
      </c>
      <c r="B33" t="s">
        <v>1962</v>
      </c>
      <c r="C33" t="s">
        <v>1961</v>
      </c>
      <c r="D33" t="s">
        <v>260</v>
      </c>
      <c r="F33">
        <v>23.988018</v>
      </c>
      <c r="G33">
        <v>25.717506</v>
      </c>
      <c r="H33">
        <v>27.470897999999998</v>
      </c>
      <c r="I33">
        <v>27.241520000000001</v>
      </c>
      <c r="J33">
        <v>27.584202000000001</v>
      </c>
      <c r="K33">
        <v>27.775763999999999</v>
      </c>
      <c r="L33">
        <v>27.919968000000001</v>
      </c>
      <c r="M33">
        <v>28.231255000000001</v>
      </c>
      <c r="N33">
        <v>28.510629999999999</v>
      </c>
      <c r="O33">
        <v>28.137867</v>
      </c>
      <c r="P33">
        <v>28.37771</v>
      </c>
      <c r="Q33">
        <v>28.619430999999999</v>
      </c>
      <c r="R33">
        <v>28.901937</v>
      </c>
      <c r="S33">
        <v>29.085546000000001</v>
      </c>
      <c r="T33">
        <v>29.275507000000001</v>
      </c>
      <c r="U33">
        <v>29.461161000000001</v>
      </c>
      <c r="V33">
        <v>29.584817999999999</v>
      </c>
      <c r="W33">
        <v>29.708748</v>
      </c>
      <c r="X33">
        <v>29.788166</v>
      </c>
      <c r="Y33">
        <v>29.883118</v>
      </c>
      <c r="Z33">
        <v>29.946400000000001</v>
      </c>
      <c r="AA33">
        <v>30.026071999999999</v>
      </c>
      <c r="AB33">
        <v>30.081591</v>
      </c>
      <c r="AC33">
        <v>30.123497</v>
      </c>
      <c r="AD33">
        <v>30.182155999999999</v>
      </c>
      <c r="AE33">
        <v>30.238665000000001</v>
      </c>
      <c r="AF33">
        <v>30.351025</v>
      </c>
      <c r="AG33" s="9">
        <v>8.9999999999999993E-3</v>
      </c>
    </row>
    <row r="34" spans="1:33">
      <c r="A34" t="s">
        <v>1960</v>
      </c>
      <c r="B34" t="s">
        <v>1959</v>
      </c>
      <c r="C34" t="s">
        <v>1958</v>
      </c>
      <c r="D34" t="s">
        <v>260</v>
      </c>
      <c r="F34">
        <v>22.673542000000001</v>
      </c>
      <c r="G34">
        <v>23.019804000000001</v>
      </c>
      <c r="H34">
        <v>23.398861</v>
      </c>
      <c r="I34">
        <v>23.830568</v>
      </c>
      <c r="J34">
        <v>24.300024000000001</v>
      </c>
      <c r="K34">
        <v>24.836760000000002</v>
      </c>
      <c r="L34">
        <v>25.429971999999999</v>
      </c>
      <c r="M34">
        <v>25.986374000000001</v>
      </c>
      <c r="N34">
        <v>26.538643</v>
      </c>
      <c r="O34">
        <v>27.064734999999999</v>
      </c>
      <c r="P34">
        <v>27.521101000000002</v>
      </c>
      <c r="Q34">
        <v>27.975999999999999</v>
      </c>
      <c r="R34">
        <v>28.511520000000001</v>
      </c>
      <c r="S34">
        <v>29.075071000000001</v>
      </c>
      <c r="T34">
        <v>29.604527999999998</v>
      </c>
      <c r="U34">
        <v>30.117156999999999</v>
      </c>
      <c r="V34">
        <v>30.573536000000001</v>
      </c>
      <c r="W34">
        <v>30.986899999999999</v>
      </c>
      <c r="X34">
        <v>31.437296</v>
      </c>
      <c r="Y34">
        <v>31.758548999999999</v>
      </c>
      <c r="Z34">
        <v>32.106952999999997</v>
      </c>
      <c r="AA34">
        <v>32.412998000000002</v>
      </c>
      <c r="AB34">
        <v>32.726719000000003</v>
      </c>
      <c r="AC34">
        <v>32.964526999999997</v>
      </c>
      <c r="AD34">
        <v>33.336478999999997</v>
      </c>
      <c r="AE34">
        <v>33.624088</v>
      </c>
      <c r="AF34">
        <v>33.818747999999999</v>
      </c>
      <c r="AG34" s="9">
        <v>1.4999999999999999E-2</v>
      </c>
    </row>
    <row r="35" spans="1:33">
      <c r="A35" t="s">
        <v>1957</v>
      </c>
      <c r="B35" t="s">
        <v>1956</v>
      </c>
      <c r="C35" t="s">
        <v>1955</v>
      </c>
      <c r="D35" t="s">
        <v>260</v>
      </c>
      <c r="F35">
        <v>13.769277000000001</v>
      </c>
      <c r="G35">
        <v>13.86491</v>
      </c>
      <c r="H35">
        <v>13.983874999999999</v>
      </c>
      <c r="I35">
        <v>14.109709000000001</v>
      </c>
      <c r="J35">
        <v>14.421766</v>
      </c>
      <c r="K35">
        <v>14.424688</v>
      </c>
      <c r="L35">
        <v>14.556281999999999</v>
      </c>
      <c r="M35">
        <v>14.750196000000001</v>
      </c>
      <c r="N35">
        <v>14.936327</v>
      </c>
      <c r="O35">
        <v>15.064475</v>
      </c>
      <c r="P35">
        <v>15.224270000000001</v>
      </c>
      <c r="Q35">
        <v>15.464074</v>
      </c>
      <c r="R35">
        <v>15.665839999999999</v>
      </c>
      <c r="S35">
        <v>15.84999</v>
      </c>
      <c r="T35">
        <v>16.032001000000001</v>
      </c>
      <c r="U35">
        <v>16.187612999999999</v>
      </c>
      <c r="V35">
        <v>16.309277000000002</v>
      </c>
      <c r="W35">
        <v>16.511687999999999</v>
      </c>
      <c r="X35">
        <v>16.675953</v>
      </c>
      <c r="Y35">
        <v>16.834778</v>
      </c>
      <c r="Z35">
        <v>16.980089</v>
      </c>
      <c r="AA35">
        <v>17.087033999999999</v>
      </c>
      <c r="AB35">
        <v>17.201184999999999</v>
      </c>
      <c r="AC35">
        <v>17.306694</v>
      </c>
      <c r="AD35">
        <v>17.349647999999998</v>
      </c>
      <c r="AE35">
        <v>17.431222999999999</v>
      </c>
      <c r="AF35">
        <v>17.567291000000001</v>
      </c>
      <c r="AG35" s="9">
        <v>8.9999999999999993E-3</v>
      </c>
    </row>
    <row r="36" spans="1:33">
      <c r="A36" t="s">
        <v>1954</v>
      </c>
      <c r="B36" t="s">
        <v>1953</v>
      </c>
      <c r="C36" t="s">
        <v>1952</v>
      </c>
      <c r="D36" t="s">
        <v>260</v>
      </c>
      <c r="F36">
        <v>13.296923</v>
      </c>
      <c r="G36">
        <v>13.351376999999999</v>
      </c>
      <c r="H36">
        <v>13.405718999999999</v>
      </c>
      <c r="I36">
        <v>13.465928999999999</v>
      </c>
      <c r="J36">
        <v>13.534836</v>
      </c>
      <c r="K36">
        <v>13.601525000000001</v>
      </c>
      <c r="L36">
        <v>13.675136</v>
      </c>
      <c r="M36">
        <v>13.75475</v>
      </c>
      <c r="N36">
        <v>13.839869</v>
      </c>
      <c r="O36">
        <v>13.933196000000001</v>
      </c>
      <c r="P36">
        <v>14.030329999999999</v>
      </c>
      <c r="Q36">
        <v>14.136103</v>
      </c>
      <c r="R36">
        <v>14.245768</v>
      </c>
      <c r="S36">
        <v>14.363693</v>
      </c>
      <c r="T36">
        <v>14.48442</v>
      </c>
      <c r="U36">
        <v>14.607023</v>
      </c>
      <c r="V36">
        <v>14.721759</v>
      </c>
      <c r="W36">
        <v>14.851385000000001</v>
      </c>
      <c r="X36">
        <v>14.978259</v>
      </c>
      <c r="Y36">
        <v>15.111693000000001</v>
      </c>
      <c r="Z36">
        <v>15.246414</v>
      </c>
      <c r="AA36">
        <v>15.375544</v>
      </c>
      <c r="AB36">
        <v>15.505302</v>
      </c>
      <c r="AC36">
        <v>15.6272</v>
      </c>
      <c r="AD36">
        <v>15.74775</v>
      </c>
      <c r="AE36">
        <v>15.865226</v>
      </c>
      <c r="AF36">
        <v>15.983394000000001</v>
      </c>
      <c r="AG36" s="9">
        <v>7.0000000000000001E-3</v>
      </c>
    </row>
    <row r="37" spans="1:33">
      <c r="A37" t="s">
        <v>1951</v>
      </c>
      <c r="B37" t="s">
        <v>1950</v>
      </c>
      <c r="C37" t="s">
        <v>1949</v>
      </c>
      <c r="D37" t="s">
        <v>260</v>
      </c>
      <c r="F37">
        <v>7.7570230000000002</v>
      </c>
      <c r="G37">
        <v>7.8260310000000004</v>
      </c>
      <c r="H37">
        <v>7.9062919999999997</v>
      </c>
      <c r="I37">
        <v>7.9960290000000001</v>
      </c>
      <c r="J37">
        <v>8.0947890000000005</v>
      </c>
      <c r="K37">
        <v>8.1991750000000003</v>
      </c>
      <c r="L37">
        <v>8.3074709999999996</v>
      </c>
      <c r="M37">
        <v>8.4176070000000003</v>
      </c>
      <c r="N37">
        <v>8.5283219999999993</v>
      </c>
      <c r="O37">
        <v>8.6380099999999995</v>
      </c>
      <c r="P37">
        <v>8.7450679999999998</v>
      </c>
      <c r="Q37">
        <v>8.8470669999999991</v>
      </c>
      <c r="R37">
        <v>8.9420540000000006</v>
      </c>
      <c r="S37">
        <v>9.029954</v>
      </c>
      <c r="T37">
        <v>9.1127330000000004</v>
      </c>
      <c r="U37">
        <v>9.1914820000000006</v>
      </c>
      <c r="V37">
        <v>9.2668909999999993</v>
      </c>
      <c r="W37">
        <v>9.3372069999999994</v>
      </c>
      <c r="X37">
        <v>9.4020580000000002</v>
      </c>
      <c r="Y37">
        <v>9.4613700000000005</v>
      </c>
      <c r="Z37">
        <v>9.5162099999999992</v>
      </c>
      <c r="AA37">
        <v>9.5691059999999997</v>
      </c>
      <c r="AB37">
        <v>9.6208910000000003</v>
      </c>
      <c r="AC37">
        <v>9.6705670000000001</v>
      </c>
      <c r="AD37">
        <v>9.7169790000000003</v>
      </c>
      <c r="AE37">
        <v>9.7613710000000005</v>
      </c>
      <c r="AF37">
        <v>9.8045439999999999</v>
      </c>
      <c r="AG37" s="9">
        <v>8.9999999999999993E-3</v>
      </c>
    </row>
    <row r="38" spans="1:33">
      <c r="A38" t="s">
        <v>1948</v>
      </c>
    </row>
    <row r="39" spans="1:33">
      <c r="A39" t="s">
        <v>1947</v>
      </c>
      <c r="B39" t="s">
        <v>1946</v>
      </c>
      <c r="C39" t="s">
        <v>1945</v>
      </c>
      <c r="D39" t="s">
        <v>223</v>
      </c>
      <c r="F39">
        <v>85.368492000000003</v>
      </c>
      <c r="G39">
        <v>85.782234000000003</v>
      </c>
      <c r="H39">
        <v>86.453063999999998</v>
      </c>
      <c r="I39">
        <v>87.127350000000007</v>
      </c>
      <c r="J39">
        <v>87.815926000000005</v>
      </c>
      <c r="K39">
        <v>88.497085999999996</v>
      </c>
      <c r="L39">
        <v>89.183655000000002</v>
      </c>
      <c r="M39">
        <v>89.886848000000001</v>
      </c>
      <c r="N39">
        <v>90.639893000000001</v>
      </c>
      <c r="O39">
        <v>91.399001999999996</v>
      </c>
      <c r="P39">
        <v>92.155806999999996</v>
      </c>
      <c r="Q39">
        <v>92.914574000000002</v>
      </c>
      <c r="R39">
        <v>93.675323000000006</v>
      </c>
      <c r="S39">
        <v>94.433295999999999</v>
      </c>
      <c r="T39">
        <v>95.211731</v>
      </c>
      <c r="U39">
        <v>95.983520999999996</v>
      </c>
      <c r="V39">
        <v>96.768569999999997</v>
      </c>
      <c r="W39">
        <v>97.563377000000003</v>
      </c>
      <c r="X39">
        <v>98.389313000000001</v>
      </c>
      <c r="Y39">
        <v>99.21096</v>
      </c>
      <c r="Z39">
        <v>100.03321099999999</v>
      </c>
      <c r="AA39">
        <v>100.86144299999999</v>
      </c>
      <c r="AB39">
        <v>101.69375599999999</v>
      </c>
      <c r="AC39">
        <v>102.534424</v>
      </c>
      <c r="AD39">
        <v>103.379761</v>
      </c>
      <c r="AE39">
        <v>104.22199999999999</v>
      </c>
      <c r="AF39">
        <v>105.063164</v>
      </c>
      <c r="AG39" s="9">
        <v>8.0000000000000002E-3</v>
      </c>
    </row>
    <row r="40" spans="1:33">
      <c r="A40" t="s">
        <v>1944</v>
      </c>
    </row>
    <row r="41" spans="1:33">
      <c r="A41" t="s">
        <v>170</v>
      </c>
      <c r="B41" t="s">
        <v>1943</v>
      </c>
      <c r="C41" t="s">
        <v>1942</v>
      </c>
      <c r="D41" t="s">
        <v>1174</v>
      </c>
      <c r="F41">
        <v>3.3734500000000001</v>
      </c>
      <c r="G41">
        <v>3.3770099999999998</v>
      </c>
      <c r="H41">
        <v>3.3805740000000002</v>
      </c>
      <c r="I41">
        <v>3.3841420000000002</v>
      </c>
      <c r="J41">
        <v>3.3877130000000002</v>
      </c>
      <c r="K41">
        <v>3.391289</v>
      </c>
      <c r="L41">
        <v>3.3948680000000002</v>
      </c>
      <c r="M41">
        <v>3.3984510000000001</v>
      </c>
      <c r="N41">
        <v>3.402037</v>
      </c>
      <c r="O41">
        <v>3.4056280000000001</v>
      </c>
      <c r="P41">
        <v>3.4092220000000002</v>
      </c>
      <c r="Q41">
        <v>3.41282</v>
      </c>
      <c r="R41">
        <v>3.4164219999999998</v>
      </c>
      <c r="S41">
        <v>3.4200270000000002</v>
      </c>
      <c r="T41">
        <v>3.4236369999999998</v>
      </c>
      <c r="U41">
        <v>3.4272499999999999</v>
      </c>
      <c r="V41">
        <v>3.4308670000000001</v>
      </c>
      <c r="W41">
        <v>3.434488</v>
      </c>
      <c r="X41">
        <v>3.438113</v>
      </c>
      <c r="Y41">
        <v>3.4417409999999999</v>
      </c>
      <c r="Z41">
        <v>3.445373</v>
      </c>
      <c r="AA41">
        <v>3.4490099999999999</v>
      </c>
      <c r="AB41">
        <v>3.4526490000000001</v>
      </c>
      <c r="AC41">
        <v>3.4562930000000001</v>
      </c>
      <c r="AD41">
        <v>3.4599410000000002</v>
      </c>
      <c r="AE41">
        <v>3.4635929999999999</v>
      </c>
      <c r="AF41">
        <v>3.4672480000000001</v>
      </c>
      <c r="AG41" s="9">
        <v>1E-3</v>
      </c>
    </row>
    <row r="42" spans="1:33" s="5" customFormat="1">
      <c r="A42" s="5" t="s">
        <v>147</v>
      </c>
      <c r="B42" s="5" t="s">
        <v>1941</v>
      </c>
      <c r="C42" s="5" t="s">
        <v>1940</v>
      </c>
      <c r="D42" s="5" t="s">
        <v>1174</v>
      </c>
      <c r="F42" s="5">
        <v>4.8577789999999998</v>
      </c>
      <c r="G42" s="5">
        <v>4.876665</v>
      </c>
      <c r="H42" s="5">
        <v>4.8956239999999998</v>
      </c>
      <c r="I42" s="5">
        <v>4.9146570000000001</v>
      </c>
      <c r="J42" s="5">
        <v>4.933764</v>
      </c>
      <c r="K42" s="5">
        <v>4.9529449999999997</v>
      </c>
      <c r="L42" s="5">
        <v>4.9722</v>
      </c>
      <c r="M42" s="5">
        <v>4.9915310000000002</v>
      </c>
      <c r="N42" s="5">
        <v>5.0109370000000002</v>
      </c>
      <c r="O42" s="5">
        <v>5.0304180000000001</v>
      </c>
      <c r="P42" s="5">
        <v>5.0499749999999999</v>
      </c>
      <c r="Q42" s="5">
        <v>5.0696079999999997</v>
      </c>
      <c r="R42" s="5">
        <v>5.0893170000000003</v>
      </c>
      <c r="S42" s="5">
        <v>5.1091030000000002</v>
      </c>
      <c r="T42" s="5">
        <v>5.1289660000000001</v>
      </c>
      <c r="U42" s="5">
        <v>5.1489060000000002</v>
      </c>
      <c r="V42" s="5">
        <v>5.1689230000000004</v>
      </c>
      <c r="W42" s="5">
        <v>5.189019</v>
      </c>
      <c r="X42" s="5">
        <v>5.2091919999999998</v>
      </c>
      <c r="Y42" s="5">
        <v>5.2294450000000001</v>
      </c>
      <c r="Z42" s="5">
        <v>5.2497749999999996</v>
      </c>
      <c r="AA42" s="5">
        <v>5.2701849999999997</v>
      </c>
      <c r="AB42" s="5">
        <v>5.2906740000000001</v>
      </c>
      <c r="AC42" s="5">
        <v>5.3112430000000002</v>
      </c>
      <c r="AD42" s="5">
        <v>5.3318919999999999</v>
      </c>
      <c r="AE42" s="5">
        <v>5.3526210000000001</v>
      </c>
      <c r="AF42" s="5">
        <v>5.3734299999999999</v>
      </c>
      <c r="AG42" s="43">
        <v>4.0000000000000001E-3</v>
      </c>
    </row>
    <row r="43" spans="1:33">
      <c r="A43" t="s">
        <v>44</v>
      </c>
    </row>
    <row r="44" spans="1:33">
      <c r="A44" t="s">
        <v>1939</v>
      </c>
    </row>
    <row r="45" spans="1:33">
      <c r="A45" t="s">
        <v>152</v>
      </c>
      <c r="B45" t="s">
        <v>1921</v>
      </c>
      <c r="C45" t="s">
        <v>1938</v>
      </c>
      <c r="D45" t="s">
        <v>1923</v>
      </c>
      <c r="F45">
        <v>15.264656</v>
      </c>
      <c r="G45">
        <v>15.318794</v>
      </c>
      <c r="H45">
        <v>15.263797</v>
      </c>
      <c r="I45">
        <v>15.137206000000001</v>
      </c>
      <c r="J45">
        <v>14.977221</v>
      </c>
      <c r="K45">
        <v>14.792021999999999</v>
      </c>
      <c r="L45">
        <v>14.586777</v>
      </c>
      <c r="M45">
        <v>14.410761000000001</v>
      </c>
      <c r="N45">
        <v>14.212754</v>
      </c>
      <c r="O45">
        <v>14.032137000000001</v>
      </c>
      <c r="P45">
        <v>13.876548</v>
      </c>
      <c r="Q45">
        <v>13.716936</v>
      </c>
      <c r="R45">
        <v>13.53182</v>
      </c>
      <c r="S45">
        <v>13.355209</v>
      </c>
      <c r="T45">
        <v>13.213084</v>
      </c>
      <c r="U45">
        <v>13.074738</v>
      </c>
      <c r="V45">
        <v>12.960391</v>
      </c>
      <c r="W45">
        <v>12.861575999999999</v>
      </c>
      <c r="X45">
        <v>12.746392999999999</v>
      </c>
      <c r="Y45">
        <v>12.672746999999999</v>
      </c>
      <c r="Z45">
        <v>12.58318</v>
      </c>
      <c r="AA45">
        <v>12.516975</v>
      </c>
      <c r="AB45">
        <v>12.440613000000001</v>
      </c>
      <c r="AC45">
        <v>12.393321</v>
      </c>
      <c r="AD45">
        <v>12.311717</v>
      </c>
      <c r="AE45">
        <v>12.264787</v>
      </c>
      <c r="AF45">
        <v>12.255931</v>
      </c>
      <c r="AG45" s="9">
        <v>-8.0000000000000002E-3</v>
      </c>
    </row>
    <row r="46" spans="1:33">
      <c r="A46" t="s">
        <v>156</v>
      </c>
      <c r="B46" t="s">
        <v>1919</v>
      </c>
      <c r="C46" t="s">
        <v>1937</v>
      </c>
      <c r="D46" t="s">
        <v>1923</v>
      </c>
      <c r="F46">
        <v>0.87437500000000001</v>
      </c>
      <c r="G46">
        <v>0.85573900000000003</v>
      </c>
      <c r="H46">
        <v>0.83974099999999996</v>
      </c>
      <c r="I46">
        <v>0.82906299999999999</v>
      </c>
      <c r="J46">
        <v>0.81703800000000004</v>
      </c>
      <c r="K46">
        <v>0.80652299999999999</v>
      </c>
      <c r="L46">
        <v>0.79705300000000001</v>
      </c>
      <c r="M46">
        <v>0.78666800000000003</v>
      </c>
      <c r="N46">
        <v>0.77601900000000001</v>
      </c>
      <c r="O46">
        <v>0.76574799999999998</v>
      </c>
      <c r="P46">
        <v>0.75515299999999996</v>
      </c>
      <c r="Q46">
        <v>0.74423300000000003</v>
      </c>
      <c r="R46">
        <v>0.73315399999999997</v>
      </c>
      <c r="S46">
        <v>0.72199100000000005</v>
      </c>
      <c r="T46">
        <v>0.71085900000000002</v>
      </c>
      <c r="U46">
        <v>0.69993099999999997</v>
      </c>
      <c r="V46">
        <v>0.68972299999999997</v>
      </c>
      <c r="W46">
        <v>0.67865399999999998</v>
      </c>
      <c r="X46">
        <v>0.66812099999999996</v>
      </c>
      <c r="Y46">
        <v>0.65726200000000001</v>
      </c>
      <c r="Z46">
        <v>0.64687300000000003</v>
      </c>
      <c r="AA46">
        <v>0.63653199999999999</v>
      </c>
      <c r="AB46">
        <v>0.62642500000000001</v>
      </c>
      <c r="AC46">
        <v>0.61649600000000004</v>
      </c>
      <c r="AD46">
        <v>0.60653199999999996</v>
      </c>
      <c r="AE46">
        <v>0.59660599999999997</v>
      </c>
      <c r="AF46">
        <v>0.58668299999999995</v>
      </c>
      <c r="AG46" s="9">
        <v>-1.4999999999999999E-2</v>
      </c>
    </row>
    <row r="47" spans="1:33">
      <c r="A47" t="s">
        <v>425</v>
      </c>
      <c r="B47" t="s">
        <v>1917</v>
      </c>
      <c r="C47" t="s">
        <v>1936</v>
      </c>
      <c r="D47" t="s">
        <v>1923</v>
      </c>
      <c r="F47">
        <v>0.20785899999999999</v>
      </c>
      <c r="G47">
        <v>0.21351600000000001</v>
      </c>
      <c r="H47">
        <v>0.21612999999999999</v>
      </c>
      <c r="I47">
        <v>0.21712600000000001</v>
      </c>
      <c r="J47">
        <v>0.21748200000000001</v>
      </c>
      <c r="K47">
        <v>0.21742800000000001</v>
      </c>
      <c r="L47">
        <v>0.21724399999999999</v>
      </c>
      <c r="M47">
        <v>0.21624199999999999</v>
      </c>
      <c r="N47">
        <v>0.21476500000000001</v>
      </c>
      <c r="O47">
        <v>0.21318599999999999</v>
      </c>
      <c r="P47">
        <v>0.21190600000000001</v>
      </c>
      <c r="Q47">
        <v>0.210372</v>
      </c>
      <c r="R47">
        <v>0.208783</v>
      </c>
      <c r="S47">
        <v>0.20722499999999999</v>
      </c>
      <c r="T47">
        <v>0.20564499999999999</v>
      </c>
      <c r="U47">
        <v>0.20397999999999999</v>
      </c>
      <c r="V47">
        <v>0.20218700000000001</v>
      </c>
      <c r="W47">
        <v>0.20030100000000001</v>
      </c>
      <c r="X47">
        <v>0.198292</v>
      </c>
      <c r="Y47">
        <v>0.19633700000000001</v>
      </c>
      <c r="Z47">
        <v>0.19428100000000001</v>
      </c>
      <c r="AA47">
        <v>0.19231999999999999</v>
      </c>
      <c r="AB47">
        <v>0.190195</v>
      </c>
      <c r="AC47">
        <v>0.18795100000000001</v>
      </c>
      <c r="AD47">
        <v>0.18579200000000001</v>
      </c>
      <c r="AE47">
        <v>0.18369099999999999</v>
      </c>
      <c r="AF47">
        <v>0.18190400000000001</v>
      </c>
      <c r="AG47" s="9">
        <v>-5.0000000000000001E-3</v>
      </c>
    </row>
    <row r="48" spans="1:33">
      <c r="A48" t="s">
        <v>161</v>
      </c>
      <c r="B48" t="s">
        <v>1915</v>
      </c>
      <c r="C48" t="s">
        <v>1935</v>
      </c>
      <c r="D48" t="s">
        <v>1923</v>
      </c>
      <c r="F48">
        <v>6.005128</v>
      </c>
      <c r="G48">
        <v>6.058611</v>
      </c>
      <c r="H48">
        <v>6.0625530000000003</v>
      </c>
      <c r="I48">
        <v>6.0522770000000001</v>
      </c>
      <c r="J48">
        <v>6.0186789999999997</v>
      </c>
      <c r="K48">
        <v>5.988855</v>
      </c>
      <c r="L48">
        <v>5.9601290000000002</v>
      </c>
      <c r="M48">
        <v>5.9234799999999996</v>
      </c>
      <c r="N48">
        <v>5.8891929999999997</v>
      </c>
      <c r="O48">
        <v>5.8513450000000002</v>
      </c>
      <c r="P48">
        <v>5.82186</v>
      </c>
      <c r="Q48">
        <v>5.7964849999999997</v>
      </c>
      <c r="R48">
        <v>5.7830719999999998</v>
      </c>
      <c r="S48">
        <v>5.7776480000000001</v>
      </c>
      <c r="T48">
        <v>5.7755739999999998</v>
      </c>
      <c r="U48">
        <v>5.7705010000000003</v>
      </c>
      <c r="V48">
        <v>5.7706039999999996</v>
      </c>
      <c r="W48">
        <v>5.7710679999999996</v>
      </c>
      <c r="X48">
        <v>5.774972</v>
      </c>
      <c r="Y48">
        <v>5.7765789999999999</v>
      </c>
      <c r="Z48">
        <v>5.7777500000000002</v>
      </c>
      <c r="AA48">
        <v>5.7845149999999999</v>
      </c>
      <c r="AB48">
        <v>5.7897829999999999</v>
      </c>
      <c r="AC48">
        <v>5.816376</v>
      </c>
      <c r="AD48">
        <v>5.8437739999999998</v>
      </c>
      <c r="AE48">
        <v>5.8675810000000004</v>
      </c>
      <c r="AF48">
        <v>5.8845640000000001</v>
      </c>
      <c r="AG48" s="9">
        <v>-1E-3</v>
      </c>
    </row>
    <row r="49" spans="1:34">
      <c r="A49" t="s">
        <v>170</v>
      </c>
      <c r="B49" t="s">
        <v>1913</v>
      </c>
      <c r="C49" t="s">
        <v>1912</v>
      </c>
      <c r="D49" t="s">
        <v>1934</v>
      </c>
      <c r="E49" t="s">
        <v>1923</v>
      </c>
      <c r="F49">
        <v>4.3892E-2</v>
      </c>
      <c r="G49">
        <v>4.6490999999999998E-2</v>
      </c>
      <c r="H49">
        <v>4.7928999999999999E-2</v>
      </c>
      <c r="I49">
        <v>4.8710999999999997E-2</v>
      </c>
      <c r="J49">
        <v>4.9231999999999998E-2</v>
      </c>
      <c r="K49">
        <v>4.9773999999999999E-2</v>
      </c>
      <c r="L49">
        <v>5.0394000000000001E-2</v>
      </c>
      <c r="M49">
        <v>5.0847000000000003E-2</v>
      </c>
      <c r="N49">
        <v>5.1249999999999997E-2</v>
      </c>
      <c r="O49">
        <v>5.1577999999999999E-2</v>
      </c>
      <c r="P49">
        <v>5.1859000000000002E-2</v>
      </c>
      <c r="Q49">
        <v>5.2283999999999997E-2</v>
      </c>
      <c r="R49">
        <v>5.2821E-2</v>
      </c>
      <c r="S49">
        <v>5.3370000000000001E-2</v>
      </c>
      <c r="T49">
        <v>5.3935999999999998E-2</v>
      </c>
      <c r="U49">
        <v>5.4448999999999997E-2</v>
      </c>
      <c r="V49">
        <v>5.4919999999999997E-2</v>
      </c>
      <c r="W49">
        <v>5.534E-2</v>
      </c>
      <c r="X49">
        <v>5.5737000000000002E-2</v>
      </c>
      <c r="Y49">
        <v>5.6128999999999998E-2</v>
      </c>
      <c r="Z49">
        <v>5.6454999999999998E-2</v>
      </c>
      <c r="AA49">
        <v>5.6805000000000001E-2</v>
      </c>
      <c r="AB49">
        <v>5.7083000000000002E-2</v>
      </c>
      <c r="AC49">
        <v>5.7393E-2</v>
      </c>
      <c r="AD49">
        <v>5.7764999999999997E-2</v>
      </c>
      <c r="AE49">
        <v>5.8137000000000001E-2</v>
      </c>
      <c r="AF49">
        <v>5.8624999999999997E-2</v>
      </c>
      <c r="AG49" s="9">
        <v>1.0999999999999999E-2</v>
      </c>
    </row>
    <row r="50" spans="1:34">
      <c r="A50" t="s">
        <v>170</v>
      </c>
      <c r="B50" t="s">
        <v>1910</v>
      </c>
      <c r="C50" t="s">
        <v>1909</v>
      </c>
      <c r="D50" t="s">
        <v>1933</v>
      </c>
      <c r="E50" t="s">
        <v>1923</v>
      </c>
      <c r="F50">
        <v>0.43423099999999998</v>
      </c>
      <c r="G50">
        <v>0.44375900000000001</v>
      </c>
      <c r="H50">
        <v>0.43258099999999999</v>
      </c>
      <c r="I50">
        <v>0.41775200000000001</v>
      </c>
      <c r="J50">
        <v>0.41742499999999999</v>
      </c>
      <c r="K50">
        <v>0.41593799999999997</v>
      </c>
      <c r="L50">
        <v>0.403474</v>
      </c>
      <c r="M50">
        <v>0.40317799999999998</v>
      </c>
      <c r="N50">
        <v>0.38383200000000001</v>
      </c>
      <c r="O50">
        <v>0.38530700000000001</v>
      </c>
      <c r="P50">
        <v>0.38127499999999998</v>
      </c>
      <c r="Q50">
        <v>0.38103999999999999</v>
      </c>
      <c r="R50">
        <v>0.38219799999999998</v>
      </c>
      <c r="S50">
        <v>0.38373699999999999</v>
      </c>
      <c r="T50">
        <v>0.38856000000000002</v>
      </c>
      <c r="U50">
        <v>0.38572499999999998</v>
      </c>
      <c r="V50">
        <v>0.38717000000000001</v>
      </c>
      <c r="W50">
        <v>0.38733400000000001</v>
      </c>
      <c r="X50">
        <v>0.38897700000000002</v>
      </c>
      <c r="Y50">
        <v>0.39084999999999998</v>
      </c>
      <c r="Z50">
        <v>0.39176299999999997</v>
      </c>
      <c r="AA50">
        <v>0.39273799999999998</v>
      </c>
      <c r="AB50">
        <v>0.39265099999999997</v>
      </c>
      <c r="AC50">
        <v>0.39648099999999997</v>
      </c>
      <c r="AD50">
        <v>0.39958100000000002</v>
      </c>
      <c r="AE50">
        <v>0.40209800000000001</v>
      </c>
      <c r="AF50">
        <v>0.40297500000000003</v>
      </c>
      <c r="AG50" s="9">
        <v>-3.0000000000000001E-3</v>
      </c>
    </row>
    <row r="51" spans="1:34" s="44" customFormat="1">
      <c r="A51" s="44" t="s">
        <v>1904</v>
      </c>
      <c r="B51" s="44" t="s">
        <v>1907</v>
      </c>
      <c r="C51" s="44" t="s">
        <v>1906</v>
      </c>
      <c r="D51" s="44" t="s">
        <v>1932</v>
      </c>
      <c r="E51" s="44" t="s">
        <v>1923</v>
      </c>
      <c r="F51" s="44">
        <v>9.4440999999999997E-2</v>
      </c>
      <c r="G51" s="44">
        <v>9.5329999999999998E-2</v>
      </c>
      <c r="H51" s="44">
        <v>9.4565999999999997E-2</v>
      </c>
      <c r="I51" s="44">
        <v>9.3798000000000006E-2</v>
      </c>
      <c r="J51" s="44">
        <v>9.3107999999999996E-2</v>
      </c>
      <c r="K51" s="44">
        <v>9.2339000000000004E-2</v>
      </c>
      <c r="L51" s="44">
        <v>9.1481000000000007E-2</v>
      </c>
      <c r="M51" s="44">
        <v>9.0542999999999998E-2</v>
      </c>
      <c r="N51" s="44">
        <v>8.9462E-2</v>
      </c>
      <c r="O51" s="44">
        <v>8.8707999999999995E-2</v>
      </c>
      <c r="P51" s="44">
        <v>8.8034000000000001E-2</v>
      </c>
      <c r="Q51" s="44">
        <v>8.7319999999999995E-2</v>
      </c>
      <c r="R51" s="44">
        <v>8.6580000000000004E-2</v>
      </c>
      <c r="S51" s="44">
        <v>8.5944999999999994E-2</v>
      </c>
      <c r="T51" s="44">
        <v>8.5342000000000001E-2</v>
      </c>
      <c r="U51" s="44">
        <v>8.4675E-2</v>
      </c>
      <c r="V51" s="44">
        <v>8.4112000000000006E-2</v>
      </c>
      <c r="W51" s="44">
        <v>8.3540000000000003E-2</v>
      </c>
      <c r="X51" s="44">
        <v>8.2974000000000006E-2</v>
      </c>
      <c r="Y51" s="44">
        <v>8.2354999999999998E-2</v>
      </c>
      <c r="Z51" s="44">
        <v>8.1680000000000003E-2</v>
      </c>
      <c r="AA51" s="44">
        <v>8.1034999999999996E-2</v>
      </c>
      <c r="AB51" s="44">
        <v>8.0381999999999995E-2</v>
      </c>
      <c r="AC51" s="44">
        <v>7.9953999999999997E-2</v>
      </c>
      <c r="AD51" s="44">
        <v>7.9430000000000001E-2</v>
      </c>
      <c r="AE51" s="44">
        <v>7.8866000000000006E-2</v>
      </c>
      <c r="AF51" s="44">
        <v>7.8278E-2</v>
      </c>
      <c r="AG51" s="45">
        <v>-7.0000000000000001E-3</v>
      </c>
      <c r="AH51" s="46">
        <f>AF51/F51</f>
        <v>0.82885611122287994</v>
      </c>
    </row>
    <row r="52" spans="1:34" s="44" customFormat="1">
      <c r="A52" s="44" t="s">
        <v>1904</v>
      </c>
      <c r="B52" s="44" t="s">
        <v>1903</v>
      </c>
      <c r="C52" s="44" t="s">
        <v>1902</v>
      </c>
      <c r="D52" s="44" t="s">
        <v>1931</v>
      </c>
      <c r="E52" s="44" t="s">
        <v>1923</v>
      </c>
      <c r="F52" s="44">
        <v>0.75211899999999998</v>
      </c>
      <c r="G52" s="44">
        <v>0.73338199999999998</v>
      </c>
      <c r="H52" s="44">
        <v>0.74175500000000005</v>
      </c>
      <c r="I52" s="44">
        <v>0.75531999999999999</v>
      </c>
      <c r="J52" s="44">
        <v>0.76629499999999995</v>
      </c>
      <c r="K52" s="44">
        <v>0.778196</v>
      </c>
      <c r="L52" s="44">
        <v>0.78992600000000002</v>
      </c>
      <c r="M52" s="44">
        <v>0.80055600000000005</v>
      </c>
      <c r="N52" s="44">
        <v>0.81212399999999996</v>
      </c>
      <c r="O52" s="44">
        <v>0.82328699999999999</v>
      </c>
      <c r="P52" s="44">
        <v>0.83492999999999995</v>
      </c>
      <c r="Q52" s="44">
        <v>0.84416400000000003</v>
      </c>
      <c r="R52" s="44">
        <v>0.85184199999999999</v>
      </c>
      <c r="S52" s="44">
        <v>0.85928400000000005</v>
      </c>
      <c r="T52" s="44">
        <v>0.86581799999999998</v>
      </c>
      <c r="U52" s="44">
        <v>0.87240700000000004</v>
      </c>
      <c r="V52" s="44">
        <v>0.87826199999999999</v>
      </c>
      <c r="W52" s="44">
        <v>0.88398900000000002</v>
      </c>
      <c r="X52" s="44">
        <v>0.88983500000000004</v>
      </c>
      <c r="Y52" s="44">
        <v>0.89557200000000003</v>
      </c>
      <c r="Z52" s="44">
        <v>0.90109300000000003</v>
      </c>
      <c r="AA52" s="44">
        <v>0.90631600000000001</v>
      </c>
      <c r="AB52" s="44">
        <v>0.91075899999999999</v>
      </c>
      <c r="AC52" s="44">
        <v>0.91678400000000004</v>
      </c>
      <c r="AD52" s="44">
        <v>0.92391900000000005</v>
      </c>
      <c r="AE52" s="44">
        <v>0.93080399999999996</v>
      </c>
      <c r="AF52" s="44">
        <v>0.93727300000000002</v>
      </c>
      <c r="AG52" s="45">
        <v>8.9999999999999993E-3</v>
      </c>
      <c r="AH52" s="46">
        <f>AF52/F52</f>
        <v>1.2461764694150794</v>
      </c>
    </row>
    <row r="53" spans="1:34" s="1" customFormat="1">
      <c r="A53" s="1" t="s">
        <v>169</v>
      </c>
      <c r="B53" s="1" t="s">
        <v>1900</v>
      </c>
      <c r="C53" s="1" t="s">
        <v>1930</v>
      </c>
      <c r="D53" s="1" t="s">
        <v>1923</v>
      </c>
      <c r="F53" s="1">
        <v>0.20760500000000001</v>
      </c>
      <c r="G53" s="1">
        <v>0.20604500000000001</v>
      </c>
      <c r="H53" s="1">
        <v>0.20525199999999999</v>
      </c>
      <c r="I53" s="1">
        <v>0.204434</v>
      </c>
      <c r="J53" s="1">
        <v>0.20314499999999999</v>
      </c>
      <c r="K53" s="1">
        <v>0.20208499999999999</v>
      </c>
      <c r="L53" s="1">
        <v>0.20075299999999999</v>
      </c>
      <c r="M53" s="1">
        <v>0.19906499999999999</v>
      </c>
      <c r="N53" s="1">
        <v>0.19771900000000001</v>
      </c>
      <c r="O53" s="1">
        <v>0.19650300000000001</v>
      </c>
      <c r="P53" s="1">
        <v>0.19525300000000001</v>
      </c>
      <c r="Q53" s="1">
        <v>0.19423499999999999</v>
      </c>
      <c r="R53" s="1">
        <v>0.193269</v>
      </c>
      <c r="S53" s="1">
        <v>0.19245499999999999</v>
      </c>
      <c r="T53" s="1">
        <v>0.19170200000000001</v>
      </c>
      <c r="U53" s="1">
        <v>0.19090599999999999</v>
      </c>
      <c r="V53" s="1">
        <v>0.19012599999999999</v>
      </c>
      <c r="W53" s="1">
        <v>0.18931899999999999</v>
      </c>
      <c r="X53" s="1">
        <v>0.18861600000000001</v>
      </c>
      <c r="Y53" s="1">
        <v>0.187856</v>
      </c>
      <c r="Z53" s="1">
        <v>0.18696299999999999</v>
      </c>
      <c r="AA53" s="1">
        <v>0.18601500000000001</v>
      </c>
      <c r="AB53" s="1">
        <v>0.18501600000000001</v>
      </c>
      <c r="AC53" s="1">
        <v>0.18428600000000001</v>
      </c>
      <c r="AD53" s="1">
        <v>0.183617</v>
      </c>
      <c r="AE53" s="1">
        <v>0.18285100000000001</v>
      </c>
      <c r="AF53" s="1">
        <v>0.18205499999999999</v>
      </c>
      <c r="AG53" s="39">
        <v>-5.0000000000000001E-3</v>
      </c>
    </row>
    <row r="54" spans="1:34" s="37" customFormat="1">
      <c r="A54" s="37" t="s">
        <v>165</v>
      </c>
      <c r="B54" s="37" t="s">
        <v>1898</v>
      </c>
      <c r="C54" s="37" t="s">
        <v>1929</v>
      </c>
      <c r="D54" s="37" t="s">
        <v>1923</v>
      </c>
      <c r="F54" s="37">
        <v>3.2683239999999998</v>
      </c>
      <c r="G54" s="37">
        <v>3.2620330000000002</v>
      </c>
      <c r="H54" s="37">
        <v>3.2887469999999999</v>
      </c>
      <c r="I54" s="37">
        <v>3.3238750000000001</v>
      </c>
      <c r="J54" s="37">
        <v>3.351261</v>
      </c>
      <c r="K54" s="37">
        <v>3.3835480000000002</v>
      </c>
      <c r="L54" s="37">
        <v>3.411572</v>
      </c>
      <c r="M54" s="37">
        <v>3.4309509999999999</v>
      </c>
      <c r="N54" s="37">
        <v>3.4546049999999999</v>
      </c>
      <c r="O54" s="37">
        <v>3.4793050000000001</v>
      </c>
      <c r="P54" s="37">
        <v>3.5032459999999999</v>
      </c>
      <c r="Q54" s="37">
        <v>3.5340240000000001</v>
      </c>
      <c r="R54" s="37">
        <v>3.5675560000000002</v>
      </c>
      <c r="S54" s="37">
        <v>3.6071569999999999</v>
      </c>
      <c r="T54" s="37">
        <v>3.6496209999999998</v>
      </c>
      <c r="U54" s="37">
        <v>3.6931419999999999</v>
      </c>
      <c r="V54" s="37">
        <v>3.735951</v>
      </c>
      <c r="W54" s="37">
        <v>3.776446</v>
      </c>
      <c r="X54" s="37">
        <v>3.821688</v>
      </c>
      <c r="Y54" s="37">
        <v>3.8639779999999999</v>
      </c>
      <c r="Z54" s="37">
        <v>3.9011779999999998</v>
      </c>
      <c r="AA54" s="37">
        <v>3.9369100000000001</v>
      </c>
      <c r="AB54" s="37">
        <v>3.970224</v>
      </c>
      <c r="AC54" s="37">
        <v>4.0111319999999999</v>
      </c>
      <c r="AD54" s="37">
        <v>4.0551300000000001</v>
      </c>
      <c r="AE54" s="37">
        <v>4.0945159999999996</v>
      </c>
      <c r="AF54" s="37">
        <v>4.1335119999999996</v>
      </c>
      <c r="AG54" s="38">
        <v>8.9999999999999993E-3</v>
      </c>
    </row>
    <row r="55" spans="1:34">
      <c r="A55" t="s">
        <v>175</v>
      </c>
      <c r="B55" t="s">
        <v>1896</v>
      </c>
      <c r="C55" t="s">
        <v>1928</v>
      </c>
      <c r="D55" t="s">
        <v>1923</v>
      </c>
      <c r="F55">
        <v>0.44478899999999999</v>
      </c>
      <c r="G55">
        <v>0.44984499999999999</v>
      </c>
      <c r="H55">
        <v>0.45296900000000001</v>
      </c>
      <c r="I55">
        <v>0.45489600000000002</v>
      </c>
      <c r="J55">
        <v>0.455762</v>
      </c>
      <c r="K55">
        <v>0.45559300000000003</v>
      </c>
      <c r="L55">
        <v>0.45537699999999998</v>
      </c>
      <c r="M55">
        <v>0.45584200000000002</v>
      </c>
      <c r="N55">
        <v>0.45621699999999998</v>
      </c>
      <c r="O55">
        <v>0.45661000000000002</v>
      </c>
      <c r="P55">
        <v>0.45693299999999998</v>
      </c>
      <c r="Q55">
        <v>0.45718500000000001</v>
      </c>
      <c r="R55">
        <v>0.45763300000000001</v>
      </c>
      <c r="S55">
        <v>0.45822099999999999</v>
      </c>
      <c r="T55">
        <v>0.458787</v>
      </c>
      <c r="U55">
        <v>0.459339</v>
      </c>
      <c r="V55">
        <v>0.45987499999999998</v>
      </c>
      <c r="W55">
        <v>0.460399</v>
      </c>
      <c r="X55">
        <v>0.46091399999999999</v>
      </c>
      <c r="Y55">
        <v>0.46142300000000003</v>
      </c>
      <c r="Z55">
        <v>0.46192699999999998</v>
      </c>
      <c r="AA55">
        <v>0.46242499999999997</v>
      </c>
      <c r="AB55">
        <v>0.462922</v>
      </c>
      <c r="AC55">
        <v>0.46341900000000003</v>
      </c>
      <c r="AD55">
        <v>0.46391300000000002</v>
      </c>
      <c r="AE55">
        <v>0.46440799999999999</v>
      </c>
      <c r="AF55">
        <v>0.46490399999999998</v>
      </c>
      <c r="AG55" s="9">
        <v>2E-3</v>
      </c>
    </row>
    <row r="56" spans="1:34">
      <c r="A56" t="s">
        <v>173</v>
      </c>
      <c r="B56" t="s">
        <v>1894</v>
      </c>
      <c r="C56" t="s">
        <v>1927</v>
      </c>
      <c r="D56" t="s">
        <v>1923</v>
      </c>
      <c r="F56">
        <v>0.134269</v>
      </c>
      <c r="G56">
        <v>0.13466500000000001</v>
      </c>
      <c r="H56">
        <v>0.13530500000000001</v>
      </c>
      <c r="I56">
        <v>0.135764</v>
      </c>
      <c r="J56">
        <v>0.13597200000000001</v>
      </c>
      <c r="K56">
        <v>0.13608500000000001</v>
      </c>
      <c r="L56">
        <v>0.136129</v>
      </c>
      <c r="M56">
        <v>0.13605500000000001</v>
      </c>
      <c r="N56">
        <v>0.135958</v>
      </c>
      <c r="O56">
        <v>0.13591</v>
      </c>
      <c r="P56">
        <v>0.13589200000000001</v>
      </c>
      <c r="Q56">
        <v>0.13586300000000001</v>
      </c>
      <c r="R56">
        <v>0.135821</v>
      </c>
      <c r="S56">
        <v>0.13577600000000001</v>
      </c>
      <c r="T56">
        <v>0.13575699999999999</v>
      </c>
      <c r="U56">
        <v>0.135764</v>
      </c>
      <c r="V56">
        <v>0.135768</v>
      </c>
      <c r="W56">
        <v>0.135743</v>
      </c>
      <c r="X56">
        <v>0.13569899999999999</v>
      </c>
      <c r="Y56">
        <v>0.135634</v>
      </c>
      <c r="Z56">
        <v>0.13556699999999999</v>
      </c>
      <c r="AA56">
        <v>0.13550100000000001</v>
      </c>
      <c r="AB56">
        <v>0.13541800000000001</v>
      </c>
      <c r="AC56">
        <v>0.135323</v>
      </c>
      <c r="AD56">
        <v>0.13519600000000001</v>
      </c>
      <c r="AE56">
        <v>0.13505600000000001</v>
      </c>
      <c r="AF56">
        <v>0.13491900000000001</v>
      </c>
      <c r="AG56" s="9">
        <v>0</v>
      </c>
    </row>
    <row r="57" spans="1:34">
      <c r="A57" t="s">
        <v>1892</v>
      </c>
      <c r="B57" t="s">
        <v>1891</v>
      </c>
      <c r="C57" t="s">
        <v>1926</v>
      </c>
      <c r="D57" t="s">
        <v>1923</v>
      </c>
      <c r="F57">
        <v>0.92415800000000004</v>
      </c>
      <c r="G57">
        <v>0.87021000000000004</v>
      </c>
      <c r="H57">
        <v>0.86357099999999998</v>
      </c>
      <c r="I57">
        <v>0.83560900000000005</v>
      </c>
      <c r="J57">
        <v>0.79156499999999996</v>
      </c>
      <c r="K57">
        <v>0.75778999999999996</v>
      </c>
      <c r="L57">
        <v>0.71301099999999995</v>
      </c>
      <c r="M57">
        <v>0.70335300000000001</v>
      </c>
      <c r="N57">
        <v>0.71609599999999995</v>
      </c>
      <c r="O57">
        <v>0.70919600000000005</v>
      </c>
      <c r="P57">
        <v>0.70162199999999997</v>
      </c>
      <c r="Q57">
        <v>0.70198499999999997</v>
      </c>
      <c r="R57">
        <v>0.70706999999999998</v>
      </c>
      <c r="S57">
        <v>0.71651200000000004</v>
      </c>
      <c r="T57">
        <v>0.72648199999999996</v>
      </c>
      <c r="U57">
        <v>0.73760999999999999</v>
      </c>
      <c r="V57">
        <v>0.746228</v>
      </c>
      <c r="W57">
        <v>0.752332</v>
      </c>
      <c r="X57">
        <v>0.75695699999999999</v>
      </c>
      <c r="Y57">
        <v>0.76515100000000003</v>
      </c>
      <c r="Z57">
        <v>0.77486100000000002</v>
      </c>
      <c r="AA57">
        <v>0.78181100000000003</v>
      </c>
      <c r="AB57">
        <v>0.79294299999999995</v>
      </c>
      <c r="AC57">
        <v>0.80118500000000004</v>
      </c>
      <c r="AD57">
        <v>0.81029300000000004</v>
      </c>
      <c r="AE57">
        <v>0.81983700000000004</v>
      </c>
      <c r="AF57">
        <v>0.83159899999999998</v>
      </c>
      <c r="AG57" s="9">
        <v>-4.0000000000000001E-3</v>
      </c>
    </row>
    <row r="58" spans="1:34">
      <c r="A58" t="s">
        <v>332</v>
      </c>
      <c r="B58" t="s">
        <v>1889</v>
      </c>
      <c r="C58" t="s">
        <v>1925</v>
      </c>
      <c r="D58" t="s">
        <v>1923</v>
      </c>
      <c r="F58">
        <v>0.36798999999999998</v>
      </c>
      <c r="G58">
        <v>0.42041099999999998</v>
      </c>
      <c r="H58">
        <v>0.44769300000000001</v>
      </c>
      <c r="I58">
        <v>0.44849299999999998</v>
      </c>
      <c r="J58">
        <v>0.53499699999999994</v>
      </c>
      <c r="K58">
        <v>0.59558800000000001</v>
      </c>
      <c r="L58">
        <v>0.65857699999999997</v>
      </c>
      <c r="M58">
        <v>0.70078799999999997</v>
      </c>
      <c r="N58">
        <v>0.76951800000000004</v>
      </c>
      <c r="O58">
        <v>0.83505300000000005</v>
      </c>
      <c r="P58">
        <v>0.87701099999999999</v>
      </c>
      <c r="Q58">
        <v>0.89379399999999998</v>
      </c>
      <c r="R58">
        <v>0.91217599999999999</v>
      </c>
      <c r="S58">
        <v>0.92736099999999999</v>
      </c>
      <c r="T58">
        <v>0.93575200000000003</v>
      </c>
      <c r="U58">
        <v>0.93575200000000003</v>
      </c>
      <c r="V58">
        <v>0.93735100000000005</v>
      </c>
      <c r="W58">
        <v>0.93575200000000003</v>
      </c>
      <c r="X58">
        <v>0.93574199999999996</v>
      </c>
      <c r="Y58">
        <v>0.93075399999999997</v>
      </c>
      <c r="Z58">
        <v>0.93217099999999997</v>
      </c>
      <c r="AA58">
        <v>0.92952699999999999</v>
      </c>
      <c r="AB58">
        <v>0.93468700000000005</v>
      </c>
      <c r="AC58">
        <v>0.93499699999999997</v>
      </c>
      <c r="AD58">
        <v>0.93623199999999995</v>
      </c>
      <c r="AE58">
        <v>0.93412899999999999</v>
      </c>
      <c r="AF58">
        <v>0.93501800000000002</v>
      </c>
      <c r="AG58" s="9">
        <v>3.6999999999999998E-2</v>
      </c>
    </row>
    <row r="59" spans="1:34">
      <c r="A59" t="s">
        <v>138</v>
      </c>
      <c r="B59" t="s">
        <v>1887</v>
      </c>
      <c r="C59" t="s">
        <v>1924</v>
      </c>
      <c r="D59" t="s">
        <v>1923</v>
      </c>
      <c r="F59">
        <v>29.023834000000001</v>
      </c>
      <c r="G59">
        <v>29.108829</v>
      </c>
      <c r="H59">
        <v>29.092590000000001</v>
      </c>
      <c r="I59">
        <v>28.954325000000001</v>
      </c>
      <c r="J59">
        <v>28.829184000000001</v>
      </c>
      <c r="K59">
        <v>28.671766000000002</v>
      </c>
      <c r="L59">
        <v>28.471896999999998</v>
      </c>
      <c r="M59">
        <v>28.308323000000001</v>
      </c>
      <c r="N59">
        <v>28.159511999999999</v>
      </c>
      <c r="O59">
        <v>28.023869999999999</v>
      </c>
      <c r="P59">
        <v>27.891521000000001</v>
      </c>
      <c r="Q59">
        <v>27.749924</v>
      </c>
      <c r="R59">
        <v>27.603794000000001</v>
      </c>
      <c r="S59">
        <v>27.481891999999998</v>
      </c>
      <c r="T59">
        <v>27.396920999999999</v>
      </c>
      <c r="U59">
        <v>27.298918</v>
      </c>
      <c r="V59">
        <v>27.232672000000001</v>
      </c>
      <c r="W59">
        <v>27.171799</v>
      </c>
      <c r="X59">
        <v>27.104918000000001</v>
      </c>
      <c r="Y59">
        <v>27.072628000000002</v>
      </c>
      <c r="Z59">
        <v>27.025742000000001</v>
      </c>
      <c r="AA59">
        <v>26.999421999999999</v>
      </c>
      <c r="AB59">
        <v>26.969100999999998</v>
      </c>
      <c r="AC59">
        <v>26.995097999999999</v>
      </c>
      <c r="AD59">
        <v>26.992891</v>
      </c>
      <c r="AE59">
        <v>27.013369000000001</v>
      </c>
      <c r="AF59">
        <v>27.068242999999999</v>
      </c>
      <c r="AG59" s="9">
        <v>-3.0000000000000001E-3</v>
      </c>
    </row>
    <row r="60" spans="1:34">
      <c r="A60" t="s">
        <v>1922</v>
      </c>
    </row>
    <row r="61" spans="1:34">
      <c r="A61" t="s">
        <v>152</v>
      </c>
      <c r="B61" t="s">
        <v>1921</v>
      </c>
      <c r="C61" t="s">
        <v>1920</v>
      </c>
      <c r="D61" t="s">
        <v>1885</v>
      </c>
      <c r="F61">
        <v>8.2808890000000002</v>
      </c>
      <c r="G61">
        <v>8.3093610000000009</v>
      </c>
      <c r="H61">
        <v>8.2775669999999995</v>
      </c>
      <c r="I61">
        <v>8.2064699999999995</v>
      </c>
      <c r="J61">
        <v>8.1172900000000006</v>
      </c>
      <c r="K61">
        <v>8.0142310000000005</v>
      </c>
      <c r="L61">
        <v>7.9001390000000002</v>
      </c>
      <c r="M61">
        <v>7.8022710000000002</v>
      </c>
      <c r="N61">
        <v>7.6924460000000003</v>
      </c>
      <c r="O61">
        <v>7.5924829999999996</v>
      </c>
      <c r="P61">
        <v>7.5060650000000004</v>
      </c>
      <c r="Q61">
        <v>7.4175789999999999</v>
      </c>
      <c r="R61">
        <v>7.3148879999999998</v>
      </c>
      <c r="S61">
        <v>7.216888</v>
      </c>
      <c r="T61">
        <v>7.1375099999999998</v>
      </c>
      <c r="U61">
        <v>7.060346</v>
      </c>
      <c r="V61">
        <v>6.996391</v>
      </c>
      <c r="W61">
        <v>6.9408979999999998</v>
      </c>
      <c r="X61">
        <v>6.876627</v>
      </c>
      <c r="Y61">
        <v>6.8351490000000004</v>
      </c>
      <c r="Z61">
        <v>6.7852079999999999</v>
      </c>
      <c r="AA61">
        <v>6.7480399999999996</v>
      </c>
      <c r="AB61">
        <v>6.705527</v>
      </c>
      <c r="AC61">
        <v>6.6790250000000002</v>
      </c>
      <c r="AD61">
        <v>6.6338410000000003</v>
      </c>
      <c r="AE61">
        <v>6.6075730000000004</v>
      </c>
      <c r="AF61">
        <v>6.6020709999999996</v>
      </c>
      <c r="AG61" s="9">
        <v>-8.9999999999999993E-3</v>
      </c>
    </row>
    <row r="62" spans="1:34">
      <c r="A62" t="s">
        <v>156</v>
      </c>
      <c r="B62" t="s">
        <v>1919</v>
      </c>
      <c r="C62" t="s">
        <v>1918</v>
      </c>
      <c r="D62" t="s">
        <v>1885</v>
      </c>
      <c r="F62">
        <v>0.45701599999999998</v>
      </c>
      <c r="G62">
        <v>0.44781300000000002</v>
      </c>
      <c r="H62">
        <v>0.44001899999999999</v>
      </c>
      <c r="I62">
        <v>0.43496899999999999</v>
      </c>
      <c r="J62">
        <v>0.42930299999999999</v>
      </c>
      <c r="K62">
        <v>0.42444999999999999</v>
      </c>
      <c r="L62">
        <v>0.42006100000000002</v>
      </c>
      <c r="M62">
        <v>0.415188</v>
      </c>
      <c r="N62">
        <v>0.41015800000000002</v>
      </c>
      <c r="O62">
        <v>0.40529700000000002</v>
      </c>
      <c r="P62">
        <v>0.40024300000000002</v>
      </c>
      <c r="Q62">
        <v>0.39499000000000001</v>
      </c>
      <c r="R62">
        <v>0.389598</v>
      </c>
      <c r="S62">
        <v>0.38410699999999998</v>
      </c>
      <c r="T62">
        <v>0.37855699999999998</v>
      </c>
      <c r="U62">
        <v>0.37307699999999999</v>
      </c>
      <c r="V62">
        <v>0.36791600000000002</v>
      </c>
      <c r="W62">
        <v>0.36227700000000002</v>
      </c>
      <c r="X62">
        <v>0.35687000000000002</v>
      </c>
      <c r="Y62">
        <v>0.35124300000000003</v>
      </c>
      <c r="Z62">
        <v>0.34584900000000002</v>
      </c>
      <c r="AA62">
        <v>0.34045500000000001</v>
      </c>
      <c r="AB62">
        <v>0.33516899999999999</v>
      </c>
      <c r="AC62">
        <v>0.329957</v>
      </c>
      <c r="AD62">
        <v>0.32472099999999998</v>
      </c>
      <c r="AE62">
        <v>0.319494</v>
      </c>
      <c r="AF62">
        <v>0.31426399999999999</v>
      </c>
      <c r="AG62" s="9">
        <v>-1.4E-2</v>
      </c>
    </row>
    <row r="63" spans="1:34">
      <c r="A63" t="s">
        <v>425</v>
      </c>
      <c r="B63" t="s">
        <v>1917</v>
      </c>
      <c r="C63" t="s">
        <v>1916</v>
      </c>
      <c r="D63" t="s">
        <v>1885</v>
      </c>
      <c r="F63">
        <v>0.103228</v>
      </c>
      <c r="G63">
        <v>0.10592600000000001</v>
      </c>
      <c r="H63">
        <v>0.107151</v>
      </c>
      <c r="I63">
        <v>0.107583</v>
      </c>
      <c r="J63">
        <v>0.10771799999999999</v>
      </c>
      <c r="K63">
        <v>0.10764799999999999</v>
      </c>
      <c r="L63">
        <v>0.107517</v>
      </c>
      <c r="M63">
        <v>0.10698199999999999</v>
      </c>
      <c r="N63">
        <v>0.106228</v>
      </c>
      <c r="O63">
        <v>0.105447</v>
      </c>
      <c r="P63">
        <v>0.104835</v>
      </c>
      <c r="Q63">
        <v>0.104076</v>
      </c>
      <c r="R63">
        <v>0.103287</v>
      </c>
      <c r="S63">
        <v>0.102533</v>
      </c>
      <c r="T63">
        <v>0.101759</v>
      </c>
      <c r="U63">
        <v>0.10094400000000001</v>
      </c>
      <c r="V63">
        <v>0.10005500000000001</v>
      </c>
      <c r="W63">
        <v>9.9111000000000005E-2</v>
      </c>
      <c r="X63">
        <v>9.8109000000000002E-2</v>
      </c>
      <c r="Y63">
        <v>9.7108E-2</v>
      </c>
      <c r="Z63">
        <v>9.6051999999999998E-2</v>
      </c>
      <c r="AA63">
        <v>9.5036999999999996E-2</v>
      </c>
      <c r="AB63">
        <v>9.3949000000000005E-2</v>
      </c>
      <c r="AC63">
        <v>9.2840000000000006E-2</v>
      </c>
      <c r="AD63">
        <v>9.1764999999999999E-2</v>
      </c>
      <c r="AE63">
        <v>9.0727000000000002E-2</v>
      </c>
      <c r="AF63">
        <v>8.9831999999999995E-2</v>
      </c>
      <c r="AG63" s="9">
        <v>-5.0000000000000001E-3</v>
      </c>
    </row>
    <row r="64" spans="1:34">
      <c r="A64" t="s">
        <v>161</v>
      </c>
      <c r="B64" t="s">
        <v>1915</v>
      </c>
      <c r="C64" t="s">
        <v>1914</v>
      </c>
      <c r="D64" t="s">
        <v>1885</v>
      </c>
      <c r="F64">
        <v>2.8939409999999999</v>
      </c>
      <c r="G64">
        <v>2.9200170000000001</v>
      </c>
      <c r="H64">
        <v>2.9221780000000002</v>
      </c>
      <c r="I64">
        <v>2.9175800000000001</v>
      </c>
      <c r="J64">
        <v>2.9023850000000002</v>
      </c>
      <c r="K64">
        <v>2.8892139999999999</v>
      </c>
      <c r="L64">
        <v>2.8769239999999998</v>
      </c>
      <c r="M64">
        <v>2.8609070000000001</v>
      </c>
      <c r="N64">
        <v>2.8461609999999999</v>
      </c>
      <c r="O64">
        <v>2.8299210000000001</v>
      </c>
      <c r="P64">
        <v>2.817726</v>
      </c>
      <c r="Q64">
        <v>2.8072620000000001</v>
      </c>
      <c r="R64">
        <v>2.8023570000000002</v>
      </c>
      <c r="S64">
        <v>2.8011180000000002</v>
      </c>
      <c r="T64">
        <v>2.8012329999999999</v>
      </c>
      <c r="U64">
        <v>2.7997049999999999</v>
      </c>
      <c r="V64">
        <v>2.800392</v>
      </c>
      <c r="W64">
        <v>2.8007070000000001</v>
      </c>
      <c r="X64">
        <v>2.80227</v>
      </c>
      <c r="Y64">
        <v>2.802311</v>
      </c>
      <c r="Z64">
        <v>2.8020360000000002</v>
      </c>
      <c r="AA64">
        <v>2.8042590000000001</v>
      </c>
      <c r="AB64">
        <v>2.805666</v>
      </c>
      <c r="AC64">
        <v>2.8171620000000002</v>
      </c>
      <c r="AD64">
        <v>2.8287710000000001</v>
      </c>
      <c r="AE64">
        <v>2.8385180000000001</v>
      </c>
      <c r="AF64">
        <v>2.8448889999999998</v>
      </c>
      <c r="AG64" s="9">
        <v>-1E-3</v>
      </c>
    </row>
    <row r="65" spans="1:33">
      <c r="A65" t="s">
        <v>170</v>
      </c>
      <c r="B65" t="s">
        <v>1913</v>
      </c>
      <c r="C65" t="s">
        <v>1912</v>
      </c>
      <c r="D65" t="s">
        <v>1911</v>
      </c>
      <c r="E65" t="s">
        <v>1885</v>
      </c>
      <c r="F65">
        <v>2.0774999999999998E-2</v>
      </c>
      <c r="G65">
        <v>2.2003999999999999E-2</v>
      </c>
      <c r="H65">
        <v>2.2683999999999999E-2</v>
      </c>
      <c r="I65">
        <v>2.3053000000000001E-2</v>
      </c>
      <c r="J65">
        <v>2.3300000000000001E-2</v>
      </c>
      <c r="K65">
        <v>2.3556000000000001E-2</v>
      </c>
      <c r="L65">
        <v>2.3848999999999999E-2</v>
      </c>
      <c r="M65">
        <v>2.4063999999999999E-2</v>
      </c>
      <c r="N65">
        <v>2.4254000000000001E-2</v>
      </c>
      <c r="O65">
        <v>2.4410000000000001E-2</v>
      </c>
      <c r="P65">
        <v>2.4542999999999999E-2</v>
      </c>
      <c r="Q65">
        <v>2.4743000000000001E-2</v>
      </c>
      <c r="R65">
        <v>2.4997999999999999E-2</v>
      </c>
      <c r="S65">
        <v>2.5257999999999999E-2</v>
      </c>
      <c r="T65">
        <v>2.5526E-2</v>
      </c>
      <c r="U65">
        <v>2.5769E-2</v>
      </c>
      <c r="V65">
        <v>2.5992000000000001E-2</v>
      </c>
      <c r="W65">
        <v>2.6190999999999999E-2</v>
      </c>
      <c r="X65">
        <v>2.6377999999999999E-2</v>
      </c>
      <c r="Y65">
        <v>2.6564000000000001E-2</v>
      </c>
      <c r="Z65">
        <v>2.6717999999999999E-2</v>
      </c>
      <c r="AA65">
        <v>2.6884000000000002E-2</v>
      </c>
      <c r="AB65">
        <v>2.7015999999999998E-2</v>
      </c>
      <c r="AC65">
        <v>2.7163E-2</v>
      </c>
      <c r="AD65">
        <v>2.7338999999999999E-2</v>
      </c>
      <c r="AE65">
        <v>2.7515000000000001E-2</v>
      </c>
      <c r="AF65">
        <v>2.7746E-2</v>
      </c>
      <c r="AG65" s="9">
        <v>1.0999999999999999E-2</v>
      </c>
    </row>
    <row r="66" spans="1:33">
      <c r="A66" t="s">
        <v>170</v>
      </c>
      <c r="B66" t="s">
        <v>1910</v>
      </c>
      <c r="C66" t="s">
        <v>1909</v>
      </c>
      <c r="D66" t="s">
        <v>1908</v>
      </c>
      <c r="E66" t="s">
        <v>1885</v>
      </c>
      <c r="F66">
        <v>0.205982</v>
      </c>
      <c r="G66">
        <v>0.21049599999999999</v>
      </c>
      <c r="H66">
        <v>0.205175</v>
      </c>
      <c r="I66">
        <v>0.19812299999999999</v>
      </c>
      <c r="J66">
        <v>0.19797799999999999</v>
      </c>
      <c r="K66">
        <v>0.197273</v>
      </c>
      <c r="L66">
        <v>0.19136500000000001</v>
      </c>
      <c r="M66">
        <v>0.191222</v>
      </c>
      <c r="N66">
        <v>0.18204500000000001</v>
      </c>
      <c r="O66">
        <v>0.18274399999999999</v>
      </c>
      <c r="P66">
        <v>0.180835</v>
      </c>
      <c r="Q66">
        <v>0.18072099999999999</v>
      </c>
      <c r="R66">
        <v>0.18127199999999999</v>
      </c>
      <c r="S66">
        <v>0.182005</v>
      </c>
      <c r="T66">
        <v>0.18429200000000001</v>
      </c>
      <c r="U66">
        <v>0.182949</v>
      </c>
      <c r="V66">
        <v>0.18363699999999999</v>
      </c>
      <c r="W66">
        <v>0.18371299999999999</v>
      </c>
      <c r="X66">
        <v>0.18449199999999999</v>
      </c>
      <c r="Y66">
        <v>0.18537999999999999</v>
      </c>
      <c r="Z66">
        <v>0.18581500000000001</v>
      </c>
      <c r="AA66">
        <v>0.186277</v>
      </c>
      <c r="AB66">
        <v>0.18623899999999999</v>
      </c>
      <c r="AC66">
        <v>0.188059</v>
      </c>
      <c r="AD66">
        <v>0.189528</v>
      </c>
      <c r="AE66">
        <v>0.19072</v>
      </c>
      <c r="AF66">
        <v>0.191137</v>
      </c>
      <c r="AG66" s="9">
        <v>-3.0000000000000001E-3</v>
      </c>
    </row>
    <row r="67" spans="1:33">
      <c r="A67" t="s">
        <v>1904</v>
      </c>
      <c r="B67" t="s">
        <v>1907</v>
      </c>
      <c r="C67" t="s">
        <v>1906</v>
      </c>
      <c r="D67" t="s">
        <v>1905</v>
      </c>
      <c r="E67" t="s">
        <v>1885</v>
      </c>
      <c r="F67">
        <v>4.4743999999999999E-2</v>
      </c>
      <c r="G67">
        <v>4.5169000000000001E-2</v>
      </c>
      <c r="H67">
        <v>4.4804999999999998E-2</v>
      </c>
      <c r="I67">
        <v>4.4438999999999999E-2</v>
      </c>
      <c r="J67">
        <v>4.4117000000000003E-2</v>
      </c>
      <c r="K67">
        <v>4.3755000000000002E-2</v>
      </c>
      <c r="L67">
        <v>4.3351000000000001E-2</v>
      </c>
      <c r="M67">
        <v>4.2908000000000002E-2</v>
      </c>
      <c r="N67">
        <v>4.2397999999999998E-2</v>
      </c>
      <c r="O67">
        <v>4.2042000000000003E-2</v>
      </c>
      <c r="P67">
        <v>4.1724999999999998E-2</v>
      </c>
      <c r="Q67">
        <v>4.1388000000000001E-2</v>
      </c>
      <c r="R67">
        <v>4.104E-2</v>
      </c>
      <c r="S67">
        <v>4.0740999999999999E-2</v>
      </c>
      <c r="T67">
        <v>4.0457E-2</v>
      </c>
      <c r="U67">
        <v>4.0143999999999999E-2</v>
      </c>
      <c r="V67">
        <v>3.9878999999999998E-2</v>
      </c>
      <c r="W67">
        <v>3.9607999999999997E-2</v>
      </c>
      <c r="X67">
        <v>3.9338999999999999E-2</v>
      </c>
      <c r="Y67">
        <v>3.9045999999999997E-2</v>
      </c>
      <c r="Z67">
        <v>3.8725999999999997E-2</v>
      </c>
      <c r="AA67">
        <v>3.8419000000000002E-2</v>
      </c>
      <c r="AB67">
        <v>3.8109999999999998E-2</v>
      </c>
      <c r="AC67">
        <v>3.7907999999999997E-2</v>
      </c>
      <c r="AD67">
        <v>3.7658999999999998E-2</v>
      </c>
      <c r="AE67">
        <v>3.7391000000000001E-2</v>
      </c>
      <c r="AF67">
        <v>3.7111999999999999E-2</v>
      </c>
      <c r="AG67" s="9">
        <v>-7.0000000000000001E-3</v>
      </c>
    </row>
    <row r="68" spans="1:33">
      <c r="A68" t="s">
        <v>1904</v>
      </c>
      <c r="B68" t="s">
        <v>1903</v>
      </c>
      <c r="C68" t="s">
        <v>1902</v>
      </c>
      <c r="D68" t="s">
        <v>1901</v>
      </c>
      <c r="E68" t="s">
        <v>1885</v>
      </c>
      <c r="F68">
        <v>0.33552599999999999</v>
      </c>
      <c r="G68">
        <v>0.32803199999999999</v>
      </c>
      <c r="H68">
        <v>0.33212399999999997</v>
      </c>
      <c r="I68">
        <v>0.338171</v>
      </c>
      <c r="J68">
        <v>0.34316999999999998</v>
      </c>
      <c r="K68">
        <v>0.348464</v>
      </c>
      <c r="L68">
        <v>0.35370600000000002</v>
      </c>
      <c r="M68">
        <v>0.35850500000000002</v>
      </c>
      <c r="N68">
        <v>0.36379800000000001</v>
      </c>
      <c r="O68">
        <v>0.36891600000000002</v>
      </c>
      <c r="P68">
        <v>0.37424099999999999</v>
      </c>
      <c r="Q68">
        <v>0.37837799999999999</v>
      </c>
      <c r="R68">
        <v>0.381832</v>
      </c>
      <c r="S68">
        <v>0.38513900000000001</v>
      </c>
      <c r="T68">
        <v>0.38807799999999998</v>
      </c>
      <c r="U68">
        <v>0.39102700000000001</v>
      </c>
      <c r="V68">
        <v>0.39366099999999998</v>
      </c>
      <c r="W68">
        <v>0.39625199999999999</v>
      </c>
      <c r="X68">
        <v>0.398897</v>
      </c>
      <c r="Y68">
        <v>0.40148099999999998</v>
      </c>
      <c r="Z68">
        <v>0.40397100000000002</v>
      </c>
      <c r="AA68">
        <v>0.40631</v>
      </c>
      <c r="AB68">
        <v>0.40826099999999999</v>
      </c>
      <c r="AC68">
        <v>0.41094900000000001</v>
      </c>
      <c r="AD68">
        <v>0.41413299999999997</v>
      </c>
      <c r="AE68">
        <v>0.41722100000000001</v>
      </c>
      <c r="AF68">
        <v>0.42011900000000002</v>
      </c>
      <c r="AG68" s="9">
        <v>8.9999999999999993E-3</v>
      </c>
    </row>
    <row r="69" spans="1:33">
      <c r="A69" t="s">
        <v>169</v>
      </c>
      <c r="B69" t="s">
        <v>1900</v>
      </c>
      <c r="C69" t="s">
        <v>1899</v>
      </c>
      <c r="D69" t="s">
        <v>1885</v>
      </c>
      <c r="F69">
        <v>0.11264399999999999</v>
      </c>
      <c r="G69">
        <v>0.11182300000000001</v>
      </c>
      <c r="H69">
        <v>0.111419</v>
      </c>
      <c r="I69">
        <v>0.111002</v>
      </c>
      <c r="J69">
        <v>0.110329</v>
      </c>
      <c r="K69">
        <v>0.109779</v>
      </c>
      <c r="L69">
        <v>0.109081</v>
      </c>
      <c r="M69">
        <v>0.10818999999999999</v>
      </c>
      <c r="N69">
        <v>0.107484</v>
      </c>
      <c r="O69">
        <v>0.106848</v>
      </c>
      <c r="P69">
        <v>0.106194</v>
      </c>
      <c r="Q69">
        <v>0.105666</v>
      </c>
      <c r="R69">
        <v>0.105161</v>
      </c>
      <c r="S69">
        <v>0.104739</v>
      </c>
      <c r="T69">
        <v>0.10435</v>
      </c>
      <c r="U69">
        <v>0.103936</v>
      </c>
      <c r="V69">
        <v>0.103532</v>
      </c>
      <c r="W69">
        <v>0.10310999999999999</v>
      </c>
      <c r="X69">
        <v>0.102745</v>
      </c>
      <c r="Y69">
        <v>0.102349</v>
      </c>
      <c r="Z69">
        <v>0.10188</v>
      </c>
      <c r="AA69">
        <v>0.101381</v>
      </c>
      <c r="AB69">
        <v>0.100854</v>
      </c>
      <c r="AC69">
        <v>0.10047399999999999</v>
      </c>
      <c r="AD69">
        <v>0.10012699999999999</v>
      </c>
      <c r="AE69">
        <v>9.9725999999999995E-2</v>
      </c>
      <c r="AF69">
        <v>9.9308999999999995E-2</v>
      </c>
      <c r="AG69" s="9">
        <v>-5.0000000000000001E-3</v>
      </c>
    </row>
    <row r="70" spans="1:33">
      <c r="A70" t="s">
        <v>165</v>
      </c>
      <c r="B70" t="s">
        <v>1898</v>
      </c>
      <c r="C70" t="s">
        <v>1897</v>
      </c>
      <c r="D70" t="s">
        <v>1885</v>
      </c>
      <c r="F70">
        <v>1.5805739999999999</v>
      </c>
      <c r="G70">
        <v>1.577537</v>
      </c>
      <c r="H70">
        <v>1.5904469999999999</v>
      </c>
      <c r="I70">
        <v>1.607424</v>
      </c>
      <c r="J70">
        <v>1.6206590000000001</v>
      </c>
      <c r="K70">
        <v>1.636263</v>
      </c>
      <c r="L70">
        <v>1.649807</v>
      </c>
      <c r="M70">
        <v>1.659173</v>
      </c>
      <c r="N70">
        <v>1.6706049999999999</v>
      </c>
      <c r="O70">
        <v>1.6825429999999999</v>
      </c>
      <c r="P70">
        <v>1.6941139999999999</v>
      </c>
      <c r="Q70">
        <v>1.7089890000000001</v>
      </c>
      <c r="R70">
        <v>1.7251939999999999</v>
      </c>
      <c r="S70">
        <v>1.7443310000000001</v>
      </c>
      <c r="T70">
        <v>1.7648520000000001</v>
      </c>
      <c r="U70">
        <v>1.785884</v>
      </c>
      <c r="V70">
        <v>1.8065709999999999</v>
      </c>
      <c r="W70">
        <v>1.8261400000000001</v>
      </c>
      <c r="X70">
        <v>1.8480030000000001</v>
      </c>
      <c r="Y70">
        <v>1.8684400000000001</v>
      </c>
      <c r="Z70">
        <v>1.886417</v>
      </c>
      <c r="AA70">
        <v>1.9036839999999999</v>
      </c>
      <c r="AB70">
        <v>1.9197839999999999</v>
      </c>
      <c r="AC70">
        <v>1.9395519999999999</v>
      </c>
      <c r="AD70">
        <v>1.960815</v>
      </c>
      <c r="AE70">
        <v>1.9798480000000001</v>
      </c>
      <c r="AF70">
        <v>1.9986919999999999</v>
      </c>
      <c r="AG70" s="9">
        <v>8.9999999999999993E-3</v>
      </c>
    </row>
    <row r="71" spans="1:33">
      <c r="A71" t="s">
        <v>175</v>
      </c>
      <c r="B71" t="s">
        <v>1896</v>
      </c>
      <c r="C71" t="s">
        <v>1895</v>
      </c>
      <c r="D71" t="s">
        <v>1885</v>
      </c>
      <c r="F71">
        <v>0.21395900000000001</v>
      </c>
      <c r="G71">
        <v>0.216389</v>
      </c>
      <c r="H71">
        <v>0.217888</v>
      </c>
      <c r="I71">
        <v>0.218809</v>
      </c>
      <c r="J71">
        <v>0.21922900000000001</v>
      </c>
      <c r="K71">
        <v>0.21914800000000001</v>
      </c>
      <c r="L71">
        <v>0.21904499999999999</v>
      </c>
      <c r="M71">
        <v>0.21926699999999999</v>
      </c>
      <c r="N71">
        <v>0.219448</v>
      </c>
      <c r="O71">
        <v>0.219636</v>
      </c>
      <c r="P71">
        <v>0.21979199999999999</v>
      </c>
      <c r="Q71">
        <v>0.219913</v>
      </c>
      <c r="R71">
        <v>0.22012899999999999</v>
      </c>
      <c r="S71">
        <v>0.220413</v>
      </c>
      <c r="T71">
        <v>0.22068499999999999</v>
      </c>
      <c r="U71">
        <v>0.22095100000000001</v>
      </c>
      <c r="V71">
        <v>0.22120999999999999</v>
      </c>
      <c r="W71">
        <v>0.22146099999999999</v>
      </c>
      <c r="X71">
        <v>0.22170899999999999</v>
      </c>
      <c r="Y71">
        <v>0.22195400000000001</v>
      </c>
      <c r="Z71">
        <v>0.22219700000000001</v>
      </c>
      <c r="AA71">
        <v>0.22243599999999999</v>
      </c>
      <c r="AB71">
        <v>0.22267600000000001</v>
      </c>
      <c r="AC71">
        <v>0.222916</v>
      </c>
      <c r="AD71">
        <v>0.22315299999999999</v>
      </c>
      <c r="AE71">
        <v>0.22339100000000001</v>
      </c>
      <c r="AF71">
        <v>0.22363</v>
      </c>
      <c r="AG71" s="9">
        <v>2E-3</v>
      </c>
    </row>
    <row r="72" spans="1:33">
      <c r="A72" t="s">
        <v>173</v>
      </c>
      <c r="B72" t="s">
        <v>1894</v>
      </c>
      <c r="C72" t="s">
        <v>1893</v>
      </c>
      <c r="D72" t="s">
        <v>1885</v>
      </c>
      <c r="F72">
        <v>6.3423999999999994E-2</v>
      </c>
      <c r="G72">
        <v>6.3611000000000001E-2</v>
      </c>
      <c r="H72">
        <v>6.3912999999999998E-2</v>
      </c>
      <c r="I72">
        <v>6.4130999999999994E-2</v>
      </c>
      <c r="J72">
        <v>6.4227999999999993E-2</v>
      </c>
      <c r="K72">
        <v>6.4282000000000006E-2</v>
      </c>
      <c r="L72">
        <v>6.4302999999999999E-2</v>
      </c>
      <c r="M72">
        <v>6.4268000000000006E-2</v>
      </c>
      <c r="N72">
        <v>6.4222000000000001E-2</v>
      </c>
      <c r="O72">
        <v>6.4199000000000006E-2</v>
      </c>
      <c r="P72">
        <v>6.4190999999999998E-2</v>
      </c>
      <c r="Q72">
        <v>6.4176999999999998E-2</v>
      </c>
      <c r="R72">
        <v>6.4157000000000006E-2</v>
      </c>
      <c r="S72">
        <v>6.4135999999999999E-2</v>
      </c>
      <c r="T72">
        <v>6.4127000000000003E-2</v>
      </c>
      <c r="U72">
        <v>6.4130000000000006E-2</v>
      </c>
      <c r="V72">
        <v>6.4131999999999995E-2</v>
      </c>
      <c r="W72">
        <v>6.4120999999999997E-2</v>
      </c>
      <c r="X72">
        <v>6.4100000000000004E-2</v>
      </c>
      <c r="Y72">
        <v>6.4069000000000001E-2</v>
      </c>
      <c r="Z72">
        <v>6.4036999999999997E-2</v>
      </c>
      <c r="AA72">
        <v>6.4005999999999993E-2</v>
      </c>
      <c r="AB72">
        <v>6.3966999999999996E-2</v>
      </c>
      <c r="AC72">
        <v>6.3922000000000007E-2</v>
      </c>
      <c r="AD72">
        <v>6.3862000000000002E-2</v>
      </c>
      <c r="AE72">
        <v>6.3796000000000005E-2</v>
      </c>
      <c r="AF72">
        <v>6.3730999999999996E-2</v>
      </c>
      <c r="AG72" s="9">
        <v>0</v>
      </c>
    </row>
    <row r="73" spans="1:33">
      <c r="A73" t="s">
        <v>1892</v>
      </c>
      <c r="B73" t="s">
        <v>1891</v>
      </c>
      <c r="C73" t="s">
        <v>1890</v>
      </c>
      <c r="D73" t="s">
        <v>1885</v>
      </c>
      <c r="F73">
        <v>0.43654100000000001</v>
      </c>
      <c r="G73">
        <v>0.41105799999999998</v>
      </c>
      <c r="H73">
        <v>0.40792200000000001</v>
      </c>
      <c r="I73">
        <v>0.39471400000000001</v>
      </c>
      <c r="J73">
        <v>0.37390899999999999</v>
      </c>
      <c r="K73">
        <v>0.35795500000000002</v>
      </c>
      <c r="L73">
        <v>0.33680300000000002</v>
      </c>
      <c r="M73">
        <v>0.33223999999999998</v>
      </c>
      <c r="N73">
        <v>0.33826000000000001</v>
      </c>
      <c r="O73">
        <v>0.33500099999999999</v>
      </c>
      <c r="P73">
        <v>0.33142300000000002</v>
      </c>
      <c r="Q73">
        <v>0.331594</v>
      </c>
      <c r="R73">
        <v>0.33399600000000002</v>
      </c>
      <c r="S73">
        <v>0.33845599999999998</v>
      </c>
      <c r="T73">
        <v>0.34316600000000003</v>
      </c>
      <c r="U73">
        <v>0.34842200000000001</v>
      </c>
      <c r="V73">
        <v>0.352493</v>
      </c>
      <c r="W73">
        <v>0.35537600000000003</v>
      </c>
      <c r="X73">
        <v>0.35756100000000002</v>
      </c>
      <c r="Y73">
        <v>0.36143199999999998</v>
      </c>
      <c r="Z73">
        <v>0.36601800000000001</v>
      </c>
      <c r="AA73">
        <v>0.36930099999999999</v>
      </c>
      <c r="AB73">
        <v>0.37456</v>
      </c>
      <c r="AC73">
        <v>0.37845299999999998</v>
      </c>
      <c r="AD73">
        <v>0.38275500000000001</v>
      </c>
      <c r="AE73">
        <v>0.38726300000000002</v>
      </c>
      <c r="AF73">
        <v>0.39282</v>
      </c>
      <c r="AG73" s="9">
        <v>-4.0000000000000001E-3</v>
      </c>
    </row>
    <row r="74" spans="1:33">
      <c r="A74" t="s">
        <v>332</v>
      </c>
      <c r="B74" t="s">
        <v>1889</v>
      </c>
      <c r="C74" t="s">
        <v>1888</v>
      </c>
      <c r="D74" t="s">
        <v>1885</v>
      </c>
      <c r="F74">
        <v>0.17382600000000001</v>
      </c>
      <c r="G74">
        <v>0.19858799999999999</v>
      </c>
      <c r="H74">
        <v>0.211475</v>
      </c>
      <c r="I74">
        <v>0.21185300000000001</v>
      </c>
      <c r="J74">
        <v>0.25271500000000002</v>
      </c>
      <c r="K74">
        <v>0.28133599999999997</v>
      </c>
      <c r="L74">
        <v>0.31108999999999998</v>
      </c>
      <c r="M74">
        <v>0.33102900000000002</v>
      </c>
      <c r="N74">
        <v>0.36349500000000001</v>
      </c>
      <c r="O74">
        <v>0.394451</v>
      </c>
      <c r="P74">
        <v>0.414271</v>
      </c>
      <c r="Q74">
        <v>0.42219899999999999</v>
      </c>
      <c r="R74">
        <v>0.43088100000000001</v>
      </c>
      <c r="S74">
        <v>0.438054</v>
      </c>
      <c r="T74">
        <v>0.44201800000000002</v>
      </c>
      <c r="U74">
        <v>0.44201800000000002</v>
      </c>
      <c r="V74">
        <v>0.44277300000000003</v>
      </c>
      <c r="W74">
        <v>0.44201800000000002</v>
      </c>
      <c r="X74">
        <v>0.44201299999999999</v>
      </c>
      <c r="Y74">
        <v>0.43965700000000002</v>
      </c>
      <c r="Z74">
        <v>0.440326</v>
      </c>
      <c r="AA74">
        <v>0.43907800000000002</v>
      </c>
      <c r="AB74">
        <v>0.44151499999999999</v>
      </c>
      <c r="AC74">
        <v>0.44166100000000003</v>
      </c>
      <c r="AD74">
        <v>0.442245</v>
      </c>
      <c r="AE74">
        <v>0.441251</v>
      </c>
      <c r="AF74">
        <v>0.44167099999999998</v>
      </c>
      <c r="AG74" s="9">
        <v>3.6999999999999998E-2</v>
      </c>
    </row>
    <row r="75" spans="1:33">
      <c r="A75" t="s">
        <v>138</v>
      </c>
      <c r="B75" t="s">
        <v>1887</v>
      </c>
      <c r="C75" t="s">
        <v>1886</v>
      </c>
      <c r="D75" t="s">
        <v>1885</v>
      </c>
      <c r="F75">
        <v>14.923069</v>
      </c>
      <c r="G75">
        <v>14.967827</v>
      </c>
      <c r="H75">
        <v>14.954769000000001</v>
      </c>
      <c r="I75">
        <v>14.878322000000001</v>
      </c>
      <c r="J75">
        <v>14.806329</v>
      </c>
      <c r="K75">
        <v>14.717354</v>
      </c>
      <c r="L75">
        <v>14.60704</v>
      </c>
      <c r="M75">
        <v>14.516214</v>
      </c>
      <c r="N75">
        <v>14.431001</v>
      </c>
      <c r="O75">
        <v>14.353937999999999</v>
      </c>
      <c r="P75">
        <v>14.280196999999999</v>
      </c>
      <c r="Q75">
        <v>14.201674000000001</v>
      </c>
      <c r="R75">
        <v>14.118790000000001</v>
      </c>
      <c r="S75">
        <v>14.047919</v>
      </c>
      <c r="T75">
        <v>13.996613</v>
      </c>
      <c r="U75">
        <v>13.939302</v>
      </c>
      <c r="V75">
        <v>13.898635000000001</v>
      </c>
      <c r="W75">
        <v>13.860984999999999</v>
      </c>
      <c r="X75">
        <v>13.819115</v>
      </c>
      <c r="Y75">
        <v>13.79618</v>
      </c>
      <c r="Z75">
        <v>13.765250999999999</v>
      </c>
      <c r="AA75">
        <v>13.745568</v>
      </c>
      <c r="AB75">
        <v>13.723292000000001</v>
      </c>
      <c r="AC75">
        <v>13.730040000000001</v>
      </c>
      <c r="AD75">
        <v>13.720713</v>
      </c>
      <c r="AE75">
        <v>13.724432999999999</v>
      </c>
      <c r="AF75">
        <v>13.747025000000001</v>
      </c>
      <c r="AG75" s="9">
        <v>-3.0000000000000001E-3</v>
      </c>
    </row>
    <row r="76" spans="1:33">
      <c r="A76" t="s">
        <v>1884</v>
      </c>
    </row>
    <row r="77" spans="1:33">
      <c r="A77" t="s">
        <v>152</v>
      </c>
    </row>
    <row r="78" spans="1:33">
      <c r="A78" t="s">
        <v>1883</v>
      </c>
      <c r="B78" t="s">
        <v>1882</v>
      </c>
      <c r="C78" t="s">
        <v>1878</v>
      </c>
      <c r="D78" t="s">
        <v>1877</v>
      </c>
      <c r="F78">
        <v>196.04522700000001</v>
      </c>
      <c r="G78">
        <v>171.409897</v>
      </c>
      <c r="H78">
        <v>162.355515</v>
      </c>
      <c r="I78">
        <v>154.321045</v>
      </c>
      <c r="J78">
        <v>148.64556899999999</v>
      </c>
      <c r="K78">
        <v>144.482483</v>
      </c>
      <c r="L78">
        <v>141.272278</v>
      </c>
      <c r="M78">
        <v>138.77520799999999</v>
      </c>
      <c r="N78">
        <v>136.615768</v>
      </c>
      <c r="O78">
        <v>134.627396</v>
      </c>
      <c r="P78">
        <v>133.028458</v>
      </c>
      <c r="Q78">
        <v>131.523697</v>
      </c>
      <c r="R78">
        <v>130.10266100000001</v>
      </c>
      <c r="S78">
        <v>128.795334</v>
      </c>
      <c r="T78">
        <v>127.58626599999999</v>
      </c>
      <c r="U78">
        <v>126.458855</v>
      </c>
      <c r="V78">
        <v>125.39215900000001</v>
      </c>
      <c r="W78">
        <v>124.39598100000001</v>
      </c>
      <c r="X78">
        <v>123.470978</v>
      </c>
      <c r="Y78">
        <v>122.61042</v>
      </c>
      <c r="Z78">
        <v>121.805725</v>
      </c>
      <c r="AA78">
        <v>121.053917</v>
      </c>
      <c r="AB78">
        <v>120.34687</v>
      </c>
      <c r="AC78">
        <v>119.68440200000001</v>
      </c>
      <c r="AD78">
        <v>119.062546</v>
      </c>
      <c r="AE78">
        <v>118.478157</v>
      </c>
      <c r="AF78">
        <v>117.926872</v>
      </c>
      <c r="AG78" s="9">
        <v>-1.9E-2</v>
      </c>
    </row>
    <row r="79" spans="1:33">
      <c r="A79" t="s">
        <v>1881</v>
      </c>
      <c r="B79" t="s">
        <v>1880</v>
      </c>
      <c r="C79" t="s">
        <v>1878</v>
      </c>
      <c r="D79" t="s">
        <v>1877</v>
      </c>
      <c r="F79">
        <v>570.03552200000001</v>
      </c>
      <c r="G79">
        <v>489.47833300000002</v>
      </c>
      <c r="H79">
        <v>459.87057499999997</v>
      </c>
      <c r="I79">
        <v>433.59802200000001</v>
      </c>
      <c r="J79">
        <v>415.03927599999997</v>
      </c>
      <c r="K79">
        <v>401.425995</v>
      </c>
      <c r="L79">
        <v>390.92867999999999</v>
      </c>
      <c r="M79">
        <v>382.763306</v>
      </c>
      <c r="N79">
        <v>375.70193499999999</v>
      </c>
      <c r="O79">
        <v>369.19998199999998</v>
      </c>
      <c r="P79">
        <v>363.971497</v>
      </c>
      <c r="Q79">
        <v>359.05090300000001</v>
      </c>
      <c r="R79">
        <v>354.40417500000001</v>
      </c>
      <c r="S79">
        <v>350.12924199999998</v>
      </c>
      <c r="T79">
        <v>346.17562900000001</v>
      </c>
      <c r="U79">
        <v>342.48895299999998</v>
      </c>
      <c r="V79">
        <v>339.00088499999998</v>
      </c>
      <c r="W79">
        <v>335.74340799999999</v>
      </c>
      <c r="X79">
        <v>332.718658</v>
      </c>
      <c r="Y79">
        <v>329.90460200000001</v>
      </c>
      <c r="Z79">
        <v>327.27328499999999</v>
      </c>
      <c r="AA79">
        <v>324.81484999999998</v>
      </c>
      <c r="AB79">
        <v>322.502838</v>
      </c>
      <c r="AC79">
        <v>320.33651700000001</v>
      </c>
      <c r="AD79">
        <v>318.30306999999999</v>
      </c>
      <c r="AE79">
        <v>316.39218099999999</v>
      </c>
      <c r="AF79">
        <v>314.58950800000002</v>
      </c>
      <c r="AG79" s="9">
        <v>-2.3E-2</v>
      </c>
    </row>
    <row r="80" spans="1:33">
      <c r="A80" t="s">
        <v>1868</v>
      </c>
      <c r="B80" t="s">
        <v>1879</v>
      </c>
      <c r="C80" t="s">
        <v>1878</v>
      </c>
      <c r="D80" t="s">
        <v>1877</v>
      </c>
      <c r="F80">
        <v>570.03552200000001</v>
      </c>
      <c r="G80">
        <v>489.47833300000002</v>
      </c>
      <c r="H80">
        <v>459.87057499999997</v>
      </c>
      <c r="I80">
        <v>433.59802200000001</v>
      </c>
      <c r="J80">
        <v>415.03927599999997</v>
      </c>
      <c r="K80">
        <v>401.425995</v>
      </c>
      <c r="L80">
        <v>390.92867999999999</v>
      </c>
      <c r="M80">
        <v>382.763306</v>
      </c>
      <c r="N80">
        <v>375.70193499999999</v>
      </c>
      <c r="O80">
        <v>369.19998199999998</v>
      </c>
      <c r="P80">
        <v>363.971497</v>
      </c>
      <c r="Q80">
        <v>359.05090300000001</v>
      </c>
      <c r="R80">
        <v>354.40417500000001</v>
      </c>
      <c r="S80">
        <v>350.12924199999998</v>
      </c>
      <c r="T80">
        <v>346.17562900000001</v>
      </c>
      <c r="U80">
        <v>342.48895299999998</v>
      </c>
      <c r="V80">
        <v>339.00088499999998</v>
      </c>
      <c r="W80">
        <v>335.74340799999999</v>
      </c>
      <c r="X80">
        <v>332.718658</v>
      </c>
      <c r="Y80">
        <v>329.90460200000001</v>
      </c>
      <c r="Z80">
        <v>327.27328499999999</v>
      </c>
      <c r="AA80">
        <v>324.81484999999998</v>
      </c>
      <c r="AB80">
        <v>322.502838</v>
      </c>
      <c r="AC80">
        <v>320.33651700000001</v>
      </c>
      <c r="AD80">
        <v>318.30306999999999</v>
      </c>
      <c r="AE80">
        <v>316.39218099999999</v>
      </c>
      <c r="AF80">
        <v>314.58950800000002</v>
      </c>
      <c r="AG80" s="9">
        <v>-2.3E-2</v>
      </c>
    </row>
    <row r="81" spans="1:33">
      <c r="A81" t="s">
        <v>161</v>
      </c>
    </row>
    <row r="82" spans="1:33">
      <c r="A82" t="s">
        <v>1876</v>
      </c>
      <c r="B82" t="s">
        <v>1875</v>
      </c>
      <c r="C82" t="s">
        <v>1866</v>
      </c>
      <c r="D82" t="s">
        <v>1865</v>
      </c>
      <c r="F82">
        <v>336.87881499999997</v>
      </c>
      <c r="G82">
        <v>307.29882800000001</v>
      </c>
      <c r="H82">
        <v>288.80246</v>
      </c>
      <c r="I82">
        <v>271.07699600000001</v>
      </c>
      <c r="J82">
        <v>255.568634</v>
      </c>
      <c r="K82">
        <v>244.600708</v>
      </c>
      <c r="L82">
        <v>236.54896500000001</v>
      </c>
      <c r="M82">
        <v>230.33711199999999</v>
      </c>
      <c r="N82">
        <v>225.49472</v>
      </c>
      <c r="O82">
        <v>221.30664100000001</v>
      </c>
      <c r="P82">
        <v>217.45829800000001</v>
      </c>
      <c r="Q82">
        <v>214.35638399999999</v>
      </c>
      <c r="R82">
        <v>211.433594</v>
      </c>
      <c r="S82">
        <v>208.67517100000001</v>
      </c>
      <c r="T82">
        <v>206.139725</v>
      </c>
      <c r="U82">
        <v>203.79489100000001</v>
      </c>
      <c r="V82">
        <v>201.60882599999999</v>
      </c>
      <c r="W82">
        <v>199.54255699999999</v>
      </c>
      <c r="X82">
        <v>197.61050399999999</v>
      </c>
      <c r="Y82">
        <v>195.81800799999999</v>
      </c>
      <c r="Z82">
        <v>194.15103099999999</v>
      </c>
      <c r="AA82">
        <v>192.59423799999999</v>
      </c>
      <c r="AB82">
        <v>191.14033499999999</v>
      </c>
      <c r="AC82">
        <v>189.77330000000001</v>
      </c>
      <c r="AD82">
        <v>188.49174500000001</v>
      </c>
      <c r="AE82">
        <v>187.289368</v>
      </c>
      <c r="AF82">
        <v>186.15943899999999</v>
      </c>
      <c r="AG82" s="9">
        <v>-2.3E-2</v>
      </c>
    </row>
    <row r="83" spans="1:33">
      <c r="A83" t="s">
        <v>1874</v>
      </c>
      <c r="B83" t="s">
        <v>1873</v>
      </c>
      <c r="C83" t="s">
        <v>1866</v>
      </c>
      <c r="D83" t="s">
        <v>1865</v>
      </c>
      <c r="F83">
        <v>483.723389</v>
      </c>
      <c r="G83">
        <v>441.24963400000001</v>
      </c>
      <c r="H83">
        <v>414.69073500000002</v>
      </c>
      <c r="I83">
        <v>389.23873900000001</v>
      </c>
      <c r="J83">
        <v>366.97033699999997</v>
      </c>
      <c r="K83">
        <v>351.22152699999998</v>
      </c>
      <c r="L83">
        <v>339.66006499999997</v>
      </c>
      <c r="M83">
        <v>330.74047899999999</v>
      </c>
      <c r="N83">
        <v>323.78732300000001</v>
      </c>
      <c r="O83">
        <v>317.77362099999999</v>
      </c>
      <c r="P83">
        <v>312.247772</v>
      </c>
      <c r="Q83">
        <v>307.79376200000002</v>
      </c>
      <c r="R83">
        <v>303.596924</v>
      </c>
      <c r="S83">
        <v>299.63619999999997</v>
      </c>
      <c r="T83">
        <v>295.99548299999998</v>
      </c>
      <c r="U83">
        <v>292.62853999999999</v>
      </c>
      <c r="V83">
        <v>289.489532</v>
      </c>
      <c r="W83">
        <v>286.52267499999999</v>
      </c>
      <c r="X83">
        <v>283.74841300000003</v>
      </c>
      <c r="Y83">
        <v>281.17456099999998</v>
      </c>
      <c r="Z83">
        <v>278.78097500000001</v>
      </c>
      <c r="AA83">
        <v>276.545593</v>
      </c>
      <c r="AB83">
        <v>274.45788599999997</v>
      </c>
      <c r="AC83">
        <v>272.49499500000002</v>
      </c>
      <c r="AD83">
        <v>270.65481599999998</v>
      </c>
      <c r="AE83">
        <v>268.92828400000002</v>
      </c>
      <c r="AF83">
        <v>267.30587800000001</v>
      </c>
      <c r="AG83" s="9">
        <v>-2.3E-2</v>
      </c>
    </row>
    <row r="84" spans="1:33">
      <c r="A84" t="s">
        <v>1872</v>
      </c>
      <c r="B84" t="s">
        <v>1871</v>
      </c>
      <c r="C84" t="s">
        <v>1866</v>
      </c>
      <c r="D84" t="s">
        <v>1865</v>
      </c>
      <c r="F84">
        <v>362.79254200000003</v>
      </c>
      <c r="G84">
        <v>330.93722500000001</v>
      </c>
      <c r="H84">
        <v>311.01800500000002</v>
      </c>
      <c r="I84">
        <v>291.92904700000003</v>
      </c>
      <c r="J84">
        <v>275.22778299999999</v>
      </c>
      <c r="K84">
        <v>263.41613799999999</v>
      </c>
      <c r="L84">
        <v>254.74504099999999</v>
      </c>
      <c r="M84">
        <v>248.05534399999999</v>
      </c>
      <c r="N84">
        <v>242.840485</v>
      </c>
      <c r="O84">
        <v>238.33019999999999</v>
      </c>
      <c r="P84">
        <v>234.18585200000001</v>
      </c>
      <c r="Q84">
        <v>230.84532200000001</v>
      </c>
      <c r="R84">
        <v>227.69770800000001</v>
      </c>
      <c r="S84">
        <v>224.727127</v>
      </c>
      <c r="T84">
        <v>221.99662799999999</v>
      </c>
      <c r="U84">
        <v>219.47141999999999</v>
      </c>
      <c r="V84">
        <v>217.11720299999999</v>
      </c>
      <c r="W84">
        <v>214.891998</v>
      </c>
      <c r="X84">
        <v>212.81132500000001</v>
      </c>
      <c r="Y84">
        <v>210.88093599999999</v>
      </c>
      <c r="Z84">
        <v>209.08573899999999</v>
      </c>
      <c r="AA84">
        <v>207.40919500000001</v>
      </c>
      <c r="AB84">
        <v>205.84343000000001</v>
      </c>
      <c r="AC84">
        <v>204.37124600000001</v>
      </c>
      <c r="AD84">
        <v>202.99110400000001</v>
      </c>
      <c r="AE84">
        <v>201.69624300000001</v>
      </c>
      <c r="AF84">
        <v>200.479401</v>
      </c>
      <c r="AG84" s="9">
        <v>-2.3E-2</v>
      </c>
    </row>
    <row r="85" spans="1:33">
      <c r="A85" t="s">
        <v>1870</v>
      </c>
      <c r="B85" t="s">
        <v>1869</v>
      </c>
      <c r="C85" t="s">
        <v>1866</v>
      </c>
      <c r="D85" t="s">
        <v>1865</v>
      </c>
      <c r="F85">
        <v>238.97354100000001</v>
      </c>
      <c r="G85">
        <v>217.99026499999999</v>
      </c>
      <c r="H85">
        <v>204.86937</v>
      </c>
      <c r="I85">
        <v>192.29534899999999</v>
      </c>
      <c r="J85">
        <v>181.29411300000001</v>
      </c>
      <c r="K85">
        <v>173.51374799999999</v>
      </c>
      <c r="L85">
        <v>167.802032</v>
      </c>
      <c r="M85">
        <v>163.39550800000001</v>
      </c>
      <c r="N85">
        <v>159.960419</v>
      </c>
      <c r="O85">
        <v>156.989487</v>
      </c>
      <c r="P85">
        <v>154.259567</v>
      </c>
      <c r="Q85">
        <v>152.05914300000001</v>
      </c>
      <c r="R85">
        <v>149.98577900000001</v>
      </c>
      <c r="S85">
        <v>148.029068</v>
      </c>
      <c r="T85">
        <v>146.23045300000001</v>
      </c>
      <c r="U85">
        <v>144.56707800000001</v>
      </c>
      <c r="V85">
        <v>143.01632699999999</v>
      </c>
      <c r="W85">
        <v>141.55059800000001</v>
      </c>
      <c r="X85">
        <v>140.180069</v>
      </c>
      <c r="Y85">
        <v>138.908478</v>
      </c>
      <c r="Z85">
        <v>137.72598300000001</v>
      </c>
      <c r="AA85">
        <v>136.62162799999999</v>
      </c>
      <c r="AB85">
        <v>135.590271</v>
      </c>
      <c r="AC85">
        <v>134.620529</v>
      </c>
      <c r="AD85">
        <v>133.71142599999999</v>
      </c>
      <c r="AE85">
        <v>132.85845900000001</v>
      </c>
      <c r="AF85">
        <v>132.05694600000001</v>
      </c>
      <c r="AG85" s="9">
        <v>-2.3E-2</v>
      </c>
    </row>
    <row r="86" spans="1:33">
      <c r="A86" t="s">
        <v>1868</v>
      </c>
      <c r="B86" t="s">
        <v>1867</v>
      </c>
      <c r="C86" t="s">
        <v>1866</v>
      </c>
      <c r="D86" t="s">
        <v>1865</v>
      </c>
      <c r="F86">
        <v>993.36047399999995</v>
      </c>
      <c r="G86">
        <v>906.13757299999997</v>
      </c>
      <c r="H86">
        <v>851.59698500000002</v>
      </c>
      <c r="I86">
        <v>799.32952899999998</v>
      </c>
      <c r="J86">
        <v>753.59985400000005</v>
      </c>
      <c r="K86">
        <v>721.25848399999995</v>
      </c>
      <c r="L86">
        <v>697.51623500000005</v>
      </c>
      <c r="M86">
        <v>679.19909700000005</v>
      </c>
      <c r="N86">
        <v>664.92034899999999</v>
      </c>
      <c r="O86">
        <v>652.57074</v>
      </c>
      <c r="P86">
        <v>641.22314500000005</v>
      </c>
      <c r="Q86">
        <v>632.07647699999995</v>
      </c>
      <c r="R86">
        <v>623.45794699999999</v>
      </c>
      <c r="S86">
        <v>615.32428000000004</v>
      </c>
      <c r="T86">
        <v>607.84789999999998</v>
      </c>
      <c r="U86">
        <v>600.93365500000004</v>
      </c>
      <c r="V86">
        <v>594.48748799999998</v>
      </c>
      <c r="W86">
        <v>588.39471400000002</v>
      </c>
      <c r="X86">
        <v>582.69769299999996</v>
      </c>
      <c r="Y86">
        <v>577.41204800000003</v>
      </c>
      <c r="Z86">
        <v>572.49664299999995</v>
      </c>
      <c r="AA86">
        <v>567.90606700000001</v>
      </c>
      <c r="AB86">
        <v>563.61889599999995</v>
      </c>
      <c r="AC86">
        <v>559.58795199999997</v>
      </c>
      <c r="AD86">
        <v>555.80895999999996</v>
      </c>
      <c r="AE86">
        <v>552.26348900000005</v>
      </c>
      <c r="AF86">
        <v>548.93164100000001</v>
      </c>
      <c r="AG86" s="9">
        <v>-2.3E-2</v>
      </c>
    </row>
    <row r="87" spans="1:33">
      <c r="A87" t="s">
        <v>1864</v>
      </c>
    </row>
    <row r="88" spans="1:33">
      <c r="A88" t="s">
        <v>1863</v>
      </c>
      <c r="B88" t="s">
        <v>1862</v>
      </c>
      <c r="C88" t="s">
        <v>1861</v>
      </c>
      <c r="D88" t="s">
        <v>1837</v>
      </c>
      <c r="F88">
        <v>14.660724999999999</v>
      </c>
      <c r="G88">
        <v>14.47932</v>
      </c>
      <c r="H88">
        <v>13.539622</v>
      </c>
      <c r="I88">
        <v>12.501745</v>
      </c>
      <c r="J88">
        <v>12.459519999999999</v>
      </c>
      <c r="K88">
        <v>12.533541</v>
      </c>
      <c r="L88">
        <v>12.655854</v>
      </c>
      <c r="M88">
        <v>12.79153</v>
      </c>
      <c r="N88">
        <v>12.88917</v>
      </c>
      <c r="O88">
        <v>13.116578000000001</v>
      </c>
      <c r="P88">
        <v>13.132267000000001</v>
      </c>
      <c r="Q88">
        <v>13.026171</v>
      </c>
      <c r="R88">
        <v>13.029432</v>
      </c>
      <c r="S88">
        <v>13.024822</v>
      </c>
      <c r="T88">
        <v>13.013798</v>
      </c>
      <c r="U88">
        <v>12.905737</v>
      </c>
      <c r="V88">
        <v>12.819233000000001</v>
      </c>
      <c r="W88">
        <v>12.860766999999999</v>
      </c>
      <c r="X88">
        <v>12.948478</v>
      </c>
      <c r="Y88">
        <v>13.121888999999999</v>
      </c>
      <c r="Z88">
        <v>13.205757999999999</v>
      </c>
      <c r="AA88">
        <v>13.272812999999999</v>
      </c>
      <c r="AB88">
        <v>13.279309</v>
      </c>
      <c r="AC88">
        <v>13.341877999999999</v>
      </c>
      <c r="AD88">
        <v>13.308396999999999</v>
      </c>
      <c r="AE88">
        <v>13.322649999999999</v>
      </c>
      <c r="AF88">
        <v>13.292918999999999</v>
      </c>
      <c r="AG88" s="9">
        <v>-4.0000000000000001E-3</v>
      </c>
    </row>
    <row r="89" spans="1:33">
      <c r="A89" t="s">
        <v>152</v>
      </c>
      <c r="B89" t="s">
        <v>1860</v>
      </c>
      <c r="C89" t="s">
        <v>1853</v>
      </c>
      <c r="D89" t="s">
        <v>1837</v>
      </c>
      <c r="F89">
        <v>21.406419</v>
      </c>
      <c r="G89">
        <v>20.894677000000001</v>
      </c>
      <c r="H89">
        <v>18.821584999999999</v>
      </c>
      <c r="I89">
        <v>17.486322000000001</v>
      </c>
      <c r="J89">
        <v>17.284580999999999</v>
      </c>
      <c r="K89">
        <v>17.332429000000001</v>
      </c>
      <c r="L89">
        <v>17.445575000000002</v>
      </c>
      <c r="M89">
        <v>17.659478</v>
      </c>
      <c r="N89">
        <v>17.786636999999999</v>
      </c>
      <c r="O89">
        <v>18.025981000000002</v>
      </c>
      <c r="P89">
        <v>18.087261000000002</v>
      </c>
      <c r="Q89">
        <v>18.058178000000002</v>
      </c>
      <c r="R89">
        <v>18.077915000000001</v>
      </c>
      <c r="S89">
        <v>18.038933</v>
      </c>
      <c r="T89">
        <v>18.008388</v>
      </c>
      <c r="U89">
        <v>17.904356</v>
      </c>
      <c r="V89">
        <v>17.860285000000001</v>
      </c>
      <c r="W89">
        <v>17.921337000000001</v>
      </c>
      <c r="X89">
        <v>18.047402999999999</v>
      </c>
      <c r="Y89">
        <v>18.188303999999999</v>
      </c>
      <c r="Z89">
        <v>18.280470000000001</v>
      </c>
      <c r="AA89">
        <v>18.398088000000001</v>
      </c>
      <c r="AB89">
        <v>18.47851</v>
      </c>
      <c r="AC89">
        <v>18.575382999999999</v>
      </c>
      <c r="AD89">
        <v>18.601012999999998</v>
      </c>
      <c r="AE89">
        <v>18.634260999999999</v>
      </c>
      <c r="AF89">
        <v>18.651931999999999</v>
      </c>
      <c r="AG89" s="9">
        <v>-5.0000000000000001E-3</v>
      </c>
    </row>
    <row r="90" spans="1:33">
      <c r="A90" t="s">
        <v>1859</v>
      </c>
      <c r="B90" t="s">
        <v>1858</v>
      </c>
      <c r="C90" t="s">
        <v>1853</v>
      </c>
      <c r="D90" t="s">
        <v>1837</v>
      </c>
      <c r="F90">
        <v>18.915469000000002</v>
      </c>
      <c r="G90">
        <v>18.494361000000001</v>
      </c>
      <c r="H90">
        <v>16.748058</v>
      </c>
      <c r="I90">
        <v>15.598786</v>
      </c>
      <c r="J90">
        <v>15.387491000000001</v>
      </c>
      <c r="K90">
        <v>15.411830999999999</v>
      </c>
      <c r="L90">
        <v>15.483029999999999</v>
      </c>
      <c r="M90">
        <v>15.651555999999999</v>
      </c>
      <c r="N90">
        <v>15.761011</v>
      </c>
      <c r="O90">
        <v>15.963941</v>
      </c>
      <c r="P90">
        <v>16.044131</v>
      </c>
      <c r="Q90">
        <v>16.044027</v>
      </c>
      <c r="R90">
        <v>16.074539000000001</v>
      </c>
      <c r="S90">
        <v>16.049256</v>
      </c>
      <c r="T90">
        <v>16.027716999999999</v>
      </c>
      <c r="U90">
        <v>15.944241</v>
      </c>
      <c r="V90">
        <v>15.890953</v>
      </c>
      <c r="W90">
        <v>15.949241000000001</v>
      </c>
      <c r="X90">
        <v>16.076356000000001</v>
      </c>
      <c r="Y90">
        <v>16.220196999999999</v>
      </c>
      <c r="Z90">
        <v>16.330137000000001</v>
      </c>
      <c r="AA90">
        <v>16.446974999999998</v>
      </c>
      <c r="AB90">
        <v>16.533956</v>
      </c>
      <c r="AC90">
        <v>16.647703</v>
      </c>
      <c r="AD90">
        <v>16.695798</v>
      </c>
      <c r="AE90">
        <v>16.747364000000001</v>
      </c>
      <c r="AF90">
        <v>16.791399999999999</v>
      </c>
      <c r="AG90" s="9">
        <v>-5.0000000000000001E-3</v>
      </c>
    </row>
    <row r="91" spans="1:33">
      <c r="A91" t="s">
        <v>1857</v>
      </c>
      <c r="B91" t="s">
        <v>1856</v>
      </c>
      <c r="C91" t="s">
        <v>1853</v>
      </c>
      <c r="D91" t="s">
        <v>1837</v>
      </c>
      <c r="F91">
        <v>24.560234000000001</v>
      </c>
      <c r="G91">
        <v>23.65334</v>
      </c>
      <c r="H91">
        <v>20.961617</v>
      </c>
      <c r="I91">
        <v>19.246886</v>
      </c>
      <c r="J91">
        <v>18.991436</v>
      </c>
      <c r="K91">
        <v>18.994349</v>
      </c>
      <c r="L91">
        <v>19.096301</v>
      </c>
      <c r="M91">
        <v>19.288595999999998</v>
      </c>
      <c r="N91">
        <v>19.346433000000001</v>
      </c>
      <c r="O91">
        <v>19.542026</v>
      </c>
      <c r="P91">
        <v>19.505562999999999</v>
      </c>
      <c r="Q91">
        <v>19.382211999999999</v>
      </c>
      <c r="R91">
        <v>19.341442000000001</v>
      </c>
      <c r="S91">
        <v>19.236585000000002</v>
      </c>
      <c r="T91">
        <v>19.152076000000001</v>
      </c>
      <c r="U91">
        <v>18.982410000000002</v>
      </c>
      <c r="V91">
        <v>18.923145000000002</v>
      </c>
      <c r="W91">
        <v>18.947120999999999</v>
      </c>
      <c r="X91">
        <v>19.024059000000001</v>
      </c>
      <c r="Y91">
        <v>19.112776</v>
      </c>
      <c r="Z91">
        <v>19.133858</v>
      </c>
      <c r="AA91">
        <v>19.210448</v>
      </c>
      <c r="AB91">
        <v>19.242525000000001</v>
      </c>
      <c r="AC91">
        <v>19.275586000000001</v>
      </c>
      <c r="AD91">
        <v>19.235341999999999</v>
      </c>
      <c r="AE91">
        <v>19.213842</v>
      </c>
      <c r="AF91">
        <v>19.162220999999999</v>
      </c>
      <c r="AG91" s="9">
        <v>-0.01</v>
      </c>
    </row>
    <row r="92" spans="1:33">
      <c r="A92" t="s">
        <v>1855</v>
      </c>
      <c r="B92" t="s">
        <v>1854</v>
      </c>
      <c r="C92" t="s">
        <v>1853</v>
      </c>
      <c r="D92" t="s">
        <v>1837</v>
      </c>
      <c r="F92">
        <v>32.392367999999998</v>
      </c>
      <c r="G92">
        <v>31.175576</v>
      </c>
      <c r="H92">
        <v>27.621338000000002</v>
      </c>
      <c r="I92">
        <v>25.355183</v>
      </c>
      <c r="J92">
        <v>25.018739</v>
      </c>
      <c r="K92">
        <v>25.021774000000001</v>
      </c>
      <c r="L92">
        <v>25.157150000000001</v>
      </c>
      <c r="M92">
        <v>25.409141999999999</v>
      </c>
      <c r="N92">
        <v>25.478199</v>
      </c>
      <c r="O92">
        <v>25.725657999999999</v>
      </c>
      <c r="P92">
        <v>25.6675</v>
      </c>
      <c r="Q92">
        <v>25.497035</v>
      </c>
      <c r="R92">
        <v>25.434052000000001</v>
      </c>
      <c r="S92">
        <v>25.300881</v>
      </c>
      <c r="T92">
        <v>25.193921</v>
      </c>
      <c r="U92">
        <v>24.978705999999999</v>
      </c>
      <c r="V92">
        <v>24.923964000000002</v>
      </c>
      <c r="W92">
        <v>24.959510000000002</v>
      </c>
      <c r="X92">
        <v>25.053393</v>
      </c>
      <c r="Y92">
        <v>25.160581000000001</v>
      </c>
      <c r="Z92">
        <v>25.174085999999999</v>
      </c>
      <c r="AA92">
        <v>25.273709</v>
      </c>
      <c r="AB92">
        <v>25.316188</v>
      </c>
      <c r="AC92">
        <v>25.346585000000001</v>
      </c>
      <c r="AD92">
        <v>25.289458</v>
      </c>
      <c r="AE92">
        <v>25.253147999999999</v>
      </c>
      <c r="AF92">
        <v>25.178395999999999</v>
      </c>
      <c r="AG92" s="9">
        <v>-0.01</v>
      </c>
    </row>
    <row r="93" spans="1:33">
      <c r="A93" t="s">
        <v>1852</v>
      </c>
      <c r="B93" t="s">
        <v>1851</v>
      </c>
      <c r="C93" t="s">
        <v>1847</v>
      </c>
      <c r="D93" t="s">
        <v>1837</v>
      </c>
      <c r="F93">
        <v>17.499977999999999</v>
      </c>
      <c r="G93">
        <v>16.868295</v>
      </c>
      <c r="H93">
        <v>14.858658</v>
      </c>
      <c r="I93">
        <v>13.690975</v>
      </c>
      <c r="J93">
        <v>13.510317000000001</v>
      </c>
      <c r="K93">
        <v>13.550777</v>
      </c>
      <c r="L93">
        <v>13.650695000000001</v>
      </c>
      <c r="M93">
        <v>13.814605999999999</v>
      </c>
      <c r="N93">
        <v>13.887226</v>
      </c>
      <c r="O93">
        <v>14.057883</v>
      </c>
      <c r="P93">
        <v>14.094117000000001</v>
      </c>
      <c r="Q93">
        <v>14.088540999999999</v>
      </c>
      <c r="R93">
        <v>14.142582000000001</v>
      </c>
      <c r="S93">
        <v>14.072425000000001</v>
      </c>
      <c r="T93">
        <v>14.010379</v>
      </c>
      <c r="U93">
        <v>13.850702</v>
      </c>
      <c r="V93">
        <v>13.739597</v>
      </c>
      <c r="W93">
        <v>13.741968</v>
      </c>
      <c r="X93">
        <v>13.801117</v>
      </c>
      <c r="Y93">
        <v>13.910145</v>
      </c>
      <c r="Z93">
        <v>13.958562000000001</v>
      </c>
      <c r="AA93">
        <v>14.029273999999999</v>
      </c>
      <c r="AB93">
        <v>14.033215</v>
      </c>
      <c r="AC93">
        <v>14.086240999999999</v>
      </c>
      <c r="AD93">
        <v>14.057613</v>
      </c>
      <c r="AE93">
        <v>14.07015</v>
      </c>
      <c r="AF93">
        <v>14.052716</v>
      </c>
      <c r="AG93" s="9">
        <v>-8.0000000000000002E-3</v>
      </c>
    </row>
    <row r="94" spans="1:33">
      <c r="A94" t="s">
        <v>160</v>
      </c>
      <c r="B94" t="s">
        <v>1850</v>
      </c>
      <c r="C94" t="s">
        <v>1847</v>
      </c>
      <c r="D94" t="s">
        <v>1837</v>
      </c>
      <c r="F94">
        <v>17.109794999999998</v>
      </c>
      <c r="G94">
        <v>16.165376999999999</v>
      </c>
      <c r="H94">
        <v>14.333702000000001</v>
      </c>
      <c r="I94">
        <v>13.116031</v>
      </c>
      <c r="J94">
        <v>12.958225000000001</v>
      </c>
      <c r="K94">
        <v>12.986746999999999</v>
      </c>
      <c r="L94">
        <v>13.083360000000001</v>
      </c>
      <c r="M94">
        <v>13.197463000000001</v>
      </c>
      <c r="N94">
        <v>13.253920000000001</v>
      </c>
      <c r="O94">
        <v>13.438112</v>
      </c>
      <c r="P94">
        <v>13.430469</v>
      </c>
      <c r="Q94">
        <v>13.314503</v>
      </c>
      <c r="R94">
        <v>13.323175000000001</v>
      </c>
      <c r="S94">
        <v>13.323256000000001</v>
      </c>
      <c r="T94">
        <v>13.299072000000001</v>
      </c>
      <c r="U94">
        <v>13.205408</v>
      </c>
      <c r="V94">
        <v>13.172117</v>
      </c>
      <c r="W94">
        <v>13.215064</v>
      </c>
      <c r="X94">
        <v>13.264645</v>
      </c>
      <c r="Y94">
        <v>13.397519000000001</v>
      </c>
      <c r="Z94">
        <v>13.428667000000001</v>
      </c>
      <c r="AA94">
        <v>13.513114</v>
      </c>
      <c r="AB94">
        <v>13.536572</v>
      </c>
      <c r="AC94">
        <v>13.570066000000001</v>
      </c>
      <c r="AD94">
        <v>13.520778</v>
      </c>
      <c r="AE94">
        <v>13.503270000000001</v>
      </c>
      <c r="AF94">
        <v>13.441691</v>
      </c>
      <c r="AG94" s="9">
        <v>-8.9999999999999993E-3</v>
      </c>
    </row>
    <row r="95" spans="1:33">
      <c r="A95" t="s">
        <v>158</v>
      </c>
      <c r="B95" t="s">
        <v>1849</v>
      </c>
      <c r="C95" t="s">
        <v>1847</v>
      </c>
      <c r="D95" t="s">
        <v>1837</v>
      </c>
      <c r="F95">
        <v>17.561288999999999</v>
      </c>
      <c r="G95">
        <v>17.024719999999999</v>
      </c>
      <c r="H95">
        <v>14.998709</v>
      </c>
      <c r="I95">
        <v>13.865487999999999</v>
      </c>
      <c r="J95">
        <v>13.694796999999999</v>
      </c>
      <c r="K95">
        <v>13.753669</v>
      </c>
      <c r="L95">
        <v>13.866458</v>
      </c>
      <c r="M95">
        <v>14.061038</v>
      </c>
      <c r="N95">
        <v>14.151945</v>
      </c>
      <c r="O95">
        <v>14.327889000000001</v>
      </c>
      <c r="P95">
        <v>14.392894</v>
      </c>
      <c r="Q95">
        <v>14.448506</v>
      </c>
      <c r="R95">
        <v>14.535325</v>
      </c>
      <c r="S95">
        <v>14.441808999999999</v>
      </c>
      <c r="T95">
        <v>14.369104999999999</v>
      </c>
      <c r="U95">
        <v>14.182898</v>
      </c>
      <c r="V95">
        <v>14.037635999999999</v>
      </c>
      <c r="W95">
        <v>14.023992</v>
      </c>
      <c r="X95">
        <v>14.093598</v>
      </c>
      <c r="Y95">
        <v>14.194001999999999</v>
      </c>
      <c r="Z95">
        <v>14.256455000000001</v>
      </c>
      <c r="AA95">
        <v>14.322983000000001</v>
      </c>
      <c r="AB95">
        <v>14.319469</v>
      </c>
      <c r="AC95">
        <v>14.387855</v>
      </c>
      <c r="AD95">
        <v>14.374874999999999</v>
      </c>
      <c r="AE95">
        <v>14.408455</v>
      </c>
      <c r="AF95">
        <v>14.418906</v>
      </c>
      <c r="AG95" s="9">
        <v>-8.0000000000000002E-3</v>
      </c>
    </row>
    <row r="96" spans="1:33">
      <c r="A96" t="s">
        <v>159</v>
      </c>
      <c r="B96" t="s">
        <v>1848</v>
      </c>
      <c r="C96" t="s">
        <v>1847</v>
      </c>
      <c r="D96" t="s">
        <v>1837</v>
      </c>
      <c r="F96">
        <v>12.941013</v>
      </c>
      <c r="G96">
        <v>12.624143999999999</v>
      </c>
      <c r="H96">
        <v>11.719846</v>
      </c>
      <c r="I96">
        <v>11.091652</v>
      </c>
      <c r="J96">
        <v>11.041523</v>
      </c>
      <c r="K96">
        <v>11.135455</v>
      </c>
      <c r="L96">
        <v>11.261929</v>
      </c>
      <c r="M96">
        <v>11.467452</v>
      </c>
      <c r="N96">
        <v>11.591284</v>
      </c>
      <c r="O96">
        <v>11.827546</v>
      </c>
      <c r="P96">
        <v>11.914558</v>
      </c>
      <c r="Q96">
        <v>11.840052999999999</v>
      </c>
      <c r="R96">
        <v>11.800545</v>
      </c>
      <c r="S96">
        <v>11.73856</v>
      </c>
      <c r="T96">
        <v>11.673352</v>
      </c>
      <c r="U96">
        <v>11.557297999999999</v>
      </c>
      <c r="V96">
        <v>11.491102</v>
      </c>
      <c r="W96">
        <v>11.510795</v>
      </c>
      <c r="X96">
        <v>11.566348</v>
      </c>
      <c r="Y96">
        <v>11.638818000000001</v>
      </c>
      <c r="Z96">
        <v>11.67062</v>
      </c>
      <c r="AA96">
        <v>11.73199</v>
      </c>
      <c r="AB96">
        <v>11.780459</v>
      </c>
      <c r="AC96">
        <v>11.801879</v>
      </c>
      <c r="AD96">
        <v>11.767419</v>
      </c>
      <c r="AE96">
        <v>11.731590000000001</v>
      </c>
      <c r="AF96">
        <v>11.686546</v>
      </c>
      <c r="AG96" s="9">
        <v>-4.0000000000000001E-3</v>
      </c>
    </row>
    <row r="97" spans="1:33">
      <c r="A97" t="s">
        <v>1846</v>
      </c>
      <c r="B97" t="s">
        <v>1845</v>
      </c>
      <c r="C97" t="s">
        <v>1842</v>
      </c>
      <c r="D97" t="s">
        <v>1837</v>
      </c>
      <c r="F97">
        <v>18.392759999999999</v>
      </c>
      <c r="G97">
        <v>17.964400000000001</v>
      </c>
      <c r="H97">
        <v>16.773347000000001</v>
      </c>
      <c r="I97">
        <v>15.913226999999999</v>
      </c>
      <c r="J97">
        <v>15.843658</v>
      </c>
      <c r="K97">
        <v>15.975294999999999</v>
      </c>
      <c r="L97">
        <v>16.123283000000001</v>
      </c>
      <c r="M97">
        <v>16.242621</v>
      </c>
      <c r="N97">
        <v>16.119142</v>
      </c>
      <c r="O97">
        <v>16.181032999999999</v>
      </c>
      <c r="P97">
        <v>15.929745</v>
      </c>
      <c r="Q97">
        <v>15.355148</v>
      </c>
      <c r="R97">
        <v>14.820855999999999</v>
      </c>
      <c r="S97">
        <v>14.332749</v>
      </c>
      <c r="T97">
        <v>13.900952</v>
      </c>
      <c r="U97">
        <v>13.469419</v>
      </c>
      <c r="V97">
        <v>13.144062</v>
      </c>
      <c r="W97">
        <v>12.936470999999999</v>
      </c>
      <c r="X97">
        <v>12.805147</v>
      </c>
      <c r="Y97">
        <v>12.721908000000001</v>
      </c>
      <c r="Z97">
        <v>12.632145</v>
      </c>
      <c r="AA97">
        <v>12.598369</v>
      </c>
      <c r="AB97">
        <v>12.569184</v>
      </c>
      <c r="AC97">
        <v>12.521887</v>
      </c>
      <c r="AD97">
        <v>12.426758</v>
      </c>
      <c r="AE97">
        <v>12.339561</v>
      </c>
      <c r="AF97">
        <v>12.250221</v>
      </c>
      <c r="AG97" s="9">
        <v>-1.6E-2</v>
      </c>
    </row>
    <row r="98" spans="1:33">
      <c r="A98" t="s">
        <v>1814</v>
      </c>
      <c r="B98" t="s">
        <v>1844</v>
      </c>
      <c r="C98" t="s">
        <v>1842</v>
      </c>
      <c r="D98" t="s">
        <v>1837</v>
      </c>
      <c r="F98">
        <v>12.941013</v>
      </c>
      <c r="G98">
        <v>12.624143999999999</v>
      </c>
      <c r="H98">
        <v>11.719846</v>
      </c>
      <c r="I98">
        <v>11.091652</v>
      </c>
      <c r="J98">
        <v>11.041523</v>
      </c>
      <c r="K98">
        <v>11.135455</v>
      </c>
      <c r="L98">
        <v>11.261929</v>
      </c>
      <c r="M98">
        <v>11.467452</v>
      </c>
      <c r="N98">
        <v>11.591284</v>
      </c>
      <c r="O98">
        <v>11.827546</v>
      </c>
      <c r="P98">
        <v>11.914558</v>
      </c>
      <c r="Q98">
        <v>11.840052999999999</v>
      </c>
      <c r="R98">
        <v>11.800545</v>
      </c>
      <c r="S98">
        <v>11.73856</v>
      </c>
      <c r="T98">
        <v>11.673352</v>
      </c>
      <c r="U98">
        <v>11.557297999999999</v>
      </c>
      <c r="V98">
        <v>11.491102</v>
      </c>
      <c r="W98">
        <v>11.510795</v>
      </c>
      <c r="X98">
        <v>11.566348</v>
      </c>
      <c r="Y98">
        <v>11.638818000000001</v>
      </c>
      <c r="Z98">
        <v>11.67062</v>
      </c>
      <c r="AA98">
        <v>11.73199</v>
      </c>
      <c r="AB98">
        <v>11.780459</v>
      </c>
      <c r="AC98">
        <v>11.801879</v>
      </c>
      <c r="AD98">
        <v>11.767419</v>
      </c>
      <c r="AE98">
        <v>11.731590000000001</v>
      </c>
      <c r="AF98">
        <v>11.686546</v>
      </c>
      <c r="AG98" s="9">
        <v>-4.0000000000000001E-3</v>
      </c>
    </row>
    <row r="99" spans="1:33">
      <c r="A99" t="s">
        <v>1817</v>
      </c>
      <c r="B99" t="s">
        <v>1843</v>
      </c>
      <c r="C99" t="s">
        <v>1842</v>
      </c>
      <c r="D99" t="s">
        <v>1837</v>
      </c>
      <c r="F99">
        <v>24.149308999999999</v>
      </c>
      <c r="G99">
        <v>23.538983999999999</v>
      </c>
      <c r="H99">
        <v>22.020655000000001</v>
      </c>
      <c r="I99">
        <v>20.899756</v>
      </c>
      <c r="J99">
        <v>20.810403000000001</v>
      </c>
      <c r="K99">
        <v>21.018688999999998</v>
      </c>
      <c r="L99">
        <v>21.265512999999999</v>
      </c>
      <c r="M99">
        <v>21.630918000000001</v>
      </c>
      <c r="N99">
        <v>21.821584999999999</v>
      </c>
      <c r="O99">
        <v>22.191970999999999</v>
      </c>
      <c r="P99">
        <v>22.233132000000001</v>
      </c>
      <c r="Q99">
        <v>21.968354000000001</v>
      </c>
      <c r="R99">
        <v>21.82507</v>
      </c>
      <c r="S99">
        <v>21.729991999999999</v>
      </c>
      <c r="T99">
        <v>21.668022000000001</v>
      </c>
      <c r="U99">
        <v>21.554518999999999</v>
      </c>
      <c r="V99">
        <v>21.546306999999999</v>
      </c>
      <c r="W99">
        <v>21.653545000000001</v>
      </c>
      <c r="X99">
        <v>21.818480999999998</v>
      </c>
      <c r="Y99">
        <v>21.973880999999999</v>
      </c>
      <c r="Z99">
        <v>22.062764000000001</v>
      </c>
      <c r="AA99">
        <v>22.223499</v>
      </c>
      <c r="AB99">
        <v>22.378456</v>
      </c>
      <c r="AC99">
        <v>22.459212000000001</v>
      </c>
      <c r="AD99">
        <v>22.427599000000001</v>
      </c>
      <c r="AE99">
        <v>22.37236</v>
      </c>
      <c r="AF99">
        <v>22.297429000000001</v>
      </c>
      <c r="AG99" s="9">
        <v>-3.0000000000000001E-3</v>
      </c>
    </row>
    <row r="100" spans="1:33">
      <c r="A100" t="s">
        <v>1841</v>
      </c>
    </row>
    <row r="101" spans="1:33">
      <c r="A101" t="s">
        <v>1814</v>
      </c>
      <c r="B101" t="s">
        <v>1840</v>
      </c>
      <c r="C101" t="s">
        <v>1838</v>
      </c>
      <c r="D101" t="s">
        <v>1837</v>
      </c>
      <c r="F101">
        <v>12.941013</v>
      </c>
      <c r="G101">
        <v>12.624143999999999</v>
      </c>
      <c r="H101">
        <v>11.719846</v>
      </c>
      <c r="I101">
        <v>11.091652</v>
      </c>
      <c r="J101">
        <v>11.041523</v>
      </c>
      <c r="K101">
        <v>11.135455</v>
      </c>
      <c r="L101">
        <v>11.261929</v>
      </c>
      <c r="M101">
        <v>11.467452</v>
      </c>
      <c r="N101">
        <v>11.591284</v>
      </c>
      <c r="O101">
        <v>11.827546</v>
      </c>
      <c r="P101">
        <v>11.914558</v>
      </c>
      <c r="Q101">
        <v>11.840052999999999</v>
      </c>
      <c r="R101">
        <v>11.800545</v>
      </c>
      <c r="S101">
        <v>11.73856</v>
      </c>
      <c r="T101">
        <v>11.673352</v>
      </c>
      <c r="U101">
        <v>11.557297999999999</v>
      </c>
      <c r="V101">
        <v>11.491102</v>
      </c>
      <c r="W101">
        <v>11.510795</v>
      </c>
      <c r="X101">
        <v>11.566348</v>
      </c>
      <c r="Y101">
        <v>11.638818000000001</v>
      </c>
      <c r="Z101">
        <v>11.67062</v>
      </c>
      <c r="AA101">
        <v>11.73199</v>
      </c>
      <c r="AB101">
        <v>11.780459</v>
      </c>
      <c r="AC101">
        <v>11.801879</v>
      </c>
      <c r="AD101">
        <v>11.767419</v>
      </c>
      <c r="AE101">
        <v>11.731590000000001</v>
      </c>
      <c r="AF101">
        <v>11.686546</v>
      </c>
      <c r="AG101" s="9">
        <v>-4.0000000000000001E-3</v>
      </c>
    </row>
    <row r="102" spans="1:33">
      <c r="A102" t="s">
        <v>1817</v>
      </c>
      <c r="B102" t="s">
        <v>1839</v>
      </c>
      <c r="C102" t="s">
        <v>1838</v>
      </c>
      <c r="D102" t="s">
        <v>1837</v>
      </c>
      <c r="F102">
        <v>24.149308999999999</v>
      </c>
      <c r="G102">
        <v>23.538983999999999</v>
      </c>
      <c r="H102">
        <v>22.020655000000001</v>
      </c>
      <c r="I102">
        <v>20.899756</v>
      </c>
      <c r="J102">
        <v>20.810403000000001</v>
      </c>
      <c r="K102">
        <v>21.018688999999998</v>
      </c>
      <c r="L102">
        <v>21.265512999999999</v>
      </c>
      <c r="M102">
        <v>21.630918000000001</v>
      </c>
      <c r="N102">
        <v>21.821584999999999</v>
      </c>
      <c r="O102">
        <v>22.191970999999999</v>
      </c>
      <c r="P102">
        <v>22.233132000000001</v>
      </c>
      <c r="Q102">
        <v>21.968354000000001</v>
      </c>
      <c r="R102">
        <v>21.82507</v>
      </c>
      <c r="S102">
        <v>21.729991999999999</v>
      </c>
      <c r="T102">
        <v>21.668022000000001</v>
      </c>
      <c r="U102">
        <v>21.554518999999999</v>
      </c>
      <c r="V102">
        <v>21.546306999999999</v>
      </c>
      <c r="W102">
        <v>21.653545000000001</v>
      </c>
      <c r="X102">
        <v>21.818480999999998</v>
      </c>
      <c r="Y102">
        <v>21.973880999999999</v>
      </c>
      <c r="Z102">
        <v>22.062764000000001</v>
      </c>
      <c r="AA102">
        <v>22.223499</v>
      </c>
      <c r="AB102">
        <v>22.378456</v>
      </c>
      <c r="AC102">
        <v>22.459212000000001</v>
      </c>
      <c r="AD102">
        <v>22.427599000000001</v>
      </c>
      <c r="AE102">
        <v>22.37236</v>
      </c>
      <c r="AF102">
        <v>22.297429000000001</v>
      </c>
      <c r="AG102" s="9">
        <v>-3.0000000000000001E-3</v>
      </c>
    </row>
    <row r="103" spans="1:33">
      <c r="A103" t="s">
        <v>1836</v>
      </c>
      <c r="B103" t="s">
        <v>1835</v>
      </c>
      <c r="C103" t="s">
        <v>1834</v>
      </c>
      <c r="D103" t="s">
        <v>1833</v>
      </c>
      <c r="F103">
        <v>8.2315170000000002</v>
      </c>
      <c r="G103">
        <v>8.356859</v>
      </c>
      <c r="H103">
        <v>8.3182880000000008</v>
      </c>
      <c r="I103">
        <v>8.2909299999999995</v>
      </c>
      <c r="J103">
        <v>8.3077780000000008</v>
      </c>
      <c r="K103">
        <v>8.3374550000000003</v>
      </c>
      <c r="L103">
        <v>8.3757319999999993</v>
      </c>
      <c r="M103">
        <v>8.4028349999999996</v>
      </c>
      <c r="N103">
        <v>8.4641330000000004</v>
      </c>
      <c r="O103">
        <v>8.4959319999999998</v>
      </c>
      <c r="P103">
        <v>8.5403179999999992</v>
      </c>
      <c r="Q103">
        <v>8.5279729999999994</v>
      </c>
      <c r="R103">
        <v>8.5055169999999993</v>
      </c>
      <c r="S103">
        <v>8.4888680000000001</v>
      </c>
      <c r="T103">
        <v>8.483689</v>
      </c>
      <c r="U103">
        <v>8.4763900000000003</v>
      </c>
      <c r="V103">
        <v>8.4840520000000001</v>
      </c>
      <c r="W103">
        <v>8.5093599999999991</v>
      </c>
      <c r="X103">
        <v>8.5356719999999999</v>
      </c>
      <c r="Y103">
        <v>8.5486109999999993</v>
      </c>
      <c r="Z103">
        <v>8.5571140000000003</v>
      </c>
      <c r="AA103">
        <v>8.5607380000000006</v>
      </c>
      <c r="AB103">
        <v>8.5608299999999993</v>
      </c>
      <c r="AC103">
        <v>8.5542350000000003</v>
      </c>
      <c r="AD103">
        <v>8.5512890000000006</v>
      </c>
      <c r="AE103">
        <v>8.5480119999999999</v>
      </c>
      <c r="AF103">
        <v>8.5461880000000008</v>
      </c>
      <c r="AG103" s="9">
        <v>1E-3</v>
      </c>
    </row>
    <row r="104" spans="1:33">
      <c r="A104" t="s">
        <v>1832</v>
      </c>
    </row>
    <row r="105" spans="1:33">
      <c r="A105" t="s">
        <v>251</v>
      </c>
    </row>
    <row r="106" spans="1:33">
      <c r="A106" t="s">
        <v>161</v>
      </c>
      <c r="B106" t="s">
        <v>1831</v>
      </c>
      <c r="C106" t="s">
        <v>1830</v>
      </c>
      <c r="D106" t="s">
        <v>1801</v>
      </c>
      <c r="F106">
        <v>17.766323</v>
      </c>
      <c r="G106">
        <v>17.970210999999999</v>
      </c>
      <c r="H106">
        <v>17.959671</v>
      </c>
      <c r="I106">
        <v>17.85622</v>
      </c>
      <c r="J106">
        <v>17.812985999999999</v>
      </c>
      <c r="K106">
        <v>17.876345000000001</v>
      </c>
      <c r="L106">
        <v>17.945992</v>
      </c>
      <c r="M106">
        <v>17.996148999999999</v>
      </c>
      <c r="N106">
        <v>18.214977000000001</v>
      </c>
      <c r="O106">
        <v>18.394098</v>
      </c>
      <c r="P106">
        <v>18.492505999999999</v>
      </c>
      <c r="Q106">
        <v>19.302897999999999</v>
      </c>
      <c r="R106">
        <v>19.313524000000001</v>
      </c>
      <c r="S106">
        <v>19.199712999999999</v>
      </c>
      <c r="T106">
        <v>19.099436000000001</v>
      </c>
      <c r="U106">
        <v>19.006401</v>
      </c>
      <c r="V106">
        <v>18.972618000000001</v>
      </c>
      <c r="W106">
        <v>19.015931999999999</v>
      </c>
      <c r="X106">
        <v>19.059194999999999</v>
      </c>
      <c r="Y106">
        <v>19.089003000000002</v>
      </c>
      <c r="Z106">
        <v>19.078462999999999</v>
      </c>
      <c r="AA106">
        <v>19.073222999999999</v>
      </c>
      <c r="AB106">
        <v>19.035549</v>
      </c>
      <c r="AC106">
        <v>18.976642999999999</v>
      </c>
      <c r="AD106">
        <v>18.914947999999999</v>
      </c>
      <c r="AE106">
        <v>18.991773999999999</v>
      </c>
      <c r="AF106">
        <v>18.961599</v>
      </c>
      <c r="AG106" s="9">
        <v>3.0000000000000001E-3</v>
      </c>
    </row>
    <row r="107" spans="1:33">
      <c r="A107" t="s">
        <v>1817</v>
      </c>
      <c r="B107" t="s">
        <v>1829</v>
      </c>
      <c r="C107" t="s">
        <v>1828</v>
      </c>
      <c r="D107" t="s">
        <v>1801</v>
      </c>
      <c r="F107">
        <v>19.777598999999999</v>
      </c>
      <c r="G107">
        <v>19.960829</v>
      </c>
      <c r="H107">
        <v>19.863551999999999</v>
      </c>
      <c r="I107">
        <v>19.700586000000001</v>
      </c>
      <c r="J107">
        <v>19.63954</v>
      </c>
      <c r="K107">
        <v>19.690778999999999</v>
      </c>
      <c r="L107">
        <v>19.757977</v>
      </c>
      <c r="M107">
        <v>19.798511999999999</v>
      </c>
      <c r="N107">
        <v>20.007479</v>
      </c>
      <c r="O107">
        <v>20.204947000000001</v>
      </c>
      <c r="P107">
        <v>20.307542999999999</v>
      </c>
      <c r="Q107">
        <v>20.827048999999999</v>
      </c>
      <c r="R107">
        <v>20.821225999999999</v>
      </c>
      <c r="S107">
        <v>20.723355999999999</v>
      </c>
      <c r="T107">
        <v>20.637675999999999</v>
      </c>
      <c r="U107">
        <v>20.552267000000001</v>
      </c>
      <c r="V107">
        <v>20.518706999999999</v>
      </c>
      <c r="W107">
        <v>20.559086000000001</v>
      </c>
      <c r="X107">
        <v>20.594023</v>
      </c>
      <c r="Y107">
        <v>20.612739999999999</v>
      </c>
      <c r="Z107">
        <v>20.589821000000001</v>
      </c>
      <c r="AA107">
        <v>20.572635999999999</v>
      </c>
      <c r="AB107">
        <v>20.518937999999999</v>
      </c>
      <c r="AC107">
        <v>20.441102999999998</v>
      </c>
      <c r="AD107">
        <v>20.358809000000001</v>
      </c>
      <c r="AE107">
        <v>20.404717999999999</v>
      </c>
      <c r="AF107">
        <v>20.358135000000001</v>
      </c>
      <c r="AG107" s="9">
        <v>1E-3</v>
      </c>
    </row>
    <row r="108" spans="1:33">
      <c r="A108" t="s">
        <v>1814</v>
      </c>
      <c r="B108" t="s">
        <v>1827</v>
      </c>
      <c r="C108" t="s">
        <v>1826</v>
      </c>
      <c r="D108" t="s">
        <v>1801</v>
      </c>
      <c r="F108">
        <v>17.562643000000001</v>
      </c>
      <c r="G108">
        <v>17.663405999999998</v>
      </c>
      <c r="H108">
        <v>17.567457000000001</v>
      </c>
      <c r="I108">
        <v>17.382929000000001</v>
      </c>
      <c r="J108">
        <v>17.291913999999998</v>
      </c>
      <c r="K108">
        <v>17.307409</v>
      </c>
      <c r="L108">
        <v>17.343654999999998</v>
      </c>
      <c r="M108">
        <v>17.378972999999998</v>
      </c>
      <c r="N108">
        <v>17.587420999999999</v>
      </c>
      <c r="O108">
        <v>17.754463000000001</v>
      </c>
      <c r="P108">
        <v>17.843942999999999</v>
      </c>
      <c r="Q108">
        <v>18.745529000000001</v>
      </c>
      <c r="R108">
        <v>18.747879000000001</v>
      </c>
      <c r="S108">
        <v>18.610184</v>
      </c>
      <c r="T108">
        <v>18.480103</v>
      </c>
      <c r="U108">
        <v>18.357793999999998</v>
      </c>
      <c r="V108">
        <v>18.290929999999999</v>
      </c>
      <c r="W108">
        <v>18.293406000000001</v>
      </c>
      <c r="X108">
        <v>18.292567999999999</v>
      </c>
      <c r="Y108">
        <v>18.276505</v>
      </c>
      <c r="Z108">
        <v>18.221741000000002</v>
      </c>
      <c r="AA108">
        <v>18.169429999999998</v>
      </c>
      <c r="AB108">
        <v>18.083389</v>
      </c>
      <c r="AC108">
        <v>17.971112999999999</v>
      </c>
      <c r="AD108">
        <v>17.858927000000001</v>
      </c>
      <c r="AE108">
        <v>17.892932999999999</v>
      </c>
      <c r="AF108">
        <v>17.811951000000001</v>
      </c>
      <c r="AG108" s="9">
        <v>1E-3</v>
      </c>
    </row>
    <row r="109" spans="1:33">
      <c r="A109" t="s">
        <v>1808</v>
      </c>
      <c r="B109" t="s">
        <v>1825</v>
      </c>
      <c r="C109" t="s">
        <v>1824</v>
      </c>
      <c r="D109" t="s">
        <v>1801</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t="s">
        <v>110</v>
      </c>
    </row>
    <row r="110" spans="1:33">
      <c r="A110" t="s">
        <v>198</v>
      </c>
      <c r="B110" t="s">
        <v>1823</v>
      </c>
      <c r="C110" t="s">
        <v>1822</v>
      </c>
      <c r="D110" t="s">
        <v>1801</v>
      </c>
      <c r="F110">
        <v>11.443804</v>
      </c>
      <c r="G110">
        <v>12.072668</v>
      </c>
      <c r="H110">
        <v>11.969920999999999</v>
      </c>
      <c r="I110">
        <v>11.783875</v>
      </c>
      <c r="J110">
        <v>11.726345999999999</v>
      </c>
      <c r="K110">
        <v>11.797737</v>
      </c>
      <c r="L110">
        <v>11.908505999999999</v>
      </c>
      <c r="M110">
        <v>11.999717</v>
      </c>
      <c r="N110">
        <v>12.302014</v>
      </c>
      <c r="O110">
        <v>12.554612000000001</v>
      </c>
      <c r="P110">
        <v>12.694451000000001</v>
      </c>
      <c r="Q110">
        <v>13.0364</v>
      </c>
      <c r="R110">
        <v>12.997778</v>
      </c>
      <c r="S110">
        <v>12.920356999999999</v>
      </c>
      <c r="T110">
        <v>12.858921</v>
      </c>
      <c r="U110">
        <v>12.790533999999999</v>
      </c>
      <c r="V110">
        <v>12.798731999999999</v>
      </c>
      <c r="W110">
        <v>12.878328</v>
      </c>
      <c r="X110">
        <v>12.934844999999999</v>
      </c>
      <c r="Y110">
        <v>12.995628</v>
      </c>
      <c r="Z110">
        <v>12.983548000000001</v>
      </c>
      <c r="AA110">
        <v>12.963507999999999</v>
      </c>
      <c r="AB110">
        <v>12.921654999999999</v>
      </c>
      <c r="AC110">
        <v>12.843486</v>
      </c>
      <c r="AD110">
        <v>12.780554</v>
      </c>
      <c r="AE110">
        <v>12.805318</v>
      </c>
      <c r="AF110">
        <v>12.774438999999999</v>
      </c>
      <c r="AG110" s="9">
        <v>4.0000000000000001E-3</v>
      </c>
    </row>
    <row r="111" spans="1:33">
      <c r="A111" t="s">
        <v>199</v>
      </c>
      <c r="B111" t="s">
        <v>1821</v>
      </c>
      <c r="C111" t="s">
        <v>1820</v>
      </c>
      <c r="D111" t="s">
        <v>1801</v>
      </c>
      <c r="F111">
        <v>11.443804</v>
      </c>
      <c r="G111">
        <v>12.072668</v>
      </c>
      <c r="H111">
        <v>11.969920999999999</v>
      </c>
      <c r="I111">
        <v>11.783875</v>
      </c>
      <c r="J111">
        <v>11.726345999999999</v>
      </c>
      <c r="K111">
        <v>11.797737</v>
      </c>
      <c r="L111">
        <v>11.908505999999999</v>
      </c>
      <c r="M111">
        <v>11.999717</v>
      </c>
      <c r="N111">
        <v>12.302014</v>
      </c>
      <c r="O111">
        <v>12.554612000000001</v>
      </c>
      <c r="P111">
        <v>12.694451000000001</v>
      </c>
      <c r="Q111">
        <v>13.0364</v>
      </c>
      <c r="R111">
        <v>12.997778</v>
      </c>
      <c r="S111">
        <v>12.920356999999999</v>
      </c>
      <c r="T111">
        <v>12.858921</v>
      </c>
      <c r="U111">
        <v>12.790533999999999</v>
      </c>
      <c r="V111">
        <v>12.798731999999999</v>
      </c>
      <c r="W111">
        <v>12.878328</v>
      </c>
      <c r="X111">
        <v>12.934844999999999</v>
      </c>
      <c r="Y111">
        <v>12.995628</v>
      </c>
      <c r="Z111">
        <v>12.983548000000001</v>
      </c>
      <c r="AA111">
        <v>12.963507999999999</v>
      </c>
      <c r="AB111">
        <v>12.921654999999999</v>
      </c>
      <c r="AC111">
        <v>12.843486</v>
      </c>
      <c r="AD111">
        <v>12.780554</v>
      </c>
      <c r="AE111">
        <v>12.805318</v>
      </c>
      <c r="AF111">
        <v>12.774438999999999</v>
      </c>
      <c r="AG111" s="9">
        <v>4.0000000000000001E-3</v>
      </c>
    </row>
    <row r="112" spans="1:33">
      <c r="A112" t="s">
        <v>252</v>
      </c>
    </row>
    <row r="113" spans="1:33">
      <c r="A113" t="s">
        <v>161</v>
      </c>
      <c r="B113" t="s">
        <v>1819</v>
      </c>
      <c r="C113" t="s">
        <v>1818</v>
      </c>
      <c r="D113" t="s">
        <v>1801</v>
      </c>
      <c r="F113">
        <v>26.082224</v>
      </c>
      <c r="G113">
        <v>27.372015000000001</v>
      </c>
      <c r="H113">
        <v>26.960653000000001</v>
      </c>
      <c r="I113">
        <v>26.532195999999999</v>
      </c>
      <c r="J113">
        <v>26.423973</v>
      </c>
      <c r="K113">
        <v>26.564364999999999</v>
      </c>
      <c r="L113">
        <v>26.776347999999999</v>
      </c>
      <c r="M113">
        <v>26.899049999999999</v>
      </c>
      <c r="N113">
        <v>27.525832999999999</v>
      </c>
      <c r="O113">
        <v>28.011175000000001</v>
      </c>
      <c r="P113">
        <v>28.278126</v>
      </c>
      <c r="Q113">
        <v>28.777691000000001</v>
      </c>
      <c r="R113">
        <v>28.634815</v>
      </c>
      <c r="S113">
        <v>28.390754999999999</v>
      </c>
      <c r="T113">
        <v>28.198139000000001</v>
      </c>
      <c r="U113">
        <v>28.004740000000002</v>
      </c>
      <c r="V113">
        <v>27.976728000000001</v>
      </c>
      <c r="W113">
        <v>28.080334000000001</v>
      </c>
      <c r="X113">
        <v>28.169062</v>
      </c>
      <c r="Y113">
        <v>28.202684000000001</v>
      </c>
      <c r="Z113">
        <v>28.142578</v>
      </c>
      <c r="AA113">
        <v>28.047516000000002</v>
      </c>
      <c r="AB113">
        <v>27.889599</v>
      </c>
      <c r="AC113">
        <v>27.643142999999998</v>
      </c>
      <c r="AD113">
        <v>27.423555</v>
      </c>
      <c r="AE113">
        <v>27.345938</v>
      </c>
      <c r="AF113">
        <v>27.191025</v>
      </c>
      <c r="AG113" s="9">
        <v>2E-3</v>
      </c>
    </row>
    <row r="114" spans="1:33">
      <c r="A114" t="s">
        <v>1817</v>
      </c>
      <c r="B114" t="s">
        <v>1816</v>
      </c>
      <c r="C114" t="s">
        <v>1815</v>
      </c>
      <c r="D114" t="s">
        <v>1801</v>
      </c>
      <c r="F114">
        <v>27.212330000000001</v>
      </c>
      <c r="G114">
        <v>28.590579999999999</v>
      </c>
      <c r="H114">
        <v>28.250004000000001</v>
      </c>
      <c r="I114">
        <v>27.861284000000001</v>
      </c>
      <c r="J114">
        <v>27.783439999999999</v>
      </c>
      <c r="K114">
        <v>27.948340999999999</v>
      </c>
      <c r="L114">
        <v>28.180513000000001</v>
      </c>
      <c r="M114">
        <v>28.31982</v>
      </c>
      <c r="N114">
        <v>28.963902000000001</v>
      </c>
      <c r="O114">
        <v>29.464773000000001</v>
      </c>
      <c r="P114">
        <v>29.745934999999999</v>
      </c>
      <c r="Q114">
        <v>30.258866999999999</v>
      </c>
      <c r="R114">
        <v>30.127694999999999</v>
      </c>
      <c r="S114">
        <v>29.898018</v>
      </c>
      <c r="T114">
        <v>29.718136000000001</v>
      </c>
      <c r="U114">
        <v>29.539587000000001</v>
      </c>
      <c r="V114">
        <v>29.532623000000001</v>
      </c>
      <c r="W114">
        <v>29.663944000000001</v>
      </c>
      <c r="X114">
        <v>29.776478000000001</v>
      </c>
      <c r="Y114">
        <v>29.836489</v>
      </c>
      <c r="Z114">
        <v>29.807697000000001</v>
      </c>
      <c r="AA114">
        <v>29.742032999999999</v>
      </c>
      <c r="AB114">
        <v>29.621078000000001</v>
      </c>
      <c r="AC114">
        <v>29.414465</v>
      </c>
      <c r="AD114">
        <v>29.243926999999999</v>
      </c>
      <c r="AE114">
        <v>29.218567</v>
      </c>
      <c r="AF114">
        <v>29.114000000000001</v>
      </c>
      <c r="AG114" s="9">
        <v>3.0000000000000001E-3</v>
      </c>
    </row>
    <row r="115" spans="1:33">
      <c r="A115" t="s">
        <v>1814</v>
      </c>
      <c r="B115" t="s">
        <v>1813</v>
      </c>
      <c r="C115" t="s">
        <v>1812</v>
      </c>
      <c r="D115" t="s">
        <v>1801</v>
      </c>
      <c r="F115">
        <v>24.282774</v>
      </c>
      <c r="G115">
        <v>25.647283999999999</v>
      </c>
      <c r="H115">
        <v>25.308827999999998</v>
      </c>
      <c r="I115">
        <v>24.922684</v>
      </c>
      <c r="J115">
        <v>24.84449</v>
      </c>
      <c r="K115">
        <v>25.006926</v>
      </c>
      <c r="L115">
        <v>25.235980999999999</v>
      </c>
      <c r="M115">
        <v>25.372945999999999</v>
      </c>
      <c r="N115">
        <v>26.010107000000001</v>
      </c>
      <c r="O115">
        <v>26.505376999999999</v>
      </c>
      <c r="P115">
        <v>26.782921000000002</v>
      </c>
      <c r="Q115">
        <v>27.294965999999999</v>
      </c>
      <c r="R115">
        <v>27.164916999999999</v>
      </c>
      <c r="S115">
        <v>26.936419000000001</v>
      </c>
      <c r="T115">
        <v>26.757287999999999</v>
      </c>
      <c r="U115">
        <v>26.579505999999999</v>
      </c>
      <c r="V115">
        <v>26.571735</v>
      </c>
      <c r="W115">
        <v>26.701001999999999</v>
      </c>
      <c r="X115">
        <v>26.811657</v>
      </c>
      <c r="Y115">
        <v>26.870258</v>
      </c>
      <c r="Z115">
        <v>26.840878</v>
      </c>
      <c r="AA115">
        <v>26.774963</v>
      </c>
      <c r="AB115">
        <v>26.654264000000001</v>
      </c>
      <c r="AC115">
        <v>26.448715</v>
      </c>
      <c r="AD115">
        <v>26.278912999999999</v>
      </c>
      <c r="AE115">
        <v>26.253814999999999</v>
      </c>
      <c r="AF115">
        <v>26.149422000000001</v>
      </c>
      <c r="AG115" s="9">
        <v>3.0000000000000001E-3</v>
      </c>
    </row>
    <row r="116" spans="1:33">
      <c r="A116" t="s">
        <v>1811</v>
      </c>
      <c r="B116" t="s">
        <v>1810</v>
      </c>
      <c r="C116" t="s">
        <v>1809</v>
      </c>
      <c r="D116" t="s">
        <v>1801</v>
      </c>
      <c r="F116">
        <v>15.662438</v>
      </c>
      <c r="G116">
        <v>17.095972</v>
      </c>
      <c r="H116">
        <v>16.921756999999999</v>
      </c>
      <c r="I116">
        <v>16.564378999999999</v>
      </c>
      <c r="J116">
        <v>16.49259</v>
      </c>
      <c r="K116">
        <v>16.698236000000001</v>
      </c>
      <c r="L116">
        <v>16.991081000000001</v>
      </c>
      <c r="M116">
        <v>17.245121000000001</v>
      </c>
      <c r="N116">
        <v>17.959441999999999</v>
      </c>
      <c r="O116">
        <v>18.565225999999999</v>
      </c>
      <c r="P116">
        <v>18.924628999999999</v>
      </c>
      <c r="Q116">
        <v>19.662490999999999</v>
      </c>
      <c r="R116">
        <v>19.615673000000001</v>
      </c>
      <c r="S116">
        <v>19.493829999999999</v>
      </c>
      <c r="T116">
        <v>19.405608999999998</v>
      </c>
      <c r="U116">
        <v>19.300985000000001</v>
      </c>
      <c r="V116">
        <v>19.363647</v>
      </c>
      <c r="W116">
        <v>19.582083000000001</v>
      </c>
      <c r="X116">
        <v>19.75009</v>
      </c>
      <c r="Y116">
        <v>19.927520999999999</v>
      </c>
      <c r="Z116">
        <v>19.945639</v>
      </c>
      <c r="AA116">
        <v>19.946338999999998</v>
      </c>
      <c r="AB116">
        <v>19.898668000000001</v>
      </c>
      <c r="AC116">
        <v>19.771090999999998</v>
      </c>
      <c r="AD116">
        <v>19.676361</v>
      </c>
      <c r="AE116">
        <v>19.762139999999999</v>
      </c>
      <c r="AF116">
        <v>19.735866999999999</v>
      </c>
      <c r="AG116" s="9">
        <v>8.9999999999999993E-3</v>
      </c>
    </row>
    <row r="117" spans="1:33">
      <c r="A117" t="s">
        <v>1808</v>
      </c>
      <c r="B117" t="s">
        <v>1807</v>
      </c>
      <c r="C117" t="s">
        <v>1806</v>
      </c>
      <c r="D117" t="s">
        <v>1801</v>
      </c>
      <c r="F117">
        <v>11.131519000000001</v>
      </c>
      <c r="G117">
        <v>11.783325</v>
      </c>
      <c r="H117">
        <v>11.598039</v>
      </c>
      <c r="I117">
        <v>11.436346</v>
      </c>
      <c r="J117">
        <v>11.439994</v>
      </c>
      <c r="K117">
        <v>11.579726000000001</v>
      </c>
      <c r="L117">
        <v>11.769632</v>
      </c>
      <c r="M117">
        <v>11.890407</v>
      </c>
      <c r="N117">
        <v>12.266788</v>
      </c>
      <c r="O117">
        <v>12.528677999999999</v>
      </c>
      <c r="P117">
        <v>12.711942000000001</v>
      </c>
      <c r="Q117">
        <v>13.838943</v>
      </c>
      <c r="R117">
        <v>13.914254</v>
      </c>
      <c r="S117">
        <v>13.820492</v>
      </c>
      <c r="T117">
        <v>13.752132</v>
      </c>
      <c r="U117">
        <v>13.689482999999999</v>
      </c>
      <c r="V117">
        <v>13.71308</v>
      </c>
      <c r="W117">
        <v>13.800635</v>
      </c>
      <c r="X117">
        <v>13.886991</v>
      </c>
      <c r="Y117">
        <v>13.943507</v>
      </c>
      <c r="Z117">
        <v>13.96114</v>
      </c>
      <c r="AA117">
        <v>13.94815</v>
      </c>
      <c r="AB117">
        <v>13.912392000000001</v>
      </c>
      <c r="AC117">
        <v>13.839399999999999</v>
      </c>
      <c r="AD117">
        <v>13.792706000000001</v>
      </c>
      <c r="AE117">
        <v>13.955946000000001</v>
      </c>
      <c r="AF117">
        <v>13.916736999999999</v>
      </c>
      <c r="AG117" s="9">
        <v>8.9999999999999993E-3</v>
      </c>
    </row>
    <row r="118" spans="1:33">
      <c r="A118" t="s">
        <v>198</v>
      </c>
      <c r="B118" t="s">
        <v>1805</v>
      </c>
      <c r="C118" t="s">
        <v>1804</v>
      </c>
      <c r="D118" t="s">
        <v>1801</v>
      </c>
      <c r="F118">
        <v>10.518917999999999</v>
      </c>
      <c r="G118">
        <v>11.220459</v>
      </c>
      <c r="H118">
        <v>11.048302</v>
      </c>
      <c r="I118">
        <v>10.882524</v>
      </c>
      <c r="J118">
        <v>10.878577999999999</v>
      </c>
      <c r="K118">
        <v>10.997228</v>
      </c>
      <c r="L118">
        <v>11.141553999999999</v>
      </c>
      <c r="M118">
        <v>11.237958000000001</v>
      </c>
      <c r="N118">
        <v>11.587527</v>
      </c>
      <c r="O118">
        <v>11.865107</v>
      </c>
      <c r="P118">
        <v>12.042180999999999</v>
      </c>
      <c r="Q118">
        <v>12.425376999999999</v>
      </c>
      <c r="R118">
        <v>12.398633999999999</v>
      </c>
      <c r="S118">
        <v>12.306039999999999</v>
      </c>
      <c r="T118">
        <v>12.237890999999999</v>
      </c>
      <c r="U118">
        <v>12.169972</v>
      </c>
      <c r="V118">
        <v>12.187250000000001</v>
      </c>
      <c r="W118">
        <v>12.269031999999999</v>
      </c>
      <c r="X118">
        <v>12.346788999999999</v>
      </c>
      <c r="Y118">
        <v>12.400518999999999</v>
      </c>
      <c r="Z118">
        <v>12.414308999999999</v>
      </c>
      <c r="AA118">
        <v>12.404987999999999</v>
      </c>
      <c r="AB118">
        <v>12.371383</v>
      </c>
      <c r="AC118">
        <v>12.301284000000001</v>
      </c>
      <c r="AD118">
        <v>12.250579</v>
      </c>
      <c r="AE118">
        <v>12.284452</v>
      </c>
      <c r="AF118">
        <v>12.258368000000001</v>
      </c>
      <c r="AG118" s="9">
        <v>6.0000000000000001E-3</v>
      </c>
    </row>
    <row r="119" spans="1:33">
      <c r="A119" t="s">
        <v>199</v>
      </c>
      <c r="B119" t="s">
        <v>1803</v>
      </c>
      <c r="C119" t="s">
        <v>1802</v>
      </c>
      <c r="D119" t="s">
        <v>1801</v>
      </c>
      <c r="F119">
        <v>11.206511000000001</v>
      </c>
      <c r="G119">
        <v>11.851167999999999</v>
      </c>
      <c r="H119">
        <v>11.666744</v>
      </c>
      <c r="I119">
        <v>11.508732999999999</v>
      </c>
      <c r="J119">
        <v>11.513063000000001</v>
      </c>
      <c r="K119">
        <v>11.654737000000001</v>
      </c>
      <c r="L119">
        <v>11.849112999999999</v>
      </c>
      <c r="M119">
        <v>11.970824</v>
      </c>
      <c r="N119">
        <v>12.350697</v>
      </c>
      <c r="O119">
        <v>12.611025</v>
      </c>
      <c r="P119">
        <v>12.794636000000001</v>
      </c>
      <c r="Q119">
        <v>14.018115999999999</v>
      </c>
      <c r="R119">
        <v>14.107737999999999</v>
      </c>
      <c r="S119">
        <v>14.015776000000001</v>
      </c>
      <c r="T119">
        <v>13.949567999999999</v>
      </c>
      <c r="U119">
        <v>13.890155</v>
      </c>
      <c r="V119">
        <v>13.92394</v>
      </c>
      <c r="W119">
        <v>14.023643</v>
      </c>
      <c r="X119">
        <v>14.124241</v>
      </c>
      <c r="Y119">
        <v>14.193315</v>
      </c>
      <c r="Z119">
        <v>14.223763</v>
      </c>
      <c r="AA119">
        <v>14.221519000000001</v>
      </c>
      <c r="AB119">
        <v>14.199920000000001</v>
      </c>
      <c r="AC119">
        <v>14.141954</v>
      </c>
      <c r="AD119">
        <v>14.111420000000001</v>
      </c>
      <c r="AE119">
        <v>14.317017</v>
      </c>
      <c r="AF119">
        <v>14.291043999999999</v>
      </c>
      <c r="AG119" s="9">
        <v>8.9999999999999993E-3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48F02-FD67-4031-AB4A-9B8E1FA2E39D}">
  <sheetPr>
    <tabColor theme="4" tint="0.39997558519241921"/>
  </sheetPr>
  <dimension ref="A1:AG61"/>
  <sheetViews>
    <sheetView workbookViewId="0"/>
  </sheetViews>
  <sheetFormatPr defaultRowHeight="14.25"/>
  <cols>
    <col min="1" max="1" width="22.1328125" customWidth="1"/>
  </cols>
  <sheetData>
    <row r="1" spans="1:33">
      <c r="A1" t="s">
        <v>189</v>
      </c>
    </row>
    <row r="2" spans="1:33">
      <c r="A2" t="s">
        <v>1800</v>
      </c>
    </row>
    <row r="3" spans="1:33">
      <c r="A3" t="s">
        <v>1799</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44</v>
      </c>
    </row>
    <row r="7" spans="1:33">
      <c r="A7" t="s">
        <v>151</v>
      </c>
    </row>
    <row r="8" spans="1:33">
      <c r="A8" t="s">
        <v>152</v>
      </c>
      <c r="B8" t="s">
        <v>1798</v>
      </c>
      <c r="C8" t="s">
        <v>1797</v>
      </c>
      <c r="D8" t="s">
        <v>193</v>
      </c>
      <c r="F8">
        <v>15264.654296999999</v>
      </c>
      <c r="G8">
        <v>15318.794921999999</v>
      </c>
      <c r="H8">
        <v>15263.796875</v>
      </c>
      <c r="I8">
        <v>15137.205078000001</v>
      </c>
      <c r="J8">
        <v>14977.21875</v>
      </c>
      <c r="K8">
        <v>14792.022461</v>
      </c>
      <c r="L8">
        <v>14586.776367</v>
      </c>
      <c r="M8">
        <v>14410.758789</v>
      </c>
      <c r="N8">
        <v>14212.752930000001</v>
      </c>
      <c r="O8">
        <v>14032.137694999999</v>
      </c>
      <c r="P8">
        <v>13876.545898</v>
      </c>
      <c r="Q8">
        <v>13716.935546999999</v>
      </c>
      <c r="R8">
        <v>13531.819336</v>
      </c>
      <c r="S8">
        <v>13355.208984000001</v>
      </c>
      <c r="T8">
        <v>13213.083984000001</v>
      </c>
      <c r="U8">
        <v>13074.737305000001</v>
      </c>
      <c r="V8">
        <v>12960.391602</v>
      </c>
      <c r="W8">
        <v>12861.576171999999</v>
      </c>
      <c r="X8">
        <v>12746.392578000001</v>
      </c>
      <c r="Y8">
        <v>12672.746094</v>
      </c>
      <c r="Z8">
        <v>12583.179688</v>
      </c>
      <c r="AA8">
        <v>12516.973633</v>
      </c>
      <c r="AB8">
        <v>12440.612305000001</v>
      </c>
      <c r="AC8">
        <v>12393.320312</v>
      </c>
      <c r="AD8">
        <v>12311.715819999999</v>
      </c>
      <c r="AE8">
        <v>12264.786133</v>
      </c>
      <c r="AF8">
        <v>12255.931640999999</v>
      </c>
      <c r="AG8" s="9">
        <v>-8.0000000000000002E-3</v>
      </c>
    </row>
    <row r="9" spans="1:33">
      <c r="A9" t="s">
        <v>153</v>
      </c>
      <c r="B9" t="s">
        <v>1796</v>
      </c>
      <c r="C9" t="s">
        <v>1795</v>
      </c>
      <c r="D9" t="s">
        <v>193</v>
      </c>
      <c r="F9">
        <v>5666.4248049999997</v>
      </c>
      <c r="G9">
        <v>5554.9677730000003</v>
      </c>
      <c r="H9">
        <v>5400.2788090000004</v>
      </c>
      <c r="I9">
        <v>5213.4335940000001</v>
      </c>
      <c r="J9">
        <v>5021.1035160000001</v>
      </c>
      <c r="K9">
        <v>4829.015625</v>
      </c>
      <c r="L9">
        <v>4647.3159180000002</v>
      </c>
      <c r="M9">
        <v>4471.4189450000003</v>
      </c>
      <c r="N9">
        <v>4301.4409180000002</v>
      </c>
      <c r="O9">
        <v>4137.546875</v>
      </c>
      <c r="P9">
        <v>4011.375732</v>
      </c>
      <c r="Q9">
        <v>3874.71875</v>
      </c>
      <c r="R9">
        <v>3737.3823240000002</v>
      </c>
      <c r="S9">
        <v>3626.6340329999998</v>
      </c>
      <c r="T9">
        <v>3540.140625</v>
      </c>
      <c r="U9">
        <v>3457.0771479999999</v>
      </c>
      <c r="V9">
        <v>3381.4636230000001</v>
      </c>
      <c r="W9">
        <v>3320.8725589999999</v>
      </c>
      <c r="X9">
        <v>3263.185547</v>
      </c>
      <c r="Y9">
        <v>3214.3291020000001</v>
      </c>
      <c r="Z9">
        <v>3165.242432</v>
      </c>
      <c r="AA9">
        <v>3127.65625</v>
      </c>
      <c r="AB9">
        <v>3090.6357419999999</v>
      </c>
      <c r="AC9">
        <v>3066.741211</v>
      </c>
      <c r="AD9">
        <v>3033.1828609999998</v>
      </c>
      <c r="AE9">
        <v>3002.1784670000002</v>
      </c>
      <c r="AF9">
        <v>2982.717529</v>
      </c>
      <c r="AG9" s="9">
        <v>-2.4E-2</v>
      </c>
    </row>
    <row r="10" spans="1:33">
      <c r="A10" t="s">
        <v>154</v>
      </c>
      <c r="B10" t="s">
        <v>1794</v>
      </c>
      <c r="C10" t="s">
        <v>1793</v>
      </c>
      <c r="D10" t="s">
        <v>193</v>
      </c>
      <c r="F10">
        <v>9580.5361329999996</v>
      </c>
      <c r="G10">
        <v>9746.5537110000005</v>
      </c>
      <c r="H10">
        <v>9846.8046880000002</v>
      </c>
      <c r="I10">
        <v>9907.7138670000004</v>
      </c>
      <c r="J10">
        <v>9940.7285159999992</v>
      </c>
      <c r="K10">
        <v>9948.2871090000008</v>
      </c>
      <c r="L10">
        <v>9925.3662110000005</v>
      </c>
      <c r="M10">
        <v>9925.8486329999996</v>
      </c>
      <c r="N10">
        <v>9898.3974610000005</v>
      </c>
      <c r="O10">
        <v>9882.2314449999994</v>
      </c>
      <c r="P10">
        <v>9853.2382809999999</v>
      </c>
      <c r="Q10">
        <v>9830.7392579999996</v>
      </c>
      <c r="R10">
        <v>9783.4082030000009</v>
      </c>
      <c r="S10">
        <v>9717.9101559999999</v>
      </c>
      <c r="T10">
        <v>9662.5664059999999</v>
      </c>
      <c r="U10">
        <v>9607.5527340000008</v>
      </c>
      <c r="V10">
        <v>9569.0595699999994</v>
      </c>
      <c r="W10">
        <v>9531.0273440000001</v>
      </c>
      <c r="X10">
        <v>9473.7138670000004</v>
      </c>
      <c r="Y10">
        <v>9449.0751949999994</v>
      </c>
      <c r="Z10">
        <v>9408.7441409999992</v>
      </c>
      <c r="AA10">
        <v>9380.2470699999994</v>
      </c>
      <c r="AB10">
        <v>9341.0205079999996</v>
      </c>
      <c r="AC10">
        <v>9317.6933590000008</v>
      </c>
      <c r="AD10">
        <v>9269.7519530000009</v>
      </c>
      <c r="AE10">
        <v>9253.921875</v>
      </c>
      <c r="AF10">
        <v>9264.5908199999994</v>
      </c>
      <c r="AG10" s="9">
        <v>-1E-3</v>
      </c>
    </row>
    <row r="11" spans="1:33">
      <c r="A11" t="s">
        <v>155</v>
      </c>
      <c r="B11" t="s">
        <v>1792</v>
      </c>
      <c r="C11" t="s">
        <v>1791</v>
      </c>
      <c r="D11" t="s">
        <v>193</v>
      </c>
      <c r="F11">
        <v>17.693826999999999</v>
      </c>
      <c r="G11">
        <v>17.273775000000001</v>
      </c>
      <c r="H11">
        <v>16.712741999999999</v>
      </c>
      <c r="I11">
        <v>16.057793</v>
      </c>
      <c r="J11">
        <v>15.386234999999999</v>
      </c>
      <c r="K11">
        <v>14.720136</v>
      </c>
      <c r="L11">
        <v>14.094455</v>
      </c>
      <c r="M11">
        <v>13.491011</v>
      </c>
      <c r="N11">
        <v>12.914552</v>
      </c>
      <c r="O11">
        <v>12.358893999999999</v>
      </c>
      <c r="P11">
        <v>11.931881000000001</v>
      </c>
      <c r="Q11">
        <v>11.47748</v>
      </c>
      <c r="R11">
        <v>11.027963</v>
      </c>
      <c r="S11">
        <v>10.665314</v>
      </c>
      <c r="T11">
        <v>10.377406000000001</v>
      </c>
      <c r="U11">
        <v>10.107397000000001</v>
      </c>
      <c r="V11">
        <v>9.8679469999999991</v>
      </c>
      <c r="W11">
        <v>9.6754479999999994</v>
      </c>
      <c r="X11">
        <v>9.4931680000000007</v>
      </c>
      <c r="Y11">
        <v>9.3422169999999998</v>
      </c>
      <c r="Z11">
        <v>9.1935490000000009</v>
      </c>
      <c r="AA11">
        <v>9.0707690000000003</v>
      </c>
      <c r="AB11">
        <v>8.9561119999999992</v>
      </c>
      <c r="AC11">
        <v>8.8854290000000002</v>
      </c>
      <c r="AD11">
        <v>8.7810810000000004</v>
      </c>
      <c r="AE11">
        <v>8.6851040000000008</v>
      </c>
      <c r="AF11">
        <v>8.623068</v>
      </c>
      <c r="AG11" s="9">
        <v>-2.7E-2</v>
      </c>
    </row>
    <row r="12" spans="1:33">
      <c r="A12" t="s">
        <v>156</v>
      </c>
      <c r="B12" t="s">
        <v>1790</v>
      </c>
      <c r="C12" t="s">
        <v>1789</v>
      </c>
      <c r="D12" t="s">
        <v>193</v>
      </c>
      <c r="F12">
        <v>874.37512200000003</v>
      </c>
      <c r="G12">
        <v>855.73944100000006</v>
      </c>
      <c r="H12">
        <v>839.740723</v>
      </c>
      <c r="I12">
        <v>829.06292699999995</v>
      </c>
      <c r="J12">
        <v>817.03814699999998</v>
      </c>
      <c r="K12">
        <v>806.52301</v>
      </c>
      <c r="L12">
        <v>797.05285600000002</v>
      </c>
      <c r="M12">
        <v>786.66845699999999</v>
      </c>
      <c r="N12">
        <v>776.01849400000003</v>
      </c>
      <c r="O12">
        <v>765.74768100000006</v>
      </c>
      <c r="P12">
        <v>755.15270999999996</v>
      </c>
      <c r="Q12">
        <v>744.23327600000005</v>
      </c>
      <c r="R12">
        <v>733.15374799999995</v>
      </c>
      <c r="S12">
        <v>721.99127199999998</v>
      </c>
      <c r="T12">
        <v>710.85888699999998</v>
      </c>
      <c r="U12">
        <v>699.93121299999996</v>
      </c>
      <c r="V12">
        <v>689.72302200000001</v>
      </c>
      <c r="W12">
        <v>678.65423599999997</v>
      </c>
      <c r="X12">
        <v>668.12085000000002</v>
      </c>
      <c r="Y12">
        <v>657.26196300000004</v>
      </c>
      <c r="Z12">
        <v>646.87316899999996</v>
      </c>
      <c r="AA12">
        <v>636.53192100000001</v>
      </c>
      <c r="AB12">
        <v>626.42468299999996</v>
      </c>
      <c r="AC12">
        <v>616.49578899999995</v>
      </c>
      <c r="AD12">
        <v>606.53198199999997</v>
      </c>
      <c r="AE12">
        <v>596.60644500000001</v>
      </c>
      <c r="AF12">
        <v>586.68280000000004</v>
      </c>
      <c r="AG12" s="9">
        <v>-1.4999999999999999E-2</v>
      </c>
    </row>
    <row r="13" spans="1:33">
      <c r="A13" t="s">
        <v>157</v>
      </c>
      <c r="B13" t="s">
        <v>1788</v>
      </c>
      <c r="C13" t="s">
        <v>1787</v>
      </c>
      <c r="D13" t="s">
        <v>193</v>
      </c>
      <c r="F13">
        <v>207.85881000000001</v>
      </c>
      <c r="G13">
        <v>213.51556400000001</v>
      </c>
      <c r="H13">
        <v>216.12988300000001</v>
      </c>
      <c r="I13">
        <v>217.12576300000001</v>
      </c>
      <c r="J13">
        <v>217.48173499999999</v>
      </c>
      <c r="K13">
        <v>217.42764299999999</v>
      </c>
      <c r="L13">
        <v>217.24430799999999</v>
      </c>
      <c r="M13">
        <v>216.24174500000001</v>
      </c>
      <c r="N13">
        <v>214.76507599999999</v>
      </c>
      <c r="O13">
        <v>213.185867</v>
      </c>
      <c r="P13">
        <v>211.90617399999999</v>
      </c>
      <c r="Q13">
        <v>210.37204</v>
      </c>
      <c r="R13">
        <v>208.782928</v>
      </c>
      <c r="S13">
        <v>207.22485399999999</v>
      </c>
      <c r="T13">
        <v>205.64492799999999</v>
      </c>
      <c r="U13">
        <v>203.97955300000001</v>
      </c>
      <c r="V13">
        <v>202.18666099999999</v>
      </c>
      <c r="W13">
        <v>200.30072000000001</v>
      </c>
      <c r="X13">
        <v>198.29199199999999</v>
      </c>
      <c r="Y13">
        <v>196.33680699999999</v>
      </c>
      <c r="Z13">
        <v>194.28083799999999</v>
      </c>
      <c r="AA13">
        <v>192.319534</v>
      </c>
      <c r="AB13">
        <v>190.19499200000001</v>
      </c>
      <c r="AC13">
        <v>187.95109600000001</v>
      </c>
      <c r="AD13">
        <v>185.79196200000001</v>
      </c>
      <c r="AE13">
        <v>183.69107099999999</v>
      </c>
      <c r="AF13">
        <v>181.903885</v>
      </c>
      <c r="AG13" s="9">
        <v>-5.0000000000000001E-3</v>
      </c>
    </row>
    <row r="14" spans="1:33">
      <c r="A14" t="s">
        <v>158</v>
      </c>
      <c r="B14" t="s">
        <v>1786</v>
      </c>
      <c r="C14" t="s">
        <v>1785</v>
      </c>
      <c r="D14" t="s">
        <v>193</v>
      </c>
      <c r="F14">
        <v>76.710044999999994</v>
      </c>
      <c r="G14">
        <v>81.313903999999994</v>
      </c>
      <c r="H14">
        <v>83.939346</v>
      </c>
      <c r="I14">
        <v>85.569359000000006</v>
      </c>
      <c r="J14">
        <v>86.754188999999997</v>
      </c>
      <c r="K14">
        <v>87.688941999999997</v>
      </c>
      <c r="L14">
        <v>88.627594000000002</v>
      </c>
      <c r="M14">
        <v>88.838866999999993</v>
      </c>
      <c r="N14">
        <v>88.562233000000006</v>
      </c>
      <c r="O14">
        <v>88.112342999999996</v>
      </c>
      <c r="P14">
        <v>87.900931999999997</v>
      </c>
      <c r="Q14">
        <v>87.407082000000003</v>
      </c>
      <c r="R14">
        <v>86.832076999999998</v>
      </c>
      <c r="S14">
        <v>86.239661999999996</v>
      </c>
      <c r="T14">
        <v>85.777709999999999</v>
      </c>
      <c r="U14">
        <v>85.252876000000001</v>
      </c>
      <c r="V14">
        <v>84.619086999999993</v>
      </c>
      <c r="W14">
        <v>83.913132000000004</v>
      </c>
      <c r="X14">
        <v>83.115341000000001</v>
      </c>
      <c r="Y14">
        <v>82.391418000000002</v>
      </c>
      <c r="Z14">
        <v>81.586922000000001</v>
      </c>
      <c r="AA14">
        <v>80.892448000000002</v>
      </c>
      <c r="AB14">
        <v>80.055817000000005</v>
      </c>
      <c r="AC14">
        <v>79.108192000000003</v>
      </c>
      <c r="AD14">
        <v>78.258156</v>
      </c>
      <c r="AE14">
        <v>77.463318000000001</v>
      </c>
      <c r="AF14">
        <v>76.982123999999999</v>
      </c>
      <c r="AG14" s="9">
        <v>0</v>
      </c>
    </row>
    <row r="15" spans="1:33">
      <c r="A15" t="s">
        <v>159</v>
      </c>
      <c r="B15" t="s">
        <v>1784</v>
      </c>
      <c r="C15" t="s">
        <v>1783</v>
      </c>
      <c r="D15" t="s">
        <v>193</v>
      </c>
      <c r="F15">
        <v>30.108592999999999</v>
      </c>
      <c r="G15">
        <v>31.324183000000001</v>
      </c>
      <c r="H15">
        <v>32.204268999999996</v>
      </c>
      <c r="I15">
        <v>32.814284999999998</v>
      </c>
      <c r="J15">
        <v>33.256686999999999</v>
      </c>
      <c r="K15">
        <v>33.580925000000001</v>
      </c>
      <c r="L15">
        <v>33.812759</v>
      </c>
      <c r="M15">
        <v>33.971854999999998</v>
      </c>
      <c r="N15">
        <v>34.074733999999999</v>
      </c>
      <c r="O15">
        <v>34.127521999999999</v>
      </c>
      <c r="P15">
        <v>34.138331999999998</v>
      </c>
      <c r="Q15">
        <v>34.117863</v>
      </c>
      <c r="R15">
        <v>34.071151999999998</v>
      </c>
      <c r="S15">
        <v>34.002563000000002</v>
      </c>
      <c r="T15">
        <v>33.932445999999999</v>
      </c>
      <c r="U15">
        <v>33.850540000000002</v>
      </c>
      <c r="V15">
        <v>33.759456999999998</v>
      </c>
      <c r="W15">
        <v>33.660358000000002</v>
      </c>
      <c r="X15">
        <v>33.556801</v>
      </c>
      <c r="Y15">
        <v>33.447479000000001</v>
      </c>
      <c r="Z15">
        <v>33.332580999999998</v>
      </c>
      <c r="AA15">
        <v>33.213673</v>
      </c>
      <c r="AB15">
        <v>33.091960999999998</v>
      </c>
      <c r="AC15">
        <v>32.971535000000003</v>
      </c>
      <c r="AD15">
        <v>32.850974999999998</v>
      </c>
      <c r="AE15">
        <v>32.727406000000002</v>
      </c>
      <c r="AF15">
        <v>32.602530999999999</v>
      </c>
      <c r="AG15" s="9">
        <v>3.0000000000000001E-3</v>
      </c>
    </row>
    <row r="16" spans="1:33">
      <c r="A16" t="s">
        <v>160</v>
      </c>
      <c r="B16" t="s">
        <v>1782</v>
      </c>
      <c r="C16" t="s">
        <v>1781</v>
      </c>
      <c r="D16" t="s">
        <v>193</v>
      </c>
      <c r="F16">
        <v>101.04016900000001</v>
      </c>
      <c r="G16">
        <v>100.87748000000001</v>
      </c>
      <c r="H16">
        <v>99.986282000000003</v>
      </c>
      <c r="I16">
        <v>98.742125999999999</v>
      </c>
      <c r="J16">
        <v>97.470871000000002</v>
      </c>
      <c r="K16">
        <v>96.157784000000007</v>
      </c>
      <c r="L16">
        <v>94.803955000000002</v>
      </c>
      <c r="M16">
        <v>93.431022999999996</v>
      </c>
      <c r="N16">
        <v>92.128097999999994</v>
      </c>
      <c r="O16">
        <v>90.945992000000004</v>
      </c>
      <c r="P16">
        <v>89.866919999999993</v>
      </c>
      <c r="Q16">
        <v>88.847099</v>
      </c>
      <c r="R16">
        <v>87.879683999999997</v>
      </c>
      <c r="S16">
        <v>86.982628000000005</v>
      </c>
      <c r="T16">
        <v>85.934760999999995</v>
      </c>
      <c r="U16">
        <v>84.876143999999996</v>
      </c>
      <c r="V16">
        <v>83.808136000000005</v>
      </c>
      <c r="W16">
        <v>82.727233999999996</v>
      </c>
      <c r="X16">
        <v>81.619865000000004</v>
      </c>
      <c r="Y16">
        <v>80.497901999999996</v>
      </c>
      <c r="Z16">
        <v>79.361335999999994</v>
      </c>
      <c r="AA16">
        <v>78.213408999999999</v>
      </c>
      <c r="AB16">
        <v>77.047211000000004</v>
      </c>
      <c r="AC16">
        <v>75.871360999999993</v>
      </c>
      <c r="AD16">
        <v>74.682838000000004</v>
      </c>
      <c r="AE16">
        <v>73.500343000000001</v>
      </c>
      <c r="AF16">
        <v>72.319229000000007</v>
      </c>
      <c r="AG16" s="9">
        <v>-1.2999999999999999E-2</v>
      </c>
    </row>
    <row r="17" spans="1:33">
      <c r="A17" t="s">
        <v>161</v>
      </c>
      <c r="B17" t="s">
        <v>1780</v>
      </c>
      <c r="C17" t="s">
        <v>1779</v>
      </c>
      <c r="D17" t="s">
        <v>193</v>
      </c>
      <c r="F17">
        <v>6005.126953</v>
      </c>
      <c r="G17">
        <v>6058.6118159999996</v>
      </c>
      <c r="H17">
        <v>6062.5512699999999</v>
      </c>
      <c r="I17">
        <v>6052.2773440000001</v>
      </c>
      <c r="J17">
        <v>6018.6777339999999</v>
      </c>
      <c r="K17">
        <v>5988.8540039999998</v>
      </c>
      <c r="L17">
        <v>5960.1274409999996</v>
      </c>
      <c r="M17">
        <v>5923.4799800000001</v>
      </c>
      <c r="N17">
        <v>5889.1938479999999</v>
      </c>
      <c r="O17">
        <v>5851.3447269999997</v>
      </c>
      <c r="P17">
        <v>5821.859375</v>
      </c>
      <c r="Q17">
        <v>5796.486328</v>
      </c>
      <c r="R17">
        <v>5783.0732420000004</v>
      </c>
      <c r="S17">
        <v>5777.6479490000002</v>
      </c>
      <c r="T17">
        <v>5775.5737300000001</v>
      </c>
      <c r="U17">
        <v>5770.501953</v>
      </c>
      <c r="V17">
        <v>5770.6044920000004</v>
      </c>
      <c r="W17">
        <v>5771.0683589999999</v>
      </c>
      <c r="X17">
        <v>5774.9721680000002</v>
      </c>
      <c r="Y17">
        <v>5776.578125</v>
      </c>
      <c r="Z17">
        <v>5777.7490230000003</v>
      </c>
      <c r="AA17">
        <v>5784.5146480000003</v>
      </c>
      <c r="AB17">
        <v>5789.7836909999996</v>
      </c>
      <c r="AC17">
        <v>5816.3759769999997</v>
      </c>
      <c r="AD17">
        <v>5843.7744140000004</v>
      </c>
      <c r="AE17">
        <v>5867.5795900000003</v>
      </c>
      <c r="AF17">
        <v>5884.564453</v>
      </c>
      <c r="AG17" s="9">
        <v>-1E-3</v>
      </c>
    </row>
    <row r="18" spans="1:33">
      <c r="A18" t="s">
        <v>162</v>
      </c>
      <c r="B18" t="s">
        <v>1778</v>
      </c>
      <c r="C18" t="s">
        <v>1777</v>
      </c>
      <c r="D18" t="s">
        <v>193</v>
      </c>
      <c r="F18">
        <v>851.47601299999997</v>
      </c>
      <c r="G18">
        <v>863.49975600000005</v>
      </c>
      <c r="H18">
        <v>867.48791500000004</v>
      </c>
      <c r="I18">
        <v>868.15887499999997</v>
      </c>
      <c r="J18">
        <v>866.95129399999996</v>
      </c>
      <c r="K18">
        <v>870.92327899999998</v>
      </c>
      <c r="L18">
        <v>877.43017599999996</v>
      </c>
      <c r="M18">
        <v>883.93866000000003</v>
      </c>
      <c r="N18">
        <v>890.85522500000002</v>
      </c>
      <c r="O18">
        <v>897.59167500000001</v>
      </c>
      <c r="P18">
        <v>905.223389</v>
      </c>
      <c r="Q18">
        <v>912.45800799999995</v>
      </c>
      <c r="R18">
        <v>919.90441899999996</v>
      </c>
      <c r="S18">
        <v>926.81396500000005</v>
      </c>
      <c r="T18">
        <v>933.20428500000003</v>
      </c>
      <c r="U18">
        <v>938.73590100000001</v>
      </c>
      <c r="V18">
        <v>945.26696800000002</v>
      </c>
      <c r="W18">
        <v>950.28949</v>
      </c>
      <c r="X18">
        <v>954.308716</v>
      </c>
      <c r="Y18">
        <v>956.26916500000004</v>
      </c>
      <c r="Z18">
        <v>958.11407499999996</v>
      </c>
      <c r="AA18">
        <v>961.79260299999999</v>
      </c>
      <c r="AB18">
        <v>966.234375</v>
      </c>
      <c r="AC18">
        <v>973.57995600000004</v>
      </c>
      <c r="AD18">
        <v>979.51190199999996</v>
      </c>
      <c r="AE18">
        <v>984.37396200000001</v>
      </c>
      <c r="AF18">
        <v>988.63189699999998</v>
      </c>
      <c r="AG18" s="9">
        <v>6.0000000000000001E-3</v>
      </c>
    </row>
    <row r="19" spans="1:33">
      <c r="A19" t="s">
        <v>163</v>
      </c>
      <c r="B19" t="s">
        <v>1776</v>
      </c>
      <c r="C19" t="s">
        <v>1775</v>
      </c>
      <c r="D19" t="s">
        <v>193</v>
      </c>
      <c r="F19">
        <v>945.58374000000003</v>
      </c>
      <c r="G19">
        <v>933.908142</v>
      </c>
      <c r="H19">
        <v>915.86285399999997</v>
      </c>
      <c r="I19">
        <v>898.11730999999997</v>
      </c>
      <c r="J19">
        <v>880.15130599999998</v>
      </c>
      <c r="K19">
        <v>864.79656999999997</v>
      </c>
      <c r="L19">
        <v>851.15039100000001</v>
      </c>
      <c r="M19">
        <v>837.89587400000005</v>
      </c>
      <c r="N19">
        <v>826.33019999999999</v>
      </c>
      <c r="O19">
        <v>814.63720699999999</v>
      </c>
      <c r="P19">
        <v>804.64459199999999</v>
      </c>
      <c r="Q19">
        <v>795.93487500000003</v>
      </c>
      <c r="R19">
        <v>789.71978799999999</v>
      </c>
      <c r="S19">
        <v>785.57684300000005</v>
      </c>
      <c r="T19">
        <v>782.27105700000004</v>
      </c>
      <c r="U19">
        <v>779.23022500000002</v>
      </c>
      <c r="V19">
        <v>777.32287599999995</v>
      </c>
      <c r="W19">
        <v>775.71301300000005</v>
      </c>
      <c r="X19">
        <v>775.07421899999997</v>
      </c>
      <c r="Y19">
        <v>774.70257600000002</v>
      </c>
      <c r="Z19">
        <v>774.43353300000001</v>
      </c>
      <c r="AA19">
        <v>774.83459500000004</v>
      </c>
      <c r="AB19">
        <v>774.97778300000004</v>
      </c>
      <c r="AC19">
        <v>778.14654499999995</v>
      </c>
      <c r="AD19">
        <v>781.60485800000004</v>
      </c>
      <c r="AE19">
        <v>784.56280500000003</v>
      </c>
      <c r="AF19">
        <v>786.19134499999996</v>
      </c>
      <c r="AG19" s="9">
        <v>-7.0000000000000001E-3</v>
      </c>
    </row>
    <row r="20" spans="1:33">
      <c r="A20" t="s">
        <v>234</v>
      </c>
      <c r="B20" t="s">
        <v>1774</v>
      </c>
      <c r="C20" t="s">
        <v>1773</v>
      </c>
      <c r="D20" t="s">
        <v>193</v>
      </c>
      <c r="F20">
        <v>4208.0673829999996</v>
      </c>
      <c r="G20">
        <v>4261.2041019999997</v>
      </c>
      <c r="H20">
        <v>4279.201172</v>
      </c>
      <c r="I20">
        <v>4286.0009769999997</v>
      </c>
      <c r="J20">
        <v>4271.5756840000004</v>
      </c>
      <c r="K20">
        <v>4253.1347660000001</v>
      </c>
      <c r="L20">
        <v>4231.546875</v>
      </c>
      <c r="M20">
        <v>4201.6450199999999</v>
      </c>
      <c r="N20">
        <v>4172.0083009999998</v>
      </c>
      <c r="O20">
        <v>4139.1157229999999</v>
      </c>
      <c r="P20">
        <v>4111.9912109999996</v>
      </c>
      <c r="Q20">
        <v>4088.0932619999999</v>
      </c>
      <c r="R20">
        <v>4073.4489749999998</v>
      </c>
      <c r="S20">
        <v>4065.2573240000002</v>
      </c>
      <c r="T20">
        <v>4060.0986330000001</v>
      </c>
      <c r="U20">
        <v>4052.5354000000002</v>
      </c>
      <c r="V20">
        <v>4048.0146479999999</v>
      </c>
      <c r="W20">
        <v>4045.0656739999999</v>
      </c>
      <c r="X20">
        <v>4045.5888669999999</v>
      </c>
      <c r="Y20">
        <v>4045.6066890000002</v>
      </c>
      <c r="Z20">
        <v>4045.2016600000002</v>
      </c>
      <c r="AA20">
        <v>4047.8876949999999</v>
      </c>
      <c r="AB20">
        <v>4048.5717770000001</v>
      </c>
      <c r="AC20">
        <v>4064.6491700000001</v>
      </c>
      <c r="AD20">
        <v>4082.657471</v>
      </c>
      <c r="AE20">
        <v>4098.6435549999997</v>
      </c>
      <c r="AF20">
        <v>4109.7412109999996</v>
      </c>
      <c r="AG20" s="9">
        <v>-1E-3</v>
      </c>
    </row>
    <row r="21" spans="1:33">
      <c r="A21" t="s">
        <v>164</v>
      </c>
    </row>
    <row r="22" spans="1:33">
      <c r="A22" t="s">
        <v>165</v>
      </c>
      <c r="B22" t="s">
        <v>1772</v>
      </c>
      <c r="C22" t="s">
        <v>1771</v>
      </c>
      <c r="D22" t="s">
        <v>193</v>
      </c>
      <c r="F22">
        <v>3268.3242190000001</v>
      </c>
      <c r="G22">
        <v>3262.0327149999998</v>
      </c>
      <c r="H22">
        <v>3288.7465820000002</v>
      </c>
      <c r="I22">
        <v>3323.8754880000001</v>
      </c>
      <c r="J22">
        <v>3351.2607419999999</v>
      </c>
      <c r="K22">
        <v>3383.5483399999998</v>
      </c>
      <c r="L22">
        <v>3411.5717770000001</v>
      </c>
      <c r="M22">
        <v>3430.9506839999999</v>
      </c>
      <c r="N22">
        <v>3454.6042480000001</v>
      </c>
      <c r="O22">
        <v>3479.304932</v>
      </c>
      <c r="P22">
        <v>3503.2453609999998</v>
      </c>
      <c r="Q22">
        <v>3534.0239259999998</v>
      </c>
      <c r="R22">
        <v>3567.5561520000001</v>
      </c>
      <c r="S22">
        <v>3607.1560060000002</v>
      </c>
      <c r="T22">
        <v>3649.6206050000001</v>
      </c>
      <c r="U22">
        <v>3693.1416020000001</v>
      </c>
      <c r="V22">
        <v>3735.9509280000002</v>
      </c>
      <c r="W22">
        <v>3776.4458009999998</v>
      </c>
      <c r="X22">
        <v>3821.6879880000001</v>
      </c>
      <c r="Y22">
        <v>3863.9777829999998</v>
      </c>
      <c r="Z22">
        <v>3901.1779790000001</v>
      </c>
      <c r="AA22">
        <v>3936.9099120000001</v>
      </c>
      <c r="AB22">
        <v>3970.2231449999999</v>
      </c>
      <c r="AC22">
        <v>4011.1311040000001</v>
      </c>
      <c r="AD22">
        <v>4055.1303710000002</v>
      </c>
      <c r="AE22">
        <v>4094.515625</v>
      </c>
      <c r="AF22">
        <v>4133.5112300000001</v>
      </c>
      <c r="AG22" s="9">
        <v>8.9999999999999993E-3</v>
      </c>
    </row>
    <row r="23" spans="1:33">
      <c r="A23" t="s">
        <v>166</v>
      </c>
      <c r="B23" t="s">
        <v>1770</v>
      </c>
      <c r="C23" t="s">
        <v>1769</v>
      </c>
      <c r="D23" t="s">
        <v>193</v>
      </c>
      <c r="F23">
        <v>176.969177</v>
      </c>
      <c r="G23">
        <v>176.66233800000001</v>
      </c>
      <c r="H23">
        <v>177.92858899999999</v>
      </c>
      <c r="I23">
        <v>179.59652700000001</v>
      </c>
      <c r="J23">
        <v>180.896469</v>
      </c>
      <c r="K23">
        <v>182.430542</v>
      </c>
      <c r="L23">
        <v>183.76234400000001</v>
      </c>
      <c r="M23">
        <v>184.682785</v>
      </c>
      <c r="N23">
        <v>185.807266</v>
      </c>
      <c r="O23">
        <v>186.98187300000001</v>
      </c>
      <c r="P23">
        <v>188.12065100000001</v>
      </c>
      <c r="Q23">
        <v>189.58509799999999</v>
      </c>
      <c r="R23">
        <v>191.18109100000001</v>
      </c>
      <c r="S23">
        <v>193.06605500000001</v>
      </c>
      <c r="T23">
        <v>195.08763099999999</v>
      </c>
      <c r="U23">
        <v>197.15936300000001</v>
      </c>
      <c r="V23">
        <v>199.19750999999999</v>
      </c>
      <c r="W23">
        <v>201.12560999999999</v>
      </c>
      <c r="X23">
        <v>203.27960200000001</v>
      </c>
      <c r="Y23">
        <v>205.293274</v>
      </c>
      <c r="Z23">
        <v>207.06454500000001</v>
      </c>
      <c r="AA23">
        <v>208.765793</v>
      </c>
      <c r="AB23">
        <v>210.352081</v>
      </c>
      <c r="AC23">
        <v>212.29995700000001</v>
      </c>
      <c r="AD23">
        <v>214.395081</v>
      </c>
      <c r="AE23">
        <v>216.27049299999999</v>
      </c>
      <c r="AF23">
        <v>218.12735000000001</v>
      </c>
      <c r="AG23" s="9">
        <v>8.0000000000000002E-3</v>
      </c>
    </row>
    <row r="24" spans="1:33">
      <c r="A24" t="s">
        <v>195</v>
      </c>
      <c r="B24" t="s">
        <v>1768</v>
      </c>
      <c r="C24" t="s">
        <v>1767</v>
      </c>
      <c r="D24" t="s">
        <v>193</v>
      </c>
      <c r="F24">
        <v>1627.3729249999999</v>
      </c>
      <c r="G24">
        <v>1628.439453</v>
      </c>
      <c r="H24">
        <v>1648.2767329999999</v>
      </c>
      <c r="I24">
        <v>1668.1154790000001</v>
      </c>
      <c r="J24">
        <v>1681.50415</v>
      </c>
      <c r="K24">
        <v>1697.8980710000001</v>
      </c>
      <c r="L24">
        <v>1711.0428469999999</v>
      </c>
      <c r="M24">
        <v>1719.088745</v>
      </c>
      <c r="N24">
        <v>1729.4327390000001</v>
      </c>
      <c r="O24">
        <v>1740.8630370000001</v>
      </c>
      <c r="P24">
        <v>1751.280029</v>
      </c>
      <c r="Q24">
        <v>1764.3302000000001</v>
      </c>
      <c r="R24">
        <v>1777.9760739999999</v>
      </c>
      <c r="S24">
        <v>1793.6168210000001</v>
      </c>
      <c r="T24">
        <v>1811.252197</v>
      </c>
      <c r="U24">
        <v>1829.1019289999999</v>
      </c>
      <c r="V24">
        <v>1846.6695560000001</v>
      </c>
      <c r="W24">
        <v>1863.1866460000001</v>
      </c>
      <c r="X24">
        <v>1882.0354</v>
      </c>
      <c r="Y24">
        <v>1899.494629</v>
      </c>
      <c r="Z24">
        <v>1914.418457</v>
      </c>
      <c r="AA24">
        <v>1928.4327390000001</v>
      </c>
      <c r="AB24">
        <v>1941.754639</v>
      </c>
      <c r="AC24">
        <v>1959.4229740000001</v>
      </c>
      <c r="AD24">
        <v>1978.9135739999999</v>
      </c>
      <c r="AE24">
        <v>1996.4677730000001</v>
      </c>
      <c r="AF24">
        <v>2013.169067</v>
      </c>
      <c r="AG24" s="9">
        <v>8.0000000000000002E-3</v>
      </c>
    </row>
    <row r="25" spans="1:33">
      <c r="A25" t="s">
        <v>196</v>
      </c>
      <c r="B25" t="s">
        <v>1766</v>
      </c>
      <c r="C25" t="s">
        <v>1765</v>
      </c>
      <c r="D25" t="s">
        <v>193</v>
      </c>
      <c r="F25">
        <v>908.70794699999999</v>
      </c>
      <c r="G25">
        <v>902.83483899999999</v>
      </c>
      <c r="H25">
        <v>908.52081299999998</v>
      </c>
      <c r="I25">
        <v>918.44818099999998</v>
      </c>
      <c r="J25">
        <v>927.182861</v>
      </c>
      <c r="K25">
        <v>936.98394800000005</v>
      </c>
      <c r="L25">
        <v>946.00244099999998</v>
      </c>
      <c r="M25">
        <v>952.78186000000005</v>
      </c>
      <c r="N25">
        <v>960.73150599999997</v>
      </c>
      <c r="O25">
        <v>968.70251499999995</v>
      </c>
      <c r="P25">
        <v>976.70752000000005</v>
      </c>
      <c r="Q25">
        <v>987.04418899999996</v>
      </c>
      <c r="R25">
        <v>998.51452600000005</v>
      </c>
      <c r="S25">
        <v>1012.217651</v>
      </c>
      <c r="T25">
        <v>1026.4882809999999</v>
      </c>
      <c r="U25">
        <v>1041.1876219999999</v>
      </c>
      <c r="V25">
        <v>1055.647827</v>
      </c>
      <c r="W25">
        <v>1069.3748780000001</v>
      </c>
      <c r="X25">
        <v>1084.5185550000001</v>
      </c>
      <c r="Y25">
        <v>1098.759644</v>
      </c>
      <c r="Z25">
        <v>1111.492432</v>
      </c>
      <c r="AA25">
        <v>1123.8741460000001</v>
      </c>
      <c r="AB25">
        <v>1135.3001710000001</v>
      </c>
      <c r="AC25">
        <v>1148.724365</v>
      </c>
      <c r="AD25">
        <v>1162.9368899999999</v>
      </c>
      <c r="AE25">
        <v>1175.6083980000001</v>
      </c>
      <c r="AF25">
        <v>1188.4796140000001</v>
      </c>
      <c r="AG25" s="9">
        <v>0.01</v>
      </c>
    </row>
    <row r="26" spans="1:33">
      <c r="A26" t="s">
        <v>197</v>
      </c>
      <c r="B26" t="s">
        <v>1764</v>
      </c>
      <c r="C26" t="s">
        <v>1763</v>
      </c>
      <c r="D26" t="s">
        <v>193</v>
      </c>
      <c r="F26">
        <v>555.27417000000003</v>
      </c>
      <c r="G26">
        <v>554.09625200000005</v>
      </c>
      <c r="H26">
        <v>554.02062999999998</v>
      </c>
      <c r="I26">
        <v>557.71520999999996</v>
      </c>
      <c r="J26">
        <v>561.677368</v>
      </c>
      <c r="K26">
        <v>566.23571800000002</v>
      </c>
      <c r="L26">
        <v>570.76415999999995</v>
      </c>
      <c r="M26">
        <v>574.39746100000002</v>
      </c>
      <c r="N26">
        <v>578.63281199999994</v>
      </c>
      <c r="O26">
        <v>582.75750700000003</v>
      </c>
      <c r="P26">
        <v>587.13720699999999</v>
      </c>
      <c r="Q26">
        <v>593.06451400000003</v>
      </c>
      <c r="R26">
        <v>599.88421600000004</v>
      </c>
      <c r="S26">
        <v>608.25561500000003</v>
      </c>
      <c r="T26">
        <v>616.79247999999995</v>
      </c>
      <c r="U26">
        <v>625.692993</v>
      </c>
      <c r="V26">
        <v>634.43609600000002</v>
      </c>
      <c r="W26">
        <v>642.75872800000002</v>
      </c>
      <c r="X26">
        <v>651.85437000000002</v>
      </c>
      <c r="Y26">
        <v>660.43035899999995</v>
      </c>
      <c r="Z26">
        <v>668.20257600000002</v>
      </c>
      <c r="AA26">
        <v>675.83709699999997</v>
      </c>
      <c r="AB26">
        <v>682.81634499999996</v>
      </c>
      <c r="AC26">
        <v>690.68383800000004</v>
      </c>
      <c r="AD26">
        <v>698.88488800000005</v>
      </c>
      <c r="AE26">
        <v>706.16888400000005</v>
      </c>
      <c r="AF26">
        <v>713.73535200000003</v>
      </c>
      <c r="AG26" s="9">
        <v>0.01</v>
      </c>
    </row>
    <row r="27" spans="1:33">
      <c r="A27" t="s">
        <v>167</v>
      </c>
      <c r="B27" t="s">
        <v>1762</v>
      </c>
      <c r="C27" t="s">
        <v>1761</v>
      </c>
      <c r="D27" t="s">
        <v>193</v>
      </c>
      <c r="F27">
        <v>1054.1651609999999</v>
      </c>
      <c r="G27">
        <v>1034.756592</v>
      </c>
      <c r="H27">
        <v>1041.57312</v>
      </c>
      <c r="I27">
        <v>1053.5527340000001</v>
      </c>
      <c r="J27">
        <v>1062.548096</v>
      </c>
      <c r="K27">
        <v>1072.6204829999999</v>
      </c>
      <c r="L27">
        <v>1082.159058</v>
      </c>
      <c r="M27">
        <v>1090.163818</v>
      </c>
      <c r="N27">
        <v>1099.305298</v>
      </c>
      <c r="O27">
        <v>1108.4968260000001</v>
      </c>
      <c r="P27">
        <v>1118.2166749999999</v>
      </c>
      <c r="Q27">
        <v>1125.7186280000001</v>
      </c>
      <c r="R27">
        <v>1131.690186</v>
      </c>
      <c r="S27">
        <v>1137.6835940000001</v>
      </c>
      <c r="T27">
        <v>1142.8618160000001</v>
      </c>
      <c r="U27">
        <v>1147.987793</v>
      </c>
      <c r="V27">
        <v>1152.5002440000001</v>
      </c>
      <c r="W27">
        <v>1156.8479</v>
      </c>
      <c r="X27">
        <v>1161.4255370000001</v>
      </c>
      <c r="Y27">
        <v>1165.7835689999999</v>
      </c>
      <c r="Z27">
        <v>1169.735962</v>
      </c>
      <c r="AA27">
        <v>1173.3648679999999</v>
      </c>
      <c r="AB27">
        <v>1176.1563719999999</v>
      </c>
      <c r="AC27">
        <v>1181.0235600000001</v>
      </c>
      <c r="AD27">
        <v>1186.966797</v>
      </c>
      <c r="AE27">
        <v>1192.521851</v>
      </c>
      <c r="AF27">
        <v>1197.6054690000001</v>
      </c>
      <c r="AG27" s="9">
        <v>5.0000000000000001E-3</v>
      </c>
    </row>
    <row r="28" spans="1:33">
      <c r="A28" t="s">
        <v>168</v>
      </c>
      <c r="B28" t="s">
        <v>1760</v>
      </c>
      <c r="C28" t="s">
        <v>1759</v>
      </c>
      <c r="D28" t="s">
        <v>193</v>
      </c>
      <c r="F28">
        <v>846.56011999999998</v>
      </c>
      <c r="G28">
        <v>828.71191399999998</v>
      </c>
      <c r="H28">
        <v>836.32147199999997</v>
      </c>
      <c r="I28">
        <v>849.118469</v>
      </c>
      <c r="J28">
        <v>859.40270999999996</v>
      </c>
      <c r="K28">
        <v>870.53509499999996</v>
      </c>
      <c r="L28">
        <v>881.40618900000004</v>
      </c>
      <c r="M28">
        <v>891.099243</v>
      </c>
      <c r="N28">
        <v>901.58679199999995</v>
      </c>
      <c r="O28">
        <v>911.99438499999997</v>
      </c>
      <c r="P28">
        <v>922.96386700000005</v>
      </c>
      <c r="Q28">
        <v>931.48333700000001</v>
      </c>
      <c r="R28">
        <v>938.42120399999999</v>
      </c>
      <c r="S28">
        <v>945.22869900000001</v>
      </c>
      <c r="T28">
        <v>951.15991199999996</v>
      </c>
      <c r="U28">
        <v>957.08178699999996</v>
      </c>
      <c r="V28">
        <v>962.37432899999999</v>
      </c>
      <c r="W28">
        <v>967.52905299999998</v>
      </c>
      <c r="X28">
        <v>972.80926499999998</v>
      </c>
      <c r="Y28">
        <v>977.92730700000004</v>
      </c>
      <c r="Z28">
        <v>982.77282700000001</v>
      </c>
      <c r="AA28">
        <v>987.35003700000004</v>
      </c>
      <c r="AB28">
        <v>991.14074700000003</v>
      </c>
      <c r="AC28">
        <v>996.73748799999998</v>
      </c>
      <c r="AD28">
        <v>1003.349365</v>
      </c>
      <c r="AE28">
        <v>1009.6705930000001</v>
      </c>
      <c r="AF28">
        <v>1015.550781</v>
      </c>
      <c r="AG28" s="9">
        <v>7.0000000000000001E-3</v>
      </c>
    </row>
    <row r="29" spans="1:33">
      <c r="A29" t="s">
        <v>147</v>
      </c>
      <c r="B29" t="s">
        <v>1758</v>
      </c>
      <c r="C29" t="s">
        <v>1757</v>
      </c>
      <c r="D29" t="s">
        <v>193</v>
      </c>
      <c r="F29">
        <v>94.440971000000005</v>
      </c>
      <c r="G29">
        <v>95.330078</v>
      </c>
      <c r="H29">
        <v>94.566444000000004</v>
      </c>
      <c r="I29">
        <v>93.798164</v>
      </c>
      <c r="J29">
        <v>93.107506000000001</v>
      </c>
      <c r="K29">
        <v>92.339127000000005</v>
      </c>
      <c r="L29">
        <v>91.480575999999999</v>
      </c>
      <c r="M29">
        <v>90.543334999999999</v>
      </c>
      <c r="N29">
        <v>89.462424999999996</v>
      </c>
      <c r="O29">
        <v>88.707656999999998</v>
      </c>
      <c r="P29">
        <v>88.034156999999993</v>
      </c>
      <c r="Q29">
        <v>87.319710000000001</v>
      </c>
      <c r="R29">
        <v>86.579650999999998</v>
      </c>
      <c r="S29">
        <v>85.944571999999994</v>
      </c>
      <c r="T29">
        <v>85.341614000000007</v>
      </c>
      <c r="U29">
        <v>84.675208999999995</v>
      </c>
      <c r="V29">
        <v>84.112099000000001</v>
      </c>
      <c r="W29">
        <v>83.540062000000006</v>
      </c>
      <c r="X29">
        <v>82.973929999999996</v>
      </c>
      <c r="Y29">
        <v>82.355484000000004</v>
      </c>
      <c r="Z29">
        <v>81.679946999999999</v>
      </c>
      <c r="AA29">
        <v>81.034569000000005</v>
      </c>
      <c r="AB29">
        <v>80.382202000000007</v>
      </c>
      <c r="AC29">
        <v>79.953879999999998</v>
      </c>
      <c r="AD29">
        <v>79.430321000000006</v>
      </c>
      <c r="AE29">
        <v>78.866470000000007</v>
      </c>
      <c r="AF29">
        <v>78.277953999999994</v>
      </c>
      <c r="AG29" s="9">
        <v>-7.0000000000000001E-3</v>
      </c>
    </row>
    <row r="30" spans="1:33">
      <c r="A30" t="s">
        <v>148</v>
      </c>
      <c r="B30" t="s">
        <v>1756</v>
      </c>
      <c r="C30" t="s">
        <v>1755</v>
      </c>
      <c r="D30" t="s">
        <v>193</v>
      </c>
      <c r="F30">
        <v>752.11914100000001</v>
      </c>
      <c r="G30">
        <v>733.38183600000002</v>
      </c>
      <c r="H30">
        <v>741.75500499999998</v>
      </c>
      <c r="I30">
        <v>755.32031199999994</v>
      </c>
      <c r="J30">
        <v>766.29522699999995</v>
      </c>
      <c r="K30">
        <v>778.19598399999995</v>
      </c>
      <c r="L30">
        <v>789.92559800000004</v>
      </c>
      <c r="M30">
        <v>800.55590800000004</v>
      </c>
      <c r="N30">
        <v>812.12438999999995</v>
      </c>
      <c r="O30">
        <v>823.286743</v>
      </c>
      <c r="P30">
        <v>834.92968800000006</v>
      </c>
      <c r="Q30">
        <v>844.163635</v>
      </c>
      <c r="R30">
        <v>851.84155299999998</v>
      </c>
      <c r="S30">
        <v>859.28411900000003</v>
      </c>
      <c r="T30">
        <v>865.81829800000003</v>
      </c>
      <c r="U30">
        <v>872.40655500000003</v>
      </c>
      <c r="V30">
        <v>878.26220699999999</v>
      </c>
      <c r="W30">
        <v>883.989014</v>
      </c>
      <c r="X30">
        <v>889.83532700000001</v>
      </c>
      <c r="Y30">
        <v>895.57183799999996</v>
      </c>
      <c r="Z30">
        <v>901.092896</v>
      </c>
      <c r="AA30">
        <v>906.31549099999995</v>
      </c>
      <c r="AB30">
        <v>910.75854500000003</v>
      </c>
      <c r="AC30">
        <v>916.78363000000002</v>
      </c>
      <c r="AD30">
        <v>923.91906700000004</v>
      </c>
      <c r="AE30">
        <v>930.80413799999997</v>
      </c>
      <c r="AF30">
        <v>937.27282700000001</v>
      </c>
      <c r="AG30" s="9">
        <v>8.9999999999999993E-3</v>
      </c>
    </row>
    <row r="31" spans="1:33">
      <c r="A31" t="s">
        <v>169</v>
      </c>
      <c r="B31" t="s">
        <v>1754</v>
      </c>
      <c r="C31" t="s">
        <v>1753</v>
      </c>
      <c r="D31" t="s">
        <v>193</v>
      </c>
      <c r="F31">
        <v>207.60502600000001</v>
      </c>
      <c r="G31">
        <v>206.044724</v>
      </c>
      <c r="H31">
        <v>205.25169399999999</v>
      </c>
      <c r="I31">
        <v>204.43426500000001</v>
      </c>
      <c r="J31">
        <v>203.14537000000001</v>
      </c>
      <c r="K31">
        <v>202.085342</v>
      </c>
      <c r="L31">
        <v>200.752869</v>
      </c>
      <c r="M31">
        <v>199.064514</v>
      </c>
      <c r="N31">
        <v>197.718536</v>
      </c>
      <c r="O31">
        <v>196.50250199999999</v>
      </c>
      <c r="P31">
        <v>195.25280799999999</v>
      </c>
      <c r="Q31">
        <v>194.23524499999999</v>
      </c>
      <c r="R31">
        <v>193.26904300000001</v>
      </c>
      <c r="S31">
        <v>192.45489499999999</v>
      </c>
      <c r="T31">
        <v>191.70195000000001</v>
      </c>
      <c r="U31">
        <v>190.90595999999999</v>
      </c>
      <c r="V31">
        <v>190.125854</v>
      </c>
      <c r="W31">
        <v>189.31890899999999</v>
      </c>
      <c r="X31">
        <v>188.616241</v>
      </c>
      <c r="Y31">
        <v>187.856247</v>
      </c>
      <c r="Z31">
        <v>186.963165</v>
      </c>
      <c r="AA31">
        <v>186.014847</v>
      </c>
      <c r="AB31">
        <v>185.01559399999999</v>
      </c>
      <c r="AC31">
        <v>184.28604100000001</v>
      </c>
      <c r="AD31">
        <v>183.61746199999999</v>
      </c>
      <c r="AE31">
        <v>182.85122699999999</v>
      </c>
      <c r="AF31">
        <v>182.05470299999999</v>
      </c>
      <c r="AG31" s="9">
        <v>-5.0000000000000001E-3</v>
      </c>
    </row>
    <row r="32" spans="1:33">
      <c r="A32" t="s">
        <v>170</v>
      </c>
      <c r="B32" t="s">
        <v>1752</v>
      </c>
      <c r="C32" t="s">
        <v>1751</v>
      </c>
      <c r="D32" t="s">
        <v>193</v>
      </c>
      <c r="F32">
        <v>478.12289399999997</v>
      </c>
      <c r="G32">
        <v>490.24941999999999</v>
      </c>
      <c r="H32">
        <v>480.51019300000002</v>
      </c>
      <c r="I32">
        <v>466.46356200000002</v>
      </c>
      <c r="J32">
        <v>466.65649400000001</v>
      </c>
      <c r="K32">
        <v>465.71142600000002</v>
      </c>
      <c r="L32">
        <v>453.86810300000002</v>
      </c>
      <c r="M32">
        <v>454.02496300000001</v>
      </c>
      <c r="N32">
        <v>435.08209199999999</v>
      </c>
      <c r="O32">
        <v>436.88516199999998</v>
      </c>
      <c r="P32">
        <v>433.13406400000002</v>
      </c>
      <c r="Q32">
        <v>433.32369999999997</v>
      </c>
      <c r="R32">
        <v>435.01943999999997</v>
      </c>
      <c r="S32">
        <v>437.10775799999999</v>
      </c>
      <c r="T32">
        <v>442.49597199999999</v>
      </c>
      <c r="U32">
        <v>440.17382800000001</v>
      </c>
      <c r="V32">
        <v>442.090149</v>
      </c>
      <c r="W32">
        <v>442.67453</v>
      </c>
      <c r="X32">
        <v>444.714539</v>
      </c>
      <c r="Y32">
        <v>446.979401</v>
      </c>
      <c r="Z32">
        <v>448.21762100000001</v>
      </c>
      <c r="AA32">
        <v>449.54321299999998</v>
      </c>
      <c r="AB32">
        <v>449.73406999999997</v>
      </c>
      <c r="AC32">
        <v>453.87383999999997</v>
      </c>
      <c r="AD32">
        <v>457.34600799999998</v>
      </c>
      <c r="AE32">
        <v>460.234283</v>
      </c>
      <c r="AF32">
        <v>461.59979199999998</v>
      </c>
      <c r="AG32" s="9">
        <v>-1E-3</v>
      </c>
    </row>
    <row r="33" spans="1:33">
      <c r="A33" t="s">
        <v>168</v>
      </c>
      <c r="B33" t="s">
        <v>1750</v>
      </c>
      <c r="C33" t="s">
        <v>1749</v>
      </c>
      <c r="D33" t="s">
        <v>193</v>
      </c>
      <c r="F33">
        <v>434.230682</v>
      </c>
      <c r="G33">
        <v>443.75869799999998</v>
      </c>
      <c r="H33">
        <v>432.581299</v>
      </c>
      <c r="I33">
        <v>417.75234999999998</v>
      </c>
      <c r="J33">
        <v>417.42465199999998</v>
      </c>
      <c r="K33">
        <v>415.93777499999999</v>
      </c>
      <c r="L33">
        <v>403.47412100000003</v>
      </c>
      <c r="M33">
        <v>403.17804000000001</v>
      </c>
      <c r="N33">
        <v>383.83212300000002</v>
      </c>
      <c r="O33">
        <v>385.30667099999999</v>
      </c>
      <c r="P33">
        <v>381.27539100000001</v>
      </c>
      <c r="Q33">
        <v>381.04003899999998</v>
      </c>
      <c r="R33">
        <v>382.19842499999999</v>
      </c>
      <c r="S33">
        <v>383.73739599999999</v>
      </c>
      <c r="T33">
        <v>388.55950899999999</v>
      </c>
      <c r="U33">
        <v>385.72473100000002</v>
      </c>
      <c r="V33">
        <v>387.17019699999997</v>
      </c>
      <c r="W33">
        <v>387.33422899999999</v>
      </c>
      <c r="X33">
        <v>388.97726399999999</v>
      </c>
      <c r="Y33">
        <v>390.85006700000002</v>
      </c>
      <c r="Z33">
        <v>391.76263399999999</v>
      </c>
      <c r="AA33">
        <v>392.73843399999998</v>
      </c>
      <c r="AB33">
        <v>392.65093999999999</v>
      </c>
      <c r="AC33">
        <v>396.48129299999999</v>
      </c>
      <c r="AD33">
        <v>399.58117700000003</v>
      </c>
      <c r="AE33">
        <v>402.097534</v>
      </c>
      <c r="AF33">
        <v>402.97448700000001</v>
      </c>
      <c r="AG33" s="9">
        <v>-3.0000000000000001E-3</v>
      </c>
    </row>
    <row r="34" spans="1:33">
      <c r="A34" t="s">
        <v>171</v>
      </c>
      <c r="B34" t="s">
        <v>1748</v>
      </c>
      <c r="C34" t="s">
        <v>1747</v>
      </c>
      <c r="D34" t="s">
        <v>193</v>
      </c>
      <c r="F34">
        <v>43.892207999999997</v>
      </c>
      <c r="G34">
        <v>46.490710999999997</v>
      </c>
      <c r="H34">
        <v>47.928882999999999</v>
      </c>
      <c r="I34">
        <v>48.711205</v>
      </c>
      <c r="J34">
        <v>49.231833999999999</v>
      </c>
      <c r="K34">
        <v>49.773636000000003</v>
      </c>
      <c r="L34">
        <v>50.393982000000001</v>
      </c>
      <c r="M34">
        <v>50.846912000000003</v>
      </c>
      <c r="N34">
        <v>51.249966000000001</v>
      </c>
      <c r="O34">
        <v>51.578487000000003</v>
      </c>
      <c r="P34">
        <v>51.858665000000002</v>
      </c>
      <c r="Q34">
        <v>52.283653000000001</v>
      </c>
      <c r="R34">
        <v>52.821021999999999</v>
      </c>
      <c r="S34">
        <v>53.370353999999999</v>
      </c>
      <c r="T34">
        <v>53.936473999999997</v>
      </c>
      <c r="U34">
        <v>54.449081</v>
      </c>
      <c r="V34">
        <v>54.919967999999997</v>
      </c>
      <c r="W34">
        <v>55.340313000000002</v>
      </c>
      <c r="X34">
        <v>55.737267000000003</v>
      </c>
      <c r="Y34">
        <v>56.129340999999997</v>
      </c>
      <c r="Z34">
        <v>56.454998000000003</v>
      </c>
      <c r="AA34">
        <v>56.804768000000003</v>
      </c>
      <c r="AB34">
        <v>57.083145000000002</v>
      </c>
      <c r="AC34">
        <v>57.392547999999998</v>
      </c>
      <c r="AD34">
        <v>57.764831999999998</v>
      </c>
      <c r="AE34">
        <v>58.136752999999999</v>
      </c>
      <c r="AF34">
        <v>58.625304999999997</v>
      </c>
      <c r="AG34" s="9">
        <v>1.0999999999999999E-2</v>
      </c>
    </row>
    <row r="35" spans="1:33">
      <c r="A35" t="s">
        <v>159</v>
      </c>
      <c r="B35" t="s">
        <v>1746</v>
      </c>
      <c r="C35" t="s">
        <v>1745</v>
      </c>
      <c r="D35" t="s">
        <v>193</v>
      </c>
      <c r="F35">
        <v>8.7423819999999992</v>
      </c>
      <c r="G35">
        <v>9.3800589999999993</v>
      </c>
      <c r="H35">
        <v>9.8378320000000006</v>
      </c>
      <c r="I35">
        <v>10.165743000000001</v>
      </c>
      <c r="J35">
        <v>10.415087</v>
      </c>
      <c r="K35">
        <v>10.611311000000001</v>
      </c>
      <c r="L35">
        <v>10.771235000000001</v>
      </c>
      <c r="M35">
        <v>10.905773999999999</v>
      </c>
      <c r="N35">
        <v>11.020588</v>
      </c>
      <c r="O35">
        <v>11.119541</v>
      </c>
      <c r="P35">
        <v>11.206322</v>
      </c>
      <c r="Q35">
        <v>11.283692</v>
      </c>
      <c r="R35">
        <v>11.353813000000001</v>
      </c>
      <c r="S35">
        <v>11.417555</v>
      </c>
      <c r="T35">
        <v>11.481839000000001</v>
      </c>
      <c r="U35">
        <v>11.543386999999999</v>
      </c>
      <c r="V35">
        <v>11.602665</v>
      </c>
      <c r="W35">
        <v>11.660023000000001</v>
      </c>
      <c r="X35">
        <v>11.716011999999999</v>
      </c>
      <c r="Y35">
        <v>11.770652999999999</v>
      </c>
      <c r="Z35">
        <v>11.824216</v>
      </c>
      <c r="AA35">
        <v>11.876847</v>
      </c>
      <c r="AB35">
        <v>11.928874</v>
      </c>
      <c r="AC35">
        <v>11.980318</v>
      </c>
      <c r="AD35">
        <v>12.031491000000001</v>
      </c>
      <c r="AE35">
        <v>12.082007000000001</v>
      </c>
      <c r="AF35">
        <v>12.132166</v>
      </c>
      <c r="AG35" s="9">
        <v>1.2999999999999999E-2</v>
      </c>
    </row>
    <row r="36" spans="1:33">
      <c r="A36" t="s">
        <v>158</v>
      </c>
      <c r="B36" t="s">
        <v>1744</v>
      </c>
      <c r="C36" t="s">
        <v>1743</v>
      </c>
      <c r="D36" t="s">
        <v>193</v>
      </c>
      <c r="F36">
        <v>14.508388999999999</v>
      </c>
      <c r="G36">
        <v>15.421035</v>
      </c>
      <c r="H36">
        <v>16.002700999999998</v>
      </c>
      <c r="I36">
        <v>16.428796999999999</v>
      </c>
      <c r="J36">
        <v>16.870525000000001</v>
      </c>
      <c r="K36">
        <v>17.287436</v>
      </c>
      <c r="L36">
        <v>17.607780000000002</v>
      </c>
      <c r="M36">
        <v>17.836908000000001</v>
      </c>
      <c r="N36">
        <v>18.041525</v>
      </c>
      <c r="O36">
        <v>18.197558999999998</v>
      </c>
      <c r="P36">
        <v>18.347023</v>
      </c>
      <c r="Q36">
        <v>18.543555999999999</v>
      </c>
      <c r="R36">
        <v>18.732952000000001</v>
      </c>
      <c r="S36">
        <v>18.925523999999999</v>
      </c>
      <c r="T36">
        <v>19.122789000000001</v>
      </c>
      <c r="U36">
        <v>19.294951999999999</v>
      </c>
      <c r="V36">
        <v>19.444386000000002</v>
      </c>
      <c r="W36">
        <v>19.568449000000001</v>
      </c>
      <c r="X36">
        <v>19.677353</v>
      </c>
      <c r="Y36">
        <v>19.784870000000002</v>
      </c>
      <c r="Z36">
        <v>19.860029000000001</v>
      </c>
      <c r="AA36">
        <v>19.946988999999999</v>
      </c>
      <c r="AB36">
        <v>19.998484000000001</v>
      </c>
      <c r="AC36">
        <v>20.058503999999999</v>
      </c>
      <c r="AD36">
        <v>20.148382000000002</v>
      </c>
      <c r="AE36">
        <v>20.242802000000001</v>
      </c>
      <c r="AF36">
        <v>20.400482</v>
      </c>
      <c r="AG36" s="9">
        <v>1.2999999999999999E-2</v>
      </c>
    </row>
    <row r="37" spans="1:33">
      <c r="A37" t="s">
        <v>172</v>
      </c>
      <c r="B37" t="s">
        <v>1742</v>
      </c>
      <c r="C37" t="s">
        <v>1741</v>
      </c>
      <c r="D37" t="s">
        <v>193</v>
      </c>
      <c r="F37">
        <v>20.641434</v>
      </c>
      <c r="G37">
        <v>21.689616999999998</v>
      </c>
      <c r="H37">
        <v>22.088348</v>
      </c>
      <c r="I37">
        <v>22.116669000000002</v>
      </c>
      <c r="J37">
        <v>21.94622</v>
      </c>
      <c r="K37">
        <v>21.874889</v>
      </c>
      <c r="L37">
        <v>22.014965</v>
      </c>
      <c r="M37">
        <v>22.104230999999999</v>
      </c>
      <c r="N37">
        <v>22.187854999999999</v>
      </c>
      <c r="O37">
        <v>22.261389000000001</v>
      </c>
      <c r="P37">
        <v>22.305319000000001</v>
      </c>
      <c r="Q37">
        <v>22.456403999999999</v>
      </c>
      <c r="R37">
        <v>22.734255000000001</v>
      </c>
      <c r="S37">
        <v>23.027270999999999</v>
      </c>
      <c r="T37">
        <v>23.331844</v>
      </c>
      <c r="U37">
        <v>23.610738999999999</v>
      </c>
      <c r="V37">
        <v>23.872917000000001</v>
      </c>
      <c r="W37">
        <v>24.111839</v>
      </c>
      <c r="X37">
        <v>24.343903000000001</v>
      </c>
      <c r="Y37">
        <v>24.573816000000001</v>
      </c>
      <c r="Z37">
        <v>24.770754</v>
      </c>
      <c r="AA37">
        <v>24.980931999999999</v>
      </c>
      <c r="AB37">
        <v>25.155787</v>
      </c>
      <c r="AC37">
        <v>25.353729000000001</v>
      </c>
      <c r="AD37">
        <v>25.584959000000001</v>
      </c>
      <c r="AE37">
        <v>25.811942999999999</v>
      </c>
      <c r="AF37">
        <v>26.092656999999999</v>
      </c>
      <c r="AG37" s="9">
        <v>8.9999999999999993E-3</v>
      </c>
    </row>
    <row r="38" spans="1:33">
      <c r="A38" t="s">
        <v>173</v>
      </c>
      <c r="B38" t="s">
        <v>1740</v>
      </c>
      <c r="C38" t="s">
        <v>1739</v>
      </c>
      <c r="D38" t="s">
        <v>193</v>
      </c>
      <c r="F38">
        <v>134.26944</v>
      </c>
      <c r="G38">
        <v>134.664963</v>
      </c>
      <c r="H38">
        <v>135.304733</v>
      </c>
      <c r="I38">
        <v>135.76445000000001</v>
      </c>
      <c r="J38">
        <v>135.97155799999999</v>
      </c>
      <c r="K38">
        <v>136.08528100000001</v>
      </c>
      <c r="L38">
        <v>136.12858600000001</v>
      </c>
      <c r="M38">
        <v>136.05534399999999</v>
      </c>
      <c r="N38">
        <v>135.95806899999999</v>
      </c>
      <c r="O38">
        <v>135.90976000000001</v>
      </c>
      <c r="P38">
        <v>135.892471</v>
      </c>
      <c r="Q38">
        <v>135.86319</v>
      </c>
      <c r="R38">
        <v>135.82115200000001</v>
      </c>
      <c r="S38">
        <v>135.77626000000001</v>
      </c>
      <c r="T38">
        <v>135.75709499999999</v>
      </c>
      <c r="U38">
        <v>135.764038</v>
      </c>
      <c r="V38">
        <v>135.76824999999999</v>
      </c>
      <c r="W38">
        <v>135.74340799999999</v>
      </c>
      <c r="X38">
        <v>135.698792</v>
      </c>
      <c r="Y38">
        <v>135.63441499999999</v>
      </c>
      <c r="Z38">
        <v>135.56684899999999</v>
      </c>
      <c r="AA38">
        <v>135.500809</v>
      </c>
      <c r="AB38">
        <v>135.41752600000001</v>
      </c>
      <c r="AC38">
        <v>135.32342499999999</v>
      </c>
      <c r="AD38">
        <v>135.19622799999999</v>
      </c>
      <c r="AE38">
        <v>135.05600000000001</v>
      </c>
      <c r="AF38">
        <v>134.919434</v>
      </c>
      <c r="AG38" s="9">
        <v>0</v>
      </c>
    </row>
    <row r="39" spans="1:33">
      <c r="A39" t="s">
        <v>174</v>
      </c>
      <c r="B39" t="s">
        <v>1738</v>
      </c>
      <c r="C39" t="s">
        <v>1701</v>
      </c>
      <c r="D39" t="s">
        <v>193</v>
      </c>
      <c r="F39">
        <v>924.15820299999996</v>
      </c>
      <c r="G39">
        <v>870.21014400000001</v>
      </c>
      <c r="H39">
        <v>863.57080099999996</v>
      </c>
      <c r="I39">
        <v>835.60900900000001</v>
      </c>
      <c r="J39">
        <v>791.56463599999995</v>
      </c>
      <c r="K39">
        <v>757.790344</v>
      </c>
      <c r="L39">
        <v>713.010986</v>
      </c>
      <c r="M39">
        <v>703.35260000000005</v>
      </c>
      <c r="N39">
        <v>716.09576400000003</v>
      </c>
      <c r="O39">
        <v>709.19616699999995</v>
      </c>
      <c r="P39">
        <v>701.62231399999996</v>
      </c>
      <c r="Q39">
        <v>701.98468000000003</v>
      </c>
      <c r="R39">
        <v>707.069885</v>
      </c>
      <c r="S39">
        <v>716.51238999999998</v>
      </c>
      <c r="T39">
        <v>726.48242200000004</v>
      </c>
      <c r="U39">
        <v>737.60986300000002</v>
      </c>
      <c r="V39">
        <v>746.22839399999998</v>
      </c>
      <c r="W39">
        <v>752.33184800000004</v>
      </c>
      <c r="X39">
        <v>756.95684800000004</v>
      </c>
      <c r="Y39">
        <v>765.15093999999999</v>
      </c>
      <c r="Z39">
        <v>774.86108400000001</v>
      </c>
      <c r="AA39">
        <v>781.81097399999999</v>
      </c>
      <c r="AB39">
        <v>792.942993</v>
      </c>
      <c r="AC39">
        <v>801.18463099999997</v>
      </c>
      <c r="AD39">
        <v>810.29339600000003</v>
      </c>
      <c r="AE39">
        <v>819.83679199999995</v>
      </c>
      <c r="AF39">
        <v>831.59936500000003</v>
      </c>
      <c r="AG39" s="9">
        <v>-4.0000000000000001E-3</v>
      </c>
    </row>
    <row r="40" spans="1:33">
      <c r="A40" t="s">
        <v>332</v>
      </c>
      <c r="B40" t="s">
        <v>1737</v>
      </c>
      <c r="C40" t="s">
        <v>1699</v>
      </c>
      <c r="D40" t="s">
        <v>193</v>
      </c>
      <c r="F40">
        <v>367.99011200000001</v>
      </c>
      <c r="G40">
        <v>420.41076700000002</v>
      </c>
      <c r="H40">
        <v>447.69332900000001</v>
      </c>
      <c r="I40">
        <v>448.49334700000003</v>
      </c>
      <c r="J40">
        <v>534.99713099999997</v>
      </c>
      <c r="K40">
        <v>595.58819600000004</v>
      </c>
      <c r="L40">
        <v>658.57672100000002</v>
      </c>
      <c r="M40">
        <v>700.78753700000004</v>
      </c>
      <c r="N40">
        <v>769.51843299999996</v>
      </c>
      <c r="O40">
        <v>835.05316200000004</v>
      </c>
      <c r="P40">
        <v>877.011169</v>
      </c>
      <c r="Q40">
        <v>893.79437299999995</v>
      </c>
      <c r="R40">
        <v>912.175659</v>
      </c>
      <c r="S40">
        <v>927.36077899999998</v>
      </c>
      <c r="T40">
        <v>935.75238000000002</v>
      </c>
      <c r="U40">
        <v>935.75238000000002</v>
      </c>
      <c r="V40">
        <v>937.35046399999999</v>
      </c>
      <c r="W40">
        <v>935.75238000000002</v>
      </c>
      <c r="X40">
        <v>935.74237100000005</v>
      </c>
      <c r="Y40">
        <v>930.754456</v>
      </c>
      <c r="Z40">
        <v>932.171021</v>
      </c>
      <c r="AA40">
        <v>929.52716099999998</v>
      </c>
      <c r="AB40">
        <v>934.68682899999999</v>
      </c>
      <c r="AC40">
        <v>934.997253</v>
      </c>
      <c r="AD40">
        <v>936.23211700000002</v>
      </c>
      <c r="AE40">
        <v>934.12908900000002</v>
      </c>
      <c r="AF40">
        <v>935.01782200000002</v>
      </c>
      <c r="AG40" s="9">
        <v>3.6999999999999998E-2</v>
      </c>
    </row>
    <row r="41" spans="1:33">
      <c r="A41" t="s">
        <v>175</v>
      </c>
      <c r="B41" t="s">
        <v>1736</v>
      </c>
      <c r="C41" t="s">
        <v>1735</v>
      </c>
      <c r="D41" t="s">
        <v>193</v>
      </c>
      <c r="F41">
        <v>444.78881799999999</v>
      </c>
      <c r="G41">
        <v>449.84466600000002</v>
      </c>
      <c r="H41">
        <v>452.96935999999999</v>
      </c>
      <c r="I41">
        <v>454.89593500000001</v>
      </c>
      <c r="J41">
        <v>455.761932</v>
      </c>
      <c r="K41">
        <v>455.59344499999997</v>
      </c>
      <c r="L41">
        <v>455.377319</v>
      </c>
      <c r="M41">
        <v>455.84149200000002</v>
      </c>
      <c r="N41">
        <v>456.21725500000002</v>
      </c>
      <c r="O41">
        <v>456.609802</v>
      </c>
      <c r="P41">
        <v>456.93264799999997</v>
      </c>
      <c r="Q41">
        <v>457.18493699999999</v>
      </c>
      <c r="R41">
        <v>457.63305700000001</v>
      </c>
      <c r="S41">
        <v>458.22058099999998</v>
      </c>
      <c r="T41">
        <v>458.78735399999999</v>
      </c>
      <c r="U41">
        <v>459.338776</v>
      </c>
      <c r="V41">
        <v>459.87536599999999</v>
      </c>
      <c r="W41">
        <v>460.398956</v>
      </c>
      <c r="X41">
        <v>460.913971</v>
      </c>
      <c r="Y41">
        <v>461.42312600000002</v>
      </c>
      <c r="Z41">
        <v>461.92681900000002</v>
      </c>
      <c r="AA41">
        <v>462.42492700000003</v>
      </c>
      <c r="AB41">
        <v>462.92233299999998</v>
      </c>
      <c r="AC41">
        <v>463.41894500000001</v>
      </c>
      <c r="AD41">
        <v>463.91293300000001</v>
      </c>
      <c r="AE41">
        <v>464.407623</v>
      </c>
      <c r="AF41">
        <v>464.90356400000002</v>
      </c>
      <c r="AG41" s="9">
        <v>2E-3</v>
      </c>
    </row>
    <row r="42" spans="1:33">
      <c r="A42" t="s">
        <v>176</v>
      </c>
      <c r="B42" t="s">
        <v>1734</v>
      </c>
      <c r="C42" t="s">
        <v>1733</v>
      </c>
      <c r="D42" t="s">
        <v>193</v>
      </c>
      <c r="F42">
        <v>335.94638099999997</v>
      </c>
      <c r="G42">
        <v>339.76504499999999</v>
      </c>
      <c r="H42">
        <v>342.125092</v>
      </c>
      <c r="I42">
        <v>343.58023100000003</v>
      </c>
      <c r="J42">
        <v>344.23431399999998</v>
      </c>
      <c r="K42">
        <v>344.107056</v>
      </c>
      <c r="L42">
        <v>343.94381700000002</v>
      </c>
      <c r="M42">
        <v>344.29440299999999</v>
      </c>
      <c r="N42">
        <v>344.578217</v>
      </c>
      <c r="O42">
        <v>344.87469499999997</v>
      </c>
      <c r="P42">
        <v>345.11853000000002</v>
      </c>
      <c r="Q42">
        <v>345.30908199999999</v>
      </c>
      <c r="R42">
        <v>345.64752199999998</v>
      </c>
      <c r="S42">
        <v>346.09127799999999</v>
      </c>
      <c r="T42">
        <v>346.51937900000001</v>
      </c>
      <c r="U42">
        <v>346.93585200000001</v>
      </c>
      <c r="V42">
        <v>347.34112499999998</v>
      </c>
      <c r="W42">
        <v>347.736603</v>
      </c>
      <c r="X42">
        <v>348.12558000000001</v>
      </c>
      <c r="Y42">
        <v>348.51016199999998</v>
      </c>
      <c r="Z42">
        <v>348.89059400000002</v>
      </c>
      <c r="AA42">
        <v>349.26681500000001</v>
      </c>
      <c r="AB42">
        <v>349.64248700000002</v>
      </c>
      <c r="AC42">
        <v>350.01757800000001</v>
      </c>
      <c r="AD42">
        <v>350.39068600000002</v>
      </c>
      <c r="AE42">
        <v>350.76431300000002</v>
      </c>
      <c r="AF42">
        <v>351.13888500000002</v>
      </c>
      <c r="AG42" s="9">
        <v>2E-3</v>
      </c>
    </row>
    <row r="43" spans="1:33">
      <c r="A43" t="s">
        <v>177</v>
      </c>
      <c r="B43" t="s">
        <v>1732</v>
      </c>
      <c r="C43" t="s">
        <v>1731</v>
      </c>
      <c r="D43" t="s">
        <v>193</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110</v>
      </c>
    </row>
    <row r="44" spans="1:33">
      <c r="A44" t="s">
        <v>178</v>
      </c>
      <c r="B44" t="s">
        <v>1730</v>
      </c>
      <c r="C44" t="s">
        <v>1729</v>
      </c>
      <c r="D44" t="s">
        <v>193</v>
      </c>
      <c r="F44">
        <v>108.84242999999999</v>
      </c>
      <c r="G44">
        <v>110.079628</v>
      </c>
      <c r="H44">
        <v>110.844261</v>
      </c>
      <c r="I44">
        <v>111.31572</v>
      </c>
      <c r="J44">
        <v>111.527618</v>
      </c>
      <c r="K44">
        <v>111.486397</v>
      </c>
      <c r="L44">
        <v>111.43351699999999</v>
      </c>
      <c r="M44">
        <v>111.547089</v>
      </c>
      <c r="N44">
        <v>111.63904599999999</v>
      </c>
      <c r="O44">
        <v>111.735107</v>
      </c>
      <c r="P44">
        <v>111.814117</v>
      </c>
      <c r="Q44">
        <v>111.87587000000001</v>
      </c>
      <c r="R44">
        <v>111.985519</v>
      </c>
      <c r="S44">
        <v>112.12930299999999</v>
      </c>
      <c r="T44">
        <v>112.26799</v>
      </c>
      <c r="U44">
        <v>112.402924</v>
      </c>
      <c r="V44">
        <v>112.53424099999999</v>
      </c>
      <c r="W44">
        <v>112.66235399999999</v>
      </c>
      <c r="X44">
        <v>112.788383</v>
      </c>
      <c r="Y44">
        <v>112.912964</v>
      </c>
      <c r="Z44">
        <v>113.03624000000001</v>
      </c>
      <c r="AA44">
        <v>113.15812699999999</v>
      </c>
      <c r="AB44">
        <v>113.27984600000001</v>
      </c>
      <c r="AC44">
        <v>113.401375</v>
      </c>
      <c r="AD44">
        <v>113.52224699999999</v>
      </c>
      <c r="AE44">
        <v>113.643303</v>
      </c>
      <c r="AF44">
        <v>113.764679</v>
      </c>
      <c r="AG44" s="9">
        <v>2E-3</v>
      </c>
    </row>
    <row r="45" spans="1:33">
      <c r="A45" t="s">
        <v>138</v>
      </c>
      <c r="B45" t="s">
        <v>1728</v>
      </c>
      <c r="C45" t="s">
        <v>1727</v>
      </c>
      <c r="D45" t="s">
        <v>193</v>
      </c>
      <c r="F45">
        <v>29023.835938</v>
      </c>
      <c r="G45">
        <v>29108.830077999999</v>
      </c>
      <c r="H45">
        <v>29092.583984000001</v>
      </c>
      <c r="I45">
        <v>28954.326172000001</v>
      </c>
      <c r="J45">
        <v>28829.179688</v>
      </c>
      <c r="K45">
        <v>28671.767577999999</v>
      </c>
      <c r="L45">
        <v>28471.892577999999</v>
      </c>
      <c r="M45">
        <v>28308.326172000001</v>
      </c>
      <c r="N45">
        <v>28159.507812</v>
      </c>
      <c r="O45">
        <v>28023.869140999999</v>
      </c>
      <c r="P45">
        <v>27891.523438</v>
      </c>
      <c r="Q45">
        <v>27749.919922000001</v>
      </c>
      <c r="R45">
        <v>27603.794922000001</v>
      </c>
      <c r="S45">
        <v>27481.890625</v>
      </c>
      <c r="T45">
        <v>27396.919922000001</v>
      </c>
      <c r="U45">
        <v>27298.916015999999</v>
      </c>
      <c r="V45">
        <v>27232.667968999998</v>
      </c>
      <c r="W45">
        <v>27171.792968999998</v>
      </c>
      <c r="X45">
        <v>27104.917968999998</v>
      </c>
      <c r="Y45">
        <v>27072.625</v>
      </c>
      <c r="Z45">
        <v>27025.742188</v>
      </c>
      <c r="AA45">
        <v>26999.421875</v>
      </c>
      <c r="AB45">
        <v>26969.099609000001</v>
      </c>
      <c r="AC45">
        <v>26995.099609000001</v>
      </c>
      <c r="AD45">
        <v>26992.888672000001</v>
      </c>
      <c r="AE45">
        <v>27013.363281000002</v>
      </c>
      <c r="AF45">
        <v>27068.242188</v>
      </c>
      <c r="AG45" s="9">
        <v>-3.0000000000000001E-3</v>
      </c>
    </row>
    <row r="46" spans="1:33">
      <c r="A46" t="s">
        <v>139</v>
      </c>
    </row>
    <row r="47" spans="1:33">
      <c r="A47" t="s">
        <v>179</v>
      </c>
      <c r="B47" t="s">
        <v>1726</v>
      </c>
      <c r="C47" t="s">
        <v>1725</v>
      </c>
      <c r="D47" t="s">
        <v>193</v>
      </c>
      <c r="F47">
        <v>16560.400390999999</v>
      </c>
      <c r="G47">
        <v>16586.140625</v>
      </c>
      <c r="H47">
        <v>16491.03125</v>
      </c>
      <c r="I47">
        <v>16322.833008</v>
      </c>
      <c r="J47">
        <v>16116.016602</v>
      </c>
      <c r="K47">
        <v>15889.712890999999</v>
      </c>
      <c r="L47">
        <v>15646.423828000001</v>
      </c>
      <c r="M47">
        <v>15442.432617</v>
      </c>
      <c r="N47">
        <v>15218.629883</v>
      </c>
      <c r="O47">
        <v>15020.561523</v>
      </c>
      <c r="P47">
        <v>14848.118164</v>
      </c>
      <c r="Q47">
        <v>14673.362305000001</v>
      </c>
      <c r="R47">
        <v>14472.293944999999</v>
      </c>
      <c r="S47">
        <v>14278.983398</v>
      </c>
      <c r="T47">
        <v>14119.804688</v>
      </c>
      <c r="U47">
        <v>13963.114258</v>
      </c>
      <c r="V47">
        <v>13831.295898</v>
      </c>
      <c r="W47">
        <v>13713.388671999999</v>
      </c>
      <c r="X47">
        <v>13578.588867</v>
      </c>
      <c r="Y47">
        <v>13483.399414</v>
      </c>
      <c r="Z47">
        <v>13372.885742</v>
      </c>
      <c r="AA47">
        <v>13287.871094</v>
      </c>
      <c r="AB47">
        <v>13192.722656</v>
      </c>
      <c r="AC47">
        <v>13130.140625</v>
      </c>
      <c r="AD47">
        <v>13032.898438</v>
      </c>
      <c r="AE47">
        <v>12968.008789</v>
      </c>
      <c r="AF47">
        <v>12939.202148</v>
      </c>
      <c r="AG47" s="9">
        <v>-8.9999999999999993E-3</v>
      </c>
    </row>
    <row r="48" spans="1:33">
      <c r="A48" t="s">
        <v>180</v>
      </c>
      <c r="B48" t="s">
        <v>1724</v>
      </c>
      <c r="C48" t="s">
        <v>1723</v>
      </c>
      <c r="D48" t="s">
        <v>193</v>
      </c>
      <c r="F48">
        <v>41.284557</v>
      </c>
      <c r="G48">
        <v>40.049072000000002</v>
      </c>
      <c r="H48">
        <v>37.582172</v>
      </c>
      <c r="I48">
        <v>34.528759000000001</v>
      </c>
      <c r="J48">
        <v>33.338047000000003</v>
      </c>
      <c r="K48">
        <v>32.040035000000003</v>
      </c>
      <c r="L48">
        <v>30.544377999999998</v>
      </c>
      <c r="M48">
        <v>28.232196999999999</v>
      </c>
      <c r="N48">
        <v>26.313065999999999</v>
      </c>
      <c r="O48">
        <v>24.350527</v>
      </c>
      <c r="P48">
        <v>22.539648</v>
      </c>
      <c r="Q48">
        <v>20.880737</v>
      </c>
      <c r="R48">
        <v>19.347086000000001</v>
      </c>
      <c r="S48">
        <v>18.291014000000001</v>
      </c>
      <c r="T48">
        <v>16.780552</v>
      </c>
      <c r="U48">
        <v>16.012640000000001</v>
      </c>
      <c r="V48">
        <v>15.460896</v>
      </c>
      <c r="W48">
        <v>14.956593</v>
      </c>
      <c r="X48">
        <v>14.46664</v>
      </c>
      <c r="Y48">
        <v>14.072709</v>
      </c>
      <c r="Z48">
        <v>13.952835</v>
      </c>
      <c r="AA48">
        <v>13.392300000000001</v>
      </c>
      <c r="AB48">
        <v>13.186946000000001</v>
      </c>
      <c r="AC48">
        <v>13.295123999999999</v>
      </c>
      <c r="AD48">
        <v>13.06893</v>
      </c>
      <c r="AE48">
        <v>12.868924</v>
      </c>
      <c r="AF48">
        <v>12.591402</v>
      </c>
      <c r="AG48" s="9">
        <v>-4.4999999999999998E-2</v>
      </c>
    </row>
    <row r="49" spans="1:33">
      <c r="A49" t="s">
        <v>181</v>
      </c>
      <c r="B49" t="s">
        <v>1722</v>
      </c>
      <c r="C49" t="s">
        <v>1721</v>
      </c>
      <c r="D49" t="s">
        <v>193</v>
      </c>
      <c r="F49">
        <v>6653.7041019999997</v>
      </c>
      <c r="G49">
        <v>6716.0161129999997</v>
      </c>
      <c r="H49">
        <v>6703.0981449999999</v>
      </c>
      <c r="I49">
        <v>6665.5390619999998</v>
      </c>
      <c r="J49">
        <v>6617.9301759999998</v>
      </c>
      <c r="K49">
        <v>6564.8139650000003</v>
      </c>
      <c r="L49">
        <v>6497.2319340000004</v>
      </c>
      <c r="M49">
        <v>6432.1474609999996</v>
      </c>
      <c r="N49">
        <v>6348.9628910000001</v>
      </c>
      <c r="O49">
        <v>6281.3920900000003</v>
      </c>
      <c r="P49">
        <v>6214.9931640000004</v>
      </c>
      <c r="Q49">
        <v>6151.626953</v>
      </c>
      <c r="R49">
        <v>6101.0117190000001</v>
      </c>
      <c r="S49">
        <v>6057.3623049999997</v>
      </c>
      <c r="T49">
        <v>6021.453125</v>
      </c>
      <c r="U49">
        <v>5974.8901370000003</v>
      </c>
      <c r="V49">
        <v>5937.7768550000001</v>
      </c>
      <c r="W49">
        <v>5901.2045900000003</v>
      </c>
      <c r="X49">
        <v>5872.0068359999996</v>
      </c>
      <c r="Y49">
        <v>5843.0327150000003</v>
      </c>
      <c r="Z49">
        <v>5813.5541990000002</v>
      </c>
      <c r="AA49">
        <v>5788.8496089999999</v>
      </c>
      <c r="AB49">
        <v>5761.7148440000001</v>
      </c>
      <c r="AC49">
        <v>5758.0214839999999</v>
      </c>
      <c r="AD49">
        <v>5755.5551759999998</v>
      </c>
      <c r="AE49">
        <v>5751.1220700000003</v>
      </c>
      <c r="AF49">
        <v>5739.8041990000002</v>
      </c>
      <c r="AG49" s="9">
        <v>-6.0000000000000001E-3</v>
      </c>
    </row>
    <row r="50" spans="1:33">
      <c r="A50" t="s">
        <v>182</v>
      </c>
      <c r="B50" t="s">
        <v>1720</v>
      </c>
      <c r="C50" t="s">
        <v>1719</v>
      </c>
      <c r="D50" t="s">
        <v>193</v>
      </c>
      <c r="F50">
        <v>3581.8688959999999</v>
      </c>
      <c r="G50">
        <v>3579.4040530000002</v>
      </c>
      <c r="H50">
        <v>3608.4841310000002</v>
      </c>
      <c r="I50">
        <v>3645.0727539999998</v>
      </c>
      <c r="J50">
        <v>3673.1166990000002</v>
      </c>
      <c r="K50">
        <v>3705.2802729999999</v>
      </c>
      <c r="L50">
        <v>3733.1437989999999</v>
      </c>
      <c r="M50">
        <v>3752.8754880000001</v>
      </c>
      <c r="N50">
        <v>3776.8149410000001</v>
      </c>
      <c r="O50">
        <v>3801.813721</v>
      </c>
      <c r="P50">
        <v>3825.9995119999999</v>
      </c>
      <c r="Q50">
        <v>3856.9697270000001</v>
      </c>
      <c r="R50">
        <v>3890.8408199999999</v>
      </c>
      <c r="S50">
        <v>3930.8857419999999</v>
      </c>
      <c r="T50">
        <v>3973.7788089999999</v>
      </c>
      <c r="U50">
        <v>4017.7170409999999</v>
      </c>
      <c r="V50">
        <v>4060.931885</v>
      </c>
      <c r="W50">
        <v>4101.8227539999998</v>
      </c>
      <c r="X50">
        <v>4147.4541019999997</v>
      </c>
      <c r="Y50">
        <v>4190.1289059999999</v>
      </c>
      <c r="Z50">
        <v>4227.7094729999999</v>
      </c>
      <c r="AA50">
        <v>4263.8173829999996</v>
      </c>
      <c r="AB50">
        <v>4297.5073240000002</v>
      </c>
      <c r="AC50">
        <v>4338.7900390000004</v>
      </c>
      <c r="AD50">
        <v>4383.1625979999999</v>
      </c>
      <c r="AE50">
        <v>4422.9213870000003</v>
      </c>
      <c r="AF50">
        <v>4462.2915039999998</v>
      </c>
      <c r="AG50" s="9">
        <v>8.0000000000000002E-3</v>
      </c>
    </row>
    <row r="51" spans="1:33">
      <c r="A51" t="s">
        <v>177</v>
      </c>
      <c r="B51" t="s">
        <v>1718</v>
      </c>
      <c r="C51" t="s">
        <v>1717</v>
      </c>
      <c r="D51" t="s">
        <v>193</v>
      </c>
      <c r="F51">
        <v>551.82116699999995</v>
      </c>
      <c r="G51">
        <v>515.44671600000004</v>
      </c>
      <c r="H51">
        <v>512.00433299999997</v>
      </c>
      <c r="I51">
        <v>521.71460000000002</v>
      </c>
      <c r="J51">
        <v>527.149902</v>
      </c>
      <c r="K51">
        <v>536.16485599999999</v>
      </c>
      <c r="L51">
        <v>544.46398899999997</v>
      </c>
      <c r="M51">
        <v>550.63928199999998</v>
      </c>
      <c r="N51">
        <v>555.56909199999996</v>
      </c>
      <c r="O51">
        <v>560.05175799999995</v>
      </c>
      <c r="P51">
        <v>565.12554899999998</v>
      </c>
      <c r="Q51">
        <v>571.33374000000003</v>
      </c>
      <c r="R51">
        <v>576.15924099999995</v>
      </c>
      <c r="S51">
        <v>581.94079599999998</v>
      </c>
      <c r="T51">
        <v>586.01965299999995</v>
      </c>
      <c r="U51">
        <v>590.54821800000002</v>
      </c>
      <c r="V51">
        <v>594.242615</v>
      </c>
      <c r="W51">
        <v>597.45153800000003</v>
      </c>
      <c r="X51">
        <v>600.77636700000005</v>
      </c>
      <c r="Y51">
        <v>604.31085199999995</v>
      </c>
      <c r="Z51">
        <v>607.69940199999996</v>
      </c>
      <c r="AA51">
        <v>611.23754899999994</v>
      </c>
      <c r="AB51">
        <v>615.37231399999996</v>
      </c>
      <c r="AC51">
        <v>619.821594</v>
      </c>
      <c r="AD51">
        <v>624.98010299999999</v>
      </c>
      <c r="AE51">
        <v>629.56622300000004</v>
      </c>
      <c r="AF51">
        <v>633.98541299999999</v>
      </c>
      <c r="AG51" s="9">
        <v>5.0000000000000001E-3</v>
      </c>
    </row>
    <row r="52" spans="1:33">
      <c r="A52" t="s">
        <v>183</v>
      </c>
      <c r="B52" t="s">
        <v>1716</v>
      </c>
      <c r="C52" t="s">
        <v>1715</v>
      </c>
      <c r="D52" t="s">
        <v>193</v>
      </c>
      <c r="F52">
        <v>22.401547999999998</v>
      </c>
      <c r="G52">
        <v>22.394031999999999</v>
      </c>
      <c r="H52">
        <v>22.387812</v>
      </c>
      <c r="I52">
        <v>22.382666</v>
      </c>
      <c r="J52">
        <v>22.378406999999999</v>
      </c>
      <c r="K52">
        <v>22.374884000000002</v>
      </c>
      <c r="L52">
        <v>22.371969</v>
      </c>
      <c r="M52">
        <v>22.369558000000001</v>
      </c>
      <c r="N52">
        <v>22.367563000000001</v>
      </c>
      <c r="O52">
        <v>22.365911000000001</v>
      </c>
      <c r="P52">
        <v>22.364546000000001</v>
      </c>
      <c r="Q52">
        <v>22.363416999999998</v>
      </c>
      <c r="R52">
        <v>22.362480000000001</v>
      </c>
      <c r="S52">
        <v>22.361708</v>
      </c>
      <c r="T52">
        <v>22.361066999999998</v>
      </c>
      <c r="U52">
        <v>22.360537999999998</v>
      </c>
      <c r="V52">
        <v>22.360099999999999</v>
      </c>
      <c r="W52">
        <v>22.359736999999999</v>
      </c>
      <c r="X52">
        <v>22.359438000000001</v>
      </c>
      <c r="Y52">
        <v>22.359190000000002</v>
      </c>
      <c r="Z52">
        <v>22.358984</v>
      </c>
      <c r="AA52">
        <v>22.358813999999999</v>
      </c>
      <c r="AB52">
        <v>22.358673</v>
      </c>
      <c r="AC52">
        <v>22.358557000000001</v>
      </c>
      <c r="AD52">
        <v>22.358460999999998</v>
      </c>
      <c r="AE52">
        <v>22.358381000000001</v>
      </c>
      <c r="AF52">
        <v>22.358315000000001</v>
      </c>
      <c r="AG52" s="9">
        <v>0</v>
      </c>
    </row>
    <row r="53" spans="1:33">
      <c r="A53" t="s">
        <v>184</v>
      </c>
      <c r="B53" t="s">
        <v>1714</v>
      </c>
      <c r="C53" t="s">
        <v>1713</v>
      </c>
      <c r="D53" t="s">
        <v>193</v>
      </c>
      <c r="F53">
        <v>11.194936999999999</v>
      </c>
      <c r="G53">
        <v>11.326601999999999</v>
      </c>
      <c r="H53">
        <v>11.367645</v>
      </c>
      <c r="I53">
        <v>11.375973</v>
      </c>
      <c r="J53">
        <v>11.351239</v>
      </c>
      <c r="K53">
        <v>11.289317</v>
      </c>
      <c r="L53">
        <v>11.225379</v>
      </c>
      <c r="M53">
        <v>11.113161</v>
      </c>
      <c r="N53">
        <v>10.983699</v>
      </c>
      <c r="O53">
        <v>10.848458000000001</v>
      </c>
      <c r="P53">
        <v>10.725232999999999</v>
      </c>
      <c r="Q53">
        <v>10.595364999999999</v>
      </c>
      <c r="R53">
        <v>10.469961</v>
      </c>
      <c r="S53">
        <v>10.348195</v>
      </c>
      <c r="T53">
        <v>10.219623</v>
      </c>
      <c r="U53">
        <v>10.09042</v>
      </c>
      <c r="V53">
        <v>9.9622200000000003</v>
      </c>
      <c r="W53">
        <v>9.8300920000000005</v>
      </c>
      <c r="X53">
        <v>9.6967789999999994</v>
      </c>
      <c r="Y53">
        <v>9.5655000000000001</v>
      </c>
      <c r="Z53">
        <v>9.433719</v>
      </c>
      <c r="AA53">
        <v>9.3097999999999992</v>
      </c>
      <c r="AB53">
        <v>9.1828850000000006</v>
      </c>
      <c r="AC53">
        <v>9.0655330000000003</v>
      </c>
      <c r="AD53">
        <v>8.9465109999999992</v>
      </c>
      <c r="AE53">
        <v>8.8220840000000003</v>
      </c>
      <c r="AF53">
        <v>8.7052230000000002</v>
      </c>
      <c r="AG53" s="9">
        <v>-0.01</v>
      </c>
    </row>
    <row r="54" spans="1:33">
      <c r="A54" t="s">
        <v>173</v>
      </c>
      <c r="B54" t="s">
        <v>1712</v>
      </c>
      <c r="C54" t="s">
        <v>1711</v>
      </c>
      <c r="D54" t="s">
        <v>193</v>
      </c>
      <c r="F54">
        <v>134.26944</v>
      </c>
      <c r="G54">
        <v>134.664963</v>
      </c>
      <c r="H54">
        <v>135.304733</v>
      </c>
      <c r="I54">
        <v>135.76445000000001</v>
      </c>
      <c r="J54">
        <v>135.97155799999999</v>
      </c>
      <c r="K54">
        <v>136.08528100000001</v>
      </c>
      <c r="L54">
        <v>136.12858600000001</v>
      </c>
      <c r="M54">
        <v>136.05534399999999</v>
      </c>
      <c r="N54">
        <v>135.95806899999999</v>
      </c>
      <c r="O54">
        <v>135.90976000000001</v>
      </c>
      <c r="P54">
        <v>135.892471</v>
      </c>
      <c r="Q54">
        <v>135.86319</v>
      </c>
      <c r="R54">
        <v>135.82115200000001</v>
      </c>
      <c r="S54">
        <v>135.77626000000001</v>
      </c>
      <c r="T54">
        <v>135.75709499999999</v>
      </c>
      <c r="U54">
        <v>135.764038</v>
      </c>
      <c r="V54">
        <v>135.76824999999999</v>
      </c>
      <c r="W54">
        <v>135.74340799999999</v>
      </c>
      <c r="X54">
        <v>135.698792</v>
      </c>
      <c r="Y54">
        <v>135.63441499999999</v>
      </c>
      <c r="Z54">
        <v>135.56684899999999</v>
      </c>
      <c r="AA54">
        <v>135.500809</v>
      </c>
      <c r="AB54">
        <v>135.41752600000001</v>
      </c>
      <c r="AC54">
        <v>135.32342499999999</v>
      </c>
      <c r="AD54">
        <v>135.19622799999999</v>
      </c>
      <c r="AE54">
        <v>135.05600000000001</v>
      </c>
      <c r="AF54">
        <v>134.919434</v>
      </c>
      <c r="AG54" s="9">
        <v>0</v>
      </c>
    </row>
    <row r="55" spans="1:33">
      <c r="A55" t="s">
        <v>185</v>
      </c>
      <c r="B55" t="s">
        <v>1710</v>
      </c>
      <c r="C55" t="s">
        <v>1709</v>
      </c>
      <c r="D55" t="s">
        <v>193</v>
      </c>
      <c r="F55">
        <v>27556.947265999999</v>
      </c>
      <c r="G55">
        <v>27605.441406000002</v>
      </c>
      <c r="H55">
        <v>27521.259765999999</v>
      </c>
      <c r="I55">
        <v>27359.208984000001</v>
      </c>
      <c r="J55">
        <v>27137.253906000002</v>
      </c>
      <c r="K55">
        <v>26897.761718999998</v>
      </c>
      <c r="L55">
        <v>26621.535156000002</v>
      </c>
      <c r="M55">
        <v>26375.863281000002</v>
      </c>
      <c r="N55">
        <v>26095.599609000001</v>
      </c>
      <c r="O55">
        <v>25857.292968999998</v>
      </c>
      <c r="P55">
        <v>25645.757812</v>
      </c>
      <c r="Q55">
        <v>25442.994140999999</v>
      </c>
      <c r="R55">
        <v>25228.306640999999</v>
      </c>
      <c r="S55">
        <v>25035.947265999999</v>
      </c>
      <c r="T55">
        <v>24886.175781000002</v>
      </c>
      <c r="U55">
        <v>24730.496093999998</v>
      </c>
      <c r="V55">
        <v>24607.796875</v>
      </c>
      <c r="W55">
        <v>24496.757812</v>
      </c>
      <c r="X55">
        <v>24381.050781000002</v>
      </c>
      <c r="Y55">
        <v>24302.503906000002</v>
      </c>
      <c r="Z55">
        <v>24203.160156000002</v>
      </c>
      <c r="AA55">
        <v>24132.339843999998</v>
      </c>
      <c r="AB55">
        <v>24047.466797000001</v>
      </c>
      <c r="AC55">
        <v>24026.820312</v>
      </c>
      <c r="AD55">
        <v>23976.166015999999</v>
      </c>
      <c r="AE55">
        <v>23950.724609000001</v>
      </c>
      <c r="AF55">
        <v>23953.857422000001</v>
      </c>
      <c r="AG55" s="9">
        <v>-5.0000000000000001E-3</v>
      </c>
    </row>
    <row r="56" spans="1:33">
      <c r="A56" t="s">
        <v>186</v>
      </c>
      <c r="B56" t="s">
        <v>1708</v>
      </c>
      <c r="C56" t="s">
        <v>1707</v>
      </c>
      <c r="D56" t="s">
        <v>193</v>
      </c>
      <c r="F56">
        <v>85.344939999999994</v>
      </c>
      <c r="G56">
        <v>115.150368</v>
      </c>
      <c r="H56">
        <v>155.988541</v>
      </c>
      <c r="I56">
        <v>201.97129799999999</v>
      </c>
      <c r="J56">
        <v>252.632858</v>
      </c>
      <c r="K56">
        <v>304.47863799999999</v>
      </c>
      <c r="L56">
        <v>359.64196800000002</v>
      </c>
      <c r="M56">
        <v>406.82205199999999</v>
      </c>
      <c r="N56">
        <v>454.854828</v>
      </c>
      <c r="O56">
        <v>497.35562099999999</v>
      </c>
      <c r="P56">
        <v>540.099243</v>
      </c>
      <c r="Q56">
        <v>581.99963400000001</v>
      </c>
      <c r="R56">
        <v>624.28204300000004</v>
      </c>
      <c r="S56">
        <v>666.59503199999995</v>
      </c>
      <c r="T56">
        <v>708.72296100000005</v>
      </c>
      <c r="U56">
        <v>750.334473</v>
      </c>
      <c r="V56">
        <v>790.61645499999997</v>
      </c>
      <c r="W56">
        <v>829.09991500000001</v>
      </c>
      <c r="X56">
        <v>865.36230499999999</v>
      </c>
      <c r="Y56">
        <v>899.78277600000001</v>
      </c>
      <c r="Z56">
        <v>932.205872</v>
      </c>
      <c r="AA56">
        <v>962.77514599999995</v>
      </c>
      <c r="AB56">
        <v>990.92175299999997</v>
      </c>
      <c r="AC56">
        <v>1017.371704</v>
      </c>
      <c r="AD56">
        <v>1042.7154539999999</v>
      </c>
      <c r="AE56">
        <v>1067.538086</v>
      </c>
      <c r="AF56">
        <v>1091.956543</v>
      </c>
      <c r="AG56" s="9">
        <v>0.10299999999999999</v>
      </c>
    </row>
    <row r="57" spans="1:33">
      <c r="A57" t="s">
        <v>187</v>
      </c>
      <c r="B57" t="s">
        <v>1706</v>
      </c>
      <c r="C57" t="s">
        <v>1705</v>
      </c>
      <c r="D57" t="s">
        <v>193</v>
      </c>
      <c r="F57">
        <v>88.136702999999997</v>
      </c>
      <c r="G57">
        <v>95.444480999999996</v>
      </c>
      <c r="H57">
        <v>101.018845</v>
      </c>
      <c r="I57">
        <v>105.189232</v>
      </c>
      <c r="J57">
        <v>108.276009</v>
      </c>
      <c r="K57">
        <v>111.195801</v>
      </c>
      <c r="L57">
        <v>113.73023999999999</v>
      </c>
      <c r="M57">
        <v>115.542404</v>
      </c>
      <c r="N57">
        <v>116.80027800000001</v>
      </c>
      <c r="O57">
        <v>117.769814</v>
      </c>
      <c r="P57">
        <v>119.054474</v>
      </c>
      <c r="Q57">
        <v>120.038246</v>
      </c>
      <c r="R57">
        <v>121.296707</v>
      </c>
      <c r="S57">
        <v>122.925552</v>
      </c>
      <c r="T57">
        <v>124.973213</v>
      </c>
      <c r="U57">
        <v>127.270691</v>
      </c>
      <c r="V57">
        <v>130.13639800000001</v>
      </c>
      <c r="W57">
        <v>133.575928</v>
      </c>
      <c r="X57">
        <v>137.28263899999999</v>
      </c>
      <c r="Y57">
        <v>141.25102200000001</v>
      </c>
      <c r="Z57">
        <v>145.45997600000001</v>
      </c>
      <c r="AA57">
        <v>150.18043499999999</v>
      </c>
      <c r="AB57">
        <v>155.238663</v>
      </c>
      <c r="AC57">
        <v>161.42147800000001</v>
      </c>
      <c r="AD57">
        <v>168.573669</v>
      </c>
      <c r="AE57">
        <v>176.61393699999999</v>
      </c>
      <c r="AF57">
        <v>185.69241299999999</v>
      </c>
      <c r="AG57" s="9">
        <v>2.9000000000000001E-2</v>
      </c>
    </row>
    <row r="58" spans="1:33">
      <c r="A58" t="s">
        <v>188</v>
      </c>
      <c r="B58" t="s">
        <v>1704</v>
      </c>
      <c r="C58" t="s">
        <v>1703</v>
      </c>
      <c r="D58" t="s">
        <v>193</v>
      </c>
      <c r="F58">
        <v>0.43567400000000001</v>
      </c>
      <c r="G58">
        <v>0.46314300000000003</v>
      </c>
      <c r="H58">
        <v>0.47356700000000002</v>
      </c>
      <c r="I58">
        <v>0.47776000000000002</v>
      </c>
      <c r="J58">
        <v>0.47633199999999998</v>
      </c>
      <c r="K58">
        <v>0.46326299999999998</v>
      </c>
      <c r="L58">
        <v>0.450768</v>
      </c>
      <c r="M58">
        <v>0.43599399999999999</v>
      </c>
      <c r="N58">
        <v>0.41830400000000001</v>
      </c>
      <c r="O58">
        <v>0.39632000000000001</v>
      </c>
      <c r="P58">
        <v>0.37400499999999998</v>
      </c>
      <c r="Q58">
        <v>0.35125000000000001</v>
      </c>
      <c r="R58">
        <v>0.32793099999999997</v>
      </c>
      <c r="S58">
        <v>0.30443700000000001</v>
      </c>
      <c r="T58">
        <v>0.28106599999999998</v>
      </c>
      <c r="U58">
        <v>0.25866</v>
      </c>
      <c r="V58">
        <v>0.23719100000000001</v>
      </c>
      <c r="W58">
        <v>0.216257</v>
      </c>
      <c r="X58">
        <v>0.19920299999999999</v>
      </c>
      <c r="Y58">
        <v>0.18405299999999999</v>
      </c>
      <c r="Z58">
        <v>0.17237</v>
      </c>
      <c r="AA58">
        <v>0.15951799999999999</v>
      </c>
      <c r="AB58">
        <v>0.14982400000000001</v>
      </c>
      <c r="AC58">
        <v>0.14279500000000001</v>
      </c>
      <c r="AD58">
        <v>0.13841200000000001</v>
      </c>
      <c r="AE58">
        <v>0.13444500000000001</v>
      </c>
      <c r="AF58">
        <v>0.13148299999999999</v>
      </c>
      <c r="AG58" s="9">
        <v>-4.4999999999999998E-2</v>
      </c>
    </row>
    <row r="59" spans="1:33">
      <c r="A59" t="s">
        <v>174</v>
      </c>
      <c r="B59" t="s">
        <v>1702</v>
      </c>
      <c r="C59" t="s">
        <v>1701</v>
      </c>
      <c r="D59" t="s">
        <v>193</v>
      </c>
      <c r="F59">
        <v>924.15820299999996</v>
      </c>
      <c r="G59">
        <v>870.21014400000001</v>
      </c>
      <c r="H59">
        <v>863.57080099999996</v>
      </c>
      <c r="I59">
        <v>835.60900900000001</v>
      </c>
      <c r="J59">
        <v>791.56463599999995</v>
      </c>
      <c r="K59">
        <v>757.790344</v>
      </c>
      <c r="L59">
        <v>713.010986</v>
      </c>
      <c r="M59">
        <v>703.35260000000005</v>
      </c>
      <c r="N59">
        <v>716.09576400000003</v>
      </c>
      <c r="O59">
        <v>709.19616699999995</v>
      </c>
      <c r="P59">
        <v>701.62231399999996</v>
      </c>
      <c r="Q59">
        <v>701.98468000000003</v>
      </c>
      <c r="R59">
        <v>707.069885</v>
      </c>
      <c r="S59">
        <v>716.51238999999998</v>
      </c>
      <c r="T59">
        <v>726.48242200000004</v>
      </c>
      <c r="U59">
        <v>737.60986300000002</v>
      </c>
      <c r="V59">
        <v>746.22839399999998</v>
      </c>
      <c r="W59">
        <v>752.33184800000004</v>
      </c>
      <c r="X59">
        <v>756.95684800000004</v>
      </c>
      <c r="Y59">
        <v>765.15093999999999</v>
      </c>
      <c r="Z59">
        <v>774.86108400000001</v>
      </c>
      <c r="AA59">
        <v>781.81097399999999</v>
      </c>
      <c r="AB59">
        <v>792.942993</v>
      </c>
      <c r="AC59">
        <v>801.18463099999997</v>
      </c>
      <c r="AD59">
        <v>810.29339600000003</v>
      </c>
      <c r="AE59">
        <v>819.83679199999995</v>
      </c>
      <c r="AF59">
        <v>831.59936500000003</v>
      </c>
      <c r="AG59" s="9">
        <v>-4.0000000000000001E-3</v>
      </c>
    </row>
    <row r="60" spans="1:33">
      <c r="A60" t="s">
        <v>332</v>
      </c>
      <c r="B60" t="s">
        <v>1700</v>
      </c>
      <c r="C60" t="s">
        <v>1699</v>
      </c>
      <c r="D60" t="s">
        <v>193</v>
      </c>
      <c r="F60">
        <v>367.99011200000001</v>
      </c>
      <c r="G60">
        <v>420.41076700000002</v>
      </c>
      <c r="H60">
        <v>447.69332900000001</v>
      </c>
      <c r="I60">
        <v>448.49334700000003</v>
      </c>
      <c r="J60">
        <v>534.99713099999997</v>
      </c>
      <c r="K60">
        <v>595.58819600000004</v>
      </c>
      <c r="L60">
        <v>658.57672100000002</v>
      </c>
      <c r="M60">
        <v>700.78753700000004</v>
      </c>
      <c r="N60">
        <v>769.51843299999996</v>
      </c>
      <c r="O60">
        <v>835.05316200000004</v>
      </c>
      <c r="P60">
        <v>877.011169</v>
      </c>
      <c r="Q60">
        <v>893.79437299999995</v>
      </c>
      <c r="R60">
        <v>912.175659</v>
      </c>
      <c r="S60">
        <v>927.36077899999998</v>
      </c>
      <c r="T60">
        <v>935.75238000000002</v>
      </c>
      <c r="U60">
        <v>935.75238000000002</v>
      </c>
      <c r="V60">
        <v>937.35046399999999</v>
      </c>
      <c r="W60">
        <v>935.75238000000002</v>
      </c>
      <c r="X60">
        <v>935.74237100000005</v>
      </c>
      <c r="Y60">
        <v>930.754456</v>
      </c>
      <c r="Z60">
        <v>932.171021</v>
      </c>
      <c r="AA60">
        <v>929.52716099999998</v>
      </c>
      <c r="AB60">
        <v>934.68682899999999</v>
      </c>
      <c r="AC60">
        <v>934.997253</v>
      </c>
      <c r="AD60">
        <v>936.23211700000002</v>
      </c>
      <c r="AE60">
        <v>934.12908900000002</v>
      </c>
      <c r="AF60">
        <v>935.01782200000002</v>
      </c>
      <c r="AG60" s="9">
        <v>3.6999999999999998E-2</v>
      </c>
    </row>
    <row r="61" spans="1:33">
      <c r="A61" t="s">
        <v>140</v>
      </c>
      <c r="B61" t="s">
        <v>1698</v>
      </c>
      <c r="C61" t="s">
        <v>1697</v>
      </c>
      <c r="D61" t="s">
        <v>193</v>
      </c>
      <c r="F61">
        <v>29023.013672000001</v>
      </c>
      <c r="G61">
        <v>29107.121093999998</v>
      </c>
      <c r="H61">
        <v>29090.003906000002</v>
      </c>
      <c r="I61">
        <v>28950.951172000001</v>
      </c>
      <c r="J61">
        <v>28825.201172000001</v>
      </c>
      <c r="K61">
        <v>28667.277343999998</v>
      </c>
      <c r="L61">
        <v>28466.947265999999</v>
      </c>
      <c r="M61">
        <v>28302.804688</v>
      </c>
      <c r="N61">
        <v>28153.287109000001</v>
      </c>
      <c r="O61">
        <v>28017.0625</v>
      </c>
      <c r="P61">
        <v>27883.919922000001</v>
      </c>
      <c r="Q61">
        <v>27741.164062</v>
      </c>
      <c r="R61">
        <v>27593.458984000001</v>
      </c>
      <c r="S61">
        <v>27469.646484000001</v>
      </c>
      <c r="T61">
        <v>27382.386718999998</v>
      </c>
      <c r="U61">
        <v>27281.720702999999</v>
      </c>
      <c r="V61">
        <v>27212.365234000001</v>
      </c>
      <c r="W61">
        <v>27147.734375</v>
      </c>
      <c r="X61">
        <v>27076.595702999999</v>
      </c>
      <c r="Y61">
        <v>27039.626952999999</v>
      </c>
      <c r="Z61">
        <v>26988.03125</v>
      </c>
      <c r="AA61">
        <v>26956.792968999998</v>
      </c>
      <c r="AB61">
        <v>26921.408202999999</v>
      </c>
      <c r="AC61">
        <v>26941.939452999999</v>
      </c>
      <c r="AD61">
        <v>26934.119140999999</v>
      </c>
      <c r="AE61">
        <v>26948.974609000001</v>
      </c>
      <c r="AF61">
        <v>26998.255859000001</v>
      </c>
      <c r="AG61" s="9">
        <v>-3.0000000000000001E-3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D1263-661A-47DE-BAA4-99062C958DD7}">
  <dimension ref="A1:AG63"/>
  <sheetViews>
    <sheetView workbookViewId="0"/>
  </sheetViews>
  <sheetFormatPr defaultRowHeight="14.25"/>
  <sheetData>
    <row r="1" spans="1:33">
      <c r="A1" t="s">
        <v>2235</v>
      </c>
    </row>
    <row r="2" spans="1:33">
      <c r="A2" t="s">
        <v>2341</v>
      </c>
    </row>
    <row r="3" spans="1:33">
      <c r="A3" t="s">
        <v>2340</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2231</v>
      </c>
    </row>
    <row r="7" spans="1:33">
      <c r="A7" t="s">
        <v>296</v>
      </c>
    </row>
    <row r="8" spans="1:33">
      <c r="A8" t="s">
        <v>297</v>
      </c>
      <c r="B8" t="s">
        <v>2339</v>
      </c>
      <c r="C8" t="s">
        <v>2338</v>
      </c>
      <c r="D8" t="s">
        <v>261</v>
      </c>
      <c r="F8">
        <v>5075.3691410000001</v>
      </c>
      <c r="G8">
        <v>4824.9785160000001</v>
      </c>
      <c r="H8">
        <v>4539.7255859999996</v>
      </c>
      <c r="I8">
        <v>4228.984375</v>
      </c>
      <c r="J8">
        <v>3937.797607</v>
      </c>
      <c r="K8">
        <v>3710.922607</v>
      </c>
      <c r="L8">
        <v>3512.5742190000001</v>
      </c>
      <c r="M8">
        <v>3327.20874</v>
      </c>
      <c r="N8">
        <v>3127.469482</v>
      </c>
      <c r="O8">
        <v>2978.8933109999998</v>
      </c>
      <c r="P8">
        <v>2861.579346</v>
      </c>
      <c r="Q8">
        <v>2729.3728030000002</v>
      </c>
      <c r="R8">
        <v>2603.5134280000002</v>
      </c>
      <c r="S8">
        <v>2492.501953</v>
      </c>
      <c r="T8">
        <v>2396.883057</v>
      </c>
      <c r="U8">
        <v>2302.8364259999998</v>
      </c>
      <c r="V8">
        <v>2209.5778810000002</v>
      </c>
      <c r="W8">
        <v>2126.6970209999999</v>
      </c>
      <c r="X8">
        <v>2053.3640140000002</v>
      </c>
      <c r="Y8">
        <v>1987.5832519999999</v>
      </c>
      <c r="Z8">
        <v>1926.649048</v>
      </c>
      <c r="AA8">
        <v>1871.7105710000001</v>
      </c>
      <c r="AB8">
        <v>1819.1607670000001</v>
      </c>
      <c r="AC8">
        <v>1769.278564</v>
      </c>
      <c r="AD8">
        <v>1721.4882809999999</v>
      </c>
      <c r="AE8">
        <v>1676.5722659999999</v>
      </c>
      <c r="AF8">
        <v>1637.205078</v>
      </c>
      <c r="AG8" s="9">
        <v>-4.2999999999999997E-2</v>
      </c>
    </row>
    <row r="9" spans="1:33">
      <c r="A9" t="s">
        <v>298</v>
      </c>
      <c r="B9" t="s">
        <v>2337</v>
      </c>
      <c r="C9" t="s">
        <v>2336</v>
      </c>
      <c r="D9" t="s">
        <v>261</v>
      </c>
      <c r="F9">
        <v>15.97803</v>
      </c>
      <c r="G9">
        <v>13.911413</v>
      </c>
      <c r="H9">
        <v>12.051627</v>
      </c>
      <c r="I9">
        <v>10.370836000000001</v>
      </c>
      <c r="J9">
        <v>8.844614</v>
      </c>
      <c r="K9">
        <v>7.4791059999999998</v>
      </c>
      <c r="L9">
        <v>6.2849209999999998</v>
      </c>
      <c r="M9">
        <v>5.2521810000000002</v>
      </c>
      <c r="N9">
        <v>4.3723409999999996</v>
      </c>
      <c r="O9">
        <v>3.6431749999999998</v>
      </c>
      <c r="P9">
        <v>3.051164</v>
      </c>
      <c r="Q9">
        <v>2.5798580000000002</v>
      </c>
      <c r="R9">
        <v>2.2096680000000002</v>
      </c>
      <c r="S9">
        <v>1.920185</v>
      </c>
      <c r="T9">
        <v>1.695036</v>
      </c>
      <c r="U9">
        <v>1.51745</v>
      </c>
      <c r="V9">
        <v>1.3681749999999999</v>
      </c>
      <c r="W9">
        <v>1.2371019999999999</v>
      </c>
      <c r="X9">
        <v>1.1214569999999999</v>
      </c>
      <c r="Y9">
        <v>1.0183390000000001</v>
      </c>
      <c r="Z9">
        <v>0.92536499999999999</v>
      </c>
      <c r="AA9">
        <v>0.84118099999999996</v>
      </c>
      <c r="AB9">
        <v>0.76493500000000003</v>
      </c>
      <c r="AC9">
        <v>0.69586000000000003</v>
      </c>
      <c r="AD9">
        <v>0.63326300000000002</v>
      </c>
      <c r="AE9">
        <v>0.57652099999999995</v>
      </c>
      <c r="AF9">
        <v>0.52507000000000004</v>
      </c>
      <c r="AG9" s="9">
        <v>-0.123</v>
      </c>
    </row>
    <row r="10" spans="1:33">
      <c r="A10" t="s">
        <v>299</v>
      </c>
      <c r="B10" t="s">
        <v>2335</v>
      </c>
      <c r="C10" t="s">
        <v>2334</v>
      </c>
      <c r="D10" t="s">
        <v>261</v>
      </c>
      <c r="F10">
        <v>5091.3471680000002</v>
      </c>
      <c r="G10">
        <v>4838.8901370000003</v>
      </c>
      <c r="H10">
        <v>4551.7773440000001</v>
      </c>
      <c r="I10">
        <v>4239.3549800000001</v>
      </c>
      <c r="J10">
        <v>3946.6423340000001</v>
      </c>
      <c r="K10">
        <v>3718.4016109999998</v>
      </c>
      <c r="L10">
        <v>3518.8591310000002</v>
      </c>
      <c r="M10">
        <v>3332.4609380000002</v>
      </c>
      <c r="N10">
        <v>3131.841797</v>
      </c>
      <c r="O10">
        <v>2982.5363769999999</v>
      </c>
      <c r="P10">
        <v>2864.630615</v>
      </c>
      <c r="Q10">
        <v>2731.9526369999999</v>
      </c>
      <c r="R10">
        <v>2605.7231449999999</v>
      </c>
      <c r="S10">
        <v>2494.4221189999998</v>
      </c>
      <c r="T10">
        <v>2398.578125</v>
      </c>
      <c r="U10">
        <v>2304.35376</v>
      </c>
      <c r="V10">
        <v>2210.9460450000001</v>
      </c>
      <c r="W10">
        <v>2127.9340820000002</v>
      </c>
      <c r="X10">
        <v>2054.4853520000001</v>
      </c>
      <c r="Y10">
        <v>1988.6015620000001</v>
      </c>
      <c r="Z10">
        <v>1927.5744629999999</v>
      </c>
      <c r="AA10">
        <v>1872.5517580000001</v>
      </c>
      <c r="AB10">
        <v>1819.925659</v>
      </c>
      <c r="AC10">
        <v>1769.974365</v>
      </c>
      <c r="AD10">
        <v>1722.121582</v>
      </c>
      <c r="AE10">
        <v>1677.1488039999999</v>
      </c>
      <c r="AF10">
        <v>1637.7301030000001</v>
      </c>
      <c r="AG10" s="9">
        <v>-4.2999999999999997E-2</v>
      </c>
    </row>
    <row r="11" spans="1:33">
      <c r="A11" t="s">
        <v>300</v>
      </c>
    </row>
    <row r="12" spans="1:33">
      <c r="A12" t="s">
        <v>301</v>
      </c>
      <c r="B12" t="s">
        <v>2333</v>
      </c>
      <c r="C12" t="s">
        <v>2332</v>
      </c>
      <c r="D12" t="s">
        <v>261</v>
      </c>
      <c r="F12">
        <v>185.83042900000001</v>
      </c>
      <c r="G12">
        <v>158.766052</v>
      </c>
      <c r="H12">
        <v>134.82157900000001</v>
      </c>
      <c r="I12">
        <v>113.52628300000001</v>
      </c>
      <c r="J12">
        <v>94.714484999999996</v>
      </c>
      <c r="K12">
        <v>78.336166000000006</v>
      </c>
      <c r="L12">
        <v>64.364654999999999</v>
      </c>
      <c r="M12">
        <v>52.711390999999999</v>
      </c>
      <c r="N12">
        <v>43.209826999999997</v>
      </c>
      <c r="O12">
        <v>35.860064999999999</v>
      </c>
      <c r="P12">
        <v>30.128226999999999</v>
      </c>
      <c r="Q12">
        <v>25.750183</v>
      </c>
      <c r="R12">
        <v>22.493084</v>
      </c>
      <c r="S12">
        <v>19.972109</v>
      </c>
      <c r="T12">
        <v>17.990849000000001</v>
      </c>
      <c r="U12">
        <v>16.438389000000001</v>
      </c>
      <c r="V12">
        <v>15.174291</v>
      </c>
      <c r="W12">
        <v>14.108563</v>
      </c>
      <c r="X12">
        <v>13.189731</v>
      </c>
      <c r="Y12">
        <v>12.385399</v>
      </c>
      <c r="Z12">
        <v>11.676161</v>
      </c>
      <c r="AA12">
        <v>11.033206</v>
      </c>
      <c r="AB12">
        <v>10.440344</v>
      </c>
      <c r="AC12">
        <v>9.8937559999999998</v>
      </c>
      <c r="AD12">
        <v>9.3882999999999992</v>
      </c>
      <c r="AE12">
        <v>8.9212100000000003</v>
      </c>
      <c r="AF12">
        <v>8.4870450000000002</v>
      </c>
      <c r="AG12" s="9">
        <v>-0.112</v>
      </c>
    </row>
    <row r="13" spans="1:33">
      <c r="A13" t="s">
        <v>333</v>
      </c>
      <c r="B13" t="s">
        <v>2331</v>
      </c>
      <c r="C13" t="s">
        <v>2330</v>
      </c>
      <c r="D13" t="s">
        <v>261</v>
      </c>
      <c r="F13">
        <v>11.85019</v>
      </c>
      <c r="G13">
        <v>12.360404000000001</v>
      </c>
      <c r="H13">
        <v>12.04448</v>
      </c>
      <c r="I13">
        <v>11.302363</v>
      </c>
      <c r="J13">
        <v>10.383241</v>
      </c>
      <c r="K13">
        <v>9.6245969999999996</v>
      </c>
      <c r="L13">
        <v>9.1471199999999993</v>
      </c>
      <c r="M13">
        <v>8.7943309999999997</v>
      </c>
      <c r="N13">
        <v>8.563879</v>
      </c>
      <c r="O13">
        <v>7.9911260000000004</v>
      </c>
      <c r="P13">
        <v>7.7062759999999999</v>
      </c>
      <c r="Q13">
        <v>7.5855490000000003</v>
      </c>
      <c r="R13">
        <v>7.577725</v>
      </c>
      <c r="S13">
        <v>7.6397279999999999</v>
      </c>
      <c r="T13">
        <v>7.7614070000000002</v>
      </c>
      <c r="U13">
        <v>7.9287460000000003</v>
      </c>
      <c r="V13">
        <v>7.9740909999999996</v>
      </c>
      <c r="W13">
        <v>8.0476150000000004</v>
      </c>
      <c r="X13">
        <v>8.1398639999999993</v>
      </c>
      <c r="Y13">
        <v>8.2595290000000006</v>
      </c>
      <c r="Z13">
        <v>8.3617840000000001</v>
      </c>
      <c r="AA13">
        <v>8.4713049999999992</v>
      </c>
      <c r="AB13">
        <v>8.5565529999999992</v>
      </c>
      <c r="AC13">
        <v>8.6206870000000002</v>
      </c>
      <c r="AD13">
        <v>8.6789050000000003</v>
      </c>
      <c r="AE13">
        <v>8.7322120000000005</v>
      </c>
      <c r="AF13">
        <v>8.8282769999999999</v>
      </c>
      <c r="AG13" s="9">
        <v>-1.0999999999999999E-2</v>
      </c>
    </row>
    <row r="14" spans="1:33">
      <c r="A14" t="s">
        <v>334</v>
      </c>
      <c r="B14" t="s">
        <v>2329</v>
      </c>
      <c r="C14" t="s">
        <v>2328</v>
      </c>
      <c r="D14" t="s">
        <v>261</v>
      </c>
      <c r="F14">
        <v>70.611594999999994</v>
      </c>
      <c r="G14">
        <v>89.524704</v>
      </c>
      <c r="H14">
        <v>108.11518100000001</v>
      </c>
      <c r="I14">
        <v>128.680252</v>
      </c>
      <c r="J14">
        <v>142.52853400000001</v>
      </c>
      <c r="K14">
        <v>151.677277</v>
      </c>
      <c r="L14">
        <v>165.152344</v>
      </c>
      <c r="M14">
        <v>179.082199</v>
      </c>
      <c r="N14">
        <v>235.65670800000001</v>
      </c>
      <c r="O14">
        <v>287.33294699999999</v>
      </c>
      <c r="P14">
        <v>334.09530599999999</v>
      </c>
      <c r="Q14">
        <v>392.77569599999998</v>
      </c>
      <c r="R14">
        <v>437.339966</v>
      </c>
      <c r="S14">
        <v>473.97659299999998</v>
      </c>
      <c r="T14">
        <v>507.04260299999999</v>
      </c>
      <c r="U14">
        <v>555.18975799999998</v>
      </c>
      <c r="V14">
        <v>592.68933100000004</v>
      </c>
      <c r="W14">
        <v>622.91485599999999</v>
      </c>
      <c r="X14">
        <v>647.55517599999996</v>
      </c>
      <c r="Y14">
        <v>671.56579599999998</v>
      </c>
      <c r="Z14">
        <v>692.02984600000002</v>
      </c>
      <c r="AA14">
        <v>712.49700900000005</v>
      </c>
      <c r="AB14">
        <v>728.66308600000002</v>
      </c>
      <c r="AC14">
        <v>741.73767099999998</v>
      </c>
      <c r="AD14">
        <v>753.25073199999997</v>
      </c>
      <c r="AE14">
        <v>763.21765100000005</v>
      </c>
      <c r="AF14">
        <v>776.83136000000002</v>
      </c>
      <c r="AG14" s="9">
        <v>9.7000000000000003E-2</v>
      </c>
    </row>
    <row r="15" spans="1:33">
      <c r="A15" t="s">
        <v>335</v>
      </c>
      <c r="B15" t="s">
        <v>2327</v>
      </c>
      <c r="C15" t="s">
        <v>2326</v>
      </c>
      <c r="D15" t="s">
        <v>261</v>
      </c>
      <c r="F15">
        <v>278.55419899999998</v>
      </c>
      <c r="G15">
        <v>365.30419899999998</v>
      </c>
      <c r="H15">
        <v>506.17468300000002</v>
      </c>
      <c r="I15">
        <v>651.42443800000001</v>
      </c>
      <c r="J15">
        <v>761.15637200000003</v>
      </c>
      <c r="K15">
        <v>835.74780299999998</v>
      </c>
      <c r="L15">
        <v>906.38159199999996</v>
      </c>
      <c r="M15">
        <v>966.11364700000001</v>
      </c>
      <c r="N15">
        <v>1013.405945</v>
      </c>
      <c r="O15">
        <v>1021.955872</v>
      </c>
      <c r="P15">
        <v>1053.6198730000001</v>
      </c>
      <c r="Q15">
        <v>1086.2642820000001</v>
      </c>
      <c r="R15">
        <v>1118.510254</v>
      </c>
      <c r="S15">
        <v>1148.368774</v>
      </c>
      <c r="T15">
        <v>1176.9157709999999</v>
      </c>
      <c r="U15">
        <v>1200.628418</v>
      </c>
      <c r="V15">
        <v>1230.482422</v>
      </c>
      <c r="W15">
        <v>1251.8945309999999</v>
      </c>
      <c r="X15">
        <v>1267.2229</v>
      </c>
      <c r="Y15">
        <v>1277.7420649999999</v>
      </c>
      <c r="Z15">
        <v>1286.095947</v>
      </c>
      <c r="AA15">
        <v>1292.9970699999999</v>
      </c>
      <c r="AB15">
        <v>1297.8759769999999</v>
      </c>
      <c r="AC15">
        <v>1300.224976</v>
      </c>
      <c r="AD15">
        <v>1299.7360839999999</v>
      </c>
      <c r="AE15">
        <v>1298.2346190000001</v>
      </c>
      <c r="AF15">
        <v>1298.173828</v>
      </c>
      <c r="AG15" s="9">
        <v>6.0999999999999999E-2</v>
      </c>
    </row>
    <row r="16" spans="1:33">
      <c r="A16" t="s">
        <v>302</v>
      </c>
      <c r="B16" t="s">
        <v>2325</v>
      </c>
      <c r="C16" t="s">
        <v>2324</v>
      </c>
      <c r="D16" t="s">
        <v>261</v>
      </c>
      <c r="F16">
        <v>24.319165999999999</v>
      </c>
      <c r="G16">
        <v>28.024124</v>
      </c>
      <c r="H16">
        <v>31.654152</v>
      </c>
      <c r="I16">
        <v>35.126587000000001</v>
      </c>
      <c r="J16">
        <v>37.782134999999997</v>
      </c>
      <c r="K16">
        <v>38.713366999999998</v>
      </c>
      <c r="L16">
        <v>39.330399</v>
      </c>
      <c r="M16">
        <v>39.821682000000003</v>
      </c>
      <c r="N16">
        <v>39.222110999999998</v>
      </c>
      <c r="O16">
        <v>37.875874000000003</v>
      </c>
      <c r="P16">
        <v>37.592007000000002</v>
      </c>
      <c r="Q16">
        <v>37.293441999999999</v>
      </c>
      <c r="R16">
        <v>37.181023000000003</v>
      </c>
      <c r="S16">
        <v>37.163882999999998</v>
      </c>
      <c r="T16">
        <v>37.256144999999997</v>
      </c>
      <c r="U16">
        <v>37.154494999999997</v>
      </c>
      <c r="V16">
        <v>37.032181000000001</v>
      </c>
      <c r="W16">
        <v>36.916473000000003</v>
      </c>
      <c r="X16">
        <v>36.799956999999999</v>
      </c>
      <c r="Y16">
        <v>36.725025000000002</v>
      </c>
      <c r="Z16">
        <v>36.564059999999998</v>
      </c>
      <c r="AA16">
        <v>36.438701999999999</v>
      </c>
      <c r="AB16">
        <v>36.224212999999999</v>
      </c>
      <c r="AC16">
        <v>35.973830999999997</v>
      </c>
      <c r="AD16">
        <v>35.735878</v>
      </c>
      <c r="AE16">
        <v>35.502071000000001</v>
      </c>
      <c r="AF16">
        <v>35.428936</v>
      </c>
      <c r="AG16" s="9">
        <v>1.4999999999999999E-2</v>
      </c>
    </row>
    <row r="17" spans="1:33">
      <c r="A17" t="s">
        <v>303</v>
      </c>
      <c r="B17" t="s">
        <v>2323</v>
      </c>
      <c r="C17" t="s">
        <v>2322</v>
      </c>
      <c r="D17" t="s">
        <v>261</v>
      </c>
      <c r="F17">
        <v>16.713234</v>
      </c>
      <c r="G17">
        <v>19.646000000000001</v>
      </c>
      <c r="H17">
        <v>27.472750000000001</v>
      </c>
      <c r="I17">
        <v>34.305477000000003</v>
      </c>
      <c r="J17">
        <v>39.878402999999999</v>
      </c>
      <c r="K17">
        <v>43.144492999999997</v>
      </c>
      <c r="L17">
        <v>45.670814999999997</v>
      </c>
      <c r="M17">
        <v>47.934826000000001</v>
      </c>
      <c r="N17">
        <v>47.271560999999998</v>
      </c>
      <c r="O17">
        <v>44.810276000000002</v>
      </c>
      <c r="P17">
        <v>44.349277000000001</v>
      </c>
      <c r="Q17">
        <v>43.442248999999997</v>
      </c>
      <c r="R17">
        <v>43.141379999999998</v>
      </c>
      <c r="S17">
        <v>43.079932999999997</v>
      </c>
      <c r="T17">
        <v>43.204563</v>
      </c>
      <c r="U17">
        <v>42.328564</v>
      </c>
      <c r="V17">
        <v>41.575184</v>
      </c>
      <c r="W17">
        <v>40.920043999999997</v>
      </c>
      <c r="X17">
        <v>40.343662000000002</v>
      </c>
      <c r="Y17">
        <v>39.810692000000003</v>
      </c>
      <c r="Z17">
        <v>39.193900999999997</v>
      </c>
      <c r="AA17">
        <v>38.606316</v>
      </c>
      <c r="AB17">
        <v>37.957912</v>
      </c>
      <c r="AC17">
        <v>37.301848999999997</v>
      </c>
      <c r="AD17">
        <v>36.676651</v>
      </c>
      <c r="AE17">
        <v>36.085971999999998</v>
      </c>
      <c r="AF17">
        <v>35.664669000000004</v>
      </c>
      <c r="AG17" s="9">
        <v>0.03</v>
      </c>
    </row>
    <row r="18" spans="1:33">
      <c r="A18" t="s">
        <v>304</v>
      </c>
      <c r="B18" t="s">
        <v>2321</v>
      </c>
      <c r="C18" t="s">
        <v>2320</v>
      </c>
      <c r="D18" t="s">
        <v>261</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110</v>
      </c>
    </row>
    <row r="19" spans="1:33">
      <c r="A19" t="s">
        <v>305</v>
      </c>
      <c r="B19" t="s">
        <v>2319</v>
      </c>
      <c r="C19" t="s">
        <v>2318</v>
      </c>
      <c r="D19" t="s">
        <v>261</v>
      </c>
      <c r="F19">
        <v>274.11764499999998</v>
      </c>
      <c r="G19">
        <v>308.045074</v>
      </c>
      <c r="H19">
        <v>323.019226</v>
      </c>
      <c r="I19">
        <v>335.71899400000001</v>
      </c>
      <c r="J19">
        <v>337.895355</v>
      </c>
      <c r="K19">
        <v>341.75335699999999</v>
      </c>
      <c r="L19">
        <v>345.65527300000002</v>
      </c>
      <c r="M19">
        <v>349.70907599999998</v>
      </c>
      <c r="N19">
        <v>346.89227299999999</v>
      </c>
      <c r="O19">
        <v>349.15042099999999</v>
      </c>
      <c r="P19">
        <v>355.91909800000002</v>
      </c>
      <c r="Q19">
        <v>358.722961</v>
      </c>
      <c r="R19">
        <v>360.87072799999999</v>
      </c>
      <c r="S19">
        <v>363.92602499999998</v>
      </c>
      <c r="T19">
        <v>368.21139499999998</v>
      </c>
      <c r="U19">
        <v>371.38156099999998</v>
      </c>
      <c r="V19">
        <v>372.19873000000001</v>
      </c>
      <c r="W19">
        <v>373.74975599999999</v>
      </c>
      <c r="X19">
        <v>376.01159699999999</v>
      </c>
      <c r="Y19">
        <v>378.73046900000003</v>
      </c>
      <c r="Z19">
        <v>381.48400900000001</v>
      </c>
      <c r="AA19">
        <v>384.61077899999998</v>
      </c>
      <c r="AB19">
        <v>387.44223</v>
      </c>
      <c r="AC19">
        <v>389.94586199999998</v>
      </c>
      <c r="AD19">
        <v>392.03338600000001</v>
      </c>
      <c r="AE19">
        <v>394.14669800000001</v>
      </c>
      <c r="AF19">
        <v>397.24316399999998</v>
      </c>
      <c r="AG19" s="9">
        <v>1.4E-2</v>
      </c>
    </row>
    <row r="20" spans="1:33">
      <c r="A20" t="s">
        <v>306</v>
      </c>
      <c r="B20" t="s">
        <v>2317</v>
      </c>
      <c r="C20" t="s">
        <v>2316</v>
      </c>
      <c r="D20" t="s">
        <v>261</v>
      </c>
      <c r="F20">
        <v>9.9655229999999992</v>
      </c>
      <c r="G20">
        <v>9.0828399999999991</v>
      </c>
      <c r="H20">
        <v>8.2020130000000009</v>
      </c>
      <c r="I20">
        <v>7.3214189999999997</v>
      </c>
      <c r="J20">
        <v>6.466685</v>
      </c>
      <c r="K20">
        <v>5.6556509999999998</v>
      </c>
      <c r="L20">
        <v>4.984686</v>
      </c>
      <c r="M20">
        <v>4.3517099999999997</v>
      </c>
      <c r="N20">
        <v>3.793523</v>
      </c>
      <c r="O20">
        <v>3.3131689999999998</v>
      </c>
      <c r="P20">
        <v>2.91656</v>
      </c>
      <c r="Q20">
        <v>2.58629</v>
      </c>
      <c r="R20">
        <v>2.3151820000000001</v>
      </c>
      <c r="S20">
        <v>2.1367910000000001</v>
      </c>
      <c r="T20">
        <v>1.984197</v>
      </c>
      <c r="U20">
        <v>1.8572599999999999</v>
      </c>
      <c r="V20">
        <v>1.7442409999999999</v>
      </c>
      <c r="W20">
        <v>1.6380980000000001</v>
      </c>
      <c r="X20">
        <v>1.5384150000000001</v>
      </c>
      <c r="Y20">
        <v>1.444798</v>
      </c>
      <c r="Z20">
        <v>1.356878</v>
      </c>
      <c r="AA20">
        <v>1.2743070000000001</v>
      </c>
      <c r="AB20">
        <v>1.1967620000000001</v>
      </c>
      <c r="AC20">
        <v>1.123936</v>
      </c>
      <c r="AD20">
        <v>1.0555410000000001</v>
      </c>
      <c r="AE20">
        <v>0.99130799999999997</v>
      </c>
      <c r="AF20">
        <v>0.93098400000000003</v>
      </c>
      <c r="AG20" s="9">
        <v>-8.6999999999999994E-2</v>
      </c>
    </row>
    <row r="21" spans="1:33">
      <c r="A21" t="s">
        <v>307</v>
      </c>
      <c r="B21" t="s">
        <v>2315</v>
      </c>
      <c r="C21" t="s">
        <v>2314</v>
      </c>
      <c r="D21" t="s">
        <v>261</v>
      </c>
      <c r="F21">
        <v>0.23644499999999999</v>
      </c>
      <c r="G21">
        <v>0.222056</v>
      </c>
      <c r="H21">
        <v>0.20854400000000001</v>
      </c>
      <c r="I21">
        <v>0.195853</v>
      </c>
      <c r="J21">
        <v>0.18393499999999999</v>
      </c>
      <c r="K21">
        <v>0.17274200000000001</v>
      </c>
      <c r="L21">
        <v>0.16223000000000001</v>
      </c>
      <c r="M21">
        <v>0.15235799999999999</v>
      </c>
      <c r="N21">
        <v>0.14308599999999999</v>
      </c>
      <c r="O21">
        <v>0.134379</v>
      </c>
      <c r="P21">
        <v>0.12620200000000001</v>
      </c>
      <c r="Q21">
        <v>0.118522</v>
      </c>
      <c r="R21">
        <v>0.11131000000000001</v>
      </c>
      <c r="S21">
        <v>0.104536</v>
      </c>
      <c r="T21">
        <v>9.8174999999999998E-2</v>
      </c>
      <c r="U21">
        <v>9.2201000000000005E-2</v>
      </c>
      <c r="V21">
        <v>8.659E-2</v>
      </c>
      <c r="W21">
        <v>8.1321000000000004E-2</v>
      </c>
      <c r="X21">
        <v>7.6371999999999995E-2</v>
      </c>
      <c r="Y21">
        <v>7.1724999999999997E-2</v>
      </c>
      <c r="Z21">
        <v>6.7360000000000003E-2</v>
      </c>
      <c r="AA21">
        <v>6.3260999999999998E-2</v>
      </c>
      <c r="AB21">
        <v>5.9410999999999999E-2</v>
      </c>
      <c r="AC21">
        <v>5.5795999999999998E-2</v>
      </c>
      <c r="AD21">
        <v>5.2400000000000002E-2</v>
      </c>
      <c r="AE21">
        <v>4.9211999999999999E-2</v>
      </c>
      <c r="AF21">
        <v>4.6217000000000001E-2</v>
      </c>
      <c r="AG21" s="9">
        <v>-6.0999999999999999E-2</v>
      </c>
    </row>
    <row r="22" spans="1:33">
      <c r="A22" t="s">
        <v>308</v>
      </c>
      <c r="B22" t="s">
        <v>2313</v>
      </c>
      <c r="C22" t="s">
        <v>2312</v>
      </c>
      <c r="D22" t="s">
        <v>261</v>
      </c>
      <c r="F22">
        <v>1.530565</v>
      </c>
      <c r="G22">
        <v>1.330983</v>
      </c>
      <c r="H22">
        <v>1.206502</v>
      </c>
      <c r="I22">
        <v>1.130379</v>
      </c>
      <c r="J22">
        <v>1.0615920000000001</v>
      </c>
      <c r="K22">
        <v>0.99699099999999996</v>
      </c>
      <c r="L22">
        <v>0.93632099999999996</v>
      </c>
      <c r="M22">
        <v>0.87934299999999999</v>
      </c>
      <c r="N22">
        <v>0.82583200000000001</v>
      </c>
      <c r="O22">
        <v>0.77557799999999999</v>
      </c>
      <c r="P22">
        <v>0.72838199999999997</v>
      </c>
      <c r="Q22">
        <v>0.68405800000000005</v>
      </c>
      <c r="R22">
        <v>0.64243099999999997</v>
      </c>
      <c r="S22">
        <v>0.60333700000000001</v>
      </c>
      <c r="T22">
        <v>0.56662199999999996</v>
      </c>
      <c r="U22">
        <v>0.53214099999999998</v>
      </c>
      <c r="V22">
        <v>0.49975900000000001</v>
      </c>
      <c r="W22">
        <v>0.46934700000000001</v>
      </c>
      <c r="X22">
        <v>0.44078600000000001</v>
      </c>
      <c r="Y22">
        <v>0.41396300000000003</v>
      </c>
      <c r="Z22">
        <v>0.38877200000000001</v>
      </c>
      <c r="AA22">
        <v>0.36511399999999999</v>
      </c>
      <c r="AB22">
        <v>0.34289599999999998</v>
      </c>
      <c r="AC22">
        <v>0.32202900000000001</v>
      </c>
      <c r="AD22">
        <v>0.30243300000000001</v>
      </c>
      <c r="AE22">
        <v>0.28402899999999998</v>
      </c>
      <c r="AF22">
        <v>0.26674500000000001</v>
      </c>
      <c r="AG22" s="9">
        <v>-6.5000000000000002E-2</v>
      </c>
    </row>
    <row r="23" spans="1:33">
      <c r="A23" t="s">
        <v>309</v>
      </c>
      <c r="B23" t="s">
        <v>2311</v>
      </c>
      <c r="C23" t="s">
        <v>2310</v>
      </c>
      <c r="D23" t="s">
        <v>261</v>
      </c>
      <c r="F23">
        <v>2.9953539999999998</v>
      </c>
      <c r="G23">
        <v>2.585502</v>
      </c>
      <c r="H23">
        <v>2.3061020000000001</v>
      </c>
      <c r="I23">
        <v>2.1352929999999999</v>
      </c>
      <c r="J23">
        <v>1.990221</v>
      </c>
      <c r="K23">
        <v>1.86911</v>
      </c>
      <c r="L23">
        <v>1.755369</v>
      </c>
      <c r="M23">
        <v>1.64855</v>
      </c>
      <c r="N23">
        <v>1.54823</v>
      </c>
      <c r="O23">
        <v>1.454016</v>
      </c>
      <c r="P23">
        <v>1.3655349999999999</v>
      </c>
      <c r="Q23">
        <v>1.282438</v>
      </c>
      <c r="R23">
        <v>1.2043969999999999</v>
      </c>
      <c r="S23">
        <v>1.1311059999999999</v>
      </c>
      <c r="T23">
        <v>1.0622750000000001</v>
      </c>
      <c r="U23">
        <v>0.99763299999999999</v>
      </c>
      <c r="V23">
        <v>0.93692399999999998</v>
      </c>
      <c r="W23">
        <v>0.87990900000000005</v>
      </c>
      <c r="X23">
        <v>0.82636399999999999</v>
      </c>
      <c r="Y23">
        <v>0.77607700000000002</v>
      </c>
      <c r="Z23">
        <v>0.72885</v>
      </c>
      <c r="AA23">
        <v>0.68449800000000005</v>
      </c>
      <c r="AB23">
        <v>0.64284399999999997</v>
      </c>
      <c r="AC23">
        <v>0.60372499999999996</v>
      </c>
      <c r="AD23">
        <v>0.56698700000000002</v>
      </c>
      <c r="AE23">
        <v>0.53248399999999996</v>
      </c>
      <c r="AF23">
        <v>0.50007999999999997</v>
      </c>
      <c r="AG23" s="9">
        <v>-6.7000000000000004E-2</v>
      </c>
    </row>
    <row r="24" spans="1:33">
      <c r="A24" t="s">
        <v>310</v>
      </c>
      <c r="B24" t="s">
        <v>2309</v>
      </c>
      <c r="C24" t="s">
        <v>2308</v>
      </c>
      <c r="D24" t="s">
        <v>261</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110</v>
      </c>
    </row>
    <row r="25" spans="1:33">
      <c r="A25" t="s">
        <v>311</v>
      </c>
      <c r="B25" t="s">
        <v>2307</v>
      </c>
      <c r="C25" t="s">
        <v>2306</v>
      </c>
      <c r="D25" t="s">
        <v>261</v>
      </c>
      <c r="F25">
        <v>0.92445600000000006</v>
      </c>
      <c r="G25">
        <v>0.87777099999999997</v>
      </c>
      <c r="H25">
        <v>0.84600900000000001</v>
      </c>
      <c r="I25">
        <v>0.829878</v>
      </c>
      <c r="J25">
        <v>0.81545699999999999</v>
      </c>
      <c r="K25">
        <v>0.74329699999999999</v>
      </c>
      <c r="L25">
        <v>0.68915199999999999</v>
      </c>
      <c r="M25">
        <v>0.63259600000000005</v>
      </c>
      <c r="N25">
        <v>0.57752199999999998</v>
      </c>
      <c r="O25">
        <v>0.51954</v>
      </c>
      <c r="P25">
        <v>0.46768799999999999</v>
      </c>
      <c r="Q25">
        <v>0.42432799999999998</v>
      </c>
      <c r="R25">
        <v>0.38281500000000002</v>
      </c>
      <c r="S25">
        <v>0.34542499999999998</v>
      </c>
      <c r="T25">
        <v>0.31234699999999999</v>
      </c>
      <c r="U25">
        <v>0.283862</v>
      </c>
      <c r="V25">
        <v>0.26024999999999998</v>
      </c>
      <c r="W25">
        <v>0.241506</v>
      </c>
      <c r="X25">
        <v>0.22672100000000001</v>
      </c>
      <c r="Y25">
        <v>0.215305</v>
      </c>
      <c r="Z25">
        <v>0.205932</v>
      </c>
      <c r="AA25">
        <v>0.198986</v>
      </c>
      <c r="AB25">
        <v>0.19384899999999999</v>
      </c>
      <c r="AC25">
        <v>0.18962799999999999</v>
      </c>
      <c r="AD25">
        <v>0.186557</v>
      </c>
      <c r="AE25">
        <v>0.184422</v>
      </c>
      <c r="AF25">
        <v>0.18473300000000001</v>
      </c>
      <c r="AG25" s="9">
        <v>-0.06</v>
      </c>
    </row>
    <row r="26" spans="1:33">
      <c r="A26" t="s">
        <v>312</v>
      </c>
      <c r="B26" t="s">
        <v>2305</v>
      </c>
      <c r="C26" t="s">
        <v>2304</v>
      </c>
      <c r="D26" t="s">
        <v>261</v>
      </c>
      <c r="F26">
        <v>877.64880400000004</v>
      </c>
      <c r="G26">
        <v>995.76965299999995</v>
      </c>
      <c r="H26">
        <v>1156.0711670000001</v>
      </c>
      <c r="I26">
        <v>1321.6972659999999</v>
      </c>
      <c r="J26">
        <v>1434.8564449999999</v>
      </c>
      <c r="K26">
        <v>1508.434814</v>
      </c>
      <c r="L26">
        <v>1584.2299800000001</v>
      </c>
      <c r="M26">
        <v>1651.8316649999999</v>
      </c>
      <c r="N26">
        <v>1741.1104740000001</v>
      </c>
      <c r="O26">
        <v>1791.1733400000001</v>
      </c>
      <c r="P26">
        <v>1869.014404</v>
      </c>
      <c r="Q26">
        <v>1956.929932</v>
      </c>
      <c r="R26">
        <v>2031.770264</v>
      </c>
      <c r="S26">
        <v>2098.4482419999999</v>
      </c>
      <c r="T26">
        <v>2162.40625</v>
      </c>
      <c r="U26">
        <v>2234.813232</v>
      </c>
      <c r="V26">
        <v>2300.6538089999999</v>
      </c>
      <c r="W26">
        <v>2351.8620609999998</v>
      </c>
      <c r="X26">
        <v>2392.3718260000001</v>
      </c>
      <c r="Y26">
        <v>2428.1411130000001</v>
      </c>
      <c r="Z26">
        <v>2458.1535640000002</v>
      </c>
      <c r="AA26">
        <v>2487.2404790000001</v>
      </c>
      <c r="AB26">
        <v>2509.5961910000001</v>
      </c>
      <c r="AC26">
        <v>2525.9938959999999</v>
      </c>
      <c r="AD26">
        <v>2537.6640619999998</v>
      </c>
      <c r="AE26">
        <v>2546.881836</v>
      </c>
      <c r="AF26">
        <v>2562.586182</v>
      </c>
      <c r="AG26" s="9">
        <v>4.2000000000000003E-2</v>
      </c>
    </row>
    <row r="27" spans="1:33">
      <c r="A27" t="s">
        <v>2206</v>
      </c>
      <c r="B27" t="s">
        <v>2303</v>
      </c>
      <c r="C27" t="s">
        <v>2302</v>
      </c>
      <c r="D27" t="s">
        <v>261</v>
      </c>
      <c r="F27">
        <v>5968.9960940000001</v>
      </c>
      <c r="G27">
        <v>5834.6596680000002</v>
      </c>
      <c r="H27">
        <v>5707.8486329999996</v>
      </c>
      <c r="I27">
        <v>5561.0522460000002</v>
      </c>
      <c r="J27">
        <v>5381.4990230000003</v>
      </c>
      <c r="K27">
        <v>5226.8364259999998</v>
      </c>
      <c r="L27">
        <v>5103.0888670000004</v>
      </c>
      <c r="M27">
        <v>4984.2924800000001</v>
      </c>
      <c r="N27">
        <v>4872.9521480000003</v>
      </c>
      <c r="O27">
        <v>4773.7099609999996</v>
      </c>
      <c r="P27">
        <v>4733.6450199999999</v>
      </c>
      <c r="Q27">
        <v>4688.8828119999998</v>
      </c>
      <c r="R27">
        <v>4637.4931640000004</v>
      </c>
      <c r="S27">
        <v>4592.8701170000004</v>
      </c>
      <c r="T27">
        <v>4560.984375</v>
      </c>
      <c r="U27">
        <v>4539.1669920000004</v>
      </c>
      <c r="V27">
        <v>4511.5996089999999</v>
      </c>
      <c r="W27">
        <v>4479.7958980000003</v>
      </c>
      <c r="X27">
        <v>4446.857422</v>
      </c>
      <c r="Y27">
        <v>4416.7426759999998</v>
      </c>
      <c r="Z27">
        <v>4385.7280270000001</v>
      </c>
      <c r="AA27">
        <v>4359.7919920000004</v>
      </c>
      <c r="AB27">
        <v>4329.5219729999999</v>
      </c>
      <c r="AC27">
        <v>4295.9682620000003</v>
      </c>
      <c r="AD27">
        <v>4259.7856449999999</v>
      </c>
      <c r="AE27">
        <v>4224.0307620000003</v>
      </c>
      <c r="AF27">
        <v>4200.3164059999999</v>
      </c>
      <c r="AG27" s="9">
        <v>-1.2999999999999999E-2</v>
      </c>
    </row>
    <row r="28" spans="1:33">
      <c r="A28" t="s">
        <v>2203</v>
      </c>
    </row>
    <row r="29" spans="1:33">
      <c r="A29" t="s">
        <v>314</v>
      </c>
    </row>
    <row r="30" spans="1:33">
      <c r="A30" t="s">
        <v>297</v>
      </c>
      <c r="B30" t="s">
        <v>2301</v>
      </c>
      <c r="C30" t="s">
        <v>2300</v>
      </c>
      <c r="D30" t="s">
        <v>261</v>
      </c>
      <c r="F30">
        <v>8923.6708980000003</v>
      </c>
      <c r="G30">
        <v>8934.9296880000002</v>
      </c>
      <c r="H30">
        <v>8996.3759769999997</v>
      </c>
      <c r="I30">
        <v>9034.2822269999997</v>
      </c>
      <c r="J30">
        <v>9016.0234380000002</v>
      </c>
      <c r="K30">
        <v>8998.5683590000008</v>
      </c>
      <c r="L30">
        <v>8953.484375</v>
      </c>
      <c r="M30">
        <v>8875.3603519999997</v>
      </c>
      <c r="N30">
        <v>8791.2802730000003</v>
      </c>
      <c r="O30">
        <v>8767.2148440000001</v>
      </c>
      <c r="P30">
        <v>8699.2333980000003</v>
      </c>
      <c r="Q30">
        <v>8619.7167969999991</v>
      </c>
      <c r="R30">
        <v>8527.5742190000001</v>
      </c>
      <c r="S30">
        <v>8429.8212889999995</v>
      </c>
      <c r="T30">
        <v>8330.1591800000006</v>
      </c>
      <c r="U30">
        <v>8231.0175780000009</v>
      </c>
      <c r="V30">
        <v>8138.2236329999996</v>
      </c>
      <c r="W30">
        <v>8043.1137699999999</v>
      </c>
      <c r="X30">
        <v>7947.3481449999999</v>
      </c>
      <c r="Y30">
        <v>7847.076172</v>
      </c>
      <c r="Z30">
        <v>7751.6323240000002</v>
      </c>
      <c r="AA30">
        <v>7657.0732420000004</v>
      </c>
      <c r="AB30">
        <v>7565.3295900000003</v>
      </c>
      <c r="AC30">
        <v>7477.5024409999996</v>
      </c>
      <c r="AD30">
        <v>7385.466797</v>
      </c>
      <c r="AE30">
        <v>7292.4482420000004</v>
      </c>
      <c r="AF30">
        <v>7192.4799800000001</v>
      </c>
      <c r="AG30" s="9">
        <v>-8.0000000000000002E-3</v>
      </c>
    </row>
    <row r="31" spans="1:33">
      <c r="A31" t="s">
        <v>298</v>
      </c>
      <c r="B31" t="s">
        <v>2299</v>
      </c>
      <c r="C31" t="s">
        <v>2298</v>
      </c>
      <c r="D31" t="s">
        <v>261</v>
      </c>
      <c r="F31">
        <v>137.90730300000001</v>
      </c>
      <c r="G31">
        <v>169.558716</v>
      </c>
      <c r="H31">
        <v>195.61637899999999</v>
      </c>
      <c r="I31">
        <v>215.700165</v>
      </c>
      <c r="J31">
        <v>232.51667800000001</v>
      </c>
      <c r="K31">
        <v>248.90654000000001</v>
      </c>
      <c r="L31">
        <v>252.898788</v>
      </c>
      <c r="M31">
        <v>256.48461900000001</v>
      </c>
      <c r="N31">
        <v>259.75921599999998</v>
      </c>
      <c r="O31">
        <v>265.14529399999998</v>
      </c>
      <c r="P31">
        <v>269.12326000000002</v>
      </c>
      <c r="Q31">
        <v>272.22946200000001</v>
      </c>
      <c r="R31">
        <v>274.67004400000002</v>
      </c>
      <c r="S31">
        <v>275.89349399999998</v>
      </c>
      <c r="T31">
        <v>276.39572099999998</v>
      </c>
      <c r="U31">
        <v>276.40319799999997</v>
      </c>
      <c r="V31">
        <v>276.028595</v>
      </c>
      <c r="W31">
        <v>275.10641500000003</v>
      </c>
      <c r="X31">
        <v>273.64254799999998</v>
      </c>
      <c r="Y31">
        <v>271.65329000000003</v>
      </c>
      <c r="Z31">
        <v>269.47427399999998</v>
      </c>
      <c r="AA31">
        <v>267.15741000000003</v>
      </c>
      <c r="AB31">
        <v>264.77932700000002</v>
      </c>
      <c r="AC31">
        <v>262.48089599999997</v>
      </c>
      <c r="AD31">
        <v>260.10845899999998</v>
      </c>
      <c r="AE31">
        <v>257.75994900000001</v>
      </c>
      <c r="AF31">
        <v>255.434586</v>
      </c>
      <c r="AG31" s="9">
        <v>2.4E-2</v>
      </c>
    </row>
    <row r="32" spans="1:33">
      <c r="A32" t="s">
        <v>315</v>
      </c>
      <c r="B32" t="s">
        <v>2297</v>
      </c>
      <c r="C32" t="s">
        <v>2296</v>
      </c>
      <c r="D32" t="s">
        <v>261</v>
      </c>
      <c r="F32">
        <v>9061.578125</v>
      </c>
      <c r="G32">
        <v>9104.4882809999999</v>
      </c>
      <c r="H32">
        <v>9191.9921880000002</v>
      </c>
      <c r="I32">
        <v>9249.9824219999991</v>
      </c>
      <c r="J32">
        <v>9248.5400389999995</v>
      </c>
      <c r="K32">
        <v>9247.4746090000008</v>
      </c>
      <c r="L32">
        <v>9206.3828119999998</v>
      </c>
      <c r="M32">
        <v>9131.8447269999997</v>
      </c>
      <c r="N32">
        <v>9051.0390619999998</v>
      </c>
      <c r="O32">
        <v>9032.3603519999997</v>
      </c>
      <c r="P32">
        <v>8968.3564449999994</v>
      </c>
      <c r="Q32">
        <v>8891.9462889999995</v>
      </c>
      <c r="R32">
        <v>8802.2441409999992</v>
      </c>
      <c r="S32">
        <v>8705.7148440000001</v>
      </c>
      <c r="T32">
        <v>8606.5546880000002</v>
      </c>
      <c r="U32">
        <v>8507.4208980000003</v>
      </c>
      <c r="V32">
        <v>8414.2519530000009</v>
      </c>
      <c r="W32">
        <v>8318.2197269999997</v>
      </c>
      <c r="X32">
        <v>8220.9902340000008</v>
      </c>
      <c r="Y32">
        <v>8118.7294920000004</v>
      </c>
      <c r="Z32">
        <v>8021.1064450000003</v>
      </c>
      <c r="AA32">
        <v>7924.2304690000001</v>
      </c>
      <c r="AB32">
        <v>7830.1088870000003</v>
      </c>
      <c r="AC32">
        <v>7739.9833980000003</v>
      </c>
      <c r="AD32">
        <v>7645.5751950000003</v>
      </c>
      <c r="AE32">
        <v>7550.2080079999996</v>
      </c>
      <c r="AF32">
        <v>7447.9145509999998</v>
      </c>
      <c r="AG32" s="9">
        <v>-8.0000000000000002E-3</v>
      </c>
    </row>
    <row r="33" spans="1:33">
      <c r="A33" t="s">
        <v>316</v>
      </c>
    </row>
    <row r="34" spans="1:33">
      <c r="A34" t="s">
        <v>301</v>
      </c>
      <c r="B34" t="s">
        <v>2295</v>
      </c>
      <c r="C34" t="s">
        <v>2294</v>
      </c>
      <c r="D34" t="s">
        <v>261</v>
      </c>
      <c r="F34">
        <v>1155.04126</v>
      </c>
      <c r="G34">
        <v>1046.2299800000001</v>
      </c>
      <c r="H34">
        <v>969.38226299999997</v>
      </c>
      <c r="I34">
        <v>895.04504399999996</v>
      </c>
      <c r="J34">
        <v>825.72241199999996</v>
      </c>
      <c r="K34">
        <v>761.86456299999998</v>
      </c>
      <c r="L34">
        <v>689.284851</v>
      </c>
      <c r="M34">
        <v>624.50824</v>
      </c>
      <c r="N34">
        <v>567.14739999999995</v>
      </c>
      <c r="O34">
        <v>519.63403300000004</v>
      </c>
      <c r="P34">
        <v>477.88128699999999</v>
      </c>
      <c r="Q34">
        <v>441.70361300000002</v>
      </c>
      <c r="R34">
        <v>410.44512900000001</v>
      </c>
      <c r="S34">
        <v>383.56692500000003</v>
      </c>
      <c r="T34">
        <v>360.60861199999999</v>
      </c>
      <c r="U34">
        <v>340.47805799999998</v>
      </c>
      <c r="V34">
        <v>322.67721599999999</v>
      </c>
      <c r="W34">
        <v>306.82074</v>
      </c>
      <c r="X34">
        <v>292.656677</v>
      </c>
      <c r="Y34">
        <v>279.93524200000002</v>
      </c>
      <c r="Z34">
        <v>268.63595600000002</v>
      </c>
      <c r="AA34">
        <v>258.403076</v>
      </c>
      <c r="AB34">
        <v>249.22020000000001</v>
      </c>
      <c r="AC34">
        <v>241.054306</v>
      </c>
      <c r="AD34">
        <v>233.569885</v>
      </c>
      <c r="AE34">
        <v>226.67430100000001</v>
      </c>
      <c r="AF34">
        <v>220.02392599999999</v>
      </c>
      <c r="AG34" s="9">
        <v>-6.2E-2</v>
      </c>
    </row>
    <row r="35" spans="1:33">
      <c r="A35" t="s">
        <v>333</v>
      </c>
      <c r="B35" t="s">
        <v>2293</v>
      </c>
      <c r="C35" t="s">
        <v>2292</v>
      </c>
      <c r="D35" t="s">
        <v>261</v>
      </c>
      <c r="F35">
        <v>0.304786</v>
      </c>
      <c r="G35">
        <v>0.26952100000000001</v>
      </c>
      <c r="H35">
        <v>0.24009</v>
      </c>
      <c r="I35">
        <v>0.21415899999999999</v>
      </c>
      <c r="J35">
        <v>0.19064700000000001</v>
      </c>
      <c r="K35">
        <v>0.169484</v>
      </c>
      <c r="L35">
        <v>0.15060999999999999</v>
      </c>
      <c r="M35">
        <v>0.13395099999999999</v>
      </c>
      <c r="N35">
        <v>0.11940099999999999</v>
      </c>
      <c r="O35">
        <v>0.106739</v>
      </c>
      <c r="P35">
        <v>9.5671999999999993E-2</v>
      </c>
      <c r="Q35">
        <v>8.6231000000000002E-2</v>
      </c>
      <c r="R35">
        <v>7.8274999999999997E-2</v>
      </c>
      <c r="S35">
        <v>7.1275000000000005E-2</v>
      </c>
      <c r="T35">
        <v>6.4934000000000006E-2</v>
      </c>
      <c r="U35">
        <v>5.9186999999999997E-2</v>
      </c>
      <c r="V35">
        <v>5.3976000000000003E-2</v>
      </c>
      <c r="W35">
        <v>4.9249000000000001E-2</v>
      </c>
      <c r="X35">
        <v>4.4957999999999998E-2</v>
      </c>
      <c r="Y35">
        <v>4.1061E-2</v>
      </c>
      <c r="Z35">
        <v>3.7520999999999999E-2</v>
      </c>
      <c r="AA35">
        <v>3.4303E-2</v>
      </c>
      <c r="AB35">
        <v>3.1376000000000001E-2</v>
      </c>
      <c r="AC35">
        <v>2.8712000000000001E-2</v>
      </c>
      <c r="AD35">
        <v>2.6287000000000001E-2</v>
      </c>
      <c r="AE35">
        <v>2.4077999999999999E-2</v>
      </c>
      <c r="AF35">
        <v>2.2065000000000001E-2</v>
      </c>
      <c r="AG35" s="9">
        <v>-9.6000000000000002E-2</v>
      </c>
    </row>
    <row r="36" spans="1:33">
      <c r="A36" t="s">
        <v>334</v>
      </c>
      <c r="B36" t="s">
        <v>2291</v>
      </c>
      <c r="C36" t="s">
        <v>2290</v>
      </c>
      <c r="D36" t="s">
        <v>261</v>
      </c>
      <c r="F36">
        <v>29.193622999999999</v>
      </c>
      <c r="G36">
        <v>46.883118000000003</v>
      </c>
      <c r="H36">
        <v>72.163596999999996</v>
      </c>
      <c r="I36">
        <v>105.34955600000001</v>
      </c>
      <c r="J36">
        <v>137.55737300000001</v>
      </c>
      <c r="K36">
        <v>161.12240600000001</v>
      </c>
      <c r="L36">
        <v>164.73718299999999</v>
      </c>
      <c r="M36">
        <v>171.40036000000001</v>
      </c>
      <c r="N36">
        <v>181.326065</v>
      </c>
      <c r="O36">
        <v>183.96523999999999</v>
      </c>
      <c r="P36">
        <v>189.50070199999999</v>
      </c>
      <c r="Q36">
        <v>197.57170099999999</v>
      </c>
      <c r="R36">
        <v>207.47743199999999</v>
      </c>
      <c r="S36">
        <v>218.45459</v>
      </c>
      <c r="T36">
        <v>230.42562899999999</v>
      </c>
      <c r="U36">
        <v>243.47865300000001</v>
      </c>
      <c r="V36">
        <v>256.976471</v>
      </c>
      <c r="W36">
        <v>270.49215700000002</v>
      </c>
      <c r="X36">
        <v>283.80999800000001</v>
      </c>
      <c r="Y36">
        <v>297.20404100000002</v>
      </c>
      <c r="Z36">
        <v>310.42214999999999</v>
      </c>
      <c r="AA36">
        <v>323.80087300000002</v>
      </c>
      <c r="AB36">
        <v>336.92816199999999</v>
      </c>
      <c r="AC36">
        <v>349.70022599999999</v>
      </c>
      <c r="AD36">
        <v>362.153931</v>
      </c>
      <c r="AE36">
        <v>374.337402</v>
      </c>
      <c r="AF36">
        <v>387.13504</v>
      </c>
      <c r="AG36" s="9">
        <v>0.105</v>
      </c>
    </row>
    <row r="37" spans="1:33">
      <c r="A37" t="s">
        <v>335</v>
      </c>
      <c r="B37" t="s">
        <v>2289</v>
      </c>
      <c r="C37" t="s">
        <v>2288</v>
      </c>
      <c r="D37" t="s">
        <v>261</v>
      </c>
      <c r="F37">
        <v>55.996479000000001</v>
      </c>
      <c r="G37">
        <v>101.541</v>
      </c>
      <c r="H37">
        <v>164.25482199999999</v>
      </c>
      <c r="I37">
        <v>242.84007299999999</v>
      </c>
      <c r="J37">
        <v>323.41137700000002</v>
      </c>
      <c r="K37">
        <v>390.88372800000002</v>
      </c>
      <c r="L37">
        <v>434.73364299999997</v>
      </c>
      <c r="M37">
        <v>480.23126200000002</v>
      </c>
      <c r="N37">
        <v>529.794128</v>
      </c>
      <c r="O37">
        <v>557.75793499999997</v>
      </c>
      <c r="P37">
        <v>590.23730499999999</v>
      </c>
      <c r="Q37">
        <v>627.13812299999995</v>
      </c>
      <c r="R37">
        <v>666.81011999999998</v>
      </c>
      <c r="S37">
        <v>707.13928199999998</v>
      </c>
      <c r="T37">
        <v>747.65612799999997</v>
      </c>
      <c r="U37">
        <v>788.294983</v>
      </c>
      <c r="V37">
        <v>827.68963599999995</v>
      </c>
      <c r="W37">
        <v>864.985229</v>
      </c>
      <c r="X37">
        <v>899.77923599999997</v>
      </c>
      <c r="Y37">
        <v>932.42382799999996</v>
      </c>
      <c r="Z37">
        <v>962.87609899999995</v>
      </c>
      <c r="AA37">
        <v>991.71551499999998</v>
      </c>
      <c r="AB37">
        <v>1018.316833</v>
      </c>
      <c r="AC37">
        <v>1042.7836910000001</v>
      </c>
      <c r="AD37">
        <v>1065.0063479999999</v>
      </c>
      <c r="AE37">
        <v>1085.4464109999999</v>
      </c>
      <c r="AF37">
        <v>1105.575928</v>
      </c>
      <c r="AG37" s="9">
        <v>0.122</v>
      </c>
    </row>
    <row r="38" spans="1:33">
      <c r="A38" t="s">
        <v>302</v>
      </c>
      <c r="B38" t="s">
        <v>2287</v>
      </c>
      <c r="C38" t="s">
        <v>2286</v>
      </c>
      <c r="D38" t="s">
        <v>261</v>
      </c>
      <c r="F38">
        <v>97.912818999999999</v>
      </c>
      <c r="G38">
        <v>134.01071200000001</v>
      </c>
      <c r="H38">
        <v>177.149429</v>
      </c>
      <c r="I38">
        <v>219.80748</v>
      </c>
      <c r="J38">
        <v>256.24221799999998</v>
      </c>
      <c r="K38">
        <v>276.30212399999999</v>
      </c>
      <c r="L38">
        <v>301.77990699999998</v>
      </c>
      <c r="M38">
        <v>325.33950800000002</v>
      </c>
      <c r="N38">
        <v>348.625</v>
      </c>
      <c r="O38">
        <v>359.59054600000002</v>
      </c>
      <c r="P38">
        <v>374.19546500000001</v>
      </c>
      <c r="Q38">
        <v>392.92120399999999</v>
      </c>
      <c r="R38">
        <v>409.413544</v>
      </c>
      <c r="S38">
        <v>425.30969199999998</v>
      </c>
      <c r="T38">
        <v>440.83248900000001</v>
      </c>
      <c r="U38">
        <v>456.33038299999998</v>
      </c>
      <c r="V38">
        <v>470.58193999999997</v>
      </c>
      <c r="W38">
        <v>483.10613999999998</v>
      </c>
      <c r="X38">
        <v>493.90570100000002</v>
      </c>
      <c r="Y38">
        <v>503.30599999999998</v>
      </c>
      <c r="Z38">
        <v>511.40454099999999</v>
      </c>
      <c r="AA38">
        <v>518.49438499999997</v>
      </c>
      <c r="AB38">
        <v>524.45532200000002</v>
      </c>
      <c r="AC38">
        <v>529.55364999999995</v>
      </c>
      <c r="AD38">
        <v>533.50720200000001</v>
      </c>
      <c r="AE38">
        <v>536.76220699999999</v>
      </c>
      <c r="AF38">
        <v>539.71234100000004</v>
      </c>
      <c r="AG38" s="9">
        <v>6.8000000000000005E-2</v>
      </c>
    </row>
    <row r="39" spans="1:33">
      <c r="A39" t="s">
        <v>303</v>
      </c>
      <c r="B39" t="s">
        <v>2285</v>
      </c>
      <c r="C39" t="s">
        <v>2284</v>
      </c>
      <c r="D39" t="s">
        <v>261</v>
      </c>
      <c r="F39">
        <v>11.816848</v>
      </c>
      <c r="G39">
        <v>50.810218999999996</v>
      </c>
      <c r="H39">
        <v>73.271743999999998</v>
      </c>
      <c r="I39">
        <v>117.075783</v>
      </c>
      <c r="J39">
        <v>153.87335200000001</v>
      </c>
      <c r="K39">
        <v>174.812759</v>
      </c>
      <c r="L39">
        <v>229.112289</v>
      </c>
      <c r="M39">
        <v>276.06066900000002</v>
      </c>
      <c r="N39">
        <v>319.51800500000002</v>
      </c>
      <c r="O39">
        <v>347.213348</v>
      </c>
      <c r="P39">
        <v>376.59454299999999</v>
      </c>
      <c r="Q39">
        <v>409.30499300000002</v>
      </c>
      <c r="R39">
        <v>453.83206200000001</v>
      </c>
      <c r="S39">
        <v>494.26196299999998</v>
      </c>
      <c r="T39">
        <v>531.905396</v>
      </c>
      <c r="U39">
        <v>567.30883800000004</v>
      </c>
      <c r="V39">
        <v>600.24633800000004</v>
      </c>
      <c r="W39">
        <v>630.32580600000006</v>
      </c>
      <c r="X39">
        <v>657.58557099999996</v>
      </c>
      <c r="Y39">
        <v>682.30548099999999</v>
      </c>
      <c r="Z39">
        <v>704.52813700000002</v>
      </c>
      <c r="AA39">
        <v>724.65411400000005</v>
      </c>
      <c r="AB39">
        <v>742.43994099999998</v>
      </c>
      <c r="AC39">
        <v>758.198486</v>
      </c>
      <c r="AD39">
        <v>771.72662400000002</v>
      </c>
      <c r="AE39">
        <v>783.55999799999995</v>
      </c>
      <c r="AF39">
        <v>794.37731900000006</v>
      </c>
      <c r="AG39" s="9">
        <v>0.17599999999999999</v>
      </c>
    </row>
    <row r="40" spans="1:33">
      <c r="A40" t="s">
        <v>304</v>
      </c>
      <c r="B40" t="s">
        <v>2283</v>
      </c>
      <c r="C40" t="s">
        <v>2282</v>
      </c>
      <c r="D40" t="s">
        <v>261</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110</v>
      </c>
    </row>
    <row r="41" spans="1:33">
      <c r="A41" t="s">
        <v>305</v>
      </c>
      <c r="B41" t="s">
        <v>2281</v>
      </c>
      <c r="C41" t="s">
        <v>2280</v>
      </c>
      <c r="D41" t="s">
        <v>261</v>
      </c>
      <c r="F41">
        <v>333.523438</v>
      </c>
      <c r="G41">
        <v>425.20144699999997</v>
      </c>
      <c r="H41">
        <v>504.40875199999999</v>
      </c>
      <c r="I41">
        <v>570.01074200000005</v>
      </c>
      <c r="J41">
        <v>625.60528599999998</v>
      </c>
      <c r="K41">
        <v>677.85968000000003</v>
      </c>
      <c r="L41">
        <v>738.84222399999999</v>
      </c>
      <c r="M41">
        <v>791.16101100000003</v>
      </c>
      <c r="N41">
        <v>838.12988299999995</v>
      </c>
      <c r="O41">
        <v>892.63708499999996</v>
      </c>
      <c r="P41">
        <v>938.61102300000005</v>
      </c>
      <c r="Q41">
        <v>981.43957499999999</v>
      </c>
      <c r="R41">
        <v>1021.3232420000001</v>
      </c>
      <c r="S41">
        <v>1057.832764</v>
      </c>
      <c r="T41">
        <v>1091.7021480000001</v>
      </c>
      <c r="U41">
        <v>1123.2170410000001</v>
      </c>
      <c r="V41">
        <v>1153.5466309999999</v>
      </c>
      <c r="W41">
        <v>1181.3538820000001</v>
      </c>
      <c r="X41">
        <v>1207.1405030000001</v>
      </c>
      <c r="Y41">
        <v>1230.2967530000001</v>
      </c>
      <c r="Z41">
        <v>1252.8519289999999</v>
      </c>
      <c r="AA41">
        <v>1274.3450929999999</v>
      </c>
      <c r="AB41">
        <v>1295.3204350000001</v>
      </c>
      <c r="AC41">
        <v>1316.1180420000001</v>
      </c>
      <c r="AD41">
        <v>1335.119995</v>
      </c>
      <c r="AE41">
        <v>1353.2185059999999</v>
      </c>
      <c r="AF41">
        <v>1369.207275</v>
      </c>
      <c r="AG41" s="9">
        <v>5.6000000000000001E-2</v>
      </c>
    </row>
    <row r="42" spans="1:33">
      <c r="A42" t="s">
        <v>306</v>
      </c>
      <c r="B42" t="s">
        <v>2279</v>
      </c>
      <c r="C42" t="s">
        <v>2278</v>
      </c>
      <c r="D42" t="s">
        <v>261</v>
      </c>
      <c r="F42">
        <v>2.4554840000000002</v>
      </c>
      <c r="G42">
        <v>2.287175</v>
      </c>
      <c r="H42">
        <v>2.1252430000000002</v>
      </c>
      <c r="I42">
        <v>1.9716119999999999</v>
      </c>
      <c r="J42">
        <v>1.831831</v>
      </c>
      <c r="K42">
        <v>1.71017</v>
      </c>
      <c r="L42">
        <v>1.5955760000000001</v>
      </c>
      <c r="M42">
        <v>1.4848509999999999</v>
      </c>
      <c r="N42">
        <v>1.3787309999999999</v>
      </c>
      <c r="O42">
        <v>1.2786459999999999</v>
      </c>
      <c r="P42">
        <v>1.185225</v>
      </c>
      <c r="Q42">
        <v>1.098376</v>
      </c>
      <c r="R42">
        <v>1.02034</v>
      </c>
      <c r="S42">
        <v>0.95485399999999998</v>
      </c>
      <c r="T42">
        <v>0.89369699999999996</v>
      </c>
      <c r="U42">
        <v>0.83906000000000003</v>
      </c>
      <c r="V42">
        <v>0.78777399999999997</v>
      </c>
      <c r="W42">
        <v>0.73963400000000001</v>
      </c>
      <c r="X42">
        <v>0.69444700000000004</v>
      </c>
      <c r="Y42">
        <v>0.65202899999999997</v>
      </c>
      <c r="Z42">
        <v>0.61221199999999998</v>
      </c>
      <c r="AA42">
        <v>0.57483399999999996</v>
      </c>
      <c r="AB42">
        <v>0.53974699999999998</v>
      </c>
      <c r="AC42">
        <v>0.50680899999999995</v>
      </c>
      <c r="AD42">
        <v>0.47588799999999998</v>
      </c>
      <c r="AE42">
        <v>0.44685900000000001</v>
      </c>
      <c r="AF42">
        <v>0.41960799999999998</v>
      </c>
      <c r="AG42" s="9">
        <v>-6.6000000000000003E-2</v>
      </c>
    </row>
    <row r="43" spans="1:33">
      <c r="A43" t="s">
        <v>307</v>
      </c>
      <c r="B43" t="s">
        <v>2277</v>
      </c>
      <c r="C43" t="s">
        <v>2276</v>
      </c>
      <c r="D43" t="s">
        <v>261</v>
      </c>
      <c r="F43">
        <v>1.8494280000000001</v>
      </c>
      <c r="G43">
        <v>1.7358819999999999</v>
      </c>
      <c r="H43">
        <v>1.6293310000000001</v>
      </c>
      <c r="I43">
        <v>1.529345</v>
      </c>
      <c r="J43">
        <v>1.435516</v>
      </c>
      <c r="K43">
        <v>1.347464</v>
      </c>
      <c r="L43">
        <v>1.2648330000000001</v>
      </c>
      <c r="M43">
        <v>1.187287</v>
      </c>
      <c r="N43">
        <v>1.1145119999999999</v>
      </c>
      <c r="O43">
        <v>1.046214</v>
      </c>
      <c r="P43">
        <v>0.98211599999999999</v>
      </c>
      <c r="Q43">
        <v>0.92195899999999997</v>
      </c>
      <c r="R43">
        <v>0.86550000000000005</v>
      </c>
      <c r="S43">
        <v>0.81251099999999998</v>
      </c>
      <c r="T43">
        <v>0.76277700000000004</v>
      </c>
      <c r="U43">
        <v>0.71609800000000001</v>
      </c>
      <c r="V43">
        <v>0.67228600000000005</v>
      </c>
      <c r="W43">
        <v>0.63116399999999995</v>
      </c>
      <c r="X43">
        <v>0.59256600000000004</v>
      </c>
      <c r="Y43">
        <v>0.55633699999999997</v>
      </c>
      <c r="Z43">
        <v>0.52233099999999999</v>
      </c>
      <c r="AA43">
        <v>0.49041000000000001</v>
      </c>
      <c r="AB43">
        <v>0.460447</v>
      </c>
      <c r="AC43">
        <v>0.43232199999999998</v>
      </c>
      <c r="AD43">
        <v>0.40592</v>
      </c>
      <c r="AE43">
        <v>0.38113599999999997</v>
      </c>
      <c r="AF43">
        <v>0.35787099999999999</v>
      </c>
      <c r="AG43" s="9">
        <v>-6.0999999999999999E-2</v>
      </c>
    </row>
    <row r="44" spans="1:33">
      <c r="A44" t="s">
        <v>308</v>
      </c>
      <c r="B44" t="s">
        <v>2275</v>
      </c>
      <c r="C44" t="s">
        <v>2274</v>
      </c>
      <c r="D44" t="s">
        <v>261</v>
      </c>
      <c r="F44">
        <v>4.6614789999999999</v>
      </c>
      <c r="G44">
        <v>4.2481010000000001</v>
      </c>
      <c r="H44">
        <v>3.9314930000000001</v>
      </c>
      <c r="I44">
        <v>3.6802589999999999</v>
      </c>
      <c r="J44">
        <v>3.4544060000000001</v>
      </c>
      <c r="K44">
        <v>3.2424620000000002</v>
      </c>
      <c r="L44">
        <v>3.0435690000000002</v>
      </c>
      <c r="M44">
        <v>2.8569200000000001</v>
      </c>
      <c r="N44">
        <v>2.681759</v>
      </c>
      <c r="O44">
        <v>2.5173749999999999</v>
      </c>
      <c r="P44">
        <v>2.363102</v>
      </c>
      <c r="Q44">
        <v>2.218318</v>
      </c>
      <c r="R44">
        <v>2.0824370000000001</v>
      </c>
      <c r="S44">
        <v>1.9549080000000001</v>
      </c>
      <c r="T44">
        <v>1.8352170000000001</v>
      </c>
      <c r="U44">
        <v>1.72288</v>
      </c>
      <c r="V44">
        <v>1.617443</v>
      </c>
      <c r="W44">
        <v>1.5184820000000001</v>
      </c>
      <c r="X44">
        <v>1.425597</v>
      </c>
      <c r="Y44">
        <v>1.338414</v>
      </c>
      <c r="Z44">
        <v>1.2565820000000001</v>
      </c>
      <c r="AA44">
        <v>1.17977</v>
      </c>
      <c r="AB44">
        <v>1.1076699999999999</v>
      </c>
      <c r="AC44">
        <v>1.039992</v>
      </c>
      <c r="AD44">
        <v>0.97646299999999997</v>
      </c>
      <c r="AE44">
        <v>0.91682900000000001</v>
      </c>
      <c r="AF44">
        <v>0.86084899999999998</v>
      </c>
      <c r="AG44" s="9">
        <v>-6.3E-2</v>
      </c>
    </row>
    <row r="45" spans="1:33">
      <c r="A45" t="s">
        <v>309</v>
      </c>
      <c r="B45" t="s">
        <v>2273</v>
      </c>
      <c r="C45" t="s">
        <v>2272</v>
      </c>
      <c r="D45" t="s">
        <v>261</v>
      </c>
      <c r="F45">
        <v>4.3379099999999999</v>
      </c>
      <c r="G45">
        <v>4.0715789999999998</v>
      </c>
      <c r="H45">
        <v>3.8216589999999999</v>
      </c>
      <c r="I45">
        <v>3.5871339999999998</v>
      </c>
      <c r="J45">
        <v>3.3670529999999999</v>
      </c>
      <c r="K45">
        <v>3.160523</v>
      </c>
      <c r="L45">
        <v>2.966707</v>
      </c>
      <c r="M45">
        <v>2.784818</v>
      </c>
      <c r="N45">
        <v>2.6141209999999999</v>
      </c>
      <c r="O45">
        <v>2.4539240000000002</v>
      </c>
      <c r="P45">
        <v>2.303579</v>
      </c>
      <c r="Q45">
        <v>2.1624780000000001</v>
      </c>
      <c r="R45">
        <v>2.0300509999999998</v>
      </c>
      <c r="S45">
        <v>1.905762</v>
      </c>
      <c r="T45">
        <v>1.78911</v>
      </c>
      <c r="U45">
        <v>1.6796230000000001</v>
      </c>
      <c r="V45">
        <v>1.5768599999999999</v>
      </c>
      <c r="W45">
        <v>1.480407</v>
      </c>
      <c r="X45">
        <v>1.3898740000000001</v>
      </c>
      <c r="Y45">
        <v>1.304897</v>
      </c>
      <c r="Z45">
        <v>1.2251339999999999</v>
      </c>
      <c r="AA45">
        <v>1.150264</v>
      </c>
      <c r="AB45">
        <v>1.079985</v>
      </c>
      <c r="AC45">
        <v>1.0140150000000001</v>
      </c>
      <c r="AD45">
        <v>0.95208899999999996</v>
      </c>
      <c r="AE45">
        <v>0.893957</v>
      </c>
      <c r="AF45">
        <v>0.83938800000000002</v>
      </c>
      <c r="AG45" s="9">
        <v>-6.0999999999999999E-2</v>
      </c>
    </row>
    <row r="46" spans="1:33">
      <c r="A46" t="s">
        <v>310</v>
      </c>
      <c r="B46" t="s">
        <v>2271</v>
      </c>
      <c r="C46" t="s">
        <v>2270</v>
      </c>
      <c r="D46" t="s">
        <v>261</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110</v>
      </c>
    </row>
    <row r="47" spans="1:33">
      <c r="A47" t="s">
        <v>311</v>
      </c>
      <c r="B47" t="s">
        <v>2269</v>
      </c>
      <c r="C47" t="s">
        <v>2268</v>
      </c>
      <c r="D47" t="s">
        <v>261</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110</v>
      </c>
    </row>
    <row r="48" spans="1:33">
      <c r="A48" t="s">
        <v>317</v>
      </c>
      <c r="B48" t="s">
        <v>2267</v>
      </c>
      <c r="C48" t="s">
        <v>2266</v>
      </c>
      <c r="D48" t="s">
        <v>261</v>
      </c>
      <c r="F48">
        <v>1697.0936280000001</v>
      </c>
      <c r="G48">
        <v>1817.2886960000001</v>
      </c>
      <c r="H48">
        <v>1972.378418</v>
      </c>
      <c r="I48">
        <v>2161.1110840000001</v>
      </c>
      <c r="J48">
        <v>2332.6914059999999</v>
      </c>
      <c r="K48">
        <v>2452.475586</v>
      </c>
      <c r="L48">
        <v>2567.5112300000001</v>
      </c>
      <c r="M48">
        <v>2677.1489259999998</v>
      </c>
      <c r="N48">
        <v>2792.4487300000001</v>
      </c>
      <c r="O48">
        <v>2868.2006839999999</v>
      </c>
      <c r="P48">
        <v>2953.9499510000001</v>
      </c>
      <c r="Q48">
        <v>3056.5666500000002</v>
      </c>
      <c r="R48">
        <v>3175.3781739999999</v>
      </c>
      <c r="S48">
        <v>3292.2641600000002</v>
      </c>
      <c r="T48">
        <v>3408.4760740000002</v>
      </c>
      <c r="U48">
        <v>3524.1247560000002</v>
      </c>
      <c r="V48">
        <v>3636.4267580000001</v>
      </c>
      <c r="W48">
        <v>3741.5029300000001</v>
      </c>
      <c r="X48">
        <v>3839.0251459999999</v>
      </c>
      <c r="Y48">
        <v>3929.3642580000001</v>
      </c>
      <c r="Z48">
        <v>4014.3725589999999</v>
      </c>
      <c r="AA48">
        <v>4094.8427729999999</v>
      </c>
      <c r="AB48">
        <v>4169.9003910000001</v>
      </c>
      <c r="AC48">
        <v>4240.4301759999998</v>
      </c>
      <c r="AD48">
        <v>4303.9208980000003</v>
      </c>
      <c r="AE48">
        <v>4362.6616210000002</v>
      </c>
      <c r="AF48">
        <v>4418.5317379999997</v>
      </c>
      <c r="AG48" s="9">
        <v>3.6999999999999998E-2</v>
      </c>
    </row>
    <row r="49" spans="1:33">
      <c r="A49" t="s">
        <v>2178</v>
      </c>
      <c r="B49" t="s">
        <v>2265</v>
      </c>
      <c r="C49" t="s">
        <v>2264</v>
      </c>
      <c r="D49" t="s">
        <v>261</v>
      </c>
      <c r="F49">
        <v>10758.671875</v>
      </c>
      <c r="G49">
        <v>10921.777344</v>
      </c>
      <c r="H49">
        <v>11164.371094</v>
      </c>
      <c r="I49">
        <v>11411.09375</v>
      </c>
      <c r="J49">
        <v>11581.231444999999</v>
      </c>
      <c r="K49">
        <v>11699.950194999999</v>
      </c>
      <c r="L49">
        <v>11773.894531</v>
      </c>
      <c r="M49">
        <v>11808.994140999999</v>
      </c>
      <c r="N49">
        <v>11843.488281</v>
      </c>
      <c r="O49">
        <v>11900.560546999999</v>
      </c>
      <c r="P49">
        <v>11922.306640999999</v>
      </c>
      <c r="Q49">
        <v>11948.512694999999</v>
      </c>
      <c r="R49">
        <v>11977.622069999999</v>
      </c>
      <c r="S49">
        <v>11997.978515999999</v>
      </c>
      <c r="T49">
        <v>12015.03125</v>
      </c>
      <c r="U49">
        <v>12031.545898</v>
      </c>
      <c r="V49">
        <v>12050.678711</v>
      </c>
      <c r="W49">
        <v>12059.722656</v>
      </c>
      <c r="X49">
        <v>12060.015625</v>
      </c>
      <c r="Y49">
        <v>12048.09375</v>
      </c>
      <c r="Z49">
        <v>12035.478515999999</v>
      </c>
      <c r="AA49">
        <v>12019.073242</v>
      </c>
      <c r="AB49">
        <v>12000.009765999999</v>
      </c>
      <c r="AC49">
        <v>11980.414062</v>
      </c>
      <c r="AD49">
        <v>11949.496094</v>
      </c>
      <c r="AE49">
        <v>11912.869140999999</v>
      </c>
      <c r="AF49">
        <v>11866.446289</v>
      </c>
      <c r="AG49" s="9">
        <v>4.0000000000000001E-3</v>
      </c>
    </row>
    <row r="50" spans="1:33">
      <c r="A50" t="s">
        <v>287</v>
      </c>
      <c r="B50" t="s">
        <v>2263</v>
      </c>
      <c r="C50" t="s">
        <v>2262</v>
      </c>
      <c r="D50" t="s">
        <v>261</v>
      </c>
      <c r="F50">
        <v>16727.667968999998</v>
      </c>
      <c r="G50">
        <v>16756.4375</v>
      </c>
      <c r="H50">
        <v>16872.21875</v>
      </c>
      <c r="I50">
        <v>16972.146484000001</v>
      </c>
      <c r="J50">
        <v>16962.730468999998</v>
      </c>
      <c r="K50">
        <v>16926.787109000001</v>
      </c>
      <c r="L50">
        <v>16876.984375</v>
      </c>
      <c r="M50">
        <v>16793.287109000001</v>
      </c>
      <c r="N50">
        <v>16716.441406000002</v>
      </c>
      <c r="O50">
        <v>16674.269531000002</v>
      </c>
      <c r="P50">
        <v>16655.951172000001</v>
      </c>
      <c r="Q50">
        <v>16637.394531000002</v>
      </c>
      <c r="R50">
        <v>16615.115234000001</v>
      </c>
      <c r="S50">
        <v>16590.847656000002</v>
      </c>
      <c r="T50">
        <v>16576.015625</v>
      </c>
      <c r="U50">
        <v>16570.712890999999</v>
      </c>
      <c r="V50">
        <v>16562.277343999998</v>
      </c>
      <c r="W50">
        <v>16539.519531000002</v>
      </c>
      <c r="X50">
        <v>16506.873047000001</v>
      </c>
      <c r="Y50">
        <v>16464.835938</v>
      </c>
      <c r="Z50">
        <v>16421.207031000002</v>
      </c>
      <c r="AA50">
        <v>16378.865234000001</v>
      </c>
      <c r="AB50">
        <v>16329.53125</v>
      </c>
      <c r="AC50">
        <v>16276.382812</v>
      </c>
      <c r="AD50">
        <v>16209.28125</v>
      </c>
      <c r="AE50">
        <v>16136.900390999999</v>
      </c>
      <c r="AF50">
        <v>16066.762694999999</v>
      </c>
      <c r="AG50" s="9">
        <v>-2E-3</v>
      </c>
    </row>
    <row r="51" spans="1:33">
      <c r="A51" t="s">
        <v>226</v>
      </c>
      <c r="B51" t="s">
        <v>2261</v>
      </c>
      <c r="C51" t="s">
        <v>2260</v>
      </c>
      <c r="D51" t="s">
        <v>261</v>
      </c>
      <c r="F51">
        <v>7855.1132809999999</v>
      </c>
      <c r="G51">
        <v>7665.2778319999998</v>
      </c>
      <c r="H51">
        <v>7542.0371089999999</v>
      </c>
      <c r="I51">
        <v>7458.8955079999996</v>
      </c>
      <c r="J51">
        <v>7381.9428710000002</v>
      </c>
      <c r="K51">
        <v>7305.078125</v>
      </c>
      <c r="L51">
        <v>7231.6528319999998</v>
      </c>
      <c r="M51">
        <v>7145.1933589999999</v>
      </c>
      <c r="N51">
        <v>7057.2055659999996</v>
      </c>
      <c r="O51">
        <v>6962.4838870000003</v>
      </c>
      <c r="P51">
        <v>6857.5385740000002</v>
      </c>
      <c r="Q51">
        <v>6737.0883789999998</v>
      </c>
      <c r="R51">
        <v>6609.517578</v>
      </c>
      <c r="S51">
        <v>6471.2866210000002</v>
      </c>
      <c r="T51">
        <v>6324.4775390000004</v>
      </c>
      <c r="U51">
        <v>6176.3608400000003</v>
      </c>
      <c r="V51">
        <v>6024.8154299999997</v>
      </c>
      <c r="W51">
        <v>5867.7143550000001</v>
      </c>
      <c r="X51">
        <v>5707.9418949999999</v>
      </c>
      <c r="Y51">
        <v>5552.0722660000001</v>
      </c>
      <c r="Z51">
        <v>5403.2841799999997</v>
      </c>
      <c r="AA51">
        <v>5252.5429690000001</v>
      </c>
      <c r="AB51">
        <v>5096.5878910000001</v>
      </c>
      <c r="AC51">
        <v>4938.9458009999998</v>
      </c>
      <c r="AD51">
        <v>4781.4506840000004</v>
      </c>
      <c r="AE51">
        <v>4618.0205079999996</v>
      </c>
      <c r="AF51">
        <v>4445.1220700000003</v>
      </c>
      <c r="AG51" s="9">
        <v>-2.1999999999999999E-2</v>
      </c>
    </row>
    <row r="52" spans="1:33">
      <c r="A52" t="s">
        <v>181</v>
      </c>
      <c r="B52" t="s">
        <v>2259</v>
      </c>
      <c r="C52" t="s">
        <v>2258</v>
      </c>
      <c r="D52" t="s">
        <v>261</v>
      </c>
      <c r="F52">
        <v>5019.189453</v>
      </c>
      <c r="G52">
        <v>4921.7592770000001</v>
      </c>
      <c r="H52">
        <v>4824.1694340000004</v>
      </c>
      <c r="I52">
        <v>4722.1992190000001</v>
      </c>
      <c r="J52">
        <v>4612.9482420000004</v>
      </c>
      <c r="K52">
        <v>4494.3481449999999</v>
      </c>
      <c r="L52">
        <v>4367.1333009999998</v>
      </c>
      <c r="M52">
        <v>4225.6899409999996</v>
      </c>
      <c r="N52">
        <v>4089.4565429999998</v>
      </c>
      <c r="O52">
        <v>3940.4841310000002</v>
      </c>
      <c r="P52">
        <v>3786.7536620000001</v>
      </c>
      <c r="Q52">
        <v>3621.6906739999999</v>
      </c>
      <c r="R52">
        <v>3452.0083009999998</v>
      </c>
      <c r="S52">
        <v>3278.1594239999999</v>
      </c>
      <c r="T52">
        <v>3098.8549800000001</v>
      </c>
      <c r="U52">
        <v>2921.928711</v>
      </c>
      <c r="V52">
        <v>2743.2478030000002</v>
      </c>
      <c r="W52">
        <v>2576.4331050000001</v>
      </c>
      <c r="X52">
        <v>2419.2429200000001</v>
      </c>
      <c r="Y52">
        <v>2284.141357</v>
      </c>
      <c r="Z52">
        <v>2165.0585940000001</v>
      </c>
      <c r="AA52">
        <v>2049.0903320000002</v>
      </c>
      <c r="AB52">
        <v>1935.6875</v>
      </c>
      <c r="AC52">
        <v>1827.8242190000001</v>
      </c>
      <c r="AD52">
        <v>1724.5014650000001</v>
      </c>
      <c r="AE52">
        <v>1614.953125</v>
      </c>
      <c r="AF52">
        <v>1504.0860600000001</v>
      </c>
      <c r="AG52" s="9">
        <v>-4.4999999999999998E-2</v>
      </c>
    </row>
    <row r="53" spans="1:33">
      <c r="A53" t="s">
        <v>184</v>
      </c>
      <c r="B53" t="s">
        <v>2257</v>
      </c>
      <c r="C53" t="s">
        <v>2256</v>
      </c>
      <c r="D53" t="s">
        <v>261</v>
      </c>
      <c r="F53">
        <v>2.9177000000000002E-2</v>
      </c>
      <c r="G53">
        <v>2.7893999999999999E-2</v>
      </c>
      <c r="H53">
        <v>2.8336E-2</v>
      </c>
      <c r="I53">
        <v>3.0077E-2</v>
      </c>
      <c r="J53">
        <v>3.2547E-2</v>
      </c>
      <c r="K53">
        <v>3.5536999999999999E-2</v>
      </c>
      <c r="L53">
        <v>3.8737000000000001E-2</v>
      </c>
      <c r="M53">
        <v>4.2036999999999998E-2</v>
      </c>
      <c r="N53">
        <v>4.5574000000000003E-2</v>
      </c>
      <c r="O53">
        <v>4.9294999999999999E-2</v>
      </c>
      <c r="P53">
        <v>5.287E-2</v>
      </c>
      <c r="Q53">
        <v>5.6437000000000001E-2</v>
      </c>
      <c r="R53">
        <v>6.0086000000000001E-2</v>
      </c>
      <c r="S53">
        <v>6.3736000000000001E-2</v>
      </c>
      <c r="T53">
        <v>6.7337999999999995E-2</v>
      </c>
      <c r="U53">
        <v>7.0847999999999994E-2</v>
      </c>
      <c r="V53">
        <v>7.4158000000000002E-2</v>
      </c>
      <c r="W53">
        <v>7.7238000000000001E-2</v>
      </c>
      <c r="X53">
        <v>8.0093999999999999E-2</v>
      </c>
      <c r="Y53">
        <v>8.2702999999999999E-2</v>
      </c>
      <c r="Z53">
        <v>8.5087999999999997E-2</v>
      </c>
      <c r="AA53">
        <v>8.7237999999999996E-2</v>
      </c>
      <c r="AB53">
        <v>8.9149999999999993E-2</v>
      </c>
      <c r="AC53">
        <v>9.0864E-2</v>
      </c>
      <c r="AD53">
        <v>9.2346999999999999E-2</v>
      </c>
      <c r="AE53">
        <v>9.3637999999999999E-2</v>
      </c>
      <c r="AF53">
        <v>9.4775999999999999E-2</v>
      </c>
      <c r="AG53" s="9">
        <v>4.5999999999999999E-2</v>
      </c>
    </row>
    <row r="54" spans="1:33">
      <c r="A54" t="s">
        <v>187</v>
      </c>
      <c r="B54" t="s">
        <v>2255</v>
      </c>
      <c r="C54" t="s">
        <v>2254</v>
      </c>
      <c r="D54" t="s">
        <v>261</v>
      </c>
      <c r="F54">
        <v>14.902305999999999</v>
      </c>
      <c r="G54">
        <v>17.576094000000001</v>
      </c>
      <c r="H54">
        <v>20.585961999999999</v>
      </c>
      <c r="I54">
        <v>23.665554</v>
      </c>
      <c r="J54">
        <v>26.919802000000001</v>
      </c>
      <c r="K54">
        <v>30.452202</v>
      </c>
      <c r="L54">
        <v>34.228214000000001</v>
      </c>
      <c r="M54">
        <v>38.143214999999998</v>
      </c>
      <c r="N54">
        <v>42.358657999999998</v>
      </c>
      <c r="O54">
        <v>46.960566999999998</v>
      </c>
      <c r="P54">
        <v>52.145308999999997</v>
      </c>
      <c r="Q54">
        <v>57.921512999999997</v>
      </c>
      <c r="R54">
        <v>64.438721000000001</v>
      </c>
      <c r="S54">
        <v>71.862915000000001</v>
      </c>
      <c r="T54">
        <v>80.503356999999994</v>
      </c>
      <c r="U54">
        <v>90.419799999999995</v>
      </c>
      <c r="V54">
        <v>101.53952</v>
      </c>
      <c r="W54">
        <v>113.773949</v>
      </c>
      <c r="X54">
        <v>126.754311</v>
      </c>
      <c r="Y54">
        <v>140.46791099999999</v>
      </c>
      <c r="Z54">
        <v>154.83050499999999</v>
      </c>
      <c r="AA54">
        <v>169.555542</v>
      </c>
      <c r="AB54">
        <v>184.507767</v>
      </c>
      <c r="AC54">
        <v>199.626755</v>
      </c>
      <c r="AD54">
        <v>214.75408899999999</v>
      </c>
      <c r="AE54">
        <v>229.751678</v>
      </c>
      <c r="AF54">
        <v>244.68684400000001</v>
      </c>
      <c r="AG54" s="9">
        <v>0.114</v>
      </c>
    </row>
    <row r="55" spans="1:33">
      <c r="A55" t="s">
        <v>227</v>
      </c>
      <c r="B55" t="s">
        <v>2253</v>
      </c>
      <c r="C55" t="s">
        <v>2252</v>
      </c>
      <c r="D55" t="s">
        <v>261</v>
      </c>
      <c r="F55">
        <v>1675.231567</v>
      </c>
      <c r="G55">
        <v>1730.6750489999999</v>
      </c>
      <c r="H55">
        <v>1783.8242190000001</v>
      </c>
      <c r="I55">
        <v>1831.4544679999999</v>
      </c>
      <c r="J55">
        <v>1871.336914</v>
      </c>
      <c r="K55">
        <v>1903.2607419999999</v>
      </c>
      <c r="L55">
        <v>1927.773682</v>
      </c>
      <c r="M55">
        <v>1944.653198</v>
      </c>
      <c r="N55">
        <v>1955.0585940000001</v>
      </c>
      <c r="O55">
        <v>1961.609741</v>
      </c>
      <c r="P55">
        <v>1964.1290280000001</v>
      </c>
      <c r="Q55">
        <v>1963.711914</v>
      </c>
      <c r="R55">
        <v>1961.604736</v>
      </c>
      <c r="S55">
        <v>1957.994751</v>
      </c>
      <c r="T55">
        <v>1953.357422</v>
      </c>
      <c r="U55">
        <v>1948.336914</v>
      </c>
      <c r="V55">
        <v>1942.3992920000001</v>
      </c>
      <c r="W55">
        <v>1935.624268</v>
      </c>
      <c r="X55">
        <v>1928.533081</v>
      </c>
      <c r="Y55">
        <v>1920.6376949999999</v>
      </c>
      <c r="Z55">
        <v>1908.769775</v>
      </c>
      <c r="AA55">
        <v>1892.4993899999999</v>
      </c>
      <c r="AB55">
        <v>1874.248047</v>
      </c>
      <c r="AC55">
        <v>1852.163086</v>
      </c>
      <c r="AD55">
        <v>1827.4487300000001</v>
      </c>
      <c r="AE55">
        <v>1796.4149170000001</v>
      </c>
      <c r="AF55">
        <v>1764.8702390000001</v>
      </c>
      <c r="AG55" s="9">
        <v>2E-3</v>
      </c>
    </row>
    <row r="56" spans="1:33">
      <c r="A56" t="s">
        <v>228</v>
      </c>
      <c r="B56" t="s">
        <v>2251</v>
      </c>
      <c r="C56" t="s">
        <v>2250</v>
      </c>
      <c r="D56" t="s">
        <v>261</v>
      </c>
      <c r="F56">
        <v>39.214866999999998</v>
      </c>
      <c r="G56">
        <v>55.817169</v>
      </c>
      <c r="H56">
        <v>73.137619000000001</v>
      </c>
      <c r="I56">
        <v>90.519867000000005</v>
      </c>
      <c r="J56">
        <v>107.33844000000001</v>
      </c>
      <c r="K56">
        <v>123.803017</v>
      </c>
      <c r="L56">
        <v>139.94560200000001</v>
      </c>
      <c r="M56">
        <v>159.49374399999999</v>
      </c>
      <c r="N56">
        <v>182.792282</v>
      </c>
      <c r="O56">
        <v>208.52500900000001</v>
      </c>
      <c r="P56">
        <v>238.42692600000001</v>
      </c>
      <c r="Q56">
        <v>274.92523199999999</v>
      </c>
      <c r="R56">
        <v>317.51724200000001</v>
      </c>
      <c r="S56">
        <v>365.99771099999998</v>
      </c>
      <c r="T56">
        <v>419.79144300000002</v>
      </c>
      <c r="U56">
        <v>478.25216699999999</v>
      </c>
      <c r="V56">
        <v>539.66424600000005</v>
      </c>
      <c r="W56">
        <v>605.26666299999999</v>
      </c>
      <c r="X56">
        <v>673.98651099999995</v>
      </c>
      <c r="Y56">
        <v>745.78527799999995</v>
      </c>
      <c r="Z56">
        <v>819.63543700000002</v>
      </c>
      <c r="AA56">
        <v>893.70117200000004</v>
      </c>
      <c r="AB56">
        <v>967.68975799999998</v>
      </c>
      <c r="AC56">
        <v>1040.8363039999999</v>
      </c>
      <c r="AD56">
        <v>1111.6138920000001</v>
      </c>
      <c r="AE56">
        <v>1180.5131839999999</v>
      </c>
      <c r="AF56">
        <v>1248.1435550000001</v>
      </c>
      <c r="AG56" s="9">
        <v>0.14199999999999999</v>
      </c>
    </row>
    <row r="57" spans="1:33">
      <c r="A57" t="s">
        <v>230</v>
      </c>
      <c r="B57" t="s">
        <v>2249</v>
      </c>
      <c r="C57" t="s">
        <v>2248</v>
      </c>
      <c r="D57" t="s">
        <v>261</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110</v>
      </c>
    </row>
    <row r="58" spans="1:33">
      <c r="A58" t="s">
        <v>229</v>
      </c>
      <c r="B58" t="s">
        <v>2247</v>
      </c>
      <c r="C58" t="s">
        <v>2246</v>
      </c>
      <c r="D58" t="s">
        <v>261</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110</v>
      </c>
    </row>
    <row r="59" spans="1:33">
      <c r="A59" t="s">
        <v>231</v>
      </c>
      <c r="B59" t="s">
        <v>2245</v>
      </c>
      <c r="C59" t="s">
        <v>2244</v>
      </c>
      <c r="D59" t="s">
        <v>261</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110</v>
      </c>
    </row>
    <row r="60" spans="1:33">
      <c r="A60" t="s">
        <v>574</v>
      </c>
      <c r="B60" t="s">
        <v>2243</v>
      </c>
      <c r="C60" t="s">
        <v>2242</v>
      </c>
      <c r="D60" t="s">
        <v>261</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110</v>
      </c>
    </row>
    <row r="61" spans="1:33">
      <c r="A61" t="s">
        <v>571</v>
      </c>
      <c r="B61" t="s">
        <v>2241</v>
      </c>
      <c r="C61" t="s">
        <v>2240</v>
      </c>
      <c r="D61" t="s">
        <v>261</v>
      </c>
      <c r="F61">
        <v>0</v>
      </c>
      <c r="G61">
        <v>1.8639939999999999</v>
      </c>
      <c r="H61">
        <v>4.4663040000000001</v>
      </c>
      <c r="I61">
        <v>8.0814699999999995</v>
      </c>
      <c r="J61">
        <v>22.056372</v>
      </c>
      <c r="K61">
        <v>48.933228</v>
      </c>
      <c r="L61">
        <v>87.077995000000001</v>
      </c>
      <c r="M61">
        <v>138.116333</v>
      </c>
      <c r="N61">
        <v>199.388733</v>
      </c>
      <c r="O61">
        <v>268.62094100000002</v>
      </c>
      <c r="P61">
        <v>344.759705</v>
      </c>
      <c r="Q61">
        <v>431.41665599999999</v>
      </c>
      <c r="R61">
        <v>522.13275099999998</v>
      </c>
      <c r="S61">
        <v>615.81591800000001</v>
      </c>
      <c r="T61">
        <v>715.17797900000005</v>
      </c>
      <c r="U61">
        <v>819.816101</v>
      </c>
      <c r="V61">
        <v>929.444885</v>
      </c>
      <c r="W61">
        <v>1047.6220699999999</v>
      </c>
      <c r="X61">
        <v>1170.4960940000001</v>
      </c>
      <c r="Y61">
        <v>1294.7873540000001</v>
      </c>
      <c r="Z61">
        <v>1421.6793210000001</v>
      </c>
      <c r="AA61">
        <v>1552.3092039999999</v>
      </c>
      <c r="AB61">
        <v>1686.1538089999999</v>
      </c>
      <c r="AC61">
        <v>1823.432495</v>
      </c>
      <c r="AD61">
        <v>1960.1687010000001</v>
      </c>
      <c r="AE61">
        <v>2097.6840820000002</v>
      </c>
      <c r="AF61">
        <v>2239.413086</v>
      </c>
      <c r="AG61" t="s">
        <v>110</v>
      </c>
    </row>
    <row r="62" spans="1:33">
      <c r="A62" t="s">
        <v>568</v>
      </c>
      <c r="B62" t="s">
        <v>2239</v>
      </c>
      <c r="C62" t="s">
        <v>2238</v>
      </c>
      <c r="D62" t="s">
        <v>261</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110</v>
      </c>
    </row>
    <row r="63" spans="1:33">
      <c r="A63" t="s">
        <v>2149</v>
      </c>
      <c r="B63" t="s">
        <v>2237</v>
      </c>
      <c r="C63" t="s">
        <v>2236</v>
      </c>
      <c r="D63" t="s">
        <v>261</v>
      </c>
      <c r="F63">
        <v>14603.680664</v>
      </c>
      <c r="G63">
        <v>14392.998046999999</v>
      </c>
      <c r="H63">
        <v>14248.249023</v>
      </c>
      <c r="I63">
        <v>14134.845703000001</v>
      </c>
      <c r="J63">
        <v>14022.575194999999</v>
      </c>
      <c r="K63">
        <v>13905.910156</v>
      </c>
      <c r="L63">
        <v>13787.850586</v>
      </c>
      <c r="M63">
        <v>13651.332031</v>
      </c>
      <c r="N63">
        <v>13526.305664</v>
      </c>
      <c r="O63">
        <v>13388.733398</v>
      </c>
      <c r="P63">
        <v>13243.805664</v>
      </c>
      <c r="Q63">
        <v>13086.811523</v>
      </c>
      <c r="R63">
        <v>12927.279296999999</v>
      </c>
      <c r="S63">
        <v>12761.181640999999</v>
      </c>
      <c r="T63">
        <v>12592.228515999999</v>
      </c>
      <c r="U63">
        <v>12435.185546999999</v>
      </c>
      <c r="V63">
        <v>12281.185546999999</v>
      </c>
      <c r="W63">
        <v>12146.511719</v>
      </c>
      <c r="X63">
        <v>12027.034180000001</v>
      </c>
      <c r="Y63">
        <v>11937.974609000001</v>
      </c>
      <c r="Z63">
        <v>11873.34375</v>
      </c>
      <c r="AA63">
        <v>11809.786133</v>
      </c>
      <c r="AB63">
        <v>11744.964844</v>
      </c>
      <c r="AC63">
        <v>11682.918944999999</v>
      </c>
      <c r="AD63">
        <v>11620.030273</v>
      </c>
      <c r="AE63">
        <v>11537.429688</v>
      </c>
      <c r="AF63">
        <v>11446.416992</v>
      </c>
      <c r="AG63" s="9">
        <v>-8.9999999999999993E-3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3B3A0-12D5-44ED-941F-BCFACF7F44B3}">
  <sheetPr>
    <tabColor theme="4" tint="0.39997558519241921"/>
  </sheetPr>
  <dimension ref="A1:AG63"/>
  <sheetViews>
    <sheetView workbookViewId="0"/>
  </sheetViews>
  <sheetFormatPr defaultRowHeight="14.25"/>
  <sheetData>
    <row r="1" spans="1:33">
      <c r="A1" t="s">
        <v>294</v>
      </c>
    </row>
    <row r="2" spans="1:33">
      <c r="A2" t="s">
        <v>673</v>
      </c>
    </row>
    <row r="3" spans="1:33">
      <c r="A3" t="s">
        <v>672</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295</v>
      </c>
    </row>
    <row r="7" spans="1:33">
      <c r="A7" t="s">
        <v>296</v>
      </c>
    </row>
    <row r="8" spans="1:33">
      <c r="A8" t="s">
        <v>297</v>
      </c>
      <c r="B8" t="s">
        <v>670</v>
      </c>
      <c r="C8" t="s">
        <v>669</v>
      </c>
      <c r="D8" t="s">
        <v>194</v>
      </c>
      <c r="F8">
        <v>50.638137999999998</v>
      </c>
      <c r="G8">
        <v>48.885429000000002</v>
      </c>
      <c r="H8">
        <v>46.748302000000002</v>
      </c>
      <c r="I8">
        <v>44.010258</v>
      </c>
      <c r="J8">
        <v>41.474693000000002</v>
      </c>
      <c r="K8">
        <v>39.650063000000003</v>
      </c>
      <c r="L8">
        <v>38.069546000000003</v>
      </c>
      <c r="M8">
        <v>36.528156000000003</v>
      </c>
      <c r="N8">
        <v>34.710064000000003</v>
      </c>
      <c r="O8">
        <v>33.442504999999997</v>
      </c>
      <c r="P8">
        <v>32.505721999999999</v>
      </c>
      <c r="Q8">
        <v>31.332032999999999</v>
      </c>
      <c r="R8">
        <v>30.183112999999999</v>
      </c>
      <c r="S8">
        <v>29.184698000000001</v>
      </c>
      <c r="T8">
        <v>28.347183000000001</v>
      </c>
      <c r="U8">
        <v>27.496824</v>
      </c>
      <c r="V8">
        <v>26.624618999999999</v>
      </c>
      <c r="W8">
        <v>25.859490999999998</v>
      </c>
      <c r="X8">
        <v>25.193740999999999</v>
      </c>
      <c r="Y8">
        <v>24.602195999999999</v>
      </c>
      <c r="Z8">
        <v>24.052531999999999</v>
      </c>
      <c r="AA8">
        <v>23.561592000000001</v>
      </c>
      <c r="AB8">
        <v>23.087154000000002</v>
      </c>
      <c r="AC8">
        <v>22.633206999999999</v>
      </c>
      <c r="AD8">
        <v>22.193701000000001</v>
      </c>
      <c r="AE8">
        <v>21.778998999999999</v>
      </c>
      <c r="AF8">
        <v>21.422250999999999</v>
      </c>
      <c r="AG8" s="9">
        <v>-3.3000000000000002E-2</v>
      </c>
    </row>
    <row r="9" spans="1:33">
      <c r="A9" t="s">
        <v>298</v>
      </c>
      <c r="B9" t="s">
        <v>668</v>
      </c>
      <c r="C9" t="s">
        <v>667</v>
      </c>
      <c r="D9" t="s">
        <v>194</v>
      </c>
      <c r="F9">
        <v>0.105861</v>
      </c>
      <c r="G9">
        <v>9.2277999999999999E-2</v>
      </c>
      <c r="H9">
        <v>8.0051999999999998E-2</v>
      </c>
      <c r="I9">
        <v>6.9001999999999994E-2</v>
      </c>
      <c r="J9">
        <v>5.8966999999999999E-2</v>
      </c>
      <c r="K9">
        <v>4.9986000000000003E-2</v>
      </c>
      <c r="L9">
        <v>4.2127999999999999E-2</v>
      </c>
      <c r="M9">
        <v>3.5327999999999998E-2</v>
      </c>
      <c r="N9">
        <v>2.9527999999999999E-2</v>
      </c>
      <c r="O9">
        <v>2.4714E-2</v>
      </c>
      <c r="P9">
        <v>2.0797E-2</v>
      </c>
      <c r="Q9">
        <v>1.7670000000000002E-2</v>
      </c>
      <c r="R9">
        <v>1.5205E-2</v>
      </c>
      <c r="S9">
        <v>1.3269E-2</v>
      </c>
      <c r="T9">
        <v>1.1756000000000001E-2</v>
      </c>
      <c r="U9">
        <v>1.0555E-2</v>
      </c>
      <c r="V9">
        <v>9.5420000000000001E-3</v>
      </c>
      <c r="W9">
        <v>8.6499999999999997E-3</v>
      </c>
      <c r="X9">
        <v>7.8600000000000007E-3</v>
      </c>
      <c r="Y9">
        <v>7.1549999999999999E-3</v>
      </c>
      <c r="Z9">
        <v>6.5180000000000004E-3</v>
      </c>
      <c r="AA9">
        <v>5.94E-3</v>
      </c>
      <c r="AB9">
        <v>5.4159999999999998E-3</v>
      </c>
      <c r="AC9">
        <v>4.9399999999999999E-3</v>
      </c>
      <c r="AD9">
        <v>4.5069999999999997E-3</v>
      </c>
      <c r="AE9">
        <v>4.1149999999999997E-3</v>
      </c>
      <c r="AF9">
        <v>3.7580000000000001E-3</v>
      </c>
      <c r="AG9" s="9">
        <v>-0.12</v>
      </c>
    </row>
    <row r="10" spans="1:33">
      <c r="A10" t="s">
        <v>299</v>
      </c>
      <c r="B10" t="s">
        <v>666</v>
      </c>
      <c r="C10" t="s">
        <v>665</v>
      </c>
      <c r="D10" t="s">
        <v>194</v>
      </c>
      <c r="F10">
        <v>50.743999000000002</v>
      </c>
      <c r="G10">
        <v>48.977707000000002</v>
      </c>
      <c r="H10">
        <v>46.828353999999997</v>
      </c>
      <c r="I10">
        <v>44.079262</v>
      </c>
      <c r="J10">
        <v>41.533661000000002</v>
      </c>
      <c r="K10">
        <v>39.700049999999997</v>
      </c>
      <c r="L10">
        <v>38.111674999999998</v>
      </c>
      <c r="M10">
        <v>36.563484000000003</v>
      </c>
      <c r="N10">
        <v>34.739593999999997</v>
      </c>
      <c r="O10">
        <v>33.467219999999998</v>
      </c>
      <c r="P10">
        <v>32.526519999999998</v>
      </c>
      <c r="Q10">
        <v>31.349703000000002</v>
      </c>
      <c r="R10">
        <v>30.198318</v>
      </c>
      <c r="S10">
        <v>29.197967999999999</v>
      </c>
      <c r="T10">
        <v>28.358937999999998</v>
      </c>
      <c r="U10">
        <v>27.507380000000001</v>
      </c>
      <c r="V10">
        <v>26.634160999999999</v>
      </c>
      <c r="W10">
        <v>25.868141000000001</v>
      </c>
      <c r="X10">
        <v>25.201601</v>
      </c>
      <c r="Y10">
        <v>24.609349999999999</v>
      </c>
      <c r="Z10">
        <v>24.059049999999999</v>
      </c>
      <c r="AA10">
        <v>23.567532</v>
      </c>
      <c r="AB10">
        <v>23.092569000000001</v>
      </c>
      <c r="AC10">
        <v>22.638147</v>
      </c>
      <c r="AD10">
        <v>22.198208000000001</v>
      </c>
      <c r="AE10">
        <v>21.783113</v>
      </c>
      <c r="AF10">
        <v>21.426007999999999</v>
      </c>
      <c r="AG10" s="9">
        <v>-3.3000000000000002E-2</v>
      </c>
    </row>
    <row r="11" spans="1:33">
      <c r="A11" t="s">
        <v>300</v>
      </c>
    </row>
    <row r="12" spans="1:33">
      <c r="A12" t="s">
        <v>301</v>
      </c>
      <c r="B12" t="s">
        <v>664</v>
      </c>
      <c r="C12" t="s">
        <v>663</v>
      </c>
      <c r="D12" t="s">
        <v>194</v>
      </c>
      <c r="F12">
        <v>1.60873</v>
      </c>
      <c r="G12">
        <v>1.349367</v>
      </c>
      <c r="H12">
        <v>1.148253</v>
      </c>
      <c r="I12">
        <v>0.97852499999999998</v>
      </c>
      <c r="J12">
        <v>0.83490799999999998</v>
      </c>
      <c r="K12">
        <v>0.71350599999999997</v>
      </c>
      <c r="L12">
        <v>0.61164200000000002</v>
      </c>
      <c r="M12">
        <v>0.52731499999999998</v>
      </c>
      <c r="N12">
        <v>0.45874700000000002</v>
      </c>
      <c r="O12">
        <v>0.40613199999999999</v>
      </c>
      <c r="P12">
        <v>0.36515700000000001</v>
      </c>
      <c r="Q12">
        <v>0.33379399999999998</v>
      </c>
      <c r="R12">
        <v>0.31039299999999997</v>
      </c>
      <c r="S12">
        <v>0.29211300000000001</v>
      </c>
      <c r="T12">
        <v>0.277586</v>
      </c>
      <c r="U12">
        <v>0.26606400000000002</v>
      </c>
      <c r="V12">
        <v>0.25656099999999998</v>
      </c>
      <c r="W12">
        <v>0.24847</v>
      </c>
      <c r="X12">
        <v>0.24144099999999999</v>
      </c>
      <c r="Y12">
        <v>0.23524500000000001</v>
      </c>
      <c r="Z12">
        <v>0.22976199999999999</v>
      </c>
      <c r="AA12">
        <v>0.22478000000000001</v>
      </c>
      <c r="AB12">
        <v>0.22017800000000001</v>
      </c>
      <c r="AC12">
        <v>0.21592700000000001</v>
      </c>
      <c r="AD12">
        <v>0.21198400000000001</v>
      </c>
      <c r="AE12">
        <v>0.20832899999999999</v>
      </c>
      <c r="AF12">
        <v>0.20491699999999999</v>
      </c>
      <c r="AG12" s="9">
        <v>-7.5999999999999998E-2</v>
      </c>
    </row>
    <row r="13" spans="1:33">
      <c r="A13" t="s">
        <v>333</v>
      </c>
      <c r="B13" t="s">
        <v>662</v>
      </c>
      <c r="C13" t="s">
        <v>661</v>
      </c>
      <c r="D13" t="s">
        <v>194</v>
      </c>
      <c r="F13">
        <v>9.1476000000000002E-2</v>
      </c>
      <c r="G13">
        <v>0.103355</v>
      </c>
      <c r="H13">
        <v>0.104404</v>
      </c>
      <c r="I13">
        <v>9.9453E-2</v>
      </c>
      <c r="J13">
        <v>9.2523999999999995E-2</v>
      </c>
      <c r="K13">
        <v>8.7859000000000007E-2</v>
      </c>
      <c r="L13">
        <v>8.6116999999999999E-2</v>
      </c>
      <c r="M13">
        <v>8.5204000000000002E-2</v>
      </c>
      <c r="N13">
        <v>8.4945999999999994E-2</v>
      </c>
      <c r="O13">
        <v>8.0046000000000006E-2</v>
      </c>
      <c r="P13">
        <v>7.7998999999999999E-2</v>
      </c>
      <c r="Q13">
        <v>7.7561000000000005E-2</v>
      </c>
      <c r="R13">
        <v>7.8149999999999997E-2</v>
      </c>
      <c r="S13">
        <v>7.9242000000000007E-2</v>
      </c>
      <c r="T13">
        <v>8.0854999999999996E-2</v>
      </c>
      <c r="U13">
        <v>8.2913000000000001E-2</v>
      </c>
      <c r="V13">
        <v>8.3385000000000001E-2</v>
      </c>
      <c r="W13">
        <v>8.4219000000000002E-2</v>
      </c>
      <c r="X13">
        <v>8.5323999999999997E-2</v>
      </c>
      <c r="Y13">
        <v>8.6754999999999999E-2</v>
      </c>
      <c r="Z13">
        <v>8.7946999999999997E-2</v>
      </c>
      <c r="AA13">
        <v>8.9177000000000006E-2</v>
      </c>
      <c r="AB13">
        <v>9.0092000000000005E-2</v>
      </c>
      <c r="AC13">
        <v>9.0739E-2</v>
      </c>
      <c r="AD13">
        <v>9.1296000000000002E-2</v>
      </c>
      <c r="AE13">
        <v>9.1797000000000004E-2</v>
      </c>
      <c r="AF13">
        <v>9.2785999999999993E-2</v>
      </c>
      <c r="AG13" s="9">
        <v>1E-3</v>
      </c>
    </row>
    <row r="14" spans="1:33">
      <c r="A14" t="s">
        <v>334</v>
      </c>
      <c r="B14" t="s">
        <v>660</v>
      </c>
      <c r="C14" t="s">
        <v>659</v>
      </c>
      <c r="D14" t="s">
        <v>194</v>
      </c>
      <c r="F14">
        <v>0.69233999999999996</v>
      </c>
      <c r="G14">
        <v>0.907057</v>
      </c>
      <c r="H14">
        <v>1.1195539999999999</v>
      </c>
      <c r="I14">
        <v>1.357645</v>
      </c>
      <c r="J14">
        <v>1.514705</v>
      </c>
      <c r="K14">
        <v>1.616379</v>
      </c>
      <c r="L14">
        <v>1.770032</v>
      </c>
      <c r="M14">
        <v>1.928347</v>
      </c>
      <c r="N14">
        <v>2.5976219999999999</v>
      </c>
      <c r="O14">
        <v>3.198941</v>
      </c>
      <c r="P14">
        <v>3.726064</v>
      </c>
      <c r="Q14">
        <v>4.3920599999999999</v>
      </c>
      <c r="R14">
        <v>4.8904180000000004</v>
      </c>
      <c r="S14">
        <v>5.2890930000000003</v>
      </c>
      <c r="T14">
        <v>5.6434220000000002</v>
      </c>
      <c r="U14">
        <v>6.1824019999999997</v>
      </c>
      <c r="V14">
        <v>6.5860190000000003</v>
      </c>
      <c r="W14">
        <v>6.8923209999999999</v>
      </c>
      <c r="X14">
        <v>7.1280409999999996</v>
      </c>
      <c r="Y14">
        <v>7.3587980000000002</v>
      </c>
      <c r="Z14">
        <v>7.548114</v>
      </c>
      <c r="AA14">
        <v>7.7391969999999999</v>
      </c>
      <c r="AB14">
        <v>7.8809060000000004</v>
      </c>
      <c r="AC14">
        <v>7.9886850000000003</v>
      </c>
      <c r="AD14">
        <v>8.0824700000000007</v>
      </c>
      <c r="AE14">
        <v>8.163729</v>
      </c>
      <c r="AF14">
        <v>8.2948229999999992</v>
      </c>
      <c r="AG14" s="9">
        <v>0.1</v>
      </c>
    </row>
    <row r="15" spans="1:33">
      <c r="A15" t="s">
        <v>335</v>
      </c>
      <c r="B15" t="s">
        <v>658</v>
      </c>
      <c r="C15" t="s">
        <v>657</v>
      </c>
      <c r="D15" t="s">
        <v>194</v>
      </c>
      <c r="F15">
        <v>2.689883</v>
      </c>
      <c r="G15">
        <v>3.5916250000000001</v>
      </c>
      <c r="H15">
        <v>5.1927519999999996</v>
      </c>
      <c r="I15">
        <v>6.8535830000000004</v>
      </c>
      <c r="J15">
        <v>8.0837140000000005</v>
      </c>
      <c r="K15">
        <v>8.8788940000000007</v>
      </c>
      <c r="L15">
        <v>9.6231860000000005</v>
      </c>
      <c r="M15">
        <v>10.23752</v>
      </c>
      <c r="N15">
        <v>10.690363</v>
      </c>
      <c r="O15">
        <v>10.662129</v>
      </c>
      <c r="P15">
        <v>10.907314</v>
      </c>
      <c r="Q15">
        <v>11.172157</v>
      </c>
      <c r="R15">
        <v>11.436102</v>
      </c>
      <c r="S15">
        <v>11.673954</v>
      </c>
      <c r="T15">
        <v>11.908784000000001</v>
      </c>
      <c r="U15">
        <v>12.099163000000001</v>
      </c>
      <c r="V15">
        <v>12.386236999999999</v>
      </c>
      <c r="W15">
        <v>12.585106</v>
      </c>
      <c r="X15">
        <v>12.720762000000001</v>
      </c>
      <c r="Y15">
        <v>12.807727</v>
      </c>
      <c r="Z15">
        <v>12.878695</v>
      </c>
      <c r="AA15">
        <v>12.938056</v>
      </c>
      <c r="AB15">
        <v>12.977658999999999</v>
      </c>
      <c r="AC15">
        <v>12.990112999999999</v>
      </c>
      <c r="AD15">
        <v>12.971123</v>
      </c>
      <c r="AE15">
        <v>12.942655</v>
      </c>
      <c r="AF15">
        <v>12.932833</v>
      </c>
      <c r="AG15" s="9">
        <v>6.2E-2</v>
      </c>
    </row>
    <row r="16" spans="1:33">
      <c r="A16" t="s">
        <v>302</v>
      </c>
      <c r="B16" t="s">
        <v>656</v>
      </c>
      <c r="C16" t="s">
        <v>655</v>
      </c>
      <c r="D16" t="s">
        <v>194</v>
      </c>
      <c r="F16">
        <v>0.186914</v>
      </c>
      <c r="G16">
        <v>0.23035800000000001</v>
      </c>
      <c r="H16">
        <v>0.27477800000000002</v>
      </c>
      <c r="I16">
        <v>0.31699100000000002</v>
      </c>
      <c r="J16">
        <v>0.34990700000000002</v>
      </c>
      <c r="K16">
        <v>0.36466999999999999</v>
      </c>
      <c r="L16">
        <v>0.37565900000000002</v>
      </c>
      <c r="M16">
        <v>0.38463700000000001</v>
      </c>
      <c r="N16">
        <v>0.37951200000000002</v>
      </c>
      <c r="O16">
        <v>0.36410500000000001</v>
      </c>
      <c r="P16">
        <v>0.35984500000000003</v>
      </c>
      <c r="Q16">
        <v>0.35496499999999997</v>
      </c>
      <c r="R16">
        <v>0.35196499999999997</v>
      </c>
      <c r="S16">
        <v>0.350024</v>
      </c>
      <c r="T16">
        <v>0.34971000000000002</v>
      </c>
      <c r="U16">
        <v>0.34740900000000002</v>
      </c>
      <c r="V16">
        <v>0.34548099999999998</v>
      </c>
      <c r="W16">
        <v>0.34423500000000001</v>
      </c>
      <c r="X16">
        <v>0.34338600000000002</v>
      </c>
      <c r="Y16">
        <v>0.343194</v>
      </c>
      <c r="Z16">
        <v>0.34214499999999998</v>
      </c>
      <c r="AA16">
        <v>0.34149499999999999</v>
      </c>
      <c r="AB16">
        <v>0.33986100000000002</v>
      </c>
      <c r="AC16">
        <v>0.33780500000000002</v>
      </c>
      <c r="AD16">
        <v>0.33586100000000002</v>
      </c>
      <c r="AE16">
        <v>0.333926</v>
      </c>
      <c r="AF16">
        <v>0.33367000000000002</v>
      </c>
      <c r="AG16" s="9">
        <v>2.3E-2</v>
      </c>
    </row>
    <row r="17" spans="1:33">
      <c r="A17" t="s">
        <v>303</v>
      </c>
      <c r="B17" t="s">
        <v>654</v>
      </c>
      <c r="C17" t="s">
        <v>653</v>
      </c>
      <c r="D17" t="s">
        <v>194</v>
      </c>
      <c r="F17">
        <v>0.129778</v>
      </c>
      <c r="G17">
        <v>0.16594</v>
      </c>
      <c r="H17">
        <v>0.26083299999999998</v>
      </c>
      <c r="I17">
        <v>0.34348400000000001</v>
      </c>
      <c r="J17">
        <v>0.40930299999999997</v>
      </c>
      <c r="K17">
        <v>0.44777899999999998</v>
      </c>
      <c r="L17">
        <v>0.47846499999999997</v>
      </c>
      <c r="M17">
        <v>0.50584300000000004</v>
      </c>
      <c r="N17">
        <v>0.49767099999999997</v>
      </c>
      <c r="O17">
        <v>0.46661399999999997</v>
      </c>
      <c r="P17">
        <v>0.45825100000000002</v>
      </c>
      <c r="Q17">
        <v>0.444216</v>
      </c>
      <c r="R17">
        <v>0.436475</v>
      </c>
      <c r="S17">
        <v>0.43141600000000002</v>
      </c>
      <c r="T17">
        <v>0.42926199999999998</v>
      </c>
      <c r="U17">
        <v>0.416043</v>
      </c>
      <c r="V17">
        <v>0.40549400000000002</v>
      </c>
      <c r="W17">
        <v>0.39758599999999999</v>
      </c>
      <c r="X17">
        <v>0.391592</v>
      </c>
      <c r="Y17">
        <v>0.38659700000000002</v>
      </c>
      <c r="Z17">
        <v>0.38094099999999997</v>
      </c>
      <c r="AA17">
        <v>0.37582399999999999</v>
      </c>
      <c r="AB17">
        <v>0.37006</v>
      </c>
      <c r="AC17">
        <v>0.36420000000000002</v>
      </c>
      <c r="AD17">
        <v>0.358657</v>
      </c>
      <c r="AE17">
        <v>0.35341400000000001</v>
      </c>
      <c r="AF17">
        <v>0.34999400000000003</v>
      </c>
      <c r="AG17" s="9">
        <v>3.9E-2</v>
      </c>
    </row>
    <row r="18" spans="1:33">
      <c r="A18" t="s">
        <v>304</v>
      </c>
      <c r="B18" t="s">
        <v>652</v>
      </c>
      <c r="C18" t="s">
        <v>651</v>
      </c>
      <c r="D18" t="s">
        <v>194</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110</v>
      </c>
    </row>
    <row r="19" spans="1:33">
      <c r="A19" t="s">
        <v>305</v>
      </c>
      <c r="B19" t="s">
        <v>650</v>
      </c>
      <c r="C19" t="s">
        <v>649</v>
      </c>
      <c r="D19" t="s">
        <v>194</v>
      </c>
      <c r="F19">
        <v>2.719198</v>
      </c>
      <c r="G19">
        <v>3.198261</v>
      </c>
      <c r="H19">
        <v>3.4401540000000002</v>
      </c>
      <c r="I19">
        <v>3.633343</v>
      </c>
      <c r="J19">
        <v>3.6965560000000002</v>
      </c>
      <c r="K19">
        <v>3.777752</v>
      </c>
      <c r="L19">
        <v>3.8531740000000001</v>
      </c>
      <c r="M19">
        <v>3.9225120000000002</v>
      </c>
      <c r="N19">
        <v>3.8995739999999999</v>
      </c>
      <c r="O19">
        <v>3.9320469999999998</v>
      </c>
      <c r="P19">
        <v>4.0155849999999997</v>
      </c>
      <c r="Q19">
        <v>4.045547</v>
      </c>
      <c r="R19">
        <v>4.0633889999999999</v>
      </c>
      <c r="S19">
        <v>4.0925390000000004</v>
      </c>
      <c r="T19">
        <v>4.1382899999999996</v>
      </c>
      <c r="U19">
        <v>4.1715249999999999</v>
      </c>
      <c r="V19">
        <v>4.1756779999999996</v>
      </c>
      <c r="W19">
        <v>4.190537</v>
      </c>
      <c r="X19">
        <v>4.2157879999999999</v>
      </c>
      <c r="Y19">
        <v>4.24763</v>
      </c>
      <c r="Z19">
        <v>4.2800010000000004</v>
      </c>
      <c r="AA19">
        <v>4.3174409999999996</v>
      </c>
      <c r="AB19">
        <v>4.351369</v>
      </c>
      <c r="AC19">
        <v>4.3813610000000001</v>
      </c>
      <c r="AD19">
        <v>4.4064550000000002</v>
      </c>
      <c r="AE19">
        <v>4.4319420000000003</v>
      </c>
      <c r="AF19">
        <v>4.469773</v>
      </c>
      <c r="AG19" s="9">
        <v>1.9E-2</v>
      </c>
    </row>
    <row r="20" spans="1:33">
      <c r="A20" t="s">
        <v>306</v>
      </c>
      <c r="B20" t="s">
        <v>648</v>
      </c>
      <c r="C20" t="s">
        <v>647</v>
      </c>
      <c r="D20" t="s">
        <v>194</v>
      </c>
      <c r="F20">
        <v>7.0349999999999996E-2</v>
      </c>
      <c r="G20">
        <v>6.4102999999999993E-2</v>
      </c>
      <c r="H20">
        <v>5.7872E-2</v>
      </c>
      <c r="I20">
        <v>5.1645000000000003E-2</v>
      </c>
      <c r="J20">
        <v>4.5603999999999999E-2</v>
      </c>
      <c r="K20">
        <v>3.9872999999999999E-2</v>
      </c>
      <c r="L20">
        <v>3.5135E-2</v>
      </c>
      <c r="M20">
        <v>3.0665999999999999E-2</v>
      </c>
      <c r="N20">
        <v>2.6724999999999999E-2</v>
      </c>
      <c r="O20">
        <v>2.3335999999999999E-2</v>
      </c>
      <c r="P20">
        <v>2.0537E-2</v>
      </c>
      <c r="Q20">
        <v>1.8207999999999998E-2</v>
      </c>
      <c r="R20">
        <v>1.6296000000000001E-2</v>
      </c>
      <c r="S20">
        <v>1.5039E-2</v>
      </c>
      <c r="T20">
        <v>1.3965E-2</v>
      </c>
      <c r="U20">
        <v>1.3070999999999999E-2</v>
      </c>
      <c r="V20">
        <v>1.2276E-2</v>
      </c>
      <c r="W20">
        <v>1.1528999999999999E-2</v>
      </c>
      <c r="X20">
        <v>1.0827E-2</v>
      </c>
      <c r="Y20">
        <v>1.0168999999999999E-2</v>
      </c>
      <c r="Z20">
        <v>9.5499999999999995E-3</v>
      </c>
      <c r="AA20">
        <v>8.9689999999999995E-3</v>
      </c>
      <c r="AB20">
        <v>8.4229999999999999E-3</v>
      </c>
      <c r="AC20">
        <v>7.9100000000000004E-3</v>
      </c>
      <c r="AD20">
        <v>7.4289999999999998E-3</v>
      </c>
      <c r="AE20">
        <v>6.9769999999999997E-3</v>
      </c>
      <c r="AF20">
        <v>6.5519999999999997E-3</v>
      </c>
      <c r="AG20" s="9">
        <v>-8.6999999999999994E-2</v>
      </c>
    </row>
    <row r="21" spans="1:33">
      <c r="A21" t="s">
        <v>307</v>
      </c>
      <c r="B21" t="s">
        <v>646</v>
      </c>
      <c r="C21" t="s">
        <v>645</v>
      </c>
      <c r="D21" t="s">
        <v>194</v>
      </c>
      <c r="F21">
        <v>1.6720000000000001E-3</v>
      </c>
      <c r="G21">
        <v>1.57E-3</v>
      </c>
      <c r="H21">
        <v>1.475E-3</v>
      </c>
      <c r="I21">
        <v>1.3849999999999999E-3</v>
      </c>
      <c r="J21">
        <v>1.3010000000000001E-3</v>
      </c>
      <c r="K21">
        <v>1.2210000000000001E-3</v>
      </c>
      <c r="L21">
        <v>1.147E-3</v>
      </c>
      <c r="M21">
        <v>1.077E-3</v>
      </c>
      <c r="N21">
        <v>1.0120000000000001E-3</v>
      </c>
      <c r="O21">
        <v>9.5E-4</v>
      </c>
      <c r="P21">
        <v>8.92E-4</v>
      </c>
      <c r="Q21">
        <v>8.3799999999999999E-4</v>
      </c>
      <c r="R21">
        <v>7.8700000000000005E-4</v>
      </c>
      <c r="S21">
        <v>7.3899999999999997E-4</v>
      </c>
      <c r="T21">
        <v>6.9399999999999996E-4</v>
      </c>
      <c r="U21">
        <v>6.5200000000000002E-4</v>
      </c>
      <c r="V21">
        <v>6.1200000000000002E-4</v>
      </c>
      <c r="W21">
        <v>5.7499999999999999E-4</v>
      </c>
      <c r="X21">
        <v>5.4000000000000001E-4</v>
      </c>
      <c r="Y21">
        <v>5.0699999999999996E-4</v>
      </c>
      <c r="Z21">
        <v>4.7600000000000002E-4</v>
      </c>
      <c r="AA21">
        <v>4.4700000000000002E-4</v>
      </c>
      <c r="AB21">
        <v>4.2000000000000002E-4</v>
      </c>
      <c r="AC21">
        <v>3.9500000000000001E-4</v>
      </c>
      <c r="AD21">
        <v>3.7100000000000002E-4</v>
      </c>
      <c r="AE21">
        <v>3.48E-4</v>
      </c>
      <c r="AF21">
        <v>3.2699999999999998E-4</v>
      </c>
      <c r="AG21" s="9">
        <v>-6.0999999999999999E-2</v>
      </c>
    </row>
    <row r="22" spans="1:33">
      <c r="A22" t="s">
        <v>308</v>
      </c>
      <c r="B22" t="s">
        <v>644</v>
      </c>
      <c r="C22" t="s">
        <v>643</v>
      </c>
      <c r="D22" t="s">
        <v>194</v>
      </c>
      <c r="F22">
        <v>1.0722000000000001E-2</v>
      </c>
      <c r="G22">
        <v>9.3189999999999992E-3</v>
      </c>
      <c r="H22">
        <v>8.4430000000000009E-3</v>
      </c>
      <c r="I22">
        <v>7.9100000000000004E-3</v>
      </c>
      <c r="J22">
        <v>7.4289999999999998E-3</v>
      </c>
      <c r="K22">
        <v>6.9769999999999997E-3</v>
      </c>
      <c r="L22">
        <v>6.5519999999999997E-3</v>
      </c>
      <c r="M22">
        <v>6.1539999999999997E-3</v>
      </c>
      <c r="N22">
        <v>5.7790000000000003E-3</v>
      </c>
      <c r="O22">
        <v>5.4279999999999997E-3</v>
      </c>
      <c r="P22">
        <v>5.097E-3</v>
      </c>
      <c r="Q22">
        <v>4.7869999999999996E-3</v>
      </c>
      <c r="R22">
        <v>4.496E-3</v>
      </c>
      <c r="S22">
        <v>4.2220000000000001E-3</v>
      </c>
      <c r="T22">
        <v>3.9649999999999998E-3</v>
      </c>
      <c r="U22">
        <v>3.7239999999999999E-3</v>
      </c>
      <c r="V22">
        <v>3.4970000000000001E-3</v>
      </c>
      <c r="W22">
        <v>3.2850000000000002E-3</v>
      </c>
      <c r="X22">
        <v>3.0850000000000001E-3</v>
      </c>
      <c r="Y22">
        <v>2.8969999999999998E-3</v>
      </c>
      <c r="Z22">
        <v>2.7209999999999999E-3</v>
      </c>
      <c r="AA22">
        <v>2.555E-3</v>
      </c>
      <c r="AB22">
        <v>2.3999999999999998E-3</v>
      </c>
      <c r="AC22">
        <v>2.2539999999999999E-3</v>
      </c>
      <c r="AD22">
        <v>2.1159999999999998E-3</v>
      </c>
      <c r="AE22">
        <v>1.9880000000000002E-3</v>
      </c>
      <c r="AF22">
        <v>1.867E-3</v>
      </c>
      <c r="AG22" s="9">
        <v>-6.5000000000000002E-2</v>
      </c>
    </row>
    <row r="23" spans="1:33">
      <c r="A23" t="s">
        <v>309</v>
      </c>
      <c r="B23" t="s">
        <v>642</v>
      </c>
      <c r="C23" t="s">
        <v>641</v>
      </c>
      <c r="D23" t="s">
        <v>194</v>
      </c>
      <c r="F23">
        <v>2.1011999999999999E-2</v>
      </c>
      <c r="G23">
        <v>1.8134999999999998E-2</v>
      </c>
      <c r="H23">
        <v>1.6174000000000001E-2</v>
      </c>
      <c r="I23">
        <v>1.4973999999999999E-2</v>
      </c>
      <c r="J23">
        <v>1.3956E-2</v>
      </c>
      <c r="K23">
        <v>1.3107000000000001E-2</v>
      </c>
      <c r="L23">
        <v>1.2309E-2</v>
      </c>
      <c r="M23">
        <v>1.1560000000000001E-2</v>
      </c>
      <c r="N23">
        <v>1.0857E-2</v>
      </c>
      <c r="O23">
        <v>1.0196E-2</v>
      </c>
      <c r="P23">
        <v>9.5759999999999994E-3</v>
      </c>
      <c r="Q23">
        <v>8.9929999999999993E-3</v>
      </c>
      <c r="R23">
        <v>8.4460000000000004E-3</v>
      </c>
      <c r="S23">
        <v>7.9319999999999998E-3</v>
      </c>
      <c r="T23">
        <v>7.4489999999999999E-3</v>
      </c>
      <c r="U23">
        <v>6.9959999999999996E-3</v>
      </c>
      <c r="V23">
        <v>6.5700000000000003E-3</v>
      </c>
      <c r="W23">
        <v>6.1700000000000001E-3</v>
      </c>
      <c r="X23">
        <v>5.7949999999999998E-3</v>
      </c>
      <c r="Y23">
        <v>5.4419999999999998E-3</v>
      </c>
      <c r="Z23">
        <v>5.1110000000000001E-3</v>
      </c>
      <c r="AA23">
        <v>4.7999999999999996E-3</v>
      </c>
      <c r="AB23">
        <v>4.5079999999999999E-3</v>
      </c>
      <c r="AC23">
        <v>4.2339999999999999E-3</v>
      </c>
      <c r="AD23">
        <v>3.9760000000000004E-3</v>
      </c>
      <c r="AE23">
        <v>3.7339999999999999E-3</v>
      </c>
      <c r="AF23">
        <v>3.5070000000000001E-3</v>
      </c>
      <c r="AG23" s="9">
        <v>-6.7000000000000004E-2</v>
      </c>
    </row>
    <row r="24" spans="1:33">
      <c r="A24" t="s">
        <v>310</v>
      </c>
      <c r="B24" t="s">
        <v>640</v>
      </c>
      <c r="C24" t="s">
        <v>639</v>
      </c>
      <c r="D24" t="s">
        <v>194</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110</v>
      </c>
    </row>
    <row r="25" spans="1:33">
      <c r="A25" t="s">
        <v>311</v>
      </c>
      <c r="B25" t="s">
        <v>638</v>
      </c>
      <c r="C25" t="s">
        <v>637</v>
      </c>
      <c r="D25" t="s">
        <v>194</v>
      </c>
      <c r="F25">
        <v>6.3569999999999998E-3</v>
      </c>
      <c r="G25">
        <v>6.2129999999999998E-3</v>
      </c>
      <c r="H25">
        <v>6.1710000000000003E-3</v>
      </c>
      <c r="I25">
        <v>6.2329999999999998E-3</v>
      </c>
      <c r="J25">
        <v>6.3090000000000004E-3</v>
      </c>
      <c r="K25">
        <v>5.8409999999999998E-3</v>
      </c>
      <c r="L25">
        <v>5.5059999999999996E-3</v>
      </c>
      <c r="M25">
        <v>5.1269999999999996E-3</v>
      </c>
      <c r="N25">
        <v>4.7260000000000002E-3</v>
      </c>
      <c r="O25">
        <v>4.261E-3</v>
      </c>
      <c r="P25">
        <v>3.8340000000000002E-3</v>
      </c>
      <c r="Q25">
        <v>3.4770000000000001E-3</v>
      </c>
      <c r="R25">
        <v>3.1380000000000002E-3</v>
      </c>
      <c r="S25">
        <v>2.8389999999999999E-3</v>
      </c>
      <c r="T25">
        <v>2.5820000000000001E-3</v>
      </c>
      <c r="U25">
        <v>2.3670000000000002E-3</v>
      </c>
      <c r="V25">
        <v>2.1940000000000002E-3</v>
      </c>
      <c r="W25">
        <v>2.0590000000000001E-3</v>
      </c>
      <c r="X25">
        <v>1.954E-3</v>
      </c>
      <c r="Y25">
        <v>1.8749999999999999E-3</v>
      </c>
      <c r="Z25">
        <v>1.81E-3</v>
      </c>
      <c r="AA25">
        <v>1.7650000000000001E-3</v>
      </c>
      <c r="AB25">
        <v>1.7329999999999999E-3</v>
      </c>
      <c r="AC25">
        <v>1.707E-3</v>
      </c>
      <c r="AD25">
        <v>1.689E-3</v>
      </c>
      <c r="AE25">
        <v>1.6789999999999999E-3</v>
      </c>
      <c r="AF25">
        <v>1.6900000000000001E-3</v>
      </c>
      <c r="AG25" s="9">
        <v>-0.05</v>
      </c>
    </row>
    <row r="26" spans="1:33">
      <c r="A26" t="s">
        <v>312</v>
      </c>
      <c r="B26" t="s">
        <v>636</v>
      </c>
      <c r="C26" t="s">
        <v>635</v>
      </c>
      <c r="D26" t="s">
        <v>194</v>
      </c>
      <c r="F26">
        <v>8.2284319999999997</v>
      </c>
      <c r="G26">
        <v>9.6453039999999994</v>
      </c>
      <c r="H26">
        <v>11.630860999999999</v>
      </c>
      <c r="I26">
        <v>13.665171000000001</v>
      </c>
      <c r="J26">
        <v>15.056215</v>
      </c>
      <c r="K26">
        <v>15.953856999999999</v>
      </c>
      <c r="L26">
        <v>16.858924999999999</v>
      </c>
      <c r="M26">
        <v>17.645962000000001</v>
      </c>
      <c r="N26">
        <v>18.657536</v>
      </c>
      <c r="O26">
        <v>19.154181999999999</v>
      </c>
      <c r="P26">
        <v>19.950153</v>
      </c>
      <c r="Q26">
        <v>20.856604000000001</v>
      </c>
      <c r="R26">
        <v>21.600054</v>
      </c>
      <c r="S26">
        <v>22.239153000000002</v>
      </c>
      <c r="T26">
        <v>22.856566999999998</v>
      </c>
      <c r="U26">
        <v>23.592328999999999</v>
      </c>
      <c r="V26">
        <v>24.264004</v>
      </c>
      <c r="W26">
        <v>24.766089999999998</v>
      </c>
      <c r="X26">
        <v>25.148533</v>
      </c>
      <c r="Y26">
        <v>25.486834000000002</v>
      </c>
      <c r="Z26">
        <v>25.767271000000001</v>
      </c>
      <c r="AA26">
        <v>26.044504</v>
      </c>
      <c r="AB26">
        <v>26.247608</v>
      </c>
      <c r="AC26">
        <v>26.38533</v>
      </c>
      <c r="AD26">
        <v>26.473428999999999</v>
      </c>
      <c r="AE26">
        <v>26.540516</v>
      </c>
      <c r="AF26">
        <v>26.692737999999999</v>
      </c>
      <c r="AG26" s="9">
        <v>4.5999999999999999E-2</v>
      </c>
    </row>
    <row r="27" spans="1:33">
      <c r="A27" t="s">
        <v>313</v>
      </c>
      <c r="B27" t="s">
        <v>634</v>
      </c>
      <c r="C27" t="s">
        <v>633</v>
      </c>
      <c r="D27" t="s">
        <v>194</v>
      </c>
      <c r="F27">
        <v>58.972431</v>
      </c>
      <c r="G27">
        <v>58.623009000000003</v>
      </c>
      <c r="H27">
        <v>58.459212999999998</v>
      </c>
      <c r="I27">
        <v>57.744430999999999</v>
      </c>
      <c r="J27">
        <v>56.589874000000002</v>
      </c>
      <c r="K27">
        <v>55.653908000000001</v>
      </c>
      <c r="L27">
        <v>54.970599999999997</v>
      </c>
      <c r="M27">
        <v>54.209446</v>
      </c>
      <c r="N27">
        <v>53.397129</v>
      </c>
      <c r="O27">
        <v>52.621403000000001</v>
      </c>
      <c r="P27">
        <v>52.476672999999998</v>
      </c>
      <c r="Q27">
        <v>52.206305999999998</v>
      </c>
      <c r="R27">
        <v>51.798369999999998</v>
      </c>
      <c r="S27">
        <v>51.437119000000003</v>
      </c>
      <c r="T27">
        <v>51.215508</v>
      </c>
      <c r="U27">
        <v>51.099708999999997</v>
      </c>
      <c r="V27">
        <v>50.898162999999997</v>
      </c>
      <c r="W27">
        <v>50.634231999999997</v>
      </c>
      <c r="X27">
        <v>50.350135999999999</v>
      </c>
      <c r="Y27">
        <v>50.096184000000001</v>
      </c>
      <c r="Z27">
        <v>49.826321</v>
      </c>
      <c r="AA27">
        <v>49.612037999999998</v>
      </c>
      <c r="AB27">
        <v>49.340178999999999</v>
      </c>
      <c r="AC27">
        <v>49.023476000000002</v>
      </c>
      <c r="AD27">
        <v>48.671638000000002</v>
      </c>
      <c r="AE27">
        <v>48.323630999999999</v>
      </c>
      <c r="AF27">
        <v>48.118744</v>
      </c>
      <c r="AG27" s="9">
        <v>-8.0000000000000002E-3</v>
      </c>
    </row>
    <row r="28" spans="1:33">
      <c r="A28" t="s">
        <v>154</v>
      </c>
    </row>
    <row r="29" spans="1:33">
      <c r="A29" t="s">
        <v>314</v>
      </c>
    </row>
    <row r="30" spans="1:33">
      <c r="A30" t="s">
        <v>297</v>
      </c>
      <c r="B30" t="s">
        <v>632</v>
      </c>
      <c r="C30" t="s">
        <v>631</v>
      </c>
      <c r="D30" t="s">
        <v>194</v>
      </c>
      <c r="F30">
        <v>102.302567</v>
      </c>
      <c r="G30">
        <v>102.95161400000001</v>
      </c>
      <c r="H30">
        <v>104.194405</v>
      </c>
      <c r="I30">
        <v>104.787285</v>
      </c>
      <c r="J30">
        <v>104.69175</v>
      </c>
      <c r="K30">
        <v>104.503197</v>
      </c>
      <c r="L30">
        <v>103.919022</v>
      </c>
      <c r="M30">
        <v>102.892014</v>
      </c>
      <c r="N30">
        <v>101.796288</v>
      </c>
      <c r="O30">
        <v>101.479591</v>
      </c>
      <c r="P30">
        <v>100.64827</v>
      </c>
      <c r="Q30">
        <v>99.700119000000001</v>
      </c>
      <c r="R30">
        <v>98.631934999999999</v>
      </c>
      <c r="S30">
        <v>97.535667000000004</v>
      </c>
      <c r="T30">
        <v>96.443091999999993</v>
      </c>
      <c r="U30">
        <v>95.375632999999993</v>
      </c>
      <c r="V30">
        <v>94.396254999999996</v>
      </c>
      <c r="W30">
        <v>93.389617999999999</v>
      </c>
      <c r="X30">
        <v>92.375191000000001</v>
      </c>
      <c r="Y30">
        <v>91.304207000000005</v>
      </c>
      <c r="Z30">
        <v>90.293655000000001</v>
      </c>
      <c r="AA30">
        <v>89.291634000000002</v>
      </c>
      <c r="AB30">
        <v>88.319000000000003</v>
      </c>
      <c r="AC30">
        <v>87.386520000000004</v>
      </c>
      <c r="AD30">
        <v>86.393737999999999</v>
      </c>
      <c r="AE30">
        <v>85.382880999999998</v>
      </c>
      <c r="AF30">
        <v>84.28228</v>
      </c>
      <c r="AG30" s="9">
        <v>-7.0000000000000001E-3</v>
      </c>
    </row>
    <row r="31" spans="1:33">
      <c r="A31" t="s">
        <v>298</v>
      </c>
      <c r="B31" t="s">
        <v>630</v>
      </c>
      <c r="C31" t="s">
        <v>629</v>
      </c>
      <c r="D31" t="s">
        <v>194</v>
      </c>
      <c r="F31">
        <v>1.359491</v>
      </c>
      <c r="G31">
        <v>1.7591760000000001</v>
      </c>
      <c r="H31">
        <v>2.0902980000000002</v>
      </c>
      <c r="I31">
        <v>2.344992</v>
      </c>
      <c r="J31">
        <v>2.5653009999999998</v>
      </c>
      <c r="K31">
        <v>2.77746</v>
      </c>
      <c r="L31">
        <v>2.8368449999999998</v>
      </c>
      <c r="M31">
        <v>2.8804449999999999</v>
      </c>
      <c r="N31">
        <v>2.910164</v>
      </c>
      <c r="O31">
        <v>2.9569549999999998</v>
      </c>
      <c r="P31">
        <v>2.9819800000000001</v>
      </c>
      <c r="Q31">
        <v>2.996848</v>
      </c>
      <c r="R31">
        <v>3.0073249999999998</v>
      </c>
      <c r="S31">
        <v>3.0085500000000001</v>
      </c>
      <c r="T31">
        <v>3.0063330000000001</v>
      </c>
      <c r="U31">
        <v>3.002885</v>
      </c>
      <c r="V31">
        <v>2.9980470000000001</v>
      </c>
      <c r="W31">
        <v>2.9885489999999999</v>
      </c>
      <c r="X31">
        <v>2.9737459999999998</v>
      </c>
      <c r="Y31">
        <v>2.9533740000000002</v>
      </c>
      <c r="Z31">
        <v>2.9311419999999999</v>
      </c>
      <c r="AA31">
        <v>2.9072070000000001</v>
      </c>
      <c r="AB31">
        <v>2.8822670000000001</v>
      </c>
      <c r="AC31">
        <v>2.8579620000000001</v>
      </c>
      <c r="AD31">
        <v>2.8323399999999999</v>
      </c>
      <c r="AE31">
        <v>2.806638</v>
      </c>
      <c r="AF31">
        <v>2.7810350000000001</v>
      </c>
      <c r="AG31" s="9">
        <v>2.8000000000000001E-2</v>
      </c>
    </row>
    <row r="32" spans="1:33">
      <c r="A32" t="s">
        <v>315</v>
      </c>
      <c r="B32" t="s">
        <v>628</v>
      </c>
      <c r="C32" t="s">
        <v>627</v>
      </c>
      <c r="D32" t="s">
        <v>194</v>
      </c>
      <c r="F32">
        <v>103.66205600000001</v>
      </c>
      <c r="G32">
        <v>104.710793</v>
      </c>
      <c r="H32">
        <v>106.28469800000001</v>
      </c>
      <c r="I32">
        <v>107.132278</v>
      </c>
      <c r="J32">
        <v>107.25705000000001</v>
      </c>
      <c r="K32">
        <v>107.280655</v>
      </c>
      <c r="L32">
        <v>106.75586699999999</v>
      </c>
      <c r="M32">
        <v>105.77246100000001</v>
      </c>
      <c r="N32">
        <v>104.706451</v>
      </c>
      <c r="O32">
        <v>104.43654600000001</v>
      </c>
      <c r="P32">
        <v>103.63024900000001</v>
      </c>
      <c r="Q32">
        <v>102.696968</v>
      </c>
      <c r="R32">
        <v>101.639259</v>
      </c>
      <c r="S32">
        <v>100.54422</v>
      </c>
      <c r="T32">
        <v>99.449425000000005</v>
      </c>
      <c r="U32">
        <v>98.378517000000002</v>
      </c>
      <c r="V32">
        <v>97.394301999999996</v>
      </c>
      <c r="W32">
        <v>96.378165999999993</v>
      </c>
      <c r="X32">
        <v>95.348938000000004</v>
      </c>
      <c r="Y32">
        <v>94.257583999999994</v>
      </c>
      <c r="Z32">
        <v>93.224800000000002</v>
      </c>
      <c r="AA32">
        <v>92.198836999999997</v>
      </c>
      <c r="AB32">
        <v>91.201262999999997</v>
      </c>
      <c r="AC32">
        <v>90.244484</v>
      </c>
      <c r="AD32">
        <v>89.226082000000005</v>
      </c>
      <c r="AE32">
        <v>88.189521999999997</v>
      </c>
      <c r="AF32">
        <v>87.063316</v>
      </c>
      <c r="AG32" s="9">
        <v>-7.0000000000000001E-3</v>
      </c>
    </row>
    <row r="33" spans="1:33">
      <c r="A33" t="s">
        <v>316</v>
      </c>
    </row>
    <row r="34" spans="1:33">
      <c r="A34" t="s">
        <v>301</v>
      </c>
      <c r="B34" t="s">
        <v>626</v>
      </c>
      <c r="C34" t="s">
        <v>625</v>
      </c>
      <c r="D34" t="s">
        <v>194</v>
      </c>
      <c r="F34">
        <v>12.549168999999999</v>
      </c>
      <c r="G34">
        <v>11.123139999999999</v>
      </c>
      <c r="H34">
        <v>10.291789</v>
      </c>
      <c r="I34">
        <v>9.5159450000000003</v>
      </c>
      <c r="J34">
        <v>8.8311440000000001</v>
      </c>
      <c r="K34">
        <v>8.2167960000000004</v>
      </c>
      <c r="L34">
        <v>7.4919269999999996</v>
      </c>
      <c r="M34">
        <v>6.8450810000000004</v>
      </c>
      <c r="N34">
        <v>6.273898</v>
      </c>
      <c r="O34">
        <v>5.8061920000000002</v>
      </c>
      <c r="P34">
        <v>5.3933869999999997</v>
      </c>
      <c r="Q34">
        <v>5.0355230000000004</v>
      </c>
      <c r="R34">
        <v>4.7278669999999998</v>
      </c>
      <c r="S34">
        <v>4.4661549999999997</v>
      </c>
      <c r="T34">
        <v>4.2458489999999998</v>
      </c>
      <c r="U34">
        <v>4.0551969999999997</v>
      </c>
      <c r="V34">
        <v>3.8881600000000001</v>
      </c>
      <c r="W34">
        <v>3.7395999999999998</v>
      </c>
      <c r="X34">
        <v>3.6066370000000001</v>
      </c>
      <c r="Y34">
        <v>3.4864190000000002</v>
      </c>
      <c r="Z34">
        <v>3.3793380000000002</v>
      </c>
      <c r="AA34">
        <v>3.2817249999999998</v>
      </c>
      <c r="AB34">
        <v>3.193632</v>
      </c>
      <c r="AC34">
        <v>3.1148790000000002</v>
      </c>
      <c r="AD34">
        <v>3.041973</v>
      </c>
      <c r="AE34">
        <v>2.9742280000000001</v>
      </c>
      <c r="AF34">
        <v>2.907924</v>
      </c>
      <c r="AG34" s="9">
        <v>-5.5E-2</v>
      </c>
    </row>
    <row r="35" spans="1:33">
      <c r="A35" t="s">
        <v>333</v>
      </c>
      <c r="B35" t="s">
        <v>624</v>
      </c>
      <c r="C35" t="s">
        <v>623</v>
      </c>
      <c r="D35" t="s">
        <v>194</v>
      </c>
      <c r="F35">
        <v>2.8639999999999998E-3</v>
      </c>
      <c r="G35">
        <v>2.5400000000000002E-3</v>
      </c>
      <c r="H35">
        <v>2.2699999999999999E-3</v>
      </c>
      <c r="I35">
        <v>2.0330000000000001E-3</v>
      </c>
      <c r="J35">
        <v>1.817E-3</v>
      </c>
      <c r="K35">
        <v>1.6230000000000001E-3</v>
      </c>
      <c r="L35">
        <v>1.449E-3</v>
      </c>
      <c r="M35">
        <v>1.2949999999999999E-3</v>
      </c>
      <c r="N35">
        <v>1.16E-3</v>
      </c>
      <c r="O35">
        <v>1.042E-3</v>
      </c>
      <c r="P35">
        <v>9.3800000000000003E-4</v>
      </c>
      <c r="Q35">
        <v>8.4900000000000004E-4</v>
      </c>
      <c r="R35">
        <v>7.7300000000000003E-4</v>
      </c>
      <c r="S35">
        <v>7.0600000000000003E-4</v>
      </c>
      <c r="T35">
        <v>6.4499999999999996E-4</v>
      </c>
      <c r="U35">
        <v>5.9000000000000003E-4</v>
      </c>
      <c r="V35">
        <v>5.4000000000000001E-4</v>
      </c>
      <c r="W35">
        <v>4.9399999999999997E-4</v>
      </c>
      <c r="X35">
        <v>4.5199999999999998E-4</v>
      </c>
      <c r="Y35">
        <v>4.1399999999999998E-4</v>
      </c>
      <c r="Z35">
        <v>3.79E-4</v>
      </c>
      <c r="AA35">
        <v>3.48E-4</v>
      </c>
      <c r="AB35">
        <v>3.19E-4</v>
      </c>
      <c r="AC35">
        <v>2.9300000000000002E-4</v>
      </c>
      <c r="AD35">
        <v>2.6899999999999998E-4</v>
      </c>
      <c r="AE35">
        <v>2.4699999999999999E-4</v>
      </c>
      <c r="AF35">
        <v>2.2699999999999999E-4</v>
      </c>
      <c r="AG35" s="9">
        <v>-9.2999999999999999E-2</v>
      </c>
    </row>
    <row r="36" spans="1:33">
      <c r="A36" t="s">
        <v>334</v>
      </c>
      <c r="B36" t="s">
        <v>622</v>
      </c>
      <c r="C36" t="s">
        <v>621</v>
      </c>
      <c r="D36" t="s">
        <v>194</v>
      </c>
      <c r="F36">
        <v>0.29653000000000002</v>
      </c>
      <c r="G36">
        <v>0.50309899999999996</v>
      </c>
      <c r="H36">
        <v>0.80167200000000005</v>
      </c>
      <c r="I36">
        <v>1.1923760000000001</v>
      </c>
      <c r="J36">
        <v>1.572093</v>
      </c>
      <c r="K36">
        <v>1.8523419999999999</v>
      </c>
      <c r="L36">
        <v>1.9041239999999999</v>
      </c>
      <c r="M36">
        <v>1.9869030000000001</v>
      </c>
      <c r="N36">
        <v>2.1009099999999998</v>
      </c>
      <c r="O36">
        <v>2.1164010000000002</v>
      </c>
      <c r="P36">
        <v>2.1557840000000001</v>
      </c>
      <c r="Q36">
        <v>2.2217880000000001</v>
      </c>
      <c r="R36">
        <v>2.310524</v>
      </c>
      <c r="S36">
        <v>2.415476</v>
      </c>
      <c r="T36">
        <v>2.5384030000000002</v>
      </c>
      <c r="U36">
        <v>2.6802030000000001</v>
      </c>
      <c r="V36">
        <v>2.8318940000000001</v>
      </c>
      <c r="W36">
        <v>2.9868579999999998</v>
      </c>
      <c r="X36">
        <v>3.140987</v>
      </c>
      <c r="Y36">
        <v>3.2961130000000001</v>
      </c>
      <c r="Z36">
        <v>3.4481570000000001</v>
      </c>
      <c r="AA36">
        <v>3.60026</v>
      </c>
      <c r="AB36">
        <v>3.7473079999999999</v>
      </c>
      <c r="AC36">
        <v>3.8881770000000002</v>
      </c>
      <c r="AD36">
        <v>4.0235529999999997</v>
      </c>
      <c r="AE36">
        <v>4.154433</v>
      </c>
      <c r="AF36">
        <v>4.2916290000000004</v>
      </c>
      <c r="AG36" s="9">
        <v>0.108</v>
      </c>
    </row>
    <row r="37" spans="1:33">
      <c r="A37" t="s">
        <v>335</v>
      </c>
      <c r="B37" t="s">
        <v>620</v>
      </c>
      <c r="C37" t="s">
        <v>619</v>
      </c>
      <c r="D37" t="s">
        <v>194</v>
      </c>
      <c r="F37">
        <v>0.56253200000000003</v>
      </c>
      <c r="G37">
        <v>1.146296</v>
      </c>
      <c r="H37">
        <v>1.929759</v>
      </c>
      <c r="I37">
        <v>2.8751159999999998</v>
      </c>
      <c r="J37">
        <v>3.82409</v>
      </c>
      <c r="K37">
        <v>4.6343069999999997</v>
      </c>
      <c r="L37">
        <v>5.14358</v>
      </c>
      <c r="M37">
        <v>5.6595240000000002</v>
      </c>
      <c r="N37">
        <v>6.2024869999999996</v>
      </c>
      <c r="O37">
        <v>6.4669239999999997</v>
      </c>
      <c r="P37">
        <v>6.7624469999999999</v>
      </c>
      <c r="Q37">
        <v>7.1013479999999998</v>
      </c>
      <c r="R37">
        <v>7.4724959999999996</v>
      </c>
      <c r="S37">
        <v>7.855645</v>
      </c>
      <c r="T37">
        <v>8.2521819999999995</v>
      </c>
      <c r="U37">
        <v>8.6630739999999999</v>
      </c>
      <c r="V37">
        <v>9.0715109999999992</v>
      </c>
      <c r="W37">
        <v>9.4653989999999997</v>
      </c>
      <c r="X37">
        <v>9.8370650000000008</v>
      </c>
      <c r="Y37">
        <v>10.187685</v>
      </c>
      <c r="Z37">
        <v>10.514441</v>
      </c>
      <c r="AA37">
        <v>10.822343999999999</v>
      </c>
      <c r="AB37">
        <v>11.103389999999999</v>
      </c>
      <c r="AC37">
        <v>11.358796</v>
      </c>
      <c r="AD37">
        <v>11.587569999999999</v>
      </c>
      <c r="AE37">
        <v>11.795612999999999</v>
      </c>
      <c r="AF37">
        <v>12.000555</v>
      </c>
      <c r="AG37" s="9">
        <v>0.125</v>
      </c>
    </row>
    <row r="38" spans="1:33">
      <c r="A38" t="s">
        <v>302</v>
      </c>
      <c r="B38" t="s">
        <v>618</v>
      </c>
      <c r="C38" t="s">
        <v>617</v>
      </c>
      <c r="D38" t="s">
        <v>194</v>
      </c>
      <c r="F38">
        <v>1.1850689999999999</v>
      </c>
      <c r="G38">
        <v>1.638773</v>
      </c>
      <c r="H38">
        <v>2.1736179999999998</v>
      </c>
      <c r="I38">
        <v>2.6979389999999999</v>
      </c>
      <c r="J38">
        <v>3.1381260000000002</v>
      </c>
      <c r="K38">
        <v>3.370377</v>
      </c>
      <c r="L38">
        <v>3.6680039999999998</v>
      </c>
      <c r="M38">
        <v>3.9408129999999999</v>
      </c>
      <c r="N38">
        <v>4.2051660000000002</v>
      </c>
      <c r="O38">
        <v>4.3040630000000002</v>
      </c>
      <c r="P38">
        <v>4.4485570000000001</v>
      </c>
      <c r="Q38">
        <v>4.645327</v>
      </c>
      <c r="R38">
        <v>4.8150120000000003</v>
      </c>
      <c r="S38">
        <v>4.9758199999999997</v>
      </c>
      <c r="T38">
        <v>5.1337900000000003</v>
      </c>
      <c r="U38">
        <v>5.2950059999999999</v>
      </c>
      <c r="V38">
        <v>5.4441610000000003</v>
      </c>
      <c r="W38">
        <v>5.5754049999999999</v>
      </c>
      <c r="X38">
        <v>5.6888920000000001</v>
      </c>
      <c r="Y38">
        <v>5.7883180000000003</v>
      </c>
      <c r="Z38">
        <v>5.874136</v>
      </c>
      <c r="AA38">
        <v>5.9492469999999997</v>
      </c>
      <c r="AB38">
        <v>6.0113070000000004</v>
      </c>
      <c r="AC38">
        <v>6.0633590000000002</v>
      </c>
      <c r="AD38">
        <v>6.101553</v>
      </c>
      <c r="AE38">
        <v>6.1316829999999998</v>
      </c>
      <c r="AF38">
        <v>6.1589999999999998</v>
      </c>
      <c r="AG38" s="9">
        <v>6.5000000000000002E-2</v>
      </c>
    </row>
    <row r="39" spans="1:33">
      <c r="A39" t="s">
        <v>303</v>
      </c>
      <c r="B39" t="s">
        <v>616</v>
      </c>
      <c r="C39" t="s">
        <v>615</v>
      </c>
      <c r="D39" t="s">
        <v>194</v>
      </c>
      <c r="F39">
        <v>0.12364600000000001</v>
      </c>
      <c r="G39">
        <v>0.60058800000000001</v>
      </c>
      <c r="H39">
        <v>0.87236199999999997</v>
      </c>
      <c r="I39">
        <v>1.4231579999999999</v>
      </c>
      <c r="J39">
        <v>1.8791610000000001</v>
      </c>
      <c r="K39">
        <v>2.13104</v>
      </c>
      <c r="L39">
        <v>2.7829130000000002</v>
      </c>
      <c r="M39">
        <v>3.344786</v>
      </c>
      <c r="N39">
        <v>3.8575400000000002</v>
      </c>
      <c r="O39">
        <v>4.1657469999999996</v>
      </c>
      <c r="P39">
        <v>4.498634</v>
      </c>
      <c r="Q39">
        <v>4.8714069999999996</v>
      </c>
      <c r="R39">
        <v>5.3828449999999997</v>
      </c>
      <c r="S39">
        <v>5.8346390000000001</v>
      </c>
      <c r="T39">
        <v>6.2449089999999998</v>
      </c>
      <c r="U39">
        <v>6.626042</v>
      </c>
      <c r="V39">
        <v>6.9799410000000002</v>
      </c>
      <c r="W39">
        <v>7.3014549999999998</v>
      </c>
      <c r="X39">
        <v>7.5906399999999996</v>
      </c>
      <c r="Y39">
        <v>7.8502799999999997</v>
      </c>
      <c r="Z39">
        <v>8.0800599999999996</v>
      </c>
      <c r="AA39">
        <v>8.2855609999999995</v>
      </c>
      <c r="AB39">
        <v>8.4643359999999994</v>
      </c>
      <c r="AC39">
        <v>8.6208120000000008</v>
      </c>
      <c r="AD39">
        <v>8.7529179999999993</v>
      </c>
      <c r="AE39">
        <v>8.8674280000000003</v>
      </c>
      <c r="AF39">
        <v>8.9730299999999996</v>
      </c>
      <c r="AG39" s="9">
        <v>0.17899999999999999</v>
      </c>
    </row>
    <row r="40" spans="1:33">
      <c r="A40" t="s">
        <v>304</v>
      </c>
      <c r="B40" t="s">
        <v>614</v>
      </c>
      <c r="C40" t="s">
        <v>613</v>
      </c>
      <c r="D40" t="s">
        <v>194</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110</v>
      </c>
    </row>
    <row r="41" spans="1:33">
      <c r="A41" t="s">
        <v>305</v>
      </c>
      <c r="B41" t="s">
        <v>612</v>
      </c>
      <c r="C41" t="s">
        <v>611</v>
      </c>
      <c r="D41" t="s">
        <v>194</v>
      </c>
      <c r="F41">
        <v>3.90082</v>
      </c>
      <c r="G41">
        <v>5.0628010000000003</v>
      </c>
      <c r="H41">
        <v>6.1163509999999999</v>
      </c>
      <c r="I41">
        <v>6.9105600000000003</v>
      </c>
      <c r="J41">
        <v>7.5667150000000003</v>
      </c>
      <c r="K41">
        <v>8.163843</v>
      </c>
      <c r="L41">
        <v>8.8358699999999999</v>
      </c>
      <c r="M41">
        <v>9.387321</v>
      </c>
      <c r="N41">
        <v>9.8616050000000008</v>
      </c>
      <c r="O41">
        <v>10.421856</v>
      </c>
      <c r="P41">
        <v>10.881164</v>
      </c>
      <c r="Q41">
        <v>11.30842</v>
      </c>
      <c r="R41">
        <v>11.709387</v>
      </c>
      <c r="S41">
        <v>12.07926</v>
      </c>
      <c r="T41">
        <v>12.424689000000001</v>
      </c>
      <c r="U41">
        <v>12.748823</v>
      </c>
      <c r="V41">
        <v>13.065034000000001</v>
      </c>
      <c r="W41">
        <v>13.356116999999999</v>
      </c>
      <c r="X41">
        <v>13.627514</v>
      </c>
      <c r="Y41">
        <v>13.871776000000001</v>
      </c>
      <c r="Z41">
        <v>14.11332</v>
      </c>
      <c r="AA41">
        <v>14.345656999999999</v>
      </c>
      <c r="AB41">
        <v>14.574265</v>
      </c>
      <c r="AC41">
        <v>14.802521</v>
      </c>
      <c r="AD41">
        <v>15.010236000000001</v>
      </c>
      <c r="AE41">
        <v>15.208282000000001</v>
      </c>
      <c r="AF41">
        <v>15.382315999999999</v>
      </c>
      <c r="AG41" s="9">
        <v>5.3999999999999999E-2</v>
      </c>
    </row>
    <row r="42" spans="1:33">
      <c r="A42" t="s">
        <v>306</v>
      </c>
      <c r="B42" t="s">
        <v>610</v>
      </c>
      <c r="C42" t="s">
        <v>609</v>
      </c>
      <c r="D42" t="s">
        <v>194</v>
      </c>
      <c r="F42">
        <v>2.3479E-2</v>
      </c>
      <c r="G42">
        <v>2.1859E-2</v>
      </c>
      <c r="H42">
        <v>2.0301E-2</v>
      </c>
      <c r="I42">
        <v>1.8825000000000001E-2</v>
      </c>
      <c r="J42">
        <v>1.7481E-2</v>
      </c>
      <c r="K42">
        <v>1.6312E-2</v>
      </c>
      <c r="L42">
        <v>1.5211000000000001E-2</v>
      </c>
      <c r="M42">
        <v>1.4148000000000001E-2</v>
      </c>
      <c r="N42">
        <v>1.3129999999999999E-2</v>
      </c>
      <c r="O42">
        <v>1.217E-2</v>
      </c>
      <c r="P42">
        <v>1.1275E-2</v>
      </c>
      <c r="Q42">
        <v>1.0444E-2</v>
      </c>
      <c r="R42">
        <v>9.6970000000000008E-3</v>
      </c>
      <c r="S42">
        <v>9.0699999999999999E-3</v>
      </c>
      <c r="T42">
        <v>8.4840000000000002E-3</v>
      </c>
      <c r="U42">
        <v>7.9609999999999993E-3</v>
      </c>
      <c r="V42">
        <v>7.4710000000000002E-3</v>
      </c>
      <c r="W42">
        <v>7.0109999999999999E-3</v>
      </c>
      <c r="X42">
        <v>6.5789999999999998E-3</v>
      </c>
      <c r="Y42">
        <v>6.1739999999999998E-3</v>
      </c>
      <c r="Z42">
        <v>5.7939999999999997E-3</v>
      </c>
      <c r="AA42">
        <v>5.437E-3</v>
      </c>
      <c r="AB42">
        <v>5.1029999999999999E-3</v>
      </c>
      <c r="AC42">
        <v>4.7889999999999999E-3</v>
      </c>
      <c r="AD42">
        <v>4.4939999999999997E-3</v>
      </c>
      <c r="AE42">
        <v>4.2180000000000004E-3</v>
      </c>
      <c r="AF42">
        <v>3.9589999999999998E-3</v>
      </c>
      <c r="AG42" s="9">
        <v>-6.6000000000000003E-2</v>
      </c>
    </row>
    <row r="43" spans="1:33">
      <c r="A43" t="s">
        <v>307</v>
      </c>
      <c r="B43" t="s">
        <v>608</v>
      </c>
      <c r="C43" t="s">
        <v>607</v>
      </c>
      <c r="D43" t="s">
        <v>194</v>
      </c>
      <c r="F43">
        <v>1.7728000000000001E-2</v>
      </c>
      <c r="G43">
        <v>1.6631E-2</v>
      </c>
      <c r="H43">
        <v>1.5601E-2</v>
      </c>
      <c r="I43">
        <v>1.4636E-2</v>
      </c>
      <c r="J43">
        <v>1.3731E-2</v>
      </c>
      <c r="K43">
        <v>1.2881999999999999E-2</v>
      </c>
      <c r="L43">
        <v>1.2085E-2</v>
      </c>
      <c r="M43">
        <v>1.1338000000000001E-2</v>
      </c>
      <c r="N43">
        <v>1.0638E-2</v>
      </c>
      <c r="O43">
        <v>9.9810000000000003E-3</v>
      </c>
      <c r="P43">
        <v>9.3640000000000008E-3</v>
      </c>
      <c r="Q43">
        <v>8.7860000000000004E-3</v>
      </c>
      <c r="R43">
        <v>8.2439999999999996E-3</v>
      </c>
      <c r="S43">
        <v>7.7349999999999997E-3</v>
      </c>
      <c r="T43">
        <v>7.2579999999999997E-3</v>
      </c>
      <c r="U43">
        <v>6.8100000000000001E-3</v>
      </c>
      <c r="V43">
        <v>6.3899999999999998E-3</v>
      </c>
      <c r="W43">
        <v>5.9959999999999996E-3</v>
      </c>
      <c r="X43">
        <v>5.6259999999999999E-3</v>
      </c>
      <c r="Y43">
        <v>5.2789999999999998E-3</v>
      </c>
      <c r="Z43">
        <v>4.9540000000000001E-3</v>
      </c>
      <c r="AA43">
        <v>4.6490000000000004E-3</v>
      </c>
      <c r="AB43">
        <v>4.3629999999999997E-3</v>
      </c>
      <c r="AC43">
        <v>4.0940000000000004E-3</v>
      </c>
      <c r="AD43">
        <v>3.8419999999999999E-3</v>
      </c>
      <c r="AE43">
        <v>3.6059999999999998E-3</v>
      </c>
      <c r="AF43">
        <v>3.3839999999999999E-3</v>
      </c>
      <c r="AG43" s="9">
        <v>-6.2E-2</v>
      </c>
    </row>
    <row r="44" spans="1:33">
      <c r="A44" t="s">
        <v>308</v>
      </c>
      <c r="B44" t="s">
        <v>606</v>
      </c>
      <c r="C44" t="s">
        <v>605</v>
      </c>
      <c r="D44" t="s">
        <v>194</v>
      </c>
      <c r="F44">
        <v>4.4714999999999998E-2</v>
      </c>
      <c r="G44">
        <v>4.0724999999999997E-2</v>
      </c>
      <c r="H44">
        <v>3.7668E-2</v>
      </c>
      <c r="I44">
        <v>3.5242999999999997E-2</v>
      </c>
      <c r="J44">
        <v>3.3062000000000001E-2</v>
      </c>
      <c r="K44">
        <v>3.1016999999999999E-2</v>
      </c>
      <c r="L44">
        <v>2.9099E-2</v>
      </c>
      <c r="M44">
        <v>2.7300000000000001E-2</v>
      </c>
      <c r="N44">
        <v>2.5613E-2</v>
      </c>
      <c r="O44">
        <v>2.4029999999999999E-2</v>
      </c>
      <c r="P44">
        <v>2.2544999999999999E-2</v>
      </c>
      <c r="Q44">
        <v>2.1153000000000002E-2</v>
      </c>
      <c r="R44">
        <v>1.9845999999999999E-2</v>
      </c>
      <c r="S44">
        <v>1.8620999999999999E-2</v>
      </c>
      <c r="T44">
        <v>1.7472000000000001E-2</v>
      </c>
      <c r="U44">
        <v>1.6393999999999999E-2</v>
      </c>
      <c r="V44">
        <v>1.5382E-2</v>
      </c>
      <c r="W44">
        <v>1.4434000000000001E-2</v>
      </c>
      <c r="X44">
        <v>1.3544E-2</v>
      </c>
      <c r="Y44">
        <v>1.2709E-2</v>
      </c>
      <c r="Z44">
        <v>1.1925E-2</v>
      </c>
      <c r="AA44">
        <v>1.1191E-2</v>
      </c>
      <c r="AB44">
        <v>1.0501E-2</v>
      </c>
      <c r="AC44">
        <v>9.8539999999999999E-3</v>
      </c>
      <c r="AD44">
        <v>9.2479999999999993E-3</v>
      </c>
      <c r="AE44">
        <v>8.6779999999999999E-3</v>
      </c>
      <c r="AF44">
        <v>8.1440000000000002E-3</v>
      </c>
      <c r="AG44" s="9">
        <v>-6.3E-2</v>
      </c>
    </row>
    <row r="45" spans="1:33">
      <c r="A45" t="s">
        <v>309</v>
      </c>
      <c r="B45" t="s">
        <v>604</v>
      </c>
      <c r="C45" t="s">
        <v>603</v>
      </c>
      <c r="D45" t="s">
        <v>194</v>
      </c>
      <c r="F45">
        <v>4.1583000000000002E-2</v>
      </c>
      <c r="G45">
        <v>3.9009000000000002E-2</v>
      </c>
      <c r="H45">
        <v>3.6595000000000003E-2</v>
      </c>
      <c r="I45">
        <v>3.4331E-2</v>
      </c>
      <c r="J45">
        <v>3.2207E-2</v>
      </c>
      <c r="K45">
        <v>3.0214999999999999E-2</v>
      </c>
      <c r="L45">
        <v>2.8347000000000001E-2</v>
      </c>
      <c r="M45">
        <v>2.6595000000000001E-2</v>
      </c>
      <c r="N45">
        <v>2.4951999999999998E-2</v>
      </c>
      <c r="O45">
        <v>2.341E-2</v>
      </c>
      <c r="P45">
        <v>2.1964000000000001E-2</v>
      </c>
      <c r="Q45">
        <v>2.0608000000000001E-2</v>
      </c>
      <c r="R45">
        <v>1.9335999999999999E-2</v>
      </c>
      <c r="S45">
        <v>1.8141999999999998E-2</v>
      </c>
      <c r="T45">
        <v>1.7023E-2</v>
      </c>
      <c r="U45">
        <v>1.5973000000000001E-2</v>
      </c>
      <c r="V45">
        <v>1.4988E-2</v>
      </c>
      <c r="W45">
        <v>1.4064E-2</v>
      </c>
      <c r="X45">
        <v>1.3197E-2</v>
      </c>
      <c r="Y45">
        <v>1.2383E-2</v>
      </c>
      <c r="Z45">
        <v>1.162E-2</v>
      </c>
      <c r="AA45">
        <v>1.0904E-2</v>
      </c>
      <c r="AB45">
        <v>1.0233000000000001E-2</v>
      </c>
      <c r="AC45">
        <v>9.6030000000000004E-3</v>
      </c>
      <c r="AD45">
        <v>9.0119999999999992E-3</v>
      </c>
      <c r="AE45">
        <v>8.4569999999999992E-3</v>
      </c>
      <c r="AF45">
        <v>7.9369999999999996E-3</v>
      </c>
      <c r="AG45" s="9">
        <v>-6.2E-2</v>
      </c>
    </row>
    <row r="46" spans="1:33">
      <c r="A46" t="s">
        <v>310</v>
      </c>
      <c r="B46" t="s">
        <v>602</v>
      </c>
      <c r="C46" t="s">
        <v>601</v>
      </c>
      <c r="D46" t="s">
        <v>194</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110</v>
      </c>
    </row>
    <row r="47" spans="1:33">
      <c r="A47" t="s">
        <v>311</v>
      </c>
      <c r="B47" t="s">
        <v>600</v>
      </c>
      <c r="C47" t="s">
        <v>599</v>
      </c>
      <c r="D47" t="s">
        <v>194</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110</v>
      </c>
    </row>
    <row r="48" spans="1:33">
      <c r="A48" t="s">
        <v>317</v>
      </c>
      <c r="B48" t="s">
        <v>598</v>
      </c>
      <c r="C48" t="s">
        <v>597</v>
      </c>
      <c r="D48" t="s">
        <v>194</v>
      </c>
      <c r="F48">
        <v>18.748137</v>
      </c>
      <c r="G48">
        <v>20.195459</v>
      </c>
      <c r="H48">
        <v>22.297986999999999</v>
      </c>
      <c r="I48">
        <v>24.720162999999999</v>
      </c>
      <c r="J48">
        <v>26.90963</v>
      </c>
      <c r="K48">
        <v>28.460754000000001</v>
      </c>
      <c r="L48">
        <v>29.912609</v>
      </c>
      <c r="M48">
        <v>31.245107999999998</v>
      </c>
      <c r="N48">
        <v>32.577095</v>
      </c>
      <c r="O48">
        <v>33.351818000000002</v>
      </c>
      <c r="P48">
        <v>34.206062000000003</v>
      </c>
      <c r="Q48">
        <v>35.245651000000002</v>
      </c>
      <c r="R48">
        <v>36.476027999999999</v>
      </c>
      <c r="S48">
        <v>37.681266999999998</v>
      </c>
      <c r="T48">
        <v>38.890701</v>
      </c>
      <c r="U48">
        <v>40.116073999999998</v>
      </c>
      <c r="V48">
        <v>41.325465999999999</v>
      </c>
      <c r="W48">
        <v>42.466835000000003</v>
      </c>
      <c r="X48">
        <v>43.531128000000002</v>
      </c>
      <c r="Y48">
        <v>44.517547999999998</v>
      </c>
      <c r="Z48">
        <v>45.444122</v>
      </c>
      <c r="AA48">
        <v>46.317329000000001</v>
      </c>
      <c r="AB48">
        <v>47.124755999999998</v>
      </c>
      <c r="AC48">
        <v>47.877170999999997</v>
      </c>
      <c r="AD48">
        <v>48.544662000000002</v>
      </c>
      <c r="AE48">
        <v>49.156872</v>
      </c>
      <c r="AF48">
        <v>49.738106000000002</v>
      </c>
      <c r="AG48" s="9">
        <v>3.7999999999999999E-2</v>
      </c>
    </row>
    <row r="49" spans="1:33">
      <c r="A49" t="s">
        <v>318</v>
      </c>
      <c r="B49" t="s">
        <v>596</v>
      </c>
      <c r="C49" t="s">
        <v>595</v>
      </c>
      <c r="D49" t="s">
        <v>194</v>
      </c>
      <c r="F49">
        <v>122.410194</v>
      </c>
      <c r="G49">
        <v>124.90625</v>
      </c>
      <c r="H49">
        <v>128.58268699999999</v>
      </c>
      <c r="I49">
        <v>131.85244800000001</v>
      </c>
      <c r="J49">
        <v>134.166687</v>
      </c>
      <c r="K49">
        <v>135.741409</v>
      </c>
      <c r="L49">
        <v>136.66847200000001</v>
      </c>
      <c r="M49">
        <v>137.017563</v>
      </c>
      <c r="N49">
        <v>137.28353899999999</v>
      </c>
      <c r="O49">
        <v>137.78836100000001</v>
      </c>
      <c r="P49">
        <v>137.83630400000001</v>
      </c>
      <c r="Q49">
        <v>137.94262699999999</v>
      </c>
      <c r="R49">
        <v>138.115295</v>
      </c>
      <c r="S49">
        <v>138.225494</v>
      </c>
      <c r="T49">
        <v>138.34011799999999</v>
      </c>
      <c r="U49">
        <v>138.494598</v>
      </c>
      <c r="V49">
        <v>138.71977200000001</v>
      </c>
      <c r="W49">
        <v>138.845001</v>
      </c>
      <c r="X49">
        <v>138.880066</v>
      </c>
      <c r="Y49">
        <v>138.77513099999999</v>
      </c>
      <c r="Z49">
        <v>138.668915</v>
      </c>
      <c r="AA49">
        <v>138.51617400000001</v>
      </c>
      <c r="AB49">
        <v>138.326019</v>
      </c>
      <c r="AC49">
        <v>138.121658</v>
      </c>
      <c r="AD49">
        <v>137.77075199999999</v>
      </c>
      <c r="AE49">
        <v>137.34639000000001</v>
      </c>
      <c r="AF49">
        <v>136.801422</v>
      </c>
      <c r="AG49" s="9">
        <v>4.0000000000000001E-3</v>
      </c>
    </row>
    <row r="50" spans="1:33">
      <c r="A50" t="s">
        <v>287</v>
      </c>
      <c r="B50" t="s">
        <v>594</v>
      </c>
      <c r="C50" t="s">
        <v>593</v>
      </c>
      <c r="D50" t="s">
        <v>194</v>
      </c>
      <c r="F50">
        <v>181.38262900000001</v>
      </c>
      <c r="G50">
        <v>183.52926600000001</v>
      </c>
      <c r="H50">
        <v>187.041901</v>
      </c>
      <c r="I50">
        <v>189.596878</v>
      </c>
      <c r="J50">
        <v>190.756561</v>
      </c>
      <c r="K50">
        <v>191.39532500000001</v>
      </c>
      <c r="L50">
        <v>191.63906900000001</v>
      </c>
      <c r="M50">
        <v>191.22700499999999</v>
      </c>
      <c r="N50">
        <v>190.68066400000001</v>
      </c>
      <c r="O50">
        <v>190.40976000000001</v>
      </c>
      <c r="P50">
        <v>190.312973</v>
      </c>
      <c r="Q50">
        <v>190.14892599999999</v>
      </c>
      <c r="R50">
        <v>189.91366600000001</v>
      </c>
      <c r="S50">
        <v>189.66261299999999</v>
      </c>
      <c r="T50">
        <v>189.555634</v>
      </c>
      <c r="U50">
        <v>189.59429900000001</v>
      </c>
      <c r="V50">
        <v>189.61793499999999</v>
      </c>
      <c r="W50">
        <v>189.47923299999999</v>
      </c>
      <c r="X50">
        <v>189.23019400000001</v>
      </c>
      <c r="Y50">
        <v>188.871307</v>
      </c>
      <c r="Z50">
        <v>188.495239</v>
      </c>
      <c r="AA50">
        <v>188.12820400000001</v>
      </c>
      <c r="AB50">
        <v>187.66619900000001</v>
      </c>
      <c r="AC50">
        <v>187.14514199999999</v>
      </c>
      <c r="AD50">
        <v>186.44238300000001</v>
      </c>
      <c r="AE50">
        <v>185.67001300000001</v>
      </c>
      <c r="AF50">
        <v>184.92016599999999</v>
      </c>
      <c r="AG50" s="9">
        <v>1E-3</v>
      </c>
    </row>
    <row r="51" spans="1:33">
      <c r="A51" t="s">
        <v>226</v>
      </c>
      <c r="B51" t="s">
        <v>592</v>
      </c>
      <c r="C51" t="s">
        <v>591</v>
      </c>
      <c r="D51" t="s">
        <v>194</v>
      </c>
      <c r="F51">
        <v>48.625701999999997</v>
      </c>
      <c r="G51">
        <v>48.193686999999997</v>
      </c>
      <c r="H51">
        <v>48.078758000000001</v>
      </c>
      <c r="I51">
        <v>48.138134000000001</v>
      </c>
      <c r="J51">
        <v>48.120185999999997</v>
      </c>
      <c r="K51">
        <v>48.007373999999999</v>
      </c>
      <c r="L51">
        <v>47.782375000000002</v>
      </c>
      <c r="M51">
        <v>47.378162000000003</v>
      </c>
      <c r="N51">
        <v>46.818668000000002</v>
      </c>
      <c r="O51">
        <v>46.128166</v>
      </c>
      <c r="P51">
        <v>45.328541000000001</v>
      </c>
      <c r="Q51">
        <v>44.387264000000002</v>
      </c>
      <c r="R51">
        <v>43.341335000000001</v>
      </c>
      <c r="S51">
        <v>42.205460000000002</v>
      </c>
      <c r="T51">
        <v>40.974620999999999</v>
      </c>
      <c r="U51">
        <v>39.680934999999998</v>
      </c>
      <c r="V51">
        <v>38.330078</v>
      </c>
      <c r="W51">
        <v>36.894835999999998</v>
      </c>
      <c r="X51">
        <v>35.427394999999997</v>
      </c>
      <c r="Y51">
        <v>33.948070999999999</v>
      </c>
      <c r="Z51">
        <v>32.468719</v>
      </c>
      <c r="AA51">
        <v>30.997243999999998</v>
      </c>
      <c r="AB51">
        <v>29.535336000000001</v>
      </c>
      <c r="AC51">
        <v>28.095950999999999</v>
      </c>
      <c r="AD51">
        <v>26.691462999999999</v>
      </c>
      <c r="AE51">
        <v>25.318232999999999</v>
      </c>
      <c r="AF51">
        <v>23.955310999999998</v>
      </c>
      <c r="AG51" s="9">
        <v>-2.7E-2</v>
      </c>
    </row>
    <row r="52" spans="1:33">
      <c r="A52" t="s">
        <v>181</v>
      </c>
      <c r="B52" t="s">
        <v>590</v>
      </c>
      <c r="C52" t="s">
        <v>589</v>
      </c>
      <c r="D52" t="s">
        <v>194</v>
      </c>
      <c r="F52">
        <v>27.953878</v>
      </c>
      <c r="G52">
        <v>26.656334000000001</v>
      </c>
      <c r="H52">
        <v>25.340388999999998</v>
      </c>
      <c r="I52">
        <v>24.262241</v>
      </c>
      <c r="J52">
        <v>23.059394999999999</v>
      </c>
      <c r="K52">
        <v>21.850712000000001</v>
      </c>
      <c r="L52">
        <v>20.794620999999999</v>
      </c>
      <c r="M52">
        <v>19.689993000000001</v>
      </c>
      <c r="N52">
        <v>18.581824999999998</v>
      </c>
      <c r="O52">
        <v>17.529572000000002</v>
      </c>
      <c r="P52">
        <v>16.470074</v>
      </c>
      <c r="Q52">
        <v>15.438552</v>
      </c>
      <c r="R52">
        <v>14.441746</v>
      </c>
      <c r="S52">
        <v>13.511393999999999</v>
      </c>
      <c r="T52">
        <v>12.624192000000001</v>
      </c>
      <c r="U52">
        <v>11.791506999999999</v>
      </c>
      <c r="V52">
        <v>11.019337</v>
      </c>
      <c r="W52">
        <v>10.284483</v>
      </c>
      <c r="X52">
        <v>9.6188059999999993</v>
      </c>
      <c r="Y52">
        <v>8.9883190000000006</v>
      </c>
      <c r="Z52">
        <v>8.4127360000000007</v>
      </c>
      <c r="AA52">
        <v>7.8475239999999999</v>
      </c>
      <c r="AB52">
        <v>7.3246250000000002</v>
      </c>
      <c r="AC52">
        <v>6.8060299999999998</v>
      </c>
      <c r="AD52">
        <v>6.3243</v>
      </c>
      <c r="AE52">
        <v>5.8637930000000003</v>
      </c>
      <c r="AF52">
        <v>5.4058599999999997</v>
      </c>
      <c r="AG52" s="9">
        <v>-6.0999999999999999E-2</v>
      </c>
    </row>
    <row r="53" spans="1:33">
      <c r="A53" t="s">
        <v>184</v>
      </c>
      <c r="B53" t="s">
        <v>588</v>
      </c>
      <c r="C53" t="s">
        <v>587</v>
      </c>
      <c r="D53" t="s">
        <v>194</v>
      </c>
      <c r="F53">
        <v>9.6000000000000002E-5</v>
      </c>
      <c r="G53">
        <v>1.2799999999999999E-4</v>
      </c>
      <c r="H53">
        <v>1.64E-4</v>
      </c>
      <c r="I53">
        <v>2.05E-4</v>
      </c>
      <c r="J53">
        <v>2.4699999999999999E-4</v>
      </c>
      <c r="K53">
        <v>2.9E-4</v>
      </c>
      <c r="L53">
        <v>3.3300000000000002E-4</v>
      </c>
      <c r="M53">
        <v>3.6600000000000001E-4</v>
      </c>
      <c r="N53">
        <v>4.0000000000000002E-4</v>
      </c>
      <c r="O53">
        <v>4.2900000000000002E-4</v>
      </c>
      <c r="P53">
        <v>4.5600000000000003E-4</v>
      </c>
      <c r="Q53">
        <v>4.8099999999999998E-4</v>
      </c>
      <c r="R53">
        <v>5.0500000000000002E-4</v>
      </c>
      <c r="S53">
        <v>5.2700000000000002E-4</v>
      </c>
      <c r="T53">
        <v>5.4699999999999996E-4</v>
      </c>
      <c r="U53">
        <v>5.6499999999999996E-4</v>
      </c>
      <c r="V53">
        <v>5.8100000000000003E-4</v>
      </c>
      <c r="W53">
        <v>5.9500000000000004E-4</v>
      </c>
      <c r="X53">
        <v>6.0700000000000001E-4</v>
      </c>
      <c r="Y53">
        <v>6.1600000000000001E-4</v>
      </c>
      <c r="Z53">
        <v>6.2399999999999999E-4</v>
      </c>
      <c r="AA53">
        <v>6.3000000000000003E-4</v>
      </c>
      <c r="AB53">
        <v>6.3500000000000004E-4</v>
      </c>
      <c r="AC53">
        <v>6.3900000000000003E-4</v>
      </c>
      <c r="AD53">
        <v>6.4099999999999997E-4</v>
      </c>
      <c r="AE53">
        <v>6.4199999999999999E-4</v>
      </c>
      <c r="AF53">
        <v>6.4300000000000002E-4</v>
      </c>
      <c r="AG53" s="9">
        <v>7.5999999999999998E-2</v>
      </c>
    </row>
    <row r="54" spans="1:33">
      <c r="A54" t="s">
        <v>187</v>
      </c>
      <c r="B54" t="s">
        <v>586</v>
      </c>
      <c r="C54" t="s">
        <v>585</v>
      </c>
      <c r="D54" t="s">
        <v>194</v>
      </c>
      <c r="F54">
        <v>0.114205</v>
      </c>
      <c r="G54">
        <v>0.14885599999999999</v>
      </c>
      <c r="H54">
        <v>0.190802</v>
      </c>
      <c r="I54">
        <v>0.23517199999999999</v>
      </c>
      <c r="J54">
        <v>0.28444900000000001</v>
      </c>
      <c r="K54">
        <v>0.341472</v>
      </c>
      <c r="L54">
        <v>0.40223100000000001</v>
      </c>
      <c r="M54">
        <v>0.45658399999999999</v>
      </c>
      <c r="N54">
        <v>0.51463199999999998</v>
      </c>
      <c r="O54">
        <v>0.57250500000000004</v>
      </c>
      <c r="P54">
        <v>0.63237699999999997</v>
      </c>
      <c r="Q54">
        <v>0.69063600000000003</v>
      </c>
      <c r="R54">
        <v>0.74982000000000004</v>
      </c>
      <c r="S54">
        <v>0.812388</v>
      </c>
      <c r="T54">
        <v>0.88426300000000002</v>
      </c>
      <c r="U54">
        <v>0.96602200000000005</v>
      </c>
      <c r="V54">
        <v>1.0575110000000001</v>
      </c>
      <c r="W54">
        <v>1.1574739999999999</v>
      </c>
      <c r="X54">
        <v>1.260321</v>
      </c>
      <c r="Y54">
        <v>1.3653519999999999</v>
      </c>
      <c r="Z54">
        <v>1.474288</v>
      </c>
      <c r="AA54">
        <v>1.5826629999999999</v>
      </c>
      <c r="AB54">
        <v>1.6900949999999999</v>
      </c>
      <c r="AC54">
        <v>1.798157</v>
      </c>
      <c r="AD54">
        <v>1.9034610000000001</v>
      </c>
      <c r="AE54">
        <v>2.0066299999999999</v>
      </c>
      <c r="AF54">
        <v>2.1048879999999999</v>
      </c>
      <c r="AG54" s="9">
        <v>0.11899999999999999</v>
      </c>
    </row>
    <row r="55" spans="1:33">
      <c r="A55" t="s">
        <v>227</v>
      </c>
      <c r="B55" t="s">
        <v>584</v>
      </c>
      <c r="C55" t="s">
        <v>583</v>
      </c>
      <c r="D55" t="s">
        <v>194</v>
      </c>
      <c r="F55">
        <v>13.189996000000001</v>
      </c>
      <c r="G55">
        <v>13.193671</v>
      </c>
      <c r="H55">
        <v>13.121983</v>
      </c>
      <c r="I55">
        <v>13.173780000000001</v>
      </c>
      <c r="J55">
        <v>13.154180999999999</v>
      </c>
      <c r="K55">
        <v>13.184875999999999</v>
      </c>
      <c r="L55">
        <v>13.128769</v>
      </c>
      <c r="M55">
        <v>13.043101</v>
      </c>
      <c r="N55">
        <v>12.913555000000001</v>
      </c>
      <c r="O55">
        <v>12.779474</v>
      </c>
      <c r="P55">
        <v>12.625202</v>
      </c>
      <c r="Q55">
        <v>12.481719999999999</v>
      </c>
      <c r="R55">
        <v>12.34839</v>
      </c>
      <c r="S55">
        <v>12.232132999999999</v>
      </c>
      <c r="T55">
        <v>12.129588999999999</v>
      </c>
      <c r="U55">
        <v>12.031537</v>
      </c>
      <c r="V55">
        <v>11.944037</v>
      </c>
      <c r="W55">
        <v>11.839661</v>
      </c>
      <c r="X55">
        <v>11.745772000000001</v>
      </c>
      <c r="Y55">
        <v>11.627108</v>
      </c>
      <c r="Z55">
        <v>11.513197999999999</v>
      </c>
      <c r="AA55">
        <v>11.378852</v>
      </c>
      <c r="AB55">
        <v>11.251727000000001</v>
      </c>
      <c r="AC55">
        <v>11.107530000000001</v>
      </c>
      <c r="AD55">
        <v>10.963563000000001</v>
      </c>
      <c r="AE55">
        <v>10.807909</v>
      </c>
      <c r="AF55">
        <v>10.659618</v>
      </c>
      <c r="AG55" s="9">
        <v>-8.0000000000000002E-3</v>
      </c>
    </row>
    <row r="56" spans="1:33">
      <c r="A56" t="s">
        <v>228</v>
      </c>
      <c r="B56" t="s">
        <v>582</v>
      </c>
      <c r="C56" t="s">
        <v>581</v>
      </c>
      <c r="D56" t="s">
        <v>194</v>
      </c>
      <c r="F56">
        <v>0.35078199999999998</v>
      </c>
      <c r="G56">
        <v>0.50695299999999999</v>
      </c>
      <c r="H56">
        <v>0.67313500000000004</v>
      </c>
      <c r="I56">
        <v>0.84549700000000005</v>
      </c>
      <c r="J56">
        <v>1.012219</v>
      </c>
      <c r="K56">
        <v>1.159367</v>
      </c>
      <c r="L56">
        <v>1.2972900000000001</v>
      </c>
      <c r="M56">
        <v>1.4414720000000001</v>
      </c>
      <c r="N56">
        <v>1.6012660000000001</v>
      </c>
      <c r="O56">
        <v>1.7668109999999999</v>
      </c>
      <c r="P56">
        <v>1.9549240000000001</v>
      </c>
      <c r="Q56">
        <v>2.1818979999999999</v>
      </c>
      <c r="R56">
        <v>2.4460639999999998</v>
      </c>
      <c r="S56">
        <v>2.7462550000000001</v>
      </c>
      <c r="T56">
        <v>3.0776810000000001</v>
      </c>
      <c r="U56">
        <v>3.4361959999999998</v>
      </c>
      <c r="V56">
        <v>3.81223</v>
      </c>
      <c r="W56">
        <v>4.2114960000000004</v>
      </c>
      <c r="X56">
        <v>4.6245310000000002</v>
      </c>
      <c r="Y56">
        <v>5.0524800000000001</v>
      </c>
      <c r="Z56">
        <v>5.4871999999999996</v>
      </c>
      <c r="AA56">
        <v>5.9153919999999998</v>
      </c>
      <c r="AB56">
        <v>6.3353549999999998</v>
      </c>
      <c r="AC56">
        <v>6.7447650000000001</v>
      </c>
      <c r="AD56">
        <v>7.1302919999999999</v>
      </c>
      <c r="AE56">
        <v>7.4968009999999996</v>
      </c>
      <c r="AF56">
        <v>7.8447820000000004</v>
      </c>
      <c r="AG56" s="9">
        <v>0.127</v>
      </c>
    </row>
    <row r="57" spans="1:33">
      <c r="A57" t="s">
        <v>230</v>
      </c>
      <c r="B57" t="s">
        <v>580</v>
      </c>
      <c r="C57" t="s">
        <v>579</v>
      </c>
      <c r="D57" t="s">
        <v>194</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110</v>
      </c>
    </row>
    <row r="58" spans="1:33">
      <c r="A58" t="s">
        <v>229</v>
      </c>
      <c r="B58" t="s">
        <v>578</v>
      </c>
      <c r="C58" t="s">
        <v>577</v>
      </c>
      <c r="D58" t="s">
        <v>194</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110</v>
      </c>
    </row>
    <row r="59" spans="1:33">
      <c r="A59" t="s">
        <v>231</v>
      </c>
      <c r="B59" t="s">
        <v>576</v>
      </c>
      <c r="C59" t="s">
        <v>575</v>
      </c>
      <c r="D59" t="s">
        <v>194</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110</v>
      </c>
    </row>
    <row r="60" spans="1:33">
      <c r="A60" t="s">
        <v>574</v>
      </c>
      <c r="B60" t="s">
        <v>573</v>
      </c>
      <c r="C60" t="s">
        <v>572</v>
      </c>
      <c r="D60" t="s">
        <v>194</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110</v>
      </c>
    </row>
    <row r="61" spans="1:33">
      <c r="A61" t="s">
        <v>571</v>
      </c>
      <c r="B61" t="s">
        <v>570</v>
      </c>
      <c r="C61" t="s">
        <v>569</v>
      </c>
      <c r="D61" t="s">
        <v>194</v>
      </c>
      <c r="F61">
        <v>0</v>
      </c>
      <c r="G61">
        <v>4.6420000000000003E-2</v>
      </c>
      <c r="H61">
        <v>0.11969299999999999</v>
      </c>
      <c r="I61">
        <v>0.22437000000000001</v>
      </c>
      <c r="J61">
        <v>0.51544800000000002</v>
      </c>
      <c r="K61">
        <v>1.0073209999999999</v>
      </c>
      <c r="L61">
        <v>1.682852</v>
      </c>
      <c r="M61">
        <v>2.5461689999999999</v>
      </c>
      <c r="N61">
        <v>3.5828609999999999</v>
      </c>
      <c r="O61">
        <v>4.7656989999999997</v>
      </c>
      <c r="P61">
        <v>6.0314360000000002</v>
      </c>
      <c r="Q61">
        <v>7.3575619999999997</v>
      </c>
      <c r="R61">
        <v>8.6860540000000004</v>
      </c>
      <c r="S61">
        <v>9.9915140000000005</v>
      </c>
      <c r="T61">
        <v>11.285845</v>
      </c>
      <c r="U61">
        <v>12.553039999999999</v>
      </c>
      <c r="V61">
        <v>13.790806</v>
      </c>
      <c r="W61">
        <v>15.021570000000001</v>
      </c>
      <c r="X61">
        <v>16.206757</v>
      </c>
      <c r="Y61">
        <v>17.344571999999999</v>
      </c>
      <c r="Z61">
        <v>18.450102000000001</v>
      </c>
      <c r="AA61">
        <v>19.517130000000002</v>
      </c>
      <c r="AB61">
        <v>20.542418000000001</v>
      </c>
      <c r="AC61">
        <v>21.528130999999998</v>
      </c>
      <c r="AD61">
        <v>22.438058999999999</v>
      </c>
      <c r="AE61">
        <v>23.298126</v>
      </c>
      <c r="AF61">
        <v>24.146671000000001</v>
      </c>
      <c r="AG61" t="s">
        <v>110</v>
      </c>
    </row>
    <row r="62" spans="1:33">
      <c r="A62" t="s">
        <v>568</v>
      </c>
      <c r="B62" t="s">
        <v>567</v>
      </c>
      <c r="C62" t="s">
        <v>566</v>
      </c>
      <c r="D62" t="s">
        <v>194</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110</v>
      </c>
    </row>
    <row r="63" spans="1:33">
      <c r="A63" t="s">
        <v>319</v>
      </c>
      <c r="B63" t="s">
        <v>565</v>
      </c>
      <c r="C63" t="s">
        <v>564</v>
      </c>
      <c r="D63" t="s">
        <v>194</v>
      </c>
      <c r="F63">
        <v>90.234665000000007</v>
      </c>
      <c r="G63">
        <v>88.746048000000002</v>
      </c>
      <c r="H63">
        <v>87.524910000000006</v>
      </c>
      <c r="I63">
        <v>86.879401999999999</v>
      </c>
      <c r="J63">
        <v>86.146125999999995</v>
      </c>
      <c r="K63">
        <v>85.551413999999994</v>
      </c>
      <c r="L63">
        <v>85.088470000000001</v>
      </c>
      <c r="M63">
        <v>84.555840000000003</v>
      </c>
      <c r="N63">
        <v>84.013214000000005</v>
      </c>
      <c r="O63">
        <v>83.542648</v>
      </c>
      <c r="P63">
        <v>83.043014999999997</v>
      </c>
      <c r="Q63">
        <v>82.538116000000002</v>
      </c>
      <c r="R63">
        <v>82.013915999999995</v>
      </c>
      <c r="S63">
        <v>81.499672000000004</v>
      </c>
      <c r="T63">
        <v>80.976730000000003</v>
      </c>
      <c r="U63">
        <v>80.459800999999999</v>
      </c>
      <c r="V63">
        <v>79.954575000000006</v>
      </c>
      <c r="W63">
        <v>79.410117999999997</v>
      </c>
      <c r="X63">
        <v>78.884186</v>
      </c>
      <c r="Y63">
        <v>78.326515000000001</v>
      </c>
      <c r="Z63">
        <v>77.806870000000004</v>
      </c>
      <c r="AA63">
        <v>77.239440999999999</v>
      </c>
      <c r="AB63">
        <v>76.680183</v>
      </c>
      <c r="AC63">
        <v>76.081199999999995</v>
      </c>
      <c r="AD63">
        <v>75.451774999999998</v>
      </c>
      <c r="AE63">
        <v>74.79213</v>
      </c>
      <c r="AF63">
        <v>74.117767000000001</v>
      </c>
      <c r="AG63" s="9">
        <v>-8.0000000000000002E-3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4794B-1BF1-4848-8471-90D9DEB9AFC0}">
  <sheetPr>
    <tabColor theme="4" tint="0.39997558519241921"/>
  </sheetPr>
  <dimension ref="A1:AG256"/>
  <sheetViews>
    <sheetView workbookViewId="0"/>
  </sheetViews>
  <sheetFormatPr defaultRowHeight="14.25"/>
  <cols>
    <col min="1" max="1" width="35.86328125" customWidth="1"/>
  </cols>
  <sheetData>
    <row r="1" spans="1:33">
      <c r="A1" t="s">
        <v>219</v>
      </c>
    </row>
    <row r="2" spans="1:33">
      <c r="A2" t="s">
        <v>1151</v>
      </c>
    </row>
    <row r="3" spans="1:33">
      <c r="A3" t="s">
        <v>1150</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1149</v>
      </c>
      <c r="B6" t="s">
        <v>1148</v>
      </c>
      <c r="C6" t="s">
        <v>1147</v>
      </c>
      <c r="D6" t="s">
        <v>220</v>
      </c>
      <c r="F6">
        <v>7.4910649999999999</v>
      </c>
      <c r="G6">
        <v>6.9627840000000001</v>
      </c>
      <c r="H6">
        <v>6.8976420000000003</v>
      </c>
      <c r="I6">
        <v>7.0512800000000002</v>
      </c>
      <c r="J6">
        <v>7.2985139999999999</v>
      </c>
      <c r="K6">
        <v>7.594258</v>
      </c>
      <c r="L6">
        <v>7.8936859999999998</v>
      </c>
      <c r="M6">
        <v>8.0429499999999994</v>
      </c>
      <c r="N6">
        <v>7.9935489999999998</v>
      </c>
      <c r="O6">
        <v>8.0496719999999993</v>
      </c>
      <c r="P6">
        <v>8.2171109999999992</v>
      </c>
      <c r="Q6">
        <v>8.2853929999999991</v>
      </c>
      <c r="R6">
        <v>8.2681719999999999</v>
      </c>
      <c r="S6">
        <v>8.371435</v>
      </c>
      <c r="T6">
        <v>8.4479150000000001</v>
      </c>
      <c r="U6">
        <v>8.5338659999999997</v>
      </c>
      <c r="V6">
        <v>8.5994890000000002</v>
      </c>
      <c r="W6">
        <v>8.6396069999999998</v>
      </c>
      <c r="X6">
        <v>8.6545310000000004</v>
      </c>
      <c r="Y6">
        <v>8.7485309999999998</v>
      </c>
      <c r="Z6">
        <v>8.8131389999999996</v>
      </c>
      <c r="AA6">
        <v>8.9598329999999997</v>
      </c>
      <c r="AB6">
        <v>9.0501860000000001</v>
      </c>
      <c r="AC6">
        <v>9.0539819999999995</v>
      </c>
      <c r="AD6">
        <v>9.1013739999999999</v>
      </c>
      <c r="AE6">
        <v>9.1853750000000005</v>
      </c>
      <c r="AF6">
        <v>9.3021440000000002</v>
      </c>
      <c r="AG6" s="9">
        <v>8.0000000000000002E-3</v>
      </c>
    </row>
    <row r="7" spans="1:33">
      <c r="A7" t="s">
        <v>115</v>
      </c>
    </row>
    <row r="8" spans="1:33">
      <c r="A8" t="s">
        <v>200</v>
      </c>
      <c r="B8" t="s">
        <v>1146</v>
      </c>
      <c r="C8" t="s">
        <v>1145</v>
      </c>
      <c r="D8" t="s">
        <v>221</v>
      </c>
      <c r="F8">
        <v>0.85</v>
      </c>
      <c r="G8">
        <v>0.85897999999999997</v>
      </c>
      <c r="H8">
        <v>0.85993299999999995</v>
      </c>
      <c r="I8">
        <v>0.86078399999999999</v>
      </c>
      <c r="J8">
        <v>0.86154600000000003</v>
      </c>
      <c r="K8">
        <v>0.86222799999999999</v>
      </c>
      <c r="L8">
        <v>0.862842</v>
      </c>
      <c r="M8">
        <v>0.86339399999999999</v>
      </c>
      <c r="N8">
        <v>0.86389400000000005</v>
      </c>
      <c r="O8">
        <v>0.86434800000000001</v>
      </c>
      <c r="P8">
        <v>0.86476200000000003</v>
      </c>
      <c r="Q8">
        <v>0.86514000000000002</v>
      </c>
      <c r="R8">
        <v>0.86548800000000004</v>
      </c>
      <c r="S8">
        <v>0.86580800000000002</v>
      </c>
      <c r="T8">
        <v>0.86610299999999996</v>
      </c>
      <c r="U8">
        <v>0.86637600000000003</v>
      </c>
      <c r="V8">
        <v>0.866672</v>
      </c>
      <c r="W8">
        <v>0.86696700000000004</v>
      </c>
      <c r="X8">
        <v>0.86726300000000001</v>
      </c>
      <c r="Y8">
        <v>0.86755899999999997</v>
      </c>
      <c r="Z8">
        <v>0.86785500000000004</v>
      </c>
      <c r="AA8">
        <v>0.86815100000000001</v>
      </c>
      <c r="AB8">
        <v>0.86844699999999997</v>
      </c>
      <c r="AC8">
        <v>0.86874300000000004</v>
      </c>
      <c r="AD8">
        <v>0.86903900000000001</v>
      </c>
      <c r="AE8">
        <v>0.869336</v>
      </c>
      <c r="AF8">
        <v>0.86963199999999996</v>
      </c>
      <c r="AG8" s="9">
        <v>1E-3</v>
      </c>
    </row>
    <row r="9" spans="1:33">
      <c r="A9" t="s">
        <v>201</v>
      </c>
      <c r="B9" t="s">
        <v>1144</v>
      </c>
      <c r="C9" t="s">
        <v>1143</v>
      </c>
      <c r="D9" t="s">
        <v>221</v>
      </c>
      <c r="F9">
        <v>0.84599999999999997</v>
      </c>
      <c r="G9">
        <v>0.85931999999999997</v>
      </c>
      <c r="H9">
        <v>0.86017900000000003</v>
      </c>
      <c r="I9">
        <v>0.86104000000000003</v>
      </c>
      <c r="J9">
        <v>0.86190100000000003</v>
      </c>
      <c r="K9">
        <v>0.86276200000000003</v>
      </c>
      <c r="L9">
        <v>0.86362499999999998</v>
      </c>
      <c r="M9">
        <v>0.86448899999999995</v>
      </c>
      <c r="N9">
        <v>0.86535300000000004</v>
      </c>
      <c r="O9">
        <v>0.86621899999999996</v>
      </c>
      <c r="P9">
        <v>0.86708499999999999</v>
      </c>
      <c r="Q9">
        <v>0.86795199999999995</v>
      </c>
      <c r="R9">
        <v>0.86882000000000004</v>
      </c>
      <c r="S9">
        <v>0.86968900000000005</v>
      </c>
      <c r="T9">
        <v>0.87055800000000005</v>
      </c>
      <c r="U9">
        <v>0.87142900000000001</v>
      </c>
      <c r="V9">
        <v>0.87229999999999996</v>
      </c>
      <c r="W9">
        <v>0.87317299999999998</v>
      </c>
      <c r="X9">
        <v>0.87404599999999999</v>
      </c>
      <c r="Y9">
        <v>0.87492000000000003</v>
      </c>
      <c r="Z9">
        <v>0.87579499999999999</v>
      </c>
      <c r="AA9">
        <v>0.87667099999999998</v>
      </c>
      <c r="AB9">
        <v>0.87754699999999997</v>
      </c>
      <c r="AC9">
        <v>0.87842500000000001</v>
      </c>
      <c r="AD9">
        <v>0.87930299999999995</v>
      </c>
      <c r="AE9">
        <v>0.88018300000000005</v>
      </c>
      <c r="AF9">
        <v>0.88106300000000004</v>
      </c>
      <c r="AG9" s="9">
        <v>2E-3</v>
      </c>
    </row>
    <row r="10" spans="1:33">
      <c r="A10" t="s">
        <v>114</v>
      </c>
    </row>
    <row r="11" spans="1:33">
      <c r="A11" t="s">
        <v>202</v>
      </c>
    </row>
    <row r="12" spans="1:33">
      <c r="A12" t="s">
        <v>203</v>
      </c>
      <c r="B12" t="s">
        <v>1142</v>
      </c>
      <c r="C12" t="s">
        <v>1141</v>
      </c>
      <c r="D12" t="s">
        <v>222</v>
      </c>
      <c r="F12">
        <v>342.00198399999999</v>
      </c>
      <c r="G12">
        <v>344.85076900000001</v>
      </c>
      <c r="H12">
        <v>346.96423299999998</v>
      </c>
      <c r="I12">
        <v>348.437408</v>
      </c>
      <c r="J12">
        <v>349.87805200000003</v>
      </c>
      <c r="K12">
        <v>351.28118899999998</v>
      </c>
      <c r="L12">
        <v>352.64178500000003</v>
      </c>
      <c r="M12">
        <v>353.95739700000001</v>
      </c>
      <c r="N12">
        <v>355.23046900000003</v>
      </c>
      <c r="O12">
        <v>356.458527</v>
      </c>
      <c r="P12">
        <v>357.63406400000002</v>
      </c>
      <c r="Q12">
        <v>358.73593099999999</v>
      </c>
      <c r="R12">
        <v>359.77282700000001</v>
      </c>
      <c r="S12">
        <v>360.75125100000002</v>
      </c>
      <c r="T12">
        <v>361.67263800000001</v>
      </c>
      <c r="U12">
        <v>362.53564499999999</v>
      </c>
      <c r="V12">
        <v>363.34353599999997</v>
      </c>
      <c r="W12">
        <v>364.09573399999999</v>
      </c>
      <c r="X12">
        <v>364.79132099999998</v>
      </c>
      <c r="Y12">
        <v>365.436127</v>
      </c>
      <c r="Z12">
        <v>366.03445399999998</v>
      </c>
      <c r="AA12">
        <v>366.59066799999999</v>
      </c>
      <c r="AB12">
        <v>367.10647599999999</v>
      </c>
      <c r="AC12">
        <v>367.58792099999999</v>
      </c>
      <c r="AD12">
        <v>368.03945900000002</v>
      </c>
      <c r="AE12">
        <v>368.46582000000001</v>
      </c>
      <c r="AF12">
        <v>368.87057499999997</v>
      </c>
      <c r="AG12" s="9">
        <v>3.0000000000000001E-3</v>
      </c>
    </row>
    <row r="13" spans="1:33">
      <c r="A13" t="s">
        <v>204</v>
      </c>
      <c r="B13" t="s">
        <v>1140</v>
      </c>
      <c r="C13" t="s">
        <v>1139</v>
      </c>
      <c r="D13" t="s">
        <v>222</v>
      </c>
      <c r="F13">
        <v>41.115540000000003</v>
      </c>
      <c r="G13">
        <v>41.536887999999998</v>
      </c>
      <c r="H13">
        <v>41.874549999999999</v>
      </c>
      <c r="I13">
        <v>42.188862</v>
      </c>
      <c r="J13">
        <v>42.649399000000003</v>
      </c>
      <c r="K13">
        <v>43.106659000000001</v>
      </c>
      <c r="L13">
        <v>43.563068000000001</v>
      </c>
      <c r="M13">
        <v>44.018310999999997</v>
      </c>
      <c r="N13">
        <v>44.470509</v>
      </c>
      <c r="O13">
        <v>44.918892</v>
      </c>
      <c r="P13">
        <v>45.363788999999997</v>
      </c>
      <c r="Q13">
        <v>45.805728999999999</v>
      </c>
      <c r="R13">
        <v>46.244751000000001</v>
      </c>
      <c r="S13">
        <v>46.679371000000003</v>
      </c>
      <c r="T13">
        <v>47.1096</v>
      </c>
      <c r="U13">
        <v>47.535721000000002</v>
      </c>
      <c r="V13">
        <v>47.958038000000002</v>
      </c>
      <c r="W13">
        <v>48.377231999999999</v>
      </c>
      <c r="X13">
        <v>48.793658999999998</v>
      </c>
      <c r="Y13">
        <v>49.207779000000002</v>
      </c>
      <c r="Z13">
        <v>49.619548999999999</v>
      </c>
      <c r="AA13">
        <v>50.028412000000003</v>
      </c>
      <c r="AB13">
        <v>50.434638999999997</v>
      </c>
      <c r="AC13">
        <v>50.839610999999998</v>
      </c>
      <c r="AD13">
        <v>51.243679</v>
      </c>
      <c r="AE13">
        <v>51.646777999999998</v>
      </c>
      <c r="AF13">
        <v>52.048400999999998</v>
      </c>
      <c r="AG13" s="9">
        <v>8.9999999999999993E-3</v>
      </c>
    </row>
    <row r="14" spans="1:33">
      <c r="A14" t="s">
        <v>713</v>
      </c>
      <c r="B14" t="s">
        <v>1138</v>
      </c>
      <c r="C14" t="s">
        <v>1137</v>
      </c>
      <c r="D14" t="s">
        <v>222</v>
      </c>
      <c r="F14">
        <v>130.86099200000001</v>
      </c>
      <c r="G14">
        <v>131.946899</v>
      </c>
      <c r="H14">
        <v>132.99769599999999</v>
      </c>
      <c r="I14">
        <v>134.01769999999999</v>
      </c>
      <c r="J14">
        <v>135.00869800000001</v>
      </c>
      <c r="K14">
        <v>135.970901</v>
      </c>
      <c r="L14">
        <v>136.90479999999999</v>
      </c>
      <c r="M14">
        <v>137.81109599999999</v>
      </c>
      <c r="N14">
        <v>138.690201</v>
      </c>
      <c r="O14">
        <v>139.54209900000001</v>
      </c>
      <c r="P14">
        <v>140.36199999999999</v>
      </c>
      <c r="Q14">
        <v>141.150803</v>
      </c>
      <c r="R14">
        <v>141.90919500000001</v>
      </c>
      <c r="S14">
        <v>142.637497</v>
      </c>
      <c r="T14">
        <v>143.33630400000001</v>
      </c>
      <c r="U14">
        <v>143.99830600000001</v>
      </c>
      <c r="V14">
        <v>144.62429800000001</v>
      </c>
      <c r="W14">
        <v>145.217804</v>
      </c>
      <c r="X14">
        <v>145.77749600000001</v>
      </c>
      <c r="Y14">
        <v>146.300003</v>
      </c>
      <c r="Z14">
        <v>146.78770399999999</v>
      </c>
      <c r="AA14">
        <v>147.24009699999999</v>
      </c>
      <c r="AB14">
        <v>147.65420499999999</v>
      </c>
      <c r="AC14">
        <v>148.03019699999999</v>
      </c>
      <c r="AD14">
        <v>148.37219200000001</v>
      </c>
      <c r="AE14">
        <v>148.67790199999999</v>
      </c>
      <c r="AF14">
        <v>148.946304</v>
      </c>
      <c r="AG14" s="9">
        <v>5.0000000000000001E-3</v>
      </c>
    </row>
    <row r="15" spans="1:33">
      <c r="A15" t="s">
        <v>710</v>
      </c>
      <c r="B15" t="s">
        <v>1136</v>
      </c>
      <c r="C15" t="s">
        <v>1135</v>
      </c>
      <c r="D15" t="s">
        <v>222</v>
      </c>
      <c r="F15">
        <v>638.29211399999997</v>
      </c>
      <c r="G15">
        <v>638.94360400000005</v>
      </c>
      <c r="H15">
        <v>639.36071800000002</v>
      </c>
      <c r="I15">
        <v>639.66699200000005</v>
      </c>
      <c r="J15">
        <v>639.91583300000002</v>
      </c>
      <c r="K15">
        <v>640.17175299999997</v>
      </c>
      <c r="L15">
        <v>640.43731700000001</v>
      </c>
      <c r="M15">
        <v>640.70172100000002</v>
      </c>
      <c r="N15">
        <v>640.95202600000005</v>
      </c>
      <c r="O15">
        <v>641.18212900000003</v>
      </c>
      <c r="P15">
        <v>641.40844700000002</v>
      </c>
      <c r="Q15">
        <v>641.61480700000004</v>
      </c>
      <c r="R15">
        <v>641.79180899999994</v>
      </c>
      <c r="S15">
        <v>641.93884300000002</v>
      </c>
      <c r="T15">
        <v>642.04028300000004</v>
      </c>
      <c r="U15">
        <v>642.09295699999996</v>
      </c>
      <c r="V15">
        <v>642.09368900000004</v>
      </c>
      <c r="W15">
        <v>642.03826900000001</v>
      </c>
      <c r="X15">
        <v>641.92571999999996</v>
      </c>
      <c r="Y15">
        <v>641.74835199999995</v>
      </c>
      <c r="Z15">
        <v>641.50354000000004</v>
      </c>
      <c r="AA15">
        <v>641.18670699999996</v>
      </c>
      <c r="AB15">
        <v>640.79913299999998</v>
      </c>
      <c r="AC15">
        <v>640.33795199999997</v>
      </c>
      <c r="AD15">
        <v>639.78851299999997</v>
      </c>
      <c r="AE15">
        <v>639.14599599999997</v>
      </c>
      <c r="AF15">
        <v>638.40759300000002</v>
      </c>
      <c r="AG15" s="9">
        <v>0</v>
      </c>
    </row>
    <row r="16" spans="1:33">
      <c r="A16" t="s">
        <v>336</v>
      </c>
      <c r="B16" t="s">
        <v>1134</v>
      </c>
      <c r="C16" t="s">
        <v>1133</v>
      </c>
      <c r="D16" t="s">
        <v>222</v>
      </c>
      <c r="F16">
        <v>123.75299800000001</v>
      </c>
      <c r="G16">
        <v>123.1035</v>
      </c>
      <c r="H16">
        <v>122.427803</v>
      </c>
      <c r="I16">
        <v>121.732399</v>
      </c>
      <c r="J16">
        <v>121.0243</v>
      </c>
      <c r="K16">
        <v>120.308098</v>
      </c>
      <c r="L16">
        <v>119.584198</v>
      </c>
      <c r="M16">
        <v>118.852097</v>
      </c>
      <c r="N16">
        <v>118.114098</v>
      </c>
      <c r="O16">
        <v>117.37249799999999</v>
      </c>
      <c r="P16">
        <v>116.626801</v>
      </c>
      <c r="Q16">
        <v>115.876099</v>
      </c>
      <c r="R16">
        <v>115.12550400000001</v>
      </c>
      <c r="S16">
        <v>114.377403</v>
      </c>
      <c r="T16">
        <v>113.63359800000001</v>
      </c>
      <c r="U16">
        <v>112.89450100000001</v>
      </c>
      <c r="V16">
        <v>112.15830200000001</v>
      </c>
      <c r="W16">
        <v>111.422501</v>
      </c>
      <c r="X16">
        <v>110.69229900000001</v>
      </c>
      <c r="Y16">
        <v>109.972397</v>
      </c>
      <c r="Z16">
        <v>109.25949900000001</v>
      </c>
      <c r="AA16">
        <v>108.552002</v>
      </c>
      <c r="AB16">
        <v>107.850601</v>
      </c>
      <c r="AC16">
        <v>107.15799699999999</v>
      </c>
      <c r="AD16">
        <v>106.47429700000001</v>
      </c>
      <c r="AE16">
        <v>105.796898</v>
      </c>
      <c r="AF16">
        <v>105.12309999999999</v>
      </c>
      <c r="AG16" s="9">
        <v>-6.0000000000000001E-3</v>
      </c>
    </row>
    <row r="17" spans="1:33">
      <c r="A17" t="s">
        <v>337</v>
      </c>
      <c r="B17" t="s">
        <v>1132</v>
      </c>
      <c r="C17" t="s">
        <v>1131</v>
      </c>
      <c r="D17" t="s">
        <v>222</v>
      </c>
      <c r="F17">
        <v>32.572749999999999</v>
      </c>
      <c r="G17">
        <v>32.958987999999998</v>
      </c>
      <c r="H17">
        <v>33.324001000000003</v>
      </c>
      <c r="I17">
        <v>33.701228999999998</v>
      </c>
      <c r="J17">
        <v>34.101439999999997</v>
      </c>
      <c r="K17">
        <v>34.498111999999999</v>
      </c>
      <c r="L17">
        <v>34.888981000000001</v>
      </c>
      <c r="M17">
        <v>35.273868999999998</v>
      </c>
      <c r="N17">
        <v>35.652161</v>
      </c>
      <c r="O17">
        <v>36.023972000000001</v>
      </c>
      <c r="P17">
        <v>36.389420000000001</v>
      </c>
      <c r="Q17">
        <v>36.748821</v>
      </c>
      <c r="R17">
        <v>37.102631000000002</v>
      </c>
      <c r="S17">
        <v>37.450699</v>
      </c>
      <c r="T17">
        <v>37.793529999999997</v>
      </c>
      <c r="U17">
        <v>38.131568999999999</v>
      </c>
      <c r="V17">
        <v>38.464809000000002</v>
      </c>
      <c r="W17">
        <v>38.793441999999999</v>
      </c>
      <c r="X17">
        <v>39.117519000000001</v>
      </c>
      <c r="Y17">
        <v>39.437038000000001</v>
      </c>
      <c r="Z17">
        <v>39.751868999999999</v>
      </c>
      <c r="AA17">
        <v>40.061821000000002</v>
      </c>
      <c r="AB17">
        <v>40.366779000000001</v>
      </c>
      <c r="AC17">
        <v>40.666438999999997</v>
      </c>
      <c r="AD17">
        <v>40.960799999999999</v>
      </c>
      <c r="AE17">
        <v>41.249820999999997</v>
      </c>
      <c r="AF17">
        <v>41.533428000000001</v>
      </c>
      <c r="AG17" s="9">
        <v>8.9999999999999993E-3</v>
      </c>
    </row>
    <row r="18" spans="1:33">
      <c r="A18" t="s">
        <v>338</v>
      </c>
      <c r="B18" t="s">
        <v>1130</v>
      </c>
      <c r="C18" t="s">
        <v>1129</v>
      </c>
      <c r="D18" t="s">
        <v>222</v>
      </c>
      <c r="F18">
        <v>51.717590000000001</v>
      </c>
      <c r="G18">
        <v>51.667029999999997</v>
      </c>
      <c r="H18">
        <v>51.600391000000002</v>
      </c>
      <c r="I18">
        <v>51.518847999999998</v>
      </c>
      <c r="J18">
        <v>51.423431000000001</v>
      </c>
      <c r="K18">
        <v>51.314017999999997</v>
      </c>
      <c r="L18">
        <v>51.188580000000002</v>
      </c>
      <c r="M18">
        <v>51.048180000000002</v>
      </c>
      <c r="N18">
        <v>50.891289</v>
      </c>
      <c r="O18">
        <v>50.714297999999999</v>
      </c>
      <c r="P18">
        <v>50.516810999999997</v>
      </c>
      <c r="Q18">
        <v>50.300732000000004</v>
      </c>
      <c r="R18">
        <v>50.066540000000003</v>
      </c>
      <c r="S18">
        <v>49.813431000000001</v>
      </c>
      <c r="T18">
        <v>49.541161000000002</v>
      </c>
      <c r="U18">
        <v>49.251888000000001</v>
      </c>
      <c r="V18">
        <v>48.948681000000001</v>
      </c>
      <c r="W18">
        <v>48.630428000000002</v>
      </c>
      <c r="X18">
        <v>48.29974</v>
      </c>
      <c r="Y18">
        <v>47.959041999999997</v>
      </c>
      <c r="Z18">
        <v>47.603371000000003</v>
      </c>
      <c r="AA18">
        <v>47.232948</v>
      </c>
      <c r="AB18">
        <v>46.850898999999998</v>
      </c>
      <c r="AC18">
        <v>46.452061</v>
      </c>
      <c r="AD18">
        <v>46.033797999999997</v>
      </c>
      <c r="AE18">
        <v>45.597301000000002</v>
      </c>
      <c r="AF18">
        <v>45.143130999999997</v>
      </c>
      <c r="AG18" s="9">
        <v>-5.0000000000000001E-3</v>
      </c>
    </row>
    <row r="19" spans="1:33">
      <c r="A19" t="s">
        <v>339</v>
      </c>
      <c r="B19" t="s">
        <v>1128</v>
      </c>
      <c r="C19" t="s">
        <v>1127</v>
      </c>
      <c r="D19" t="s">
        <v>222</v>
      </c>
      <c r="F19">
        <v>144.820404</v>
      </c>
      <c r="G19">
        <v>143.99740600000001</v>
      </c>
      <c r="H19">
        <v>143.39439400000001</v>
      </c>
      <c r="I19">
        <v>143.04409799999999</v>
      </c>
      <c r="J19">
        <v>142.66980000000001</v>
      </c>
      <c r="K19">
        <v>142.28509500000001</v>
      </c>
      <c r="L19">
        <v>141.88940400000001</v>
      </c>
      <c r="M19">
        <v>141.475494</v>
      </c>
      <c r="N19">
        <v>141.060394</v>
      </c>
      <c r="O19">
        <v>140.66459699999999</v>
      </c>
      <c r="P19">
        <v>140.28080700000001</v>
      </c>
      <c r="Q19">
        <v>139.90969799999999</v>
      </c>
      <c r="R19">
        <v>139.55149800000001</v>
      </c>
      <c r="S19">
        <v>139.20489499999999</v>
      </c>
      <c r="T19">
        <v>138.876801</v>
      </c>
      <c r="U19">
        <v>138.567398</v>
      </c>
      <c r="V19">
        <v>138.28179900000001</v>
      </c>
      <c r="W19">
        <v>138.021805</v>
      </c>
      <c r="X19">
        <v>137.78280599999999</v>
      </c>
      <c r="Y19">
        <v>137.557907</v>
      </c>
      <c r="Z19">
        <v>137.345001</v>
      </c>
      <c r="AA19">
        <v>137.15220600000001</v>
      </c>
      <c r="AB19">
        <v>136.97369399999999</v>
      </c>
      <c r="AC19">
        <v>136.78939800000001</v>
      </c>
      <c r="AD19">
        <v>136.58599899999999</v>
      </c>
      <c r="AE19">
        <v>136.368393</v>
      </c>
      <c r="AF19">
        <v>136.13279700000001</v>
      </c>
      <c r="AG19" s="9">
        <v>-2E-3</v>
      </c>
    </row>
    <row r="20" spans="1:33">
      <c r="A20" t="s">
        <v>699</v>
      </c>
      <c r="B20" t="s">
        <v>1126</v>
      </c>
      <c r="C20" t="s">
        <v>1125</v>
      </c>
      <c r="D20" t="s">
        <v>222</v>
      </c>
      <c r="F20">
        <v>149.552032</v>
      </c>
      <c r="G20">
        <v>151.90119899999999</v>
      </c>
      <c r="H20">
        <v>153.64238</v>
      </c>
      <c r="I20">
        <v>154.55900600000001</v>
      </c>
      <c r="J20">
        <v>155.43940699999999</v>
      </c>
      <c r="K20">
        <v>156.31045499999999</v>
      </c>
      <c r="L20">
        <v>157.196426</v>
      </c>
      <c r="M20">
        <v>158.051254</v>
      </c>
      <c r="N20">
        <v>158.90606700000001</v>
      </c>
      <c r="O20">
        <v>159.74928299999999</v>
      </c>
      <c r="P20">
        <v>160.57231100000001</v>
      </c>
      <c r="Q20">
        <v>161.38737499999999</v>
      </c>
      <c r="R20">
        <v>162.21719400000001</v>
      </c>
      <c r="S20">
        <v>163.06295800000001</v>
      </c>
      <c r="T20">
        <v>163.904617</v>
      </c>
      <c r="U20">
        <v>164.750259</v>
      </c>
      <c r="V20">
        <v>165.596237</v>
      </c>
      <c r="W20">
        <v>166.43772899999999</v>
      </c>
      <c r="X20">
        <v>167.28590399999999</v>
      </c>
      <c r="Y20">
        <v>168.131821</v>
      </c>
      <c r="Z20">
        <v>168.966736</v>
      </c>
      <c r="AA20">
        <v>169.784775</v>
      </c>
      <c r="AB20">
        <v>170.56317100000001</v>
      </c>
      <c r="AC20">
        <v>171.308044</v>
      </c>
      <c r="AD20">
        <v>172.02151499999999</v>
      </c>
      <c r="AE20">
        <v>172.71736100000001</v>
      </c>
      <c r="AF20">
        <v>173.40846300000001</v>
      </c>
      <c r="AG20" s="9">
        <v>6.0000000000000001E-3</v>
      </c>
    </row>
    <row r="21" spans="1:33">
      <c r="A21" t="s">
        <v>206</v>
      </c>
      <c r="B21" t="s">
        <v>1124</v>
      </c>
      <c r="C21" t="s">
        <v>1123</v>
      </c>
      <c r="D21" t="s">
        <v>222</v>
      </c>
      <c r="F21">
        <v>1419.3210449999999</v>
      </c>
      <c r="G21">
        <v>1416.095947</v>
      </c>
      <c r="H21">
        <v>1412.9139399999999</v>
      </c>
      <c r="I21">
        <v>1409.6789550000001</v>
      </c>
      <c r="J21">
        <v>1406.1369629999999</v>
      </c>
      <c r="K21">
        <v>1402.2829589999999</v>
      </c>
      <c r="L21">
        <v>1398.154053</v>
      </c>
      <c r="M21">
        <v>1393.7490230000001</v>
      </c>
      <c r="N21">
        <v>1389.0600589999999</v>
      </c>
      <c r="O21">
        <v>1384.0970460000001</v>
      </c>
      <c r="P21">
        <v>1378.876953</v>
      </c>
      <c r="Q21">
        <v>1373.4279790000001</v>
      </c>
      <c r="R21">
        <v>1367.7430420000001</v>
      </c>
      <c r="S21">
        <v>1361.829956</v>
      </c>
      <c r="T21">
        <v>1355.7230219999999</v>
      </c>
      <c r="U21">
        <v>1349.3950199999999</v>
      </c>
      <c r="V21">
        <v>1342.8170170000001</v>
      </c>
      <c r="W21">
        <v>1335.98999</v>
      </c>
      <c r="X21">
        <v>1328.909058</v>
      </c>
      <c r="Y21">
        <v>1321.590942</v>
      </c>
      <c r="Z21">
        <v>1314.015991</v>
      </c>
      <c r="AA21">
        <v>1306.114014</v>
      </c>
      <c r="AB21">
        <v>1297.8179929999999</v>
      </c>
      <c r="AC21">
        <v>1289.119995</v>
      </c>
      <c r="AD21">
        <v>1279.9930420000001</v>
      </c>
      <c r="AE21">
        <v>1270.380981</v>
      </c>
      <c r="AF21">
        <v>1260.2889399999999</v>
      </c>
      <c r="AG21" s="9">
        <v>-5.0000000000000001E-3</v>
      </c>
    </row>
    <row r="22" spans="1:33">
      <c r="A22" t="s">
        <v>340</v>
      </c>
      <c r="B22" t="s">
        <v>1122</v>
      </c>
      <c r="C22" t="s">
        <v>1121</v>
      </c>
      <c r="D22" t="s">
        <v>222</v>
      </c>
      <c r="F22">
        <v>1450.9360349999999</v>
      </c>
      <c r="G22">
        <v>1463.865967</v>
      </c>
      <c r="H22">
        <v>1476.6259769999999</v>
      </c>
      <c r="I22">
        <v>1489.165039</v>
      </c>
      <c r="J22">
        <v>1501.4329829999999</v>
      </c>
      <c r="K22">
        <v>1513.4239500000001</v>
      </c>
      <c r="L22">
        <v>1525.139038</v>
      </c>
      <c r="M22">
        <v>1536.5410159999999</v>
      </c>
      <c r="N22">
        <v>1547.6070560000001</v>
      </c>
      <c r="O22">
        <v>1558.323975</v>
      </c>
      <c r="P22">
        <v>1568.6879879999999</v>
      </c>
      <c r="Q22">
        <v>1578.6949460000001</v>
      </c>
      <c r="R22">
        <v>1588.3249510000001</v>
      </c>
      <c r="S22">
        <v>1597.536987</v>
      </c>
      <c r="T22">
        <v>1606.301025</v>
      </c>
      <c r="U22">
        <v>1614.639038</v>
      </c>
      <c r="V22">
        <v>1622.579956</v>
      </c>
      <c r="W22">
        <v>1630.119019</v>
      </c>
      <c r="X22">
        <v>1637.2349850000001</v>
      </c>
      <c r="Y22">
        <v>1643.915039</v>
      </c>
      <c r="Z22">
        <v>1650.1870120000001</v>
      </c>
      <c r="AA22">
        <v>1656.0679929999999</v>
      </c>
      <c r="AB22">
        <v>1661.5479740000001</v>
      </c>
      <c r="AC22">
        <v>1666.628052</v>
      </c>
      <c r="AD22">
        <v>1671.3100589999999</v>
      </c>
      <c r="AE22">
        <v>1675.619995</v>
      </c>
      <c r="AF22">
        <v>1679.5889890000001</v>
      </c>
      <c r="AG22" s="9">
        <v>6.0000000000000001E-3</v>
      </c>
    </row>
    <row r="23" spans="1:33">
      <c r="A23" t="s">
        <v>692</v>
      </c>
      <c r="B23" t="s">
        <v>1120</v>
      </c>
      <c r="C23" t="s">
        <v>1119</v>
      </c>
      <c r="D23" t="s">
        <v>222</v>
      </c>
      <c r="F23">
        <v>1291.4582519999999</v>
      </c>
      <c r="G23">
        <v>1304.057495</v>
      </c>
      <c r="H23">
        <v>1316.5952150000001</v>
      </c>
      <c r="I23">
        <v>1329.1712649999999</v>
      </c>
      <c r="J23">
        <v>1341.830688</v>
      </c>
      <c r="K23">
        <v>1354.47876</v>
      </c>
      <c r="L23">
        <v>1367.0858149999999</v>
      </c>
      <c r="M23">
        <v>1379.6104740000001</v>
      </c>
      <c r="N23">
        <v>1391.974487</v>
      </c>
      <c r="O23">
        <v>1404.189087</v>
      </c>
      <c r="P23">
        <v>1416.1998289999999</v>
      </c>
      <c r="Q23">
        <v>1427.9586179999999</v>
      </c>
      <c r="R23">
        <v>1439.5329589999999</v>
      </c>
      <c r="S23">
        <v>1450.9320070000001</v>
      </c>
      <c r="T23">
        <v>1462.1069339999999</v>
      </c>
      <c r="U23">
        <v>1473.0660399999999</v>
      </c>
      <c r="V23">
        <v>1483.7818600000001</v>
      </c>
      <c r="W23">
        <v>1494.213379</v>
      </c>
      <c r="X23">
        <v>1504.338135</v>
      </c>
      <c r="Y23">
        <v>1514.190552</v>
      </c>
      <c r="Z23">
        <v>1523.778198</v>
      </c>
      <c r="AA23">
        <v>1533.075562</v>
      </c>
      <c r="AB23">
        <v>1542.126953</v>
      </c>
      <c r="AC23">
        <v>1550.833374</v>
      </c>
      <c r="AD23">
        <v>1559.1789550000001</v>
      </c>
      <c r="AE23">
        <v>1567.2680660000001</v>
      </c>
      <c r="AF23">
        <v>1575.033203</v>
      </c>
      <c r="AG23" s="9">
        <v>8.0000000000000002E-3</v>
      </c>
    </row>
    <row r="24" spans="1:33">
      <c r="A24" t="s">
        <v>341</v>
      </c>
      <c r="B24" t="s">
        <v>1118</v>
      </c>
      <c r="C24" t="s">
        <v>1117</v>
      </c>
      <c r="D24" t="s">
        <v>222</v>
      </c>
      <c r="F24">
        <v>295.15145899999999</v>
      </c>
      <c r="G24">
        <v>300.688446</v>
      </c>
      <c r="H24">
        <v>305.99115</v>
      </c>
      <c r="I24">
        <v>311.19366500000001</v>
      </c>
      <c r="J24">
        <v>316.17593399999998</v>
      </c>
      <c r="K24">
        <v>321.01004</v>
      </c>
      <c r="L24">
        <v>325.70974699999999</v>
      </c>
      <c r="M24">
        <v>330.31262199999998</v>
      </c>
      <c r="N24">
        <v>334.88299599999999</v>
      </c>
      <c r="O24">
        <v>339.41720600000002</v>
      </c>
      <c r="P24">
        <v>343.917236</v>
      </c>
      <c r="Q24">
        <v>348.38241599999998</v>
      </c>
      <c r="R24">
        <v>352.82318099999998</v>
      </c>
      <c r="S24">
        <v>357.24234000000001</v>
      </c>
      <c r="T24">
        <v>361.63189699999998</v>
      </c>
      <c r="U24">
        <v>366.00564600000001</v>
      </c>
      <c r="V24">
        <v>370.367615</v>
      </c>
      <c r="W24">
        <v>374.68313599999999</v>
      </c>
      <c r="X24">
        <v>378.94271900000001</v>
      </c>
      <c r="Y24">
        <v>383.14639299999999</v>
      </c>
      <c r="Z24">
        <v>387.300995</v>
      </c>
      <c r="AA24">
        <v>391.42379799999998</v>
      </c>
      <c r="AB24">
        <v>395.485229</v>
      </c>
      <c r="AC24">
        <v>399.48791499999999</v>
      </c>
      <c r="AD24">
        <v>403.45910600000002</v>
      </c>
      <c r="AE24">
        <v>407.399292</v>
      </c>
      <c r="AF24">
        <v>411.28701799999999</v>
      </c>
      <c r="AG24" s="9">
        <v>1.2999999999999999E-2</v>
      </c>
    </row>
    <row r="25" spans="1:33">
      <c r="A25" t="s">
        <v>205</v>
      </c>
      <c r="B25" t="s">
        <v>1116</v>
      </c>
      <c r="C25" t="s">
        <v>1115</v>
      </c>
      <c r="D25" t="s">
        <v>222</v>
      </c>
      <c r="F25">
        <v>1514.0701899999999</v>
      </c>
      <c r="G25">
        <v>1548.7773440000001</v>
      </c>
      <c r="H25">
        <v>1583.8764650000001</v>
      </c>
      <c r="I25">
        <v>1619.131836</v>
      </c>
      <c r="J25">
        <v>1654.525513</v>
      </c>
      <c r="K25">
        <v>1690.149658</v>
      </c>
      <c r="L25">
        <v>1726.0095209999999</v>
      </c>
      <c r="M25">
        <v>1762.118408</v>
      </c>
      <c r="N25">
        <v>1798.439453</v>
      </c>
      <c r="O25">
        <v>1834.9061280000001</v>
      </c>
      <c r="P25">
        <v>1871.5656739999999</v>
      </c>
      <c r="Q25">
        <v>1908.4392089999999</v>
      </c>
      <c r="R25">
        <v>1945.450073</v>
      </c>
      <c r="S25">
        <v>1982.5341800000001</v>
      </c>
      <c r="T25">
        <v>2019.6979980000001</v>
      </c>
      <c r="U25">
        <v>2056.9470209999999</v>
      </c>
      <c r="V25">
        <v>2094.264404</v>
      </c>
      <c r="W25">
        <v>2131.6120609999998</v>
      </c>
      <c r="X25">
        <v>2168.9555660000001</v>
      </c>
      <c r="Y25">
        <v>2206.2993160000001</v>
      </c>
      <c r="Z25">
        <v>2243.6000979999999</v>
      </c>
      <c r="AA25">
        <v>2280.7885740000002</v>
      </c>
      <c r="AB25">
        <v>2317.8676759999998</v>
      </c>
      <c r="AC25">
        <v>2354.8833009999998</v>
      </c>
      <c r="AD25">
        <v>2391.8115229999999</v>
      </c>
      <c r="AE25">
        <v>2428.5688479999999</v>
      </c>
      <c r="AF25">
        <v>2465.1376949999999</v>
      </c>
      <c r="AG25" s="9">
        <v>1.9E-2</v>
      </c>
    </row>
    <row r="26" spans="1:33">
      <c r="A26" t="s">
        <v>342</v>
      </c>
      <c r="B26" t="s">
        <v>1114</v>
      </c>
      <c r="C26" t="s">
        <v>1113</v>
      </c>
      <c r="D26" t="s">
        <v>222</v>
      </c>
      <c r="F26">
        <v>211.99859599999999</v>
      </c>
      <c r="G26">
        <v>212.81239299999999</v>
      </c>
      <c r="H26">
        <v>213.56269800000001</v>
      </c>
      <c r="I26">
        <v>214.26100199999999</v>
      </c>
      <c r="J26">
        <v>214.911407</v>
      </c>
      <c r="K26">
        <v>215.515198</v>
      </c>
      <c r="L26">
        <v>216.07440199999999</v>
      </c>
      <c r="M26">
        <v>216.58729600000001</v>
      </c>
      <c r="N26">
        <v>217.05540500000001</v>
      </c>
      <c r="O26">
        <v>217.479401</v>
      </c>
      <c r="P26">
        <v>217.86090100000001</v>
      </c>
      <c r="Q26">
        <v>218.19970699999999</v>
      </c>
      <c r="R26">
        <v>218.495193</v>
      </c>
      <c r="S26">
        <v>218.74719200000001</v>
      </c>
      <c r="T26">
        <v>218.95559700000001</v>
      </c>
      <c r="U26">
        <v>219.118301</v>
      </c>
      <c r="V26">
        <v>219.23710600000001</v>
      </c>
      <c r="W26">
        <v>219.30720500000001</v>
      </c>
      <c r="X26">
        <v>219.31970200000001</v>
      </c>
      <c r="Y26">
        <v>219.27650499999999</v>
      </c>
      <c r="Z26">
        <v>219.179001</v>
      </c>
      <c r="AA26">
        <v>219.02619899999999</v>
      </c>
      <c r="AB26">
        <v>218.82110599999999</v>
      </c>
      <c r="AC26">
        <v>218.56539900000001</v>
      </c>
      <c r="AD26">
        <v>218.258194</v>
      </c>
      <c r="AE26">
        <v>217.897797</v>
      </c>
      <c r="AF26">
        <v>217.489304</v>
      </c>
      <c r="AG26" s="9">
        <v>1E-3</v>
      </c>
    </row>
    <row r="27" spans="1:33">
      <c r="A27" t="s">
        <v>683</v>
      </c>
      <c r="B27" t="s">
        <v>1112</v>
      </c>
      <c r="C27" t="s">
        <v>1111</v>
      </c>
      <c r="D27" t="s">
        <v>222</v>
      </c>
      <c r="F27">
        <v>320.53472900000003</v>
      </c>
      <c r="G27">
        <v>323.07989500000002</v>
      </c>
      <c r="H27">
        <v>325.552795</v>
      </c>
      <c r="I27">
        <v>327.968414</v>
      </c>
      <c r="J27">
        <v>330.324005</v>
      </c>
      <c r="K27">
        <v>332.61663800000002</v>
      </c>
      <c r="L27">
        <v>334.85278299999999</v>
      </c>
      <c r="M27">
        <v>337.03164700000002</v>
      </c>
      <c r="N27">
        <v>339.14974999999998</v>
      </c>
      <c r="O27">
        <v>341.20330799999999</v>
      </c>
      <c r="P27">
        <v>343.19653299999999</v>
      </c>
      <c r="Q27">
        <v>345.12197900000001</v>
      </c>
      <c r="R27">
        <v>346.96935999999999</v>
      </c>
      <c r="S27">
        <v>348.73593099999999</v>
      </c>
      <c r="T27">
        <v>350.42746</v>
      </c>
      <c r="U27">
        <v>352.04385400000001</v>
      </c>
      <c r="V27">
        <v>353.57598899999999</v>
      </c>
      <c r="W27">
        <v>355.021545</v>
      </c>
      <c r="X27">
        <v>356.38485700000001</v>
      </c>
      <c r="Y27">
        <v>357.66561899999999</v>
      </c>
      <c r="Z27">
        <v>358.86309799999998</v>
      </c>
      <c r="AA27">
        <v>359.98111</v>
      </c>
      <c r="AB27">
        <v>361.01959199999999</v>
      </c>
      <c r="AC27">
        <v>361.98382600000002</v>
      </c>
      <c r="AD27">
        <v>362.87286399999999</v>
      </c>
      <c r="AE27">
        <v>363.681061</v>
      </c>
      <c r="AF27">
        <v>364.41592400000002</v>
      </c>
      <c r="AG27" s="9">
        <v>5.0000000000000001E-3</v>
      </c>
    </row>
    <row r="28" spans="1:33">
      <c r="A28" t="s">
        <v>113</v>
      </c>
    </row>
    <row r="29" spans="1:33">
      <c r="A29" t="s">
        <v>207</v>
      </c>
    </row>
    <row r="30" spans="1:33">
      <c r="A30" t="s">
        <v>198</v>
      </c>
    </row>
    <row r="31" spans="1:33">
      <c r="A31" t="s">
        <v>203</v>
      </c>
      <c r="B31" t="s">
        <v>1110</v>
      </c>
      <c r="C31" t="s">
        <v>1109</v>
      </c>
      <c r="D31" t="s">
        <v>194</v>
      </c>
      <c r="F31">
        <v>769.07440199999996</v>
      </c>
      <c r="G31">
        <v>784.82141100000001</v>
      </c>
      <c r="H31">
        <v>804.30224599999997</v>
      </c>
      <c r="I31">
        <v>822.31329300000004</v>
      </c>
      <c r="J31">
        <v>836.94464100000005</v>
      </c>
      <c r="K31">
        <v>852.79473900000005</v>
      </c>
      <c r="L31">
        <v>867.11852999999996</v>
      </c>
      <c r="M31">
        <v>878.67956500000003</v>
      </c>
      <c r="N31">
        <v>892.21368399999994</v>
      </c>
      <c r="O31">
        <v>906.72900400000003</v>
      </c>
      <c r="P31">
        <v>920.58386199999995</v>
      </c>
      <c r="Q31">
        <v>935.94891399999995</v>
      </c>
      <c r="R31">
        <v>951.57720900000004</v>
      </c>
      <c r="S31">
        <v>968.24322500000005</v>
      </c>
      <c r="T31">
        <v>986.23107900000002</v>
      </c>
      <c r="U31">
        <v>1004.200562</v>
      </c>
      <c r="V31">
        <v>1022.167603</v>
      </c>
      <c r="W31">
        <v>1039.7504879999999</v>
      </c>
      <c r="X31">
        <v>1058.9343260000001</v>
      </c>
      <c r="Y31">
        <v>1077.6267089999999</v>
      </c>
      <c r="Z31">
        <v>1094.8948969999999</v>
      </c>
      <c r="AA31">
        <v>1111.753052</v>
      </c>
      <c r="AB31">
        <v>1128.2475589999999</v>
      </c>
      <c r="AC31">
        <v>1147.9022219999999</v>
      </c>
      <c r="AD31">
        <v>1168.965942</v>
      </c>
      <c r="AE31">
        <v>1189.009399</v>
      </c>
      <c r="AF31">
        <v>1208.700439</v>
      </c>
      <c r="AG31" s="9">
        <v>1.7999999999999999E-2</v>
      </c>
    </row>
    <row r="32" spans="1:33">
      <c r="A32" t="s">
        <v>204</v>
      </c>
      <c r="B32" t="s">
        <v>1108</v>
      </c>
      <c r="C32" t="s">
        <v>1107</v>
      </c>
      <c r="D32" t="s">
        <v>194</v>
      </c>
      <c r="F32">
        <v>37.600501999999999</v>
      </c>
      <c r="G32">
        <v>38.178328999999998</v>
      </c>
      <c r="H32">
        <v>38.814650999999998</v>
      </c>
      <c r="I32">
        <v>39.453270000000003</v>
      </c>
      <c r="J32">
        <v>40.180599000000001</v>
      </c>
      <c r="K32">
        <v>40.914700000000003</v>
      </c>
      <c r="L32">
        <v>41.655926000000001</v>
      </c>
      <c r="M32">
        <v>42.395454000000001</v>
      </c>
      <c r="N32">
        <v>43.133369000000002</v>
      </c>
      <c r="O32">
        <v>43.880180000000003</v>
      </c>
      <c r="P32">
        <v>44.634605000000001</v>
      </c>
      <c r="Q32">
        <v>45.395569000000002</v>
      </c>
      <c r="R32">
        <v>46.160697999999996</v>
      </c>
      <c r="S32">
        <v>46.930233000000001</v>
      </c>
      <c r="T32">
        <v>47.703876000000001</v>
      </c>
      <c r="U32">
        <v>48.486117999999998</v>
      </c>
      <c r="V32">
        <v>49.276463</v>
      </c>
      <c r="W32">
        <v>50.077091000000003</v>
      </c>
      <c r="X32">
        <v>50.886642000000002</v>
      </c>
      <c r="Y32">
        <v>51.703285000000001</v>
      </c>
      <c r="Z32">
        <v>52.524177999999999</v>
      </c>
      <c r="AA32">
        <v>53.346606999999999</v>
      </c>
      <c r="AB32">
        <v>54.175564000000001</v>
      </c>
      <c r="AC32">
        <v>55.012206999999997</v>
      </c>
      <c r="AD32">
        <v>55.854134000000002</v>
      </c>
      <c r="AE32">
        <v>56.703068000000002</v>
      </c>
      <c r="AF32">
        <v>57.554737000000003</v>
      </c>
      <c r="AG32" s="9">
        <v>1.7000000000000001E-2</v>
      </c>
    </row>
    <row r="33" spans="1:33">
      <c r="A33" t="s">
        <v>713</v>
      </c>
      <c r="B33" t="s">
        <v>1106</v>
      </c>
      <c r="C33" t="s">
        <v>1105</v>
      </c>
      <c r="D33" t="s">
        <v>194</v>
      </c>
      <c r="F33">
        <v>44.937325000000001</v>
      </c>
      <c r="G33">
        <v>46.664017000000001</v>
      </c>
      <c r="H33">
        <v>48.526760000000003</v>
      </c>
      <c r="I33">
        <v>50.424767000000003</v>
      </c>
      <c r="J33">
        <v>52.343803000000001</v>
      </c>
      <c r="K33">
        <v>54.306579999999997</v>
      </c>
      <c r="L33">
        <v>56.32291</v>
      </c>
      <c r="M33">
        <v>58.395287000000003</v>
      </c>
      <c r="N33">
        <v>60.529983999999999</v>
      </c>
      <c r="O33">
        <v>62.730732000000003</v>
      </c>
      <c r="P33">
        <v>64.997901999999996</v>
      </c>
      <c r="Q33">
        <v>67.333365999999998</v>
      </c>
      <c r="R33">
        <v>69.738975999999994</v>
      </c>
      <c r="S33">
        <v>72.216544999999996</v>
      </c>
      <c r="T33">
        <v>74.767998000000006</v>
      </c>
      <c r="U33">
        <v>77.392760999999993</v>
      </c>
      <c r="V33">
        <v>80.092697000000001</v>
      </c>
      <c r="W33">
        <v>82.870613000000006</v>
      </c>
      <c r="X33">
        <v>85.727813999999995</v>
      </c>
      <c r="Y33">
        <v>88.664771999999999</v>
      </c>
      <c r="Z33">
        <v>91.684021000000001</v>
      </c>
      <c r="AA33">
        <v>94.787086000000002</v>
      </c>
      <c r="AB33">
        <v>97.974486999999996</v>
      </c>
      <c r="AC33">
        <v>101.24791</v>
      </c>
      <c r="AD33">
        <v>104.610649</v>
      </c>
      <c r="AE33">
        <v>108.063469</v>
      </c>
      <c r="AF33">
        <v>111.60762800000001</v>
      </c>
      <c r="AG33" s="9">
        <v>3.5999999999999997E-2</v>
      </c>
    </row>
    <row r="34" spans="1:33">
      <c r="A34" t="s">
        <v>710</v>
      </c>
      <c r="B34" t="s">
        <v>1104</v>
      </c>
      <c r="C34" t="s">
        <v>1103</v>
      </c>
      <c r="D34" t="s">
        <v>194</v>
      </c>
      <c r="F34">
        <v>695.70849599999997</v>
      </c>
      <c r="G34">
        <v>711.49200399999995</v>
      </c>
      <c r="H34">
        <v>727.84600799999998</v>
      </c>
      <c r="I34">
        <v>744.40210000000002</v>
      </c>
      <c r="J34">
        <v>761.14691200000004</v>
      </c>
      <c r="K34">
        <v>778.06951900000001</v>
      </c>
      <c r="L34">
        <v>795.17675799999995</v>
      </c>
      <c r="M34">
        <v>812.43670699999996</v>
      </c>
      <c r="N34">
        <v>829.91644299999996</v>
      </c>
      <c r="O34">
        <v>847.72448699999995</v>
      </c>
      <c r="P34">
        <v>865.89209000000005</v>
      </c>
      <c r="Q34">
        <v>884.39624000000003</v>
      </c>
      <c r="R34">
        <v>903.27612299999998</v>
      </c>
      <c r="S34">
        <v>922.48925799999995</v>
      </c>
      <c r="T34">
        <v>942.004456</v>
      </c>
      <c r="U34">
        <v>961.84661900000003</v>
      </c>
      <c r="V34">
        <v>982.01568599999996</v>
      </c>
      <c r="W34">
        <v>1002.504089</v>
      </c>
      <c r="X34">
        <v>1023.338135</v>
      </c>
      <c r="Y34">
        <v>1044.50647</v>
      </c>
      <c r="Z34">
        <v>1065.988159</v>
      </c>
      <c r="AA34">
        <v>1087.7701420000001</v>
      </c>
      <c r="AB34">
        <v>1109.876221</v>
      </c>
      <c r="AC34">
        <v>1132.304932</v>
      </c>
      <c r="AD34">
        <v>1155.0435789999999</v>
      </c>
      <c r="AE34">
        <v>1178.108643</v>
      </c>
      <c r="AF34">
        <v>1201.5139160000001</v>
      </c>
      <c r="AG34" s="9">
        <v>2.1000000000000001E-2</v>
      </c>
    </row>
    <row r="35" spans="1:33">
      <c r="A35" t="s">
        <v>336</v>
      </c>
      <c r="B35" t="s">
        <v>1102</v>
      </c>
      <c r="C35" t="s">
        <v>1101</v>
      </c>
      <c r="D35" t="s">
        <v>194</v>
      </c>
      <c r="F35">
        <v>61.775593000000001</v>
      </c>
      <c r="G35">
        <v>62.381695000000001</v>
      </c>
      <c r="H35">
        <v>62.855656000000003</v>
      </c>
      <c r="I35">
        <v>63.321266000000001</v>
      </c>
      <c r="J35">
        <v>63.739643000000001</v>
      </c>
      <c r="K35">
        <v>64.132576</v>
      </c>
      <c r="L35">
        <v>64.504501000000005</v>
      </c>
      <c r="M35">
        <v>64.848395999999994</v>
      </c>
      <c r="N35">
        <v>65.182807999999994</v>
      </c>
      <c r="O35">
        <v>65.504845000000003</v>
      </c>
      <c r="P35">
        <v>65.807434000000001</v>
      </c>
      <c r="Q35">
        <v>66.092277999999993</v>
      </c>
      <c r="R35">
        <v>66.364036999999996</v>
      </c>
      <c r="S35">
        <v>66.631621999999993</v>
      </c>
      <c r="T35">
        <v>66.895629999999997</v>
      </c>
      <c r="U35">
        <v>67.155265999999997</v>
      </c>
      <c r="V35">
        <v>67.418846000000002</v>
      </c>
      <c r="W35">
        <v>67.688338999999999</v>
      </c>
      <c r="X35">
        <v>67.966217</v>
      </c>
      <c r="Y35">
        <v>68.255568999999994</v>
      </c>
      <c r="Z35">
        <v>68.556663999999998</v>
      </c>
      <c r="AA35">
        <v>68.875145000000003</v>
      </c>
      <c r="AB35">
        <v>69.210425999999998</v>
      </c>
      <c r="AC35">
        <v>69.559623999999999</v>
      </c>
      <c r="AD35">
        <v>69.918800000000005</v>
      </c>
      <c r="AE35">
        <v>70.284041999999999</v>
      </c>
      <c r="AF35">
        <v>70.661758000000006</v>
      </c>
      <c r="AG35" s="9">
        <v>5.0000000000000001E-3</v>
      </c>
    </row>
    <row r="36" spans="1:33">
      <c r="A36" t="s">
        <v>337</v>
      </c>
      <c r="B36" t="s">
        <v>1100</v>
      </c>
      <c r="C36" t="s">
        <v>1099</v>
      </c>
      <c r="D36" t="s">
        <v>194</v>
      </c>
      <c r="F36">
        <v>59.104053</v>
      </c>
      <c r="G36">
        <v>60.491244999999999</v>
      </c>
      <c r="H36">
        <v>62.268039999999999</v>
      </c>
      <c r="I36">
        <v>64.084372999999999</v>
      </c>
      <c r="J36">
        <v>65.934128000000001</v>
      </c>
      <c r="K36">
        <v>67.765548999999993</v>
      </c>
      <c r="L36">
        <v>69.591826999999995</v>
      </c>
      <c r="M36">
        <v>71.438934000000003</v>
      </c>
      <c r="N36">
        <v>73.293075999999999</v>
      </c>
      <c r="O36">
        <v>75.149169999999998</v>
      </c>
      <c r="P36">
        <v>77.013267999999997</v>
      </c>
      <c r="Q36">
        <v>78.860534999999999</v>
      </c>
      <c r="R36">
        <v>80.713531000000003</v>
      </c>
      <c r="S36">
        <v>82.578789</v>
      </c>
      <c r="T36">
        <v>84.400665000000004</v>
      </c>
      <c r="U36">
        <v>86.218665999999999</v>
      </c>
      <c r="V36">
        <v>88.039467000000002</v>
      </c>
      <c r="W36">
        <v>89.874640999999997</v>
      </c>
      <c r="X36">
        <v>91.723427000000001</v>
      </c>
      <c r="Y36">
        <v>93.586189000000005</v>
      </c>
      <c r="Z36">
        <v>95.459198000000001</v>
      </c>
      <c r="AA36">
        <v>97.339409000000003</v>
      </c>
      <c r="AB36">
        <v>99.226044000000002</v>
      </c>
      <c r="AC36">
        <v>101.119347</v>
      </c>
      <c r="AD36">
        <v>103.02018</v>
      </c>
      <c r="AE36">
        <v>104.928955</v>
      </c>
      <c r="AF36">
        <v>106.846298</v>
      </c>
      <c r="AG36" s="9">
        <v>2.3E-2</v>
      </c>
    </row>
    <row r="37" spans="1:33">
      <c r="A37" t="s">
        <v>338</v>
      </c>
      <c r="B37" t="s">
        <v>1098</v>
      </c>
      <c r="C37" t="s">
        <v>1097</v>
      </c>
      <c r="D37" t="s">
        <v>194</v>
      </c>
      <c r="F37">
        <v>8.8967510000000001</v>
      </c>
      <c r="G37">
        <v>9.059666</v>
      </c>
      <c r="H37">
        <v>9.2544029999999999</v>
      </c>
      <c r="I37">
        <v>9.4391470000000002</v>
      </c>
      <c r="J37">
        <v>9.6164670000000001</v>
      </c>
      <c r="K37">
        <v>9.7888599999999997</v>
      </c>
      <c r="L37">
        <v>9.9580110000000008</v>
      </c>
      <c r="M37">
        <v>10.118226999999999</v>
      </c>
      <c r="N37">
        <v>10.269076999999999</v>
      </c>
      <c r="O37">
        <v>10.411737</v>
      </c>
      <c r="P37">
        <v>10.545367000000001</v>
      </c>
      <c r="Q37">
        <v>10.670194</v>
      </c>
      <c r="R37">
        <v>10.79082</v>
      </c>
      <c r="S37">
        <v>10.900812999999999</v>
      </c>
      <c r="T37">
        <v>11.004025</v>
      </c>
      <c r="U37">
        <v>11.099137000000001</v>
      </c>
      <c r="V37">
        <v>11.190951999999999</v>
      </c>
      <c r="W37">
        <v>11.280606000000001</v>
      </c>
      <c r="X37">
        <v>11.364058999999999</v>
      </c>
      <c r="Y37">
        <v>11.438848</v>
      </c>
      <c r="Z37">
        <v>11.500484999999999</v>
      </c>
      <c r="AA37">
        <v>11.546016</v>
      </c>
      <c r="AB37">
        <v>11.579746999999999</v>
      </c>
      <c r="AC37">
        <v>11.604858999999999</v>
      </c>
      <c r="AD37">
        <v>11.625552000000001</v>
      </c>
      <c r="AE37">
        <v>11.645999</v>
      </c>
      <c r="AF37">
        <v>11.664306</v>
      </c>
      <c r="AG37" s="9">
        <v>0.01</v>
      </c>
    </row>
    <row r="38" spans="1:33">
      <c r="A38" t="s">
        <v>339</v>
      </c>
      <c r="B38" t="s">
        <v>1096</v>
      </c>
      <c r="C38" t="s">
        <v>1095</v>
      </c>
      <c r="D38" t="s">
        <v>194</v>
      </c>
      <c r="F38">
        <v>79.585273999999998</v>
      </c>
      <c r="G38">
        <v>80.866996999999998</v>
      </c>
      <c r="H38">
        <v>81.715607000000006</v>
      </c>
      <c r="I38">
        <v>82.199477999999999</v>
      </c>
      <c r="J38">
        <v>83.152343999999999</v>
      </c>
      <c r="K38">
        <v>84.156509</v>
      </c>
      <c r="L38">
        <v>85.166290000000004</v>
      </c>
      <c r="M38">
        <v>86.182060000000007</v>
      </c>
      <c r="N38">
        <v>87.230773999999997</v>
      </c>
      <c r="O38">
        <v>88.321006999999994</v>
      </c>
      <c r="P38">
        <v>89.456703000000005</v>
      </c>
      <c r="Q38">
        <v>90.623169000000004</v>
      </c>
      <c r="R38">
        <v>91.766723999999996</v>
      </c>
      <c r="S38">
        <v>92.878967000000003</v>
      </c>
      <c r="T38">
        <v>93.975448999999998</v>
      </c>
      <c r="U38">
        <v>95.062118999999996</v>
      </c>
      <c r="V38">
        <v>96.155242999999999</v>
      </c>
      <c r="W38">
        <v>97.370361000000003</v>
      </c>
      <c r="X38">
        <v>98.666923999999995</v>
      </c>
      <c r="Y38">
        <v>99.982994000000005</v>
      </c>
      <c r="Z38">
        <v>101.31059999999999</v>
      </c>
      <c r="AA38">
        <v>102.642517</v>
      </c>
      <c r="AB38">
        <v>104.006531</v>
      </c>
      <c r="AC38">
        <v>105.415451</v>
      </c>
      <c r="AD38">
        <v>106.801079</v>
      </c>
      <c r="AE38">
        <v>108.164368</v>
      </c>
      <c r="AF38">
        <v>109.533089</v>
      </c>
      <c r="AG38" s="9">
        <v>1.2E-2</v>
      </c>
    </row>
    <row r="39" spans="1:33">
      <c r="A39" t="s">
        <v>699</v>
      </c>
      <c r="B39" t="s">
        <v>1094</v>
      </c>
      <c r="C39" t="s">
        <v>1093</v>
      </c>
      <c r="D39" t="s">
        <v>194</v>
      </c>
      <c r="F39">
        <v>10.941443</v>
      </c>
      <c r="G39">
        <v>11.379101</v>
      </c>
      <c r="H39">
        <v>11.839905999999999</v>
      </c>
      <c r="I39">
        <v>12.262307</v>
      </c>
      <c r="J39">
        <v>12.709543</v>
      </c>
      <c r="K39">
        <v>13.170254</v>
      </c>
      <c r="L39">
        <v>13.621606</v>
      </c>
      <c r="M39">
        <v>14.066698000000001</v>
      </c>
      <c r="N39">
        <v>14.516427</v>
      </c>
      <c r="O39">
        <v>14.975104</v>
      </c>
      <c r="P39">
        <v>15.443626999999999</v>
      </c>
      <c r="Q39">
        <v>15.927789000000001</v>
      </c>
      <c r="R39">
        <v>16.429544</v>
      </c>
      <c r="S39">
        <v>16.944839000000002</v>
      </c>
      <c r="T39">
        <v>17.472024999999999</v>
      </c>
      <c r="U39">
        <v>18.011406000000001</v>
      </c>
      <c r="V39">
        <v>18.559581999999999</v>
      </c>
      <c r="W39">
        <v>19.116617000000002</v>
      </c>
      <c r="X39">
        <v>19.688261000000001</v>
      </c>
      <c r="Y39">
        <v>20.275386999999998</v>
      </c>
      <c r="Z39">
        <v>20.877848</v>
      </c>
      <c r="AA39">
        <v>21.496079999999999</v>
      </c>
      <c r="AB39">
        <v>22.125900000000001</v>
      </c>
      <c r="AC39">
        <v>22.769482</v>
      </c>
      <c r="AD39">
        <v>23.426698999999999</v>
      </c>
      <c r="AE39">
        <v>24.098751</v>
      </c>
      <c r="AF39">
        <v>24.786325000000001</v>
      </c>
      <c r="AG39" s="9">
        <v>3.2000000000000001E-2</v>
      </c>
    </row>
    <row r="40" spans="1:33">
      <c r="A40" t="s">
        <v>206</v>
      </c>
      <c r="B40" t="s">
        <v>1092</v>
      </c>
      <c r="C40" t="s">
        <v>1091</v>
      </c>
      <c r="D40" t="s">
        <v>194</v>
      </c>
      <c r="F40">
        <v>559.27313200000003</v>
      </c>
      <c r="G40">
        <v>594.13140899999996</v>
      </c>
      <c r="H40">
        <v>627.76330600000006</v>
      </c>
      <c r="I40">
        <v>661.17810099999997</v>
      </c>
      <c r="J40">
        <v>695.78857400000004</v>
      </c>
      <c r="K40">
        <v>731.95825200000002</v>
      </c>
      <c r="L40">
        <v>769.54247999999995</v>
      </c>
      <c r="M40">
        <v>808.29693599999996</v>
      </c>
      <c r="N40">
        <v>848.34277299999997</v>
      </c>
      <c r="O40">
        <v>889.39392099999998</v>
      </c>
      <c r="P40">
        <v>931.40570100000002</v>
      </c>
      <c r="Q40">
        <v>974.317993</v>
      </c>
      <c r="R40">
        <v>1017.733276</v>
      </c>
      <c r="S40">
        <v>1061.8748780000001</v>
      </c>
      <c r="T40">
        <v>1106.9210210000001</v>
      </c>
      <c r="U40">
        <v>1152.8358149999999</v>
      </c>
      <c r="V40">
        <v>1199.5791019999999</v>
      </c>
      <c r="W40">
        <v>1247.1011960000001</v>
      </c>
      <c r="X40">
        <v>1295.3479</v>
      </c>
      <c r="Y40">
        <v>1344.256592</v>
      </c>
      <c r="Z40">
        <v>1393.769043</v>
      </c>
      <c r="AA40">
        <v>1443.8480219999999</v>
      </c>
      <c r="AB40">
        <v>1494.452759</v>
      </c>
      <c r="AC40">
        <v>1545.523682</v>
      </c>
      <c r="AD40">
        <v>1596.999268</v>
      </c>
      <c r="AE40">
        <v>1648.838013</v>
      </c>
      <c r="AF40">
        <v>1700.9682620000001</v>
      </c>
      <c r="AG40" s="9">
        <v>4.3999999999999997E-2</v>
      </c>
    </row>
    <row r="41" spans="1:33">
      <c r="A41" t="s">
        <v>340</v>
      </c>
      <c r="B41" t="s">
        <v>1090</v>
      </c>
      <c r="C41" t="s">
        <v>1089</v>
      </c>
      <c r="D41" t="s">
        <v>194</v>
      </c>
      <c r="F41">
        <v>92.931549000000004</v>
      </c>
      <c r="G41">
        <v>101.376099</v>
      </c>
      <c r="H41">
        <v>110.33313</v>
      </c>
      <c r="I41">
        <v>120.11642500000001</v>
      </c>
      <c r="J41">
        <v>130.41546600000001</v>
      </c>
      <c r="K41">
        <v>141.295288</v>
      </c>
      <c r="L41">
        <v>152.72457900000001</v>
      </c>
      <c r="M41">
        <v>164.62188699999999</v>
      </c>
      <c r="N41">
        <v>176.903763</v>
      </c>
      <c r="O41">
        <v>189.48220800000001</v>
      </c>
      <c r="P41">
        <v>202.315201</v>
      </c>
      <c r="Q41">
        <v>215.34852599999999</v>
      </c>
      <c r="R41">
        <v>228.498154</v>
      </c>
      <c r="S41">
        <v>241.86232000000001</v>
      </c>
      <c r="T41">
        <v>255.350876</v>
      </c>
      <c r="U41">
        <v>269.00149499999998</v>
      </c>
      <c r="V41">
        <v>282.92517099999998</v>
      </c>
      <c r="W41">
        <v>297.09121699999997</v>
      </c>
      <c r="X41">
        <v>311.47659299999998</v>
      </c>
      <c r="Y41">
        <v>326.04113799999999</v>
      </c>
      <c r="Z41">
        <v>340.754211</v>
      </c>
      <c r="AA41">
        <v>355.61544800000001</v>
      </c>
      <c r="AB41">
        <v>370.64233400000001</v>
      </c>
      <c r="AC41">
        <v>385.80407700000001</v>
      </c>
      <c r="AD41">
        <v>401.073059</v>
      </c>
      <c r="AE41">
        <v>416.421783</v>
      </c>
      <c r="AF41">
        <v>431.81970200000001</v>
      </c>
      <c r="AG41" s="9">
        <v>6.0999999999999999E-2</v>
      </c>
    </row>
    <row r="42" spans="1:33">
      <c r="A42" t="s">
        <v>692</v>
      </c>
      <c r="B42" t="s">
        <v>1088</v>
      </c>
      <c r="C42" t="s">
        <v>1087</v>
      </c>
      <c r="D42" t="s">
        <v>194</v>
      </c>
      <c r="F42">
        <v>207.688568</v>
      </c>
      <c r="G42">
        <v>218.51014699999999</v>
      </c>
      <c r="H42">
        <v>230.73056</v>
      </c>
      <c r="I42">
        <v>243.18684400000001</v>
      </c>
      <c r="J42">
        <v>255.80749499999999</v>
      </c>
      <c r="K42">
        <v>268.62222300000002</v>
      </c>
      <c r="L42">
        <v>281.779968</v>
      </c>
      <c r="M42">
        <v>295.357147</v>
      </c>
      <c r="N42">
        <v>309.34939600000001</v>
      </c>
      <c r="O42">
        <v>323.70144699999997</v>
      </c>
      <c r="P42">
        <v>338.35299700000002</v>
      </c>
      <c r="Q42">
        <v>353.25491299999999</v>
      </c>
      <c r="R42">
        <v>368.41958599999998</v>
      </c>
      <c r="S42">
        <v>383.78338600000001</v>
      </c>
      <c r="T42">
        <v>399.58883700000001</v>
      </c>
      <c r="U42">
        <v>415.85287499999998</v>
      </c>
      <c r="V42">
        <v>432.55575599999997</v>
      </c>
      <c r="W42">
        <v>449.64736900000003</v>
      </c>
      <c r="X42">
        <v>467.163971</v>
      </c>
      <c r="Y42">
        <v>485.09390300000001</v>
      </c>
      <c r="Z42">
        <v>503.41665599999999</v>
      </c>
      <c r="AA42">
        <v>522.11938499999997</v>
      </c>
      <c r="AB42">
        <v>541.16510000000005</v>
      </c>
      <c r="AC42">
        <v>560.50476100000003</v>
      </c>
      <c r="AD42">
        <v>580.16613800000005</v>
      </c>
      <c r="AE42">
        <v>600.20391800000004</v>
      </c>
      <c r="AF42">
        <v>620.71032700000001</v>
      </c>
      <c r="AG42" s="9">
        <v>4.2999999999999997E-2</v>
      </c>
    </row>
    <row r="43" spans="1:33">
      <c r="A43" t="s">
        <v>341</v>
      </c>
      <c r="B43" t="s">
        <v>1086</v>
      </c>
      <c r="C43" t="s">
        <v>1085</v>
      </c>
      <c r="D43" t="s">
        <v>194</v>
      </c>
      <c r="F43">
        <v>52.293925999999999</v>
      </c>
      <c r="G43">
        <v>55.527695000000001</v>
      </c>
      <c r="H43">
        <v>59.423507999999998</v>
      </c>
      <c r="I43">
        <v>62.471226000000001</v>
      </c>
      <c r="J43">
        <v>65.314445000000006</v>
      </c>
      <c r="K43">
        <v>68.112945999999994</v>
      </c>
      <c r="L43">
        <v>70.856682000000006</v>
      </c>
      <c r="M43">
        <v>73.630202999999995</v>
      </c>
      <c r="N43">
        <v>76.374008000000003</v>
      </c>
      <c r="O43">
        <v>79.105887999999993</v>
      </c>
      <c r="P43">
        <v>81.837151000000006</v>
      </c>
      <c r="Q43">
        <v>84.605216999999996</v>
      </c>
      <c r="R43">
        <v>87.417525999999995</v>
      </c>
      <c r="S43">
        <v>90.280349999999999</v>
      </c>
      <c r="T43">
        <v>93.188598999999996</v>
      </c>
      <c r="U43">
        <v>96.128867999999997</v>
      </c>
      <c r="V43">
        <v>99.122748999999999</v>
      </c>
      <c r="W43">
        <v>102.184128</v>
      </c>
      <c r="X43">
        <v>105.328018</v>
      </c>
      <c r="Y43">
        <v>108.554405</v>
      </c>
      <c r="Z43">
        <v>111.856697</v>
      </c>
      <c r="AA43">
        <v>115.229568</v>
      </c>
      <c r="AB43">
        <v>118.6726</v>
      </c>
      <c r="AC43">
        <v>122.205879</v>
      </c>
      <c r="AD43">
        <v>125.828262</v>
      </c>
      <c r="AE43">
        <v>129.54611199999999</v>
      </c>
      <c r="AF43">
        <v>133.370148</v>
      </c>
      <c r="AG43" s="9">
        <v>3.6999999999999998E-2</v>
      </c>
    </row>
    <row r="44" spans="1:33">
      <c r="A44" t="s">
        <v>205</v>
      </c>
      <c r="B44" t="s">
        <v>1084</v>
      </c>
      <c r="C44" t="s">
        <v>1083</v>
      </c>
      <c r="D44" t="s">
        <v>194</v>
      </c>
      <c r="F44">
        <v>51.401802000000004</v>
      </c>
      <c r="G44">
        <v>53.958652000000001</v>
      </c>
      <c r="H44">
        <v>56.834739999999996</v>
      </c>
      <c r="I44">
        <v>59.638817000000003</v>
      </c>
      <c r="J44">
        <v>62.509655000000002</v>
      </c>
      <c r="K44">
        <v>65.462119999999999</v>
      </c>
      <c r="L44">
        <v>68.523330999999999</v>
      </c>
      <c r="M44">
        <v>71.703643999999997</v>
      </c>
      <c r="N44">
        <v>74.980605999999995</v>
      </c>
      <c r="O44">
        <v>78.358795000000001</v>
      </c>
      <c r="P44">
        <v>81.850037</v>
      </c>
      <c r="Q44">
        <v>85.460082999999997</v>
      </c>
      <c r="R44">
        <v>89.196738999999994</v>
      </c>
      <c r="S44">
        <v>93.059334000000007</v>
      </c>
      <c r="T44">
        <v>97.047439999999995</v>
      </c>
      <c r="U44">
        <v>101.164536</v>
      </c>
      <c r="V44">
        <v>105.41378</v>
      </c>
      <c r="W44">
        <v>109.79946099999999</v>
      </c>
      <c r="X44">
        <v>114.322487</v>
      </c>
      <c r="Y44">
        <v>118.98719</v>
      </c>
      <c r="Z44">
        <v>123.798294</v>
      </c>
      <c r="AA44">
        <v>128.75836200000001</v>
      </c>
      <c r="AB44">
        <v>133.86999499999999</v>
      </c>
      <c r="AC44">
        <v>139.13587999999999</v>
      </c>
      <c r="AD44">
        <v>144.55818199999999</v>
      </c>
      <c r="AE44">
        <v>150.138229</v>
      </c>
      <c r="AF44">
        <v>155.87857099999999</v>
      </c>
      <c r="AG44" s="9">
        <v>4.3999999999999997E-2</v>
      </c>
    </row>
    <row r="45" spans="1:33">
      <c r="A45" t="s">
        <v>342</v>
      </c>
      <c r="B45" t="s">
        <v>1082</v>
      </c>
      <c r="C45" t="s">
        <v>1081</v>
      </c>
      <c r="D45" t="s">
        <v>194</v>
      </c>
      <c r="F45">
        <v>61.339916000000002</v>
      </c>
      <c r="G45">
        <v>62.648139999999998</v>
      </c>
      <c r="H45">
        <v>63.725257999999997</v>
      </c>
      <c r="I45">
        <v>65.076667999999998</v>
      </c>
      <c r="J45">
        <v>66.536216999999994</v>
      </c>
      <c r="K45">
        <v>67.969161999999997</v>
      </c>
      <c r="L45">
        <v>69.375443000000004</v>
      </c>
      <c r="M45">
        <v>70.760773</v>
      </c>
      <c r="N45">
        <v>72.128783999999996</v>
      </c>
      <c r="O45">
        <v>73.480614000000003</v>
      </c>
      <c r="P45">
        <v>74.815453000000005</v>
      </c>
      <c r="Q45">
        <v>76.132239999999996</v>
      </c>
      <c r="R45">
        <v>77.430222000000001</v>
      </c>
      <c r="S45">
        <v>78.708809000000002</v>
      </c>
      <c r="T45">
        <v>79.966881000000001</v>
      </c>
      <c r="U45">
        <v>81.202849999999998</v>
      </c>
      <c r="V45">
        <v>82.415374999999997</v>
      </c>
      <c r="W45">
        <v>83.602806000000001</v>
      </c>
      <c r="X45">
        <v>84.763367000000002</v>
      </c>
      <c r="Y45">
        <v>85.895576000000005</v>
      </c>
      <c r="Z45">
        <v>86.997992999999994</v>
      </c>
      <c r="AA45">
        <v>88.069030999999995</v>
      </c>
      <c r="AB45">
        <v>89.107414000000006</v>
      </c>
      <c r="AC45">
        <v>90.111655999999996</v>
      </c>
      <c r="AD45">
        <v>91.080359999999999</v>
      </c>
      <c r="AE45">
        <v>92.012069999999994</v>
      </c>
      <c r="AF45">
        <v>92.905731000000003</v>
      </c>
      <c r="AG45" s="9">
        <v>1.6E-2</v>
      </c>
    </row>
    <row r="46" spans="1:33">
      <c r="A46" t="s">
        <v>683</v>
      </c>
      <c r="B46" t="s">
        <v>1080</v>
      </c>
      <c r="C46" t="s">
        <v>1079</v>
      </c>
      <c r="D46" t="s">
        <v>194</v>
      </c>
      <c r="F46">
        <v>69.394988999999995</v>
      </c>
      <c r="G46">
        <v>71.553061999999997</v>
      </c>
      <c r="H46">
        <v>73.830887000000004</v>
      </c>
      <c r="I46">
        <v>76.054976999999994</v>
      </c>
      <c r="J46">
        <v>78.210655000000003</v>
      </c>
      <c r="K46">
        <v>80.359641999999994</v>
      </c>
      <c r="L46">
        <v>82.524390999999994</v>
      </c>
      <c r="M46">
        <v>84.710280999999995</v>
      </c>
      <c r="N46">
        <v>86.920876000000007</v>
      </c>
      <c r="O46">
        <v>89.155333999999996</v>
      </c>
      <c r="P46">
        <v>91.410995</v>
      </c>
      <c r="Q46">
        <v>93.683670000000006</v>
      </c>
      <c r="R46">
        <v>95.972763</v>
      </c>
      <c r="S46">
        <v>98.285042000000004</v>
      </c>
      <c r="T46">
        <v>100.623085</v>
      </c>
      <c r="U46">
        <v>102.989632</v>
      </c>
      <c r="V46">
        <v>105.38149300000001</v>
      </c>
      <c r="W46">
        <v>107.796898</v>
      </c>
      <c r="X46">
        <v>110.235725</v>
      </c>
      <c r="Y46">
        <v>112.699051</v>
      </c>
      <c r="Z46">
        <v>115.18602799999999</v>
      </c>
      <c r="AA46">
        <v>117.69615899999999</v>
      </c>
      <c r="AB46">
        <v>120.228554</v>
      </c>
      <c r="AC46">
        <v>122.780357</v>
      </c>
      <c r="AD46">
        <v>125.350594</v>
      </c>
      <c r="AE46">
        <v>127.940399</v>
      </c>
      <c r="AF46">
        <v>130.55209400000001</v>
      </c>
      <c r="AG46" s="9">
        <v>2.5000000000000001E-2</v>
      </c>
    </row>
    <row r="47" spans="1:33">
      <c r="A47" t="s">
        <v>343</v>
      </c>
      <c r="B47" t="s">
        <v>1078</v>
      </c>
      <c r="C47" t="s">
        <v>1077</v>
      </c>
      <c r="D47" t="s">
        <v>194</v>
      </c>
      <c r="F47">
        <v>2861.9477539999998</v>
      </c>
      <c r="G47">
        <v>2963.040039</v>
      </c>
      <c r="H47">
        <v>3070.0646969999998</v>
      </c>
      <c r="I47">
        <v>3175.623047</v>
      </c>
      <c r="J47">
        <v>3280.3510740000002</v>
      </c>
      <c r="K47">
        <v>3388.8789059999999</v>
      </c>
      <c r="L47">
        <v>3498.4436040000001</v>
      </c>
      <c r="M47">
        <v>3607.642578</v>
      </c>
      <c r="N47">
        <v>3721.2858890000002</v>
      </c>
      <c r="O47">
        <v>3838.1044919999999</v>
      </c>
      <c r="P47">
        <v>3956.3627929999998</v>
      </c>
      <c r="Q47">
        <v>4078.0507809999999</v>
      </c>
      <c r="R47">
        <v>4201.4858400000003</v>
      </c>
      <c r="S47">
        <v>4327.6679690000001</v>
      </c>
      <c r="T47">
        <v>4457.1420900000003</v>
      </c>
      <c r="U47">
        <v>4588.6489259999998</v>
      </c>
      <c r="V47">
        <v>4722.3100590000004</v>
      </c>
      <c r="W47">
        <v>4857.7558589999999</v>
      </c>
      <c r="X47">
        <v>4996.9340819999998</v>
      </c>
      <c r="Y47">
        <v>5137.5678710000002</v>
      </c>
      <c r="Z47">
        <v>5278.5747069999998</v>
      </c>
      <c r="AA47">
        <v>5420.8920900000003</v>
      </c>
      <c r="AB47">
        <v>5564.5610349999997</v>
      </c>
      <c r="AC47">
        <v>5713.001953</v>
      </c>
      <c r="AD47">
        <v>5864.3222660000001</v>
      </c>
      <c r="AE47">
        <v>6016.1069340000004</v>
      </c>
      <c r="AF47">
        <v>6169.0722660000001</v>
      </c>
      <c r="AG47" s="9">
        <v>0.03</v>
      </c>
    </row>
    <row r="48" spans="1:33">
      <c r="A48" t="s">
        <v>199</v>
      </c>
    </row>
    <row r="49" spans="1:33">
      <c r="A49" t="s">
        <v>203</v>
      </c>
      <c r="B49" t="s">
        <v>1076</v>
      </c>
      <c r="C49" t="s">
        <v>1075</v>
      </c>
      <c r="D49" t="s">
        <v>194</v>
      </c>
      <c r="F49">
        <v>430.05841099999998</v>
      </c>
      <c r="G49">
        <v>440.68881199999998</v>
      </c>
      <c r="H49">
        <v>452.96109000000001</v>
      </c>
      <c r="I49">
        <v>464.51516700000002</v>
      </c>
      <c r="J49">
        <v>474.60986300000002</v>
      </c>
      <c r="K49">
        <v>485.356537</v>
      </c>
      <c r="L49">
        <v>495.48510700000003</v>
      </c>
      <c r="M49">
        <v>504.40972900000003</v>
      </c>
      <c r="N49">
        <v>514.33551</v>
      </c>
      <c r="O49">
        <v>524.80676300000005</v>
      </c>
      <c r="P49">
        <v>535.051514</v>
      </c>
      <c r="Q49">
        <v>546.09051499999998</v>
      </c>
      <c r="R49">
        <v>557.34069799999997</v>
      </c>
      <c r="S49">
        <v>569.17608600000005</v>
      </c>
      <c r="T49">
        <v>581.73895300000004</v>
      </c>
      <c r="U49">
        <v>594.39086899999995</v>
      </c>
      <c r="V49">
        <v>607.14080799999999</v>
      </c>
      <c r="W49">
        <v>619.80383300000005</v>
      </c>
      <c r="X49">
        <v>633.34387200000003</v>
      </c>
      <c r="Y49">
        <v>646.74987799999997</v>
      </c>
      <c r="Z49">
        <v>659.56420900000001</v>
      </c>
      <c r="AA49">
        <v>672.27984600000002</v>
      </c>
      <c r="AB49">
        <v>684.91857900000002</v>
      </c>
      <c r="AC49">
        <v>699.22735599999999</v>
      </c>
      <c r="AD49">
        <v>714.35424799999998</v>
      </c>
      <c r="AE49">
        <v>729.09729000000004</v>
      </c>
      <c r="AF49">
        <v>743.78802499999995</v>
      </c>
      <c r="AG49" s="9">
        <v>2.1000000000000001E-2</v>
      </c>
    </row>
    <row r="50" spans="1:33">
      <c r="A50" t="s">
        <v>204</v>
      </c>
      <c r="B50" t="s">
        <v>1074</v>
      </c>
      <c r="C50" t="s">
        <v>1073</v>
      </c>
      <c r="D50" t="s">
        <v>194</v>
      </c>
      <c r="F50">
        <v>91.476264999999998</v>
      </c>
      <c r="G50">
        <v>93.832831999999996</v>
      </c>
      <c r="H50">
        <v>96.111671000000001</v>
      </c>
      <c r="I50">
        <v>98.392844999999994</v>
      </c>
      <c r="J50">
        <v>101.040825</v>
      </c>
      <c r="K50">
        <v>103.740707</v>
      </c>
      <c r="L50">
        <v>106.49829099999999</v>
      </c>
      <c r="M50">
        <v>109.309555</v>
      </c>
      <c r="N50">
        <v>112.171707</v>
      </c>
      <c r="O50">
        <v>115.08934000000001</v>
      </c>
      <c r="P50">
        <v>118.063339</v>
      </c>
      <c r="Q50">
        <v>121.09517700000001</v>
      </c>
      <c r="R50">
        <v>124.184647</v>
      </c>
      <c r="S50">
        <v>127.32952899999999</v>
      </c>
      <c r="T50">
        <v>130.53048699999999</v>
      </c>
      <c r="U50">
        <v>133.79141200000001</v>
      </c>
      <c r="V50">
        <v>137.113586</v>
      </c>
      <c r="W50">
        <v>140.500778</v>
      </c>
      <c r="X50">
        <v>143.95413199999999</v>
      </c>
      <c r="Y50">
        <v>147.47479200000001</v>
      </c>
      <c r="Z50">
        <v>151.06225599999999</v>
      </c>
      <c r="AA50">
        <v>154.71464499999999</v>
      </c>
      <c r="AB50">
        <v>158.436508</v>
      </c>
      <c r="AC50">
        <v>162.23324600000001</v>
      </c>
      <c r="AD50">
        <v>166.10569799999999</v>
      </c>
      <c r="AE50">
        <v>170.056061</v>
      </c>
      <c r="AF50">
        <v>174.081863</v>
      </c>
      <c r="AG50" s="9">
        <v>2.5000000000000001E-2</v>
      </c>
    </row>
    <row r="51" spans="1:33">
      <c r="A51" t="s">
        <v>713</v>
      </c>
      <c r="B51" t="s">
        <v>1072</v>
      </c>
      <c r="C51" t="s">
        <v>1071</v>
      </c>
      <c r="D51" t="s">
        <v>194</v>
      </c>
      <c r="F51">
        <v>53.703476000000002</v>
      </c>
      <c r="G51">
        <v>55.506596000000002</v>
      </c>
      <c r="H51">
        <v>57.397350000000003</v>
      </c>
      <c r="I51">
        <v>59.322150999999998</v>
      </c>
      <c r="J51">
        <v>61.274090000000001</v>
      </c>
      <c r="K51">
        <v>63.265579000000002</v>
      </c>
      <c r="L51">
        <v>65.302077999999995</v>
      </c>
      <c r="M51">
        <v>67.385193000000001</v>
      </c>
      <c r="N51">
        <v>69.518416999999999</v>
      </c>
      <c r="O51">
        <v>71.703734999999995</v>
      </c>
      <c r="P51">
        <v>73.940025000000006</v>
      </c>
      <c r="Q51">
        <v>76.228470000000002</v>
      </c>
      <c r="R51">
        <v>78.570160000000001</v>
      </c>
      <c r="S51">
        <v>80.966080000000005</v>
      </c>
      <c r="T51">
        <v>83.417336000000006</v>
      </c>
      <c r="U51">
        <v>85.921218999999994</v>
      </c>
      <c r="V51">
        <v>88.478690999999998</v>
      </c>
      <c r="W51">
        <v>91.092147999999995</v>
      </c>
      <c r="X51">
        <v>93.761596999999995</v>
      </c>
      <c r="Y51">
        <v>96.485855000000001</v>
      </c>
      <c r="Z51">
        <v>99.266707999999994</v>
      </c>
      <c r="AA51">
        <v>102.104439</v>
      </c>
      <c r="AB51">
        <v>104.997818</v>
      </c>
      <c r="AC51">
        <v>107.94731899999999</v>
      </c>
      <c r="AD51">
        <v>110.955742</v>
      </c>
      <c r="AE51">
        <v>114.022141</v>
      </c>
      <c r="AF51">
        <v>117.146202</v>
      </c>
      <c r="AG51" s="9">
        <v>0.03</v>
      </c>
    </row>
    <row r="52" spans="1:33">
      <c r="A52" t="s">
        <v>710</v>
      </c>
      <c r="B52" t="s">
        <v>1070</v>
      </c>
      <c r="C52" t="s">
        <v>1069</v>
      </c>
      <c r="D52" t="s">
        <v>194</v>
      </c>
      <c r="F52">
        <v>654.94726600000001</v>
      </c>
      <c r="G52">
        <v>668.00811799999997</v>
      </c>
      <c r="H52">
        <v>681.23877000000005</v>
      </c>
      <c r="I52">
        <v>694.59606900000006</v>
      </c>
      <c r="J52">
        <v>708.11199999999997</v>
      </c>
      <c r="K52">
        <v>721.83044400000006</v>
      </c>
      <c r="L52">
        <v>735.75872800000002</v>
      </c>
      <c r="M52">
        <v>749.88165300000003</v>
      </c>
      <c r="N52">
        <v>764.21392800000001</v>
      </c>
      <c r="O52">
        <v>778.78875700000003</v>
      </c>
      <c r="P52">
        <v>793.63091999999995</v>
      </c>
      <c r="Q52">
        <v>808.722534</v>
      </c>
      <c r="R52">
        <v>824.07049600000005</v>
      </c>
      <c r="S52">
        <v>839.66180399999996</v>
      </c>
      <c r="T52">
        <v>855.47448699999995</v>
      </c>
      <c r="U52">
        <v>871.51464799999997</v>
      </c>
      <c r="V52">
        <v>887.77990699999998</v>
      </c>
      <c r="W52">
        <v>904.264771</v>
      </c>
      <c r="X52">
        <v>920.97662400000002</v>
      </c>
      <c r="Y52">
        <v>937.90460199999995</v>
      </c>
      <c r="Z52">
        <v>955.03942900000004</v>
      </c>
      <c r="AA52">
        <v>972.37188700000002</v>
      </c>
      <c r="AB52">
        <v>989.90979000000004</v>
      </c>
      <c r="AC52">
        <v>1007.649109</v>
      </c>
      <c r="AD52">
        <v>1025.569702</v>
      </c>
      <c r="AE52">
        <v>1043.6695560000001</v>
      </c>
      <c r="AF52">
        <v>1061.947388</v>
      </c>
      <c r="AG52" s="9">
        <v>1.9E-2</v>
      </c>
    </row>
    <row r="53" spans="1:33">
      <c r="A53" t="s">
        <v>336</v>
      </c>
      <c r="B53" t="s">
        <v>1068</v>
      </c>
      <c r="C53" t="s">
        <v>1067</v>
      </c>
      <c r="D53" t="s">
        <v>194</v>
      </c>
      <c r="F53">
        <v>111.20050000000001</v>
      </c>
      <c r="G53">
        <v>113.247787</v>
      </c>
      <c r="H53">
        <v>114.312172</v>
      </c>
      <c r="I53">
        <v>115.366173</v>
      </c>
      <c r="J53">
        <v>116.07556200000001</v>
      </c>
      <c r="K53">
        <v>116.602715</v>
      </c>
      <c r="L53">
        <v>116.983994</v>
      </c>
      <c r="M53">
        <v>117.16745</v>
      </c>
      <c r="N53">
        <v>117.296249</v>
      </c>
      <c r="O53">
        <v>117.341461</v>
      </c>
      <c r="P53">
        <v>117.250839</v>
      </c>
      <c r="Q53">
        <v>117.043808</v>
      </c>
      <c r="R53">
        <v>116.742012</v>
      </c>
      <c r="S53">
        <v>116.40830200000001</v>
      </c>
      <c r="T53">
        <v>116.041786</v>
      </c>
      <c r="U53">
        <v>115.635536</v>
      </c>
      <c r="V53">
        <v>115.259636</v>
      </c>
      <c r="W53">
        <v>114.937286</v>
      </c>
      <c r="X53">
        <v>114.66767900000001</v>
      </c>
      <c r="Y53">
        <v>114.455704</v>
      </c>
      <c r="Z53">
        <v>114.31337000000001</v>
      </c>
      <c r="AA53">
        <v>114.286362</v>
      </c>
      <c r="AB53">
        <v>114.365967</v>
      </c>
      <c r="AC53">
        <v>114.519463</v>
      </c>
      <c r="AD53">
        <v>114.716476</v>
      </c>
      <c r="AE53">
        <v>114.93707999999999</v>
      </c>
      <c r="AF53">
        <v>115.23711400000001</v>
      </c>
      <c r="AG53" s="9">
        <v>1E-3</v>
      </c>
    </row>
    <row r="54" spans="1:33">
      <c r="A54" t="s">
        <v>337</v>
      </c>
      <c r="B54" t="s">
        <v>1066</v>
      </c>
      <c r="C54" t="s">
        <v>1065</v>
      </c>
      <c r="D54" t="s">
        <v>194</v>
      </c>
      <c r="F54">
        <v>93.077072000000001</v>
      </c>
      <c r="G54">
        <v>97.347054</v>
      </c>
      <c r="H54">
        <v>100.346962</v>
      </c>
      <c r="I54">
        <v>103.454514</v>
      </c>
      <c r="J54">
        <v>106.697205</v>
      </c>
      <c r="K54">
        <v>109.99550600000001</v>
      </c>
      <c r="L54">
        <v>113.349457</v>
      </c>
      <c r="M54">
        <v>116.768585</v>
      </c>
      <c r="N54">
        <v>120.247253</v>
      </c>
      <c r="O54">
        <v>123.784676</v>
      </c>
      <c r="P54">
        <v>127.38407100000001</v>
      </c>
      <c r="Q54">
        <v>131.03810100000001</v>
      </c>
      <c r="R54">
        <v>134.756958</v>
      </c>
      <c r="S54">
        <v>138.54345699999999</v>
      </c>
      <c r="T54">
        <v>142.37951699999999</v>
      </c>
      <c r="U54">
        <v>146.28173799999999</v>
      </c>
      <c r="V54">
        <v>150.253479</v>
      </c>
      <c r="W54">
        <v>154.300659</v>
      </c>
      <c r="X54">
        <v>158.424271</v>
      </c>
      <c r="Y54">
        <v>162.625519</v>
      </c>
      <c r="Z54">
        <v>166.90373199999999</v>
      </c>
      <c r="AA54">
        <v>171.258194</v>
      </c>
      <c r="AB54">
        <v>175.689178</v>
      </c>
      <c r="AC54">
        <v>180.19679300000001</v>
      </c>
      <c r="AD54">
        <v>184.78239400000001</v>
      </c>
      <c r="AE54">
        <v>189.44686899999999</v>
      </c>
      <c r="AF54">
        <v>194.19125399999999</v>
      </c>
      <c r="AG54" s="9">
        <v>2.9000000000000001E-2</v>
      </c>
    </row>
    <row r="55" spans="1:33">
      <c r="A55" t="s">
        <v>338</v>
      </c>
      <c r="B55" t="s">
        <v>1064</v>
      </c>
      <c r="C55" t="s">
        <v>1063</v>
      </c>
      <c r="D55" t="s">
        <v>194</v>
      </c>
      <c r="F55">
        <v>84.734618999999995</v>
      </c>
      <c r="G55">
        <v>87.851676999999995</v>
      </c>
      <c r="H55">
        <v>93.000404000000003</v>
      </c>
      <c r="I55">
        <v>98.037666000000002</v>
      </c>
      <c r="J55">
        <v>103.024979</v>
      </c>
      <c r="K55">
        <v>108.037781</v>
      </c>
      <c r="L55">
        <v>113.14192199999999</v>
      </c>
      <c r="M55">
        <v>118.117958</v>
      </c>
      <c r="N55">
        <v>122.94111599999999</v>
      </c>
      <c r="O55">
        <v>127.66269699999999</v>
      </c>
      <c r="P55">
        <v>132.24221800000001</v>
      </c>
      <c r="Q55">
        <v>136.66746499999999</v>
      </c>
      <c r="R55">
        <v>141.12051400000001</v>
      </c>
      <c r="S55">
        <v>145.33145099999999</v>
      </c>
      <c r="T55">
        <v>149.458527</v>
      </c>
      <c r="U55">
        <v>153.42553699999999</v>
      </c>
      <c r="V55">
        <v>157.42263800000001</v>
      </c>
      <c r="W55">
        <v>161.51423600000001</v>
      </c>
      <c r="X55">
        <v>165.497131</v>
      </c>
      <c r="Y55">
        <v>169.230515</v>
      </c>
      <c r="Z55">
        <v>172.52616900000001</v>
      </c>
      <c r="AA55">
        <v>175.22241199999999</v>
      </c>
      <c r="AB55">
        <v>177.489273</v>
      </c>
      <c r="AC55">
        <v>179.520782</v>
      </c>
      <c r="AD55">
        <v>181.55062899999999</v>
      </c>
      <c r="AE55">
        <v>183.78713999999999</v>
      </c>
      <c r="AF55">
        <v>186.13983200000001</v>
      </c>
      <c r="AG55" s="9">
        <v>3.1E-2</v>
      </c>
    </row>
    <row r="56" spans="1:33">
      <c r="A56" t="s">
        <v>339</v>
      </c>
      <c r="B56" t="s">
        <v>1062</v>
      </c>
      <c r="C56" t="s">
        <v>1061</v>
      </c>
      <c r="D56" t="s">
        <v>194</v>
      </c>
      <c r="F56">
        <v>34.823203999999997</v>
      </c>
      <c r="G56">
        <v>53.199150000000003</v>
      </c>
      <c r="H56">
        <v>68.602608000000004</v>
      </c>
      <c r="I56">
        <v>77.888137999999998</v>
      </c>
      <c r="J56">
        <v>83.273750000000007</v>
      </c>
      <c r="K56">
        <v>84.848167000000004</v>
      </c>
      <c r="L56">
        <v>86.445426999999995</v>
      </c>
      <c r="M56">
        <v>88.064010999999994</v>
      </c>
      <c r="N56">
        <v>89.724434000000002</v>
      </c>
      <c r="O56">
        <v>91.438202000000004</v>
      </c>
      <c r="P56">
        <v>93.206688</v>
      </c>
      <c r="Q56">
        <v>95.022446000000002</v>
      </c>
      <c r="R56">
        <v>96.854218000000003</v>
      </c>
      <c r="S56">
        <v>98.696892000000005</v>
      </c>
      <c r="T56">
        <v>100.56231699999999</v>
      </c>
      <c r="U56">
        <v>102.454742</v>
      </c>
      <c r="V56">
        <v>104.386505</v>
      </c>
      <c r="W56">
        <v>106.431129</v>
      </c>
      <c r="X56">
        <v>108.56416299999999</v>
      </c>
      <c r="Y56">
        <v>110.746101</v>
      </c>
      <c r="Z56">
        <v>112.97219800000001</v>
      </c>
      <c r="AA56">
        <v>115.241676</v>
      </c>
      <c r="AB56">
        <v>117.571327</v>
      </c>
      <c r="AC56">
        <v>119.963142</v>
      </c>
      <c r="AD56">
        <v>122.368515</v>
      </c>
      <c r="AE56">
        <v>124.78976400000001</v>
      </c>
      <c r="AF56">
        <v>127.243607</v>
      </c>
      <c r="AG56" s="9">
        <v>5.0999999999999997E-2</v>
      </c>
    </row>
    <row r="57" spans="1:33">
      <c r="A57" t="s">
        <v>699</v>
      </c>
      <c r="B57" t="s">
        <v>1060</v>
      </c>
      <c r="C57" t="s">
        <v>1059</v>
      </c>
      <c r="D57" t="s">
        <v>194</v>
      </c>
      <c r="F57">
        <v>38.294426000000001</v>
      </c>
      <c r="G57">
        <v>40.916958000000001</v>
      </c>
      <c r="H57">
        <v>43.039192</v>
      </c>
      <c r="I57">
        <v>44.641739000000001</v>
      </c>
      <c r="J57">
        <v>47.114615999999998</v>
      </c>
      <c r="K57">
        <v>48.803108000000002</v>
      </c>
      <c r="L57">
        <v>50.489058999999997</v>
      </c>
      <c r="M57">
        <v>52.175716000000001</v>
      </c>
      <c r="N57">
        <v>53.893760999999998</v>
      </c>
      <c r="O57">
        <v>55.653084</v>
      </c>
      <c r="P57">
        <v>57.455379000000001</v>
      </c>
      <c r="Q57">
        <v>59.316958999999997</v>
      </c>
      <c r="R57">
        <v>61.246197000000002</v>
      </c>
      <c r="S57">
        <v>63.234070000000003</v>
      </c>
      <c r="T57">
        <v>65.274733999999995</v>
      </c>
      <c r="U57">
        <v>67.370750000000001</v>
      </c>
      <c r="V57">
        <v>69.513953999999998</v>
      </c>
      <c r="W57">
        <v>71.704566999999997</v>
      </c>
      <c r="X57">
        <v>73.959311999999997</v>
      </c>
      <c r="Y57">
        <v>76.279921999999999</v>
      </c>
      <c r="Z57">
        <v>78.665512000000007</v>
      </c>
      <c r="AA57">
        <v>81.116996999999998</v>
      </c>
      <c r="AB57">
        <v>83.620841999999996</v>
      </c>
      <c r="AC57">
        <v>86.183914000000001</v>
      </c>
      <c r="AD57">
        <v>88.806725</v>
      </c>
      <c r="AE57">
        <v>91.495270000000005</v>
      </c>
      <c r="AF57">
        <v>94.254333000000003</v>
      </c>
      <c r="AG57" s="9">
        <v>3.5000000000000003E-2</v>
      </c>
    </row>
    <row r="58" spans="1:33">
      <c r="A58" t="s">
        <v>206</v>
      </c>
      <c r="B58" t="s">
        <v>1058</v>
      </c>
      <c r="C58" t="s">
        <v>1057</v>
      </c>
      <c r="D58" t="s">
        <v>194</v>
      </c>
      <c r="F58">
        <v>172.03894</v>
      </c>
      <c r="G58">
        <v>181.23951700000001</v>
      </c>
      <c r="H58">
        <v>190.71087600000001</v>
      </c>
      <c r="I58">
        <v>200.331863</v>
      </c>
      <c r="J58">
        <v>210.32255599999999</v>
      </c>
      <c r="K58">
        <v>220.74735999999999</v>
      </c>
      <c r="L58">
        <v>231.59222399999999</v>
      </c>
      <c r="M58">
        <v>242.825073</v>
      </c>
      <c r="N58">
        <v>254.47190900000001</v>
      </c>
      <c r="O58">
        <v>266.495361</v>
      </c>
      <c r="P58">
        <v>278.89770499999997</v>
      </c>
      <c r="Q58">
        <v>291.68002300000001</v>
      </c>
      <c r="R58">
        <v>304.78671300000002</v>
      </c>
      <c r="S58">
        <v>318.26238999999998</v>
      </c>
      <c r="T58">
        <v>332.14761399999998</v>
      </c>
      <c r="U58">
        <v>346.44232199999999</v>
      </c>
      <c r="V58">
        <v>361.14477499999998</v>
      </c>
      <c r="W58">
        <v>376.255157</v>
      </c>
      <c r="X58">
        <v>391.77179000000001</v>
      </c>
      <c r="Y58">
        <v>407.69442700000002</v>
      </c>
      <c r="Z58">
        <v>424.018372</v>
      </c>
      <c r="AA58">
        <v>440.73339800000002</v>
      </c>
      <c r="AB58">
        <v>457.82699600000001</v>
      </c>
      <c r="AC58">
        <v>475.29129</v>
      </c>
      <c r="AD58">
        <v>493.113831</v>
      </c>
      <c r="AE58">
        <v>511.278412</v>
      </c>
      <c r="AF58">
        <v>529.77307099999996</v>
      </c>
      <c r="AG58" s="9">
        <v>4.3999999999999997E-2</v>
      </c>
    </row>
    <row r="59" spans="1:33">
      <c r="A59" t="s">
        <v>340</v>
      </c>
      <c r="B59" t="s">
        <v>1056</v>
      </c>
      <c r="C59" t="s">
        <v>1055</v>
      </c>
      <c r="D59" t="s">
        <v>194</v>
      </c>
      <c r="F59">
        <v>86.520072999999996</v>
      </c>
      <c r="G59">
        <v>93.157523999999995</v>
      </c>
      <c r="H59">
        <v>100.125305</v>
      </c>
      <c r="I59">
        <v>107.631851</v>
      </c>
      <c r="J59">
        <v>115.459602</v>
      </c>
      <c r="K59">
        <v>123.649925</v>
      </c>
      <c r="L59">
        <v>132.179947</v>
      </c>
      <c r="M59">
        <v>140.99498</v>
      </c>
      <c r="N59">
        <v>150.041687</v>
      </c>
      <c r="O59">
        <v>159.266006</v>
      </c>
      <c r="P59">
        <v>168.64465300000001</v>
      </c>
      <c r="Q59">
        <v>178.14730800000001</v>
      </c>
      <c r="R59">
        <v>187.72532699999999</v>
      </c>
      <c r="S59">
        <v>197.442184</v>
      </c>
      <c r="T59">
        <v>207.244553</v>
      </c>
      <c r="U59">
        <v>217.159164</v>
      </c>
      <c r="V59">
        <v>227.25672900000001</v>
      </c>
      <c r="W59">
        <v>237.520096</v>
      </c>
      <c r="X59">
        <v>247.936218</v>
      </c>
      <c r="Y59">
        <v>258.48223899999999</v>
      </c>
      <c r="Z59">
        <v>269.14267000000001</v>
      </c>
      <c r="AA59">
        <v>279.91980000000001</v>
      </c>
      <c r="AB59">
        <v>290.825287</v>
      </c>
      <c r="AC59">
        <v>301.84231599999998</v>
      </c>
      <c r="AD59">
        <v>312.956299</v>
      </c>
      <c r="AE59">
        <v>324.15368699999999</v>
      </c>
      <c r="AF59">
        <v>335.41961700000002</v>
      </c>
      <c r="AG59" s="9">
        <v>5.2999999999999999E-2</v>
      </c>
    </row>
    <row r="60" spans="1:33">
      <c r="A60" t="s">
        <v>692</v>
      </c>
      <c r="B60" t="s">
        <v>1054</v>
      </c>
      <c r="C60" t="s">
        <v>1053</v>
      </c>
      <c r="D60" t="s">
        <v>194</v>
      </c>
      <c r="F60">
        <v>325.84808299999997</v>
      </c>
      <c r="G60">
        <v>361.85305799999998</v>
      </c>
      <c r="H60">
        <v>377.535889</v>
      </c>
      <c r="I60">
        <v>393.58837899999997</v>
      </c>
      <c r="J60">
        <v>409.98452800000001</v>
      </c>
      <c r="K60">
        <v>426.74026500000002</v>
      </c>
      <c r="L60">
        <v>443.95779399999998</v>
      </c>
      <c r="M60">
        <v>461.68679800000001</v>
      </c>
      <c r="N60">
        <v>479.91616800000003</v>
      </c>
      <c r="O60">
        <v>498.62008700000001</v>
      </c>
      <c r="P60">
        <v>517.75683600000002</v>
      </c>
      <c r="Q60">
        <v>537.29278599999998</v>
      </c>
      <c r="R60">
        <v>557.25830099999996</v>
      </c>
      <c r="S60">
        <v>577.62469499999997</v>
      </c>
      <c r="T60">
        <v>598.53753700000004</v>
      </c>
      <c r="U60">
        <v>620.01531999999997</v>
      </c>
      <c r="V60">
        <v>642.04522699999995</v>
      </c>
      <c r="W60">
        <v>664.59234600000002</v>
      </c>
      <c r="X60">
        <v>687.67797900000005</v>
      </c>
      <c r="Y60">
        <v>711.309753</v>
      </c>
      <c r="Z60">
        <v>735.48333700000001</v>
      </c>
      <c r="AA60">
        <v>760.19000200000005</v>
      </c>
      <c r="AB60">
        <v>785.42694100000006</v>
      </c>
      <c r="AC60">
        <v>811.141479</v>
      </c>
      <c r="AD60">
        <v>837.35015899999996</v>
      </c>
      <c r="AE60">
        <v>864.12316899999996</v>
      </c>
      <c r="AF60">
        <v>891.49847399999999</v>
      </c>
      <c r="AG60" s="9">
        <v>3.9E-2</v>
      </c>
    </row>
    <row r="61" spans="1:33">
      <c r="A61" t="s">
        <v>341</v>
      </c>
      <c r="B61" t="s">
        <v>1052</v>
      </c>
      <c r="C61" t="s">
        <v>1051</v>
      </c>
      <c r="D61" t="s">
        <v>194</v>
      </c>
      <c r="F61">
        <v>287.55706800000002</v>
      </c>
      <c r="G61">
        <v>300.99618500000003</v>
      </c>
      <c r="H61">
        <v>314.738586</v>
      </c>
      <c r="I61">
        <v>328.85745200000002</v>
      </c>
      <c r="J61">
        <v>343.26168799999999</v>
      </c>
      <c r="K61">
        <v>358.037262</v>
      </c>
      <c r="L61">
        <v>373.20459</v>
      </c>
      <c r="M61">
        <v>388.817566</v>
      </c>
      <c r="N61">
        <v>404.96075400000001</v>
      </c>
      <c r="O61">
        <v>421.64666699999998</v>
      </c>
      <c r="P61">
        <v>438.89480600000002</v>
      </c>
      <c r="Q61">
        <v>456.72311400000001</v>
      </c>
      <c r="R61">
        <v>475.16336100000001</v>
      </c>
      <c r="S61">
        <v>494.23895299999998</v>
      </c>
      <c r="T61">
        <v>513.95831299999998</v>
      </c>
      <c r="U61">
        <v>534.36059599999999</v>
      </c>
      <c r="V61">
        <v>555.47491500000001</v>
      </c>
      <c r="W61">
        <v>577.27185099999997</v>
      </c>
      <c r="X61">
        <v>599.75683600000002</v>
      </c>
      <c r="Y61">
        <v>622.948669</v>
      </c>
      <c r="Z61">
        <v>646.877747</v>
      </c>
      <c r="AA61">
        <v>671.59381099999996</v>
      </c>
      <c r="AB61">
        <v>697.06860400000005</v>
      </c>
      <c r="AC61">
        <v>723.32800299999997</v>
      </c>
      <c r="AD61">
        <v>750.442993</v>
      </c>
      <c r="AE61">
        <v>778.44030799999996</v>
      </c>
      <c r="AF61">
        <v>807.30480999999997</v>
      </c>
      <c r="AG61" s="9">
        <v>4.1000000000000002E-2</v>
      </c>
    </row>
    <row r="62" spans="1:33">
      <c r="A62" t="s">
        <v>205</v>
      </c>
      <c r="B62" t="s">
        <v>1050</v>
      </c>
      <c r="C62" t="s">
        <v>1049</v>
      </c>
      <c r="D62" t="s">
        <v>194</v>
      </c>
      <c r="F62">
        <v>115.48080400000001</v>
      </c>
      <c r="G62">
        <v>120.811089</v>
      </c>
      <c r="H62">
        <v>126.92974100000001</v>
      </c>
      <c r="I62">
        <v>132.74588</v>
      </c>
      <c r="J62">
        <v>138.643936</v>
      </c>
      <c r="K62">
        <v>144.65969799999999</v>
      </c>
      <c r="L62">
        <v>150.863663</v>
      </c>
      <c r="M62">
        <v>157.27917500000001</v>
      </c>
      <c r="N62">
        <v>163.84094200000001</v>
      </c>
      <c r="O62">
        <v>170.55853300000001</v>
      </c>
      <c r="P62">
        <v>177.45858799999999</v>
      </c>
      <c r="Q62">
        <v>184.551254</v>
      </c>
      <c r="R62">
        <v>191.85424800000001</v>
      </c>
      <c r="S62">
        <v>199.36219800000001</v>
      </c>
      <c r="T62">
        <v>207.06878699999999</v>
      </c>
      <c r="U62">
        <v>214.977982</v>
      </c>
      <c r="V62">
        <v>223.09335300000001</v>
      </c>
      <c r="W62">
        <v>231.42195100000001</v>
      </c>
      <c r="X62">
        <v>239.96167</v>
      </c>
      <c r="Y62">
        <v>248.718445</v>
      </c>
      <c r="Z62">
        <v>257.70016500000003</v>
      </c>
      <c r="AA62">
        <v>266.909943</v>
      </c>
      <c r="AB62">
        <v>276.34884599999998</v>
      </c>
      <c r="AC62">
        <v>286.01666299999999</v>
      </c>
      <c r="AD62">
        <v>295.91403200000002</v>
      </c>
      <c r="AE62">
        <v>306.04107699999997</v>
      </c>
      <c r="AF62">
        <v>316.39913899999999</v>
      </c>
      <c r="AG62" s="9">
        <v>0.04</v>
      </c>
    </row>
    <row r="63" spans="1:33">
      <c r="A63" t="s">
        <v>342</v>
      </c>
      <c r="B63" t="s">
        <v>1048</v>
      </c>
      <c r="C63" t="s">
        <v>1047</v>
      </c>
      <c r="D63" t="s">
        <v>194</v>
      </c>
      <c r="F63">
        <v>46.115017000000002</v>
      </c>
      <c r="G63">
        <v>47.310741</v>
      </c>
      <c r="H63">
        <v>48.229725000000002</v>
      </c>
      <c r="I63">
        <v>49.488112999999998</v>
      </c>
      <c r="J63">
        <v>50.884785000000001</v>
      </c>
      <c r="K63">
        <v>52.25441</v>
      </c>
      <c r="L63">
        <v>53.596169000000003</v>
      </c>
      <c r="M63">
        <v>54.917076000000002</v>
      </c>
      <c r="N63">
        <v>56.221229999999998</v>
      </c>
      <c r="O63">
        <v>57.509799999999998</v>
      </c>
      <c r="P63">
        <v>58.781368000000001</v>
      </c>
      <c r="Q63">
        <v>60.034503999999998</v>
      </c>
      <c r="R63">
        <v>61.268256999999998</v>
      </c>
      <c r="S63">
        <v>62.481833999999999</v>
      </c>
      <c r="T63">
        <v>63.673732999999999</v>
      </c>
      <c r="U63">
        <v>64.842285000000004</v>
      </c>
      <c r="V63">
        <v>65.985412999999994</v>
      </c>
      <c r="W63">
        <v>67.101867999999996</v>
      </c>
      <c r="X63">
        <v>68.191078000000005</v>
      </c>
      <c r="Y63">
        <v>69.250877000000003</v>
      </c>
      <c r="Z63">
        <v>70.279235999999997</v>
      </c>
      <c r="AA63">
        <v>71.274451999999997</v>
      </c>
      <c r="AB63">
        <v>72.234375</v>
      </c>
      <c r="AC63">
        <v>73.156852999999998</v>
      </c>
      <c r="AD63">
        <v>74.040374999999997</v>
      </c>
      <c r="AE63">
        <v>74.883574999999993</v>
      </c>
      <c r="AF63">
        <v>75.684203999999994</v>
      </c>
      <c r="AG63" s="9">
        <v>1.9E-2</v>
      </c>
    </row>
    <row r="64" spans="1:33">
      <c r="A64" t="s">
        <v>683</v>
      </c>
      <c r="B64" t="s">
        <v>1046</v>
      </c>
      <c r="C64" t="s">
        <v>1045</v>
      </c>
      <c r="D64" t="s">
        <v>194</v>
      </c>
      <c r="F64">
        <v>111.142937</v>
      </c>
      <c r="G64">
        <v>114.97421300000001</v>
      </c>
      <c r="H64">
        <v>118.941704</v>
      </c>
      <c r="I64">
        <v>122.961449</v>
      </c>
      <c r="J64">
        <v>127.026382</v>
      </c>
      <c r="K64">
        <v>131.168915</v>
      </c>
      <c r="L64">
        <v>135.40394599999999</v>
      </c>
      <c r="M64">
        <v>139.73571799999999</v>
      </c>
      <c r="N64">
        <v>144.16679400000001</v>
      </c>
      <c r="O64">
        <v>148.69725</v>
      </c>
      <c r="P64">
        <v>153.328552</v>
      </c>
      <c r="Q64">
        <v>158.05772400000001</v>
      </c>
      <c r="R64">
        <v>162.88265999999999</v>
      </c>
      <c r="S64">
        <v>167.807312</v>
      </c>
      <c r="T64">
        <v>172.83622700000001</v>
      </c>
      <c r="U64">
        <v>177.97219799999999</v>
      </c>
      <c r="V64">
        <v>183.21159399999999</v>
      </c>
      <c r="W64">
        <v>188.55363500000001</v>
      </c>
      <c r="X64">
        <v>194.00083900000001</v>
      </c>
      <c r="Y64">
        <v>199.554733</v>
      </c>
      <c r="Z64">
        <v>205.21554599999999</v>
      </c>
      <c r="AA64">
        <v>210.98547400000001</v>
      </c>
      <c r="AB64">
        <v>216.865005</v>
      </c>
      <c r="AC64">
        <v>222.85565199999999</v>
      </c>
      <c r="AD64">
        <v>228.957581</v>
      </c>
      <c r="AE64">
        <v>235.16992200000001</v>
      </c>
      <c r="AF64">
        <v>241.498276</v>
      </c>
      <c r="AG64" s="9">
        <v>0.03</v>
      </c>
    </row>
    <row r="65" spans="1:33">
      <c r="A65" t="s">
        <v>344</v>
      </c>
      <c r="B65" t="s">
        <v>1044</v>
      </c>
      <c r="C65" t="s">
        <v>1042</v>
      </c>
      <c r="D65" t="s">
        <v>194</v>
      </c>
      <c r="F65">
        <v>2737.0183109999998</v>
      </c>
      <c r="G65">
        <v>2870.9411620000001</v>
      </c>
      <c r="H65">
        <v>2984.2219239999999</v>
      </c>
      <c r="I65">
        <v>3091.8195799999999</v>
      </c>
      <c r="J65">
        <v>3196.8063959999999</v>
      </c>
      <c r="K65">
        <v>3299.7385250000002</v>
      </c>
      <c r="L65">
        <v>3404.2524410000001</v>
      </c>
      <c r="M65">
        <v>3509.5361330000001</v>
      </c>
      <c r="N65">
        <v>3617.9621579999998</v>
      </c>
      <c r="O65">
        <v>3729.0625</v>
      </c>
      <c r="P65">
        <v>3841.9873050000001</v>
      </c>
      <c r="Q65">
        <v>3957.7124020000001</v>
      </c>
      <c r="R65">
        <v>4075.8247070000002</v>
      </c>
      <c r="S65">
        <v>4196.5673829999996</v>
      </c>
      <c r="T65">
        <v>4320.3447269999997</v>
      </c>
      <c r="U65">
        <v>4446.5566410000001</v>
      </c>
      <c r="V65">
        <v>4575.5615230000003</v>
      </c>
      <c r="W65">
        <v>4707.2666019999997</v>
      </c>
      <c r="X65">
        <v>4842.4448240000002</v>
      </c>
      <c r="Y65">
        <v>4979.9121089999999</v>
      </c>
      <c r="Z65">
        <v>5119.0302730000003</v>
      </c>
      <c r="AA65">
        <v>5260.2036129999997</v>
      </c>
      <c r="AB65">
        <v>5403.595703</v>
      </c>
      <c r="AC65">
        <v>5551.0732420000004</v>
      </c>
      <c r="AD65">
        <v>5701.9853519999997</v>
      </c>
      <c r="AE65">
        <v>5855.3916019999997</v>
      </c>
      <c r="AF65">
        <v>6011.6069340000004</v>
      </c>
      <c r="AG65" s="9">
        <v>3.1E-2</v>
      </c>
    </row>
    <row r="66" spans="1:33">
      <c r="A66" t="s">
        <v>111</v>
      </c>
      <c r="B66" t="s">
        <v>1043</v>
      </c>
      <c r="C66" t="s">
        <v>1042</v>
      </c>
      <c r="D66" t="s">
        <v>194</v>
      </c>
      <c r="F66">
        <v>5598.9658200000003</v>
      </c>
      <c r="G66">
        <v>5833.9799800000001</v>
      </c>
      <c r="H66">
        <v>6054.2861329999996</v>
      </c>
      <c r="I66">
        <v>6267.4423829999996</v>
      </c>
      <c r="J66">
        <v>6477.1572269999997</v>
      </c>
      <c r="K66">
        <v>6688.6171880000002</v>
      </c>
      <c r="L66">
        <v>6902.6953119999998</v>
      </c>
      <c r="M66">
        <v>7117.1782229999999</v>
      </c>
      <c r="N66">
        <v>7339.248047</v>
      </c>
      <c r="O66">
        <v>7567.1660160000001</v>
      </c>
      <c r="P66">
        <v>7798.3500979999999</v>
      </c>
      <c r="Q66">
        <v>8035.7631840000004</v>
      </c>
      <c r="R66">
        <v>8277.3095699999994</v>
      </c>
      <c r="S66">
        <v>8524.2353519999997</v>
      </c>
      <c r="T66">
        <v>8777.4873050000006</v>
      </c>
      <c r="U66">
        <v>9035.2050780000009</v>
      </c>
      <c r="V66">
        <v>9297.8710940000001</v>
      </c>
      <c r="W66">
        <v>9565.0234380000002</v>
      </c>
      <c r="X66">
        <v>9839.3789059999999</v>
      </c>
      <c r="Y66">
        <v>10117.480469</v>
      </c>
      <c r="Z66">
        <v>10397.605469</v>
      </c>
      <c r="AA66">
        <v>10681.094727</v>
      </c>
      <c r="AB66">
        <v>10968.157227</v>
      </c>
      <c r="AC66">
        <v>11264.076171999999</v>
      </c>
      <c r="AD66">
        <v>11566.307617</v>
      </c>
      <c r="AE66">
        <v>11871.498046999999</v>
      </c>
      <c r="AF66">
        <v>12180.679688</v>
      </c>
      <c r="AG66" s="9">
        <v>0.03</v>
      </c>
    </row>
    <row r="67" spans="1:33" s="5" customFormat="1">
      <c r="A67" s="5" t="s">
        <v>208</v>
      </c>
    </row>
    <row r="68" spans="1:33" s="5" customFormat="1">
      <c r="A68" s="5" t="s">
        <v>203</v>
      </c>
      <c r="B68" s="5" t="s">
        <v>1041</v>
      </c>
      <c r="C68" s="5" t="s">
        <v>1040</v>
      </c>
      <c r="D68" s="5" t="s">
        <v>194</v>
      </c>
      <c r="F68" s="5">
        <v>51.452095</v>
      </c>
      <c r="G68" s="5">
        <v>52.590789999999998</v>
      </c>
      <c r="H68" s="5">
        <v>53.859558</v>
      </c>
      <c r="I68" s="5">
        <v>55.048133999999997</v>
      </c>
      <c r="J68" s="5">
        <v>56.123325000000001</v>
      </c>
      <c r="K68" s="5">
        <v>57.271408000000001</v>
      </c>
      <c r="L68" s="5">
        <v>58.376846</v>
      </c>
      <c r="M68" s="5">
        <v>59.385468000000003</v>
      </c>
      <c r="N68" s="5">
        <v>60.493416000000003</v>
      </c>
      <c r="O68" s="5">
        <v>61.658783</v>
      </c>
      <c r="P68" s="5">
        <v>62.810963000000001</v>
      </c>
      <c r="Q68" s="5">
        <v>64.039214999999999</v>
      </c>
      <c r="R68" s="5">
        <v>65.291115000000005</v>
      </c>
      <c r="S68" s="5">
        <v>66.600005999999993</v>
      </c>
      <c r="T68" s="5">
        <v>67.978249000000005</v>
      </c>
      <c r="U68" s="5">
        <v>69.367919999999998</v>
      </c>
      <c r="V68" s="5">
        <v>70.769645999999995</v>
      </c>
      <c r="W68" s="5">
        <v>72.166388999999995</v>
      </c>
      <c r="X68" s="5">
        <v>73.644210999999999</v>
      </c>
      <c r="Y68" s="5">
        <v>75.112540999999993</v>
      </c>
      <c r="Z68" s="5">
        <v>76.530411000000001</v>
      </c>
      <c r="AA68" s="5">
        <v>77.9422</v>
      </c>
      <c r="AB68" s="5">
        <v>79.349777000000003</v>
      </c>
      <c r="AC68" s="5">
        <v>80.910233000000005</v>
      </c>
      <c r="AD68" s="5">
        <v>82.547386000000003</v>
      </c>
      <c r="AE68" s="5">
        <v>84.153701999999996</v>
      </c>
      <c r="AF68" s="5">
        <v>85.759247000000002</v>
      </c>
      <c r="AG68" s="43">
        <v>0.02</v>
      </c>
    </row>
    <row r="69" spans="1:33">
      <c r="A69" t="s">
        <v>204</v>
      </c>
      <c r="B69" t="s">
        <v>1039</v>
      </c>
      <c r="C69" t="s">
        <v>1038</v>
      </c>
      <c r="D69" t="s">
        <v>194</v>
      </c>
      <c r="F69">
        <v>1.682606</v>
      </c>
      <c r="G69">
        <v>1.6933849999999999</v>
      </c>
      <c r="H69">
        <v>1.70486</v>
      </c>
      <c r="I69">
        <v>1.715508</v>
      </c>
      <c r="J69">
        <v>1.7250989999999999</v>
      </c>
      <c r="K69">
        <v>1.73397</v>
      </c>
      <c r="L69">
        <v>1.7422089999999999</v>
      </c>
      <c r="M69">
        <v>1.749763</v>
      </c>
      <c r="N69">
        <v>1.7567390000000001</v>
      </c>
      <c r="O69">
        <v>1.763382</v>
      </c>
      <c r="P69">
        <v>1.769722</v>
      </c>
      <c r="Q69">
        <v>1.7757849999999999</v>
      </c>
      <c r="R69">
        <v>1.7815719999999999</v>
      </c>
      <c r="S69">
        <v>1.787139</v>
      </c>
      <c r="T69">
        <v>1.79251</v>
      </c>
      <c r="U69">
        <v>1.7977749999999999</v>
      </c>
      <c r="V69">
        <v>1.802943</v>
      </c>
      <c r="W69">
        <v>1.8080540000000001</v>
      </c>
      <c r="X69">
        <v>1.813099</v>
      </c>
      <c r="Y69">
        <v>1.8180590000000001</v>
      </c>
      <c r="Z69">
        <v>1.8229059999999999</v>
      </c>
      <c r="AA69">
        <v>1.8276190000000001</v>
      </c>
      <c r="AB69">
        <v>1.832273</v>
      </c>
      <c r="AC69">
        <v>1.8368770000000001</v>
      </c>
      <c r="AD69">
        <v>1.8414010000000001</v>
      </c>
      <c r="AE69">
        <v>1.8458730000000001</v>
      </c>
      <c r="AF69">
        <v>1.850249</v>
      </c>
      <c r="AG69" s="9">
        <v>4.0000000000000001E-3</v>
      </c>
    </row>
    <row r="70" spans="1:33">
      <c r="A70" t="s">
        <v>713</v>
      </c>
      <c r="B70" t="s">
        <v>1037</v>
      </c>
      <c r="C70" t="s">
        <v>1036</v>
      </c>
      <c r="D70" t="s">
        <v>194</v>
      </c>
      <c r="F70">
        <v>1.40537</v>
      </c>
      <c r="G70">
        <v>1.4749380000000001</v>
      </c>
      <c r="H70">
        <v>1.548783</v>
      </c>
      <c r="I70">
        <v>1.616765</v>
      </c>
      <c r="J70">
        <v>1.677943</v>
      </c>
      <c r="K70">
        <v>1.7351080000000001</v>
      </c>
      <c r="L70">
        <v>1.7895829999999999</v>
      </c>
      <c r="M70">
        <v>1.841855</v>
      </c>
      <c r="N70">
        <v>1.8927179999999999</v>
      </c>
      <c r="O70">
        <v>1.9426559999999999</v>
      </c>
      <c r="P70">
        <v>1.9919089999999999</v>
      </c>
      <c r="Q70">
        <v>2.04068</v>
      </c>
      <c r="R70">
        <v>2.089143</v>
      </c>
      <c r="S70">
        <v>2.1374460000000002</v>
      </c>
      <c r="T70">
        <v>2.1857169999999999</v>
      </c>
      <c r="U70">
        <v>2.2340610000000001</v>
      </c>
      <c r="V70">
        <v>2.2825709999999999</v>
      </c>
      <c r="W70">
        <v>2.3313269999999999</v>
      </c>
      <c r="X70">
        <v>2.380395</v>
      </c>
      <c r="Y70">
        <v>2.4298310000000001</v>
      </c>
      <c r="Z70">
        <v>2.4796860000000001</v>
      </c>
      <c r="AA70">
        <v>2.5300009999999999</v>
      </c>
      <c r="AB70">
        <v>2.58081</v>
      </c>
      <c r="AC70">
        <v>2.632145</v>
      </c>
      <c r="AD70">
        <v>2.6840310000000001</v>
      </c>
      <c r="AE70">
        <v>2.7364890000000002</v>
      </c>
      <c r="AF70">
        <v>2.7895370000000002</v>
      </c>
      <c r="AG70" s="9">
        <v>2.7E-2</v>
      </c>
    </row>
    <row r="71" spans="1:33">
      <c r="A71" t="s">
        <v>710</v>
      </c>
      <c r="B71" t="s">
        <v>1035</v>
      </c>
      <c r="C71" t="s">
        <v>1034</v>
      </c>
      <c r="D71" t="s">
        <v>194</v>
      </c>
      <c r="F71">
        <v>37.819381999999997</v>
      </c>
      <c r="G71">
        <v>39.829979000000002</v>
      </c>
      <c r="H71">
        <v>41.962401999999997</v>
      </c>
      <c r="I71">
        <v>44.017982000000003</v>
      </c>
      <c r="J71">
        <v>45.981029999999997</v>
      </c>
      <c r="K71">
        <v>47.827193999999999</v>
      </c>
      <c r="L71">
        <v>49.563662999999998</v>
      </c>
      <c r="M71">
        <v>51.183768999999998</v>
      </c>
      <c r="N71">
        <v>52.729202000000001</v>
      </c>
      <c r="O71">
        <v>54.258862000000001</v>
      </c>
      <c r="P71">
        <v>55.782490000000003</v>
      </c>
      <c r="Q71">
        <v>57.298400999999998</v>
      </c>
      <c r="R71">
        <v>58.831843999999997</v>
      </c>
      <c r="S71">
        <v>60.363056</v>
      </c>
      <c r="T71">
        <v>61.885325999999999</v>
      </c>
      <c r="U71">
        <v>63.413066999999998</v>
      </c>
      <c r="V71">
        <v>64.948074000000005</v>
      </c>
      <c r="W71">
        <v>66.489029000000002</v>
      </c>
      <c r="X71">
        <v>68.049408</v>
      </c>
      <c r="Y71">
        <v>69.627876000000001</v>
      </c>
      <c r="Z71">
        <v>71.215384999999998</v>
      </c>
      <c r="AA71">
        <v>72.808066999999994</v>
      </c>
      <c r="AB71">
        <v>74.416756000000007</v>
      </c>
      <c r="AC71">
        <v>76.042304999999999</v>
      </c>
      <c r="AD71">
        <v>77.688286000000005</v>
      </c>
      <c r="AE71">
        <v>79.366530999999995</v>
      </c>
      <c r="AF71">
        <v>81.086922000000001</v>
      </c>
      <c r="AG71" s="9">
        <v>0.03</v>
      </c>
    </row>
    <row r="72" spans="1:33">
      <c r="A72" t="s">
        <v>336</v>
      </c>
      <c r="B72" t="s">
        <v>1033</v>
      </c>
      <c r="C72" t="s">
        <v>1032</v>
      </c>
      <c r="D72" t="s">
        <v>194</v>
      </c>
      <c r="F72">
        <v>7.0531600000000001</v>
      </c>
      <c r="G72">
        <v>7.1328019999999999</v>
      </c>
      <c r="H72">
        <v>7.1936109999999998</v>
      </c>
      <c r="I72">
        <v>7.2466419999999996</v>
      </c>
      <c r="J72">
        <v>7.2896599999999996</v>
      </c>
      <c r="K72">
        <v>7.3252819999999996</v>
      </c>
      <c r="L72">
        <v>7.354692</v>
      </c>
      <c r="M72">
        <v>7.3780530000000004</v>
      </c>
      <c r="N72">
        <v>7.3974289999999998</v>
      </c>
      <c r="O72">
        <v>7.4130450000000003</v>
      </c>
      <c r="P72">
        <v>7.4247990000000001</v>
      </c>
      <c r="Q72">
        <v>7.4332549999999999</v>
      </c>
      <c r="R72">
        <v>7.4389779999999996</v>
      </c>
      <c r="S72">
        <v>7.4428890000000001</v>
      </c>
      <c r="T72">
        <v>7.4452150000000001</v>
      </c>
      <c r="U72">
        <v>7.4460839999999999</v>
      </c>
      <c r="V72">
        <v>7.4463499999999998</v>
      </c>
      <c r="W72">
        <v>7.4463609999999996</v>
      </c>
      <c r="X72">
        <v>7.4462549999999998</v>
      </c>
      <c r="Y72">
        <v>7.4462010000000003</v>
      </c>
      <c r="Z72">
        <v>7.4463800000000004</v>
      </c>
      <c r="AA72">
        <v>7.4472959999999997</v>
      </c>
      <c r="AB72">
        <v>7.448925</v>
      </c>
      <c r="AC72">
        <v>7.451009</v>
      </c>
      <c r="AD72">
        <v>7.4532949999999998</v>
      </c>
      <c r="AE72">
        <v>7.4556100000000001</v>
      </c>
      <c r="AF72">
        <v>7.4585160000000004</v>
      </c>
      <c r="AG72" s="9">
        <v>2E-3</v>
      </c>
    </row>
    <row r="73" spans="1:33">
      <c r="A73" t="s">
        <v>337</v>
      </c>
      <c r="B73" t="s">
        <v>1031</v>
      </c>
      <c r="C73" t="s">
        <v>1030</v>
      </c>
      <c r="D73" t="s">
        <v>194</v>
      </c>
      <c r="F73">
        <v>2.191592</v>
      </c>
      <c r="G73">
        <v>2.2791100000000002</v>
      </c>
      <c r="H73">
        <v>2.367953</v>
      </c>
      <c r="I73">
        <v>2.4495230000000001</v>
      </c>
      <c r="J73">
        <v>2.5246960000000001</v>
      </c>
      <c r="K73">
        <v>2.5932629999999999</v>
      </c>
      <c r="L73">
        <v>2.6564390000000002</v>
      </c>
      <c r="M73">
        <v>2.7156150000000001</v>
      </c>
      <c r="N73">
        <v>2.7710360000000001</v>
      </c>
      <c r="O73">
        <v>2.823086</v>
      </c>
      <c r="P73">
        <v>2.8723580000000002</v>
      </c>
      <c r="Q73">
        <v>2.9186009999999998</v>
      </c>
      <c r="R73">
        <v>2.9627050000000001</v>
      </c>
      <c r="S73">
        <v>3.0051019999999999</v>
      </c>
      <c r="T73">
        <v>3.0446620000000002</v>
      </c>
      <c r="U73">
        <v>3.0825629999999999</v>
      </c>
      <c r="V73">
        <v>3.1191409999999999</v>
      </c>
      <c r="W73">
        <v>3.1548120000000002</v>
      </c>
      <c r="X73">
        <v>3.1896770000000001</v>
      </c>
      <c r="Y73">
        <v>3.2238449999999998</v>
      </c>
      <c r="Z73">
        <v>3.2573150000000002</v>
      </c>
      <c r="AA73">
        <v>3.290095</v>
      </c>
      <c r="AB73">
        <v>3.3222330000000002</v>
      </c>
      <c r="AC73">
        <v>3.3537949999999999</v>
      </c>
      <c r="AD73">
        <v>3.3848479999999999</v>
      </c>
      <c r="AE73">
        <v>3.4154439999999999</v>
      </c>
      <c r="AF73">
        <v>3.4456340000000001</v>
      </c>
      <c r="AG73" s="9">
        <v>1.7999999999999999E-2</v>
      </c>
    </row>
    <row r="74" spans="1:33">
      <c r="A74" t="s">
        <v>338</v>
      </c>
      <c r="B74" t="s">
        <v>1029</v>
      </c>
      <c r="C74" t="s">
        <v>1028</v>
      </c>
      <c r="D74" t="s">
        <v>194</v>
      </c>
      <c r="F74">
        <v>8.4099559999999993</v>
      </c>
      <c r="G74">
        <v>8.6271509999999996</v>
      </c>
      <c r="H74">
        <v>8.8739120000000007</v>
      </c>
      <c r="I74">
        <v>9.1088179999999994</v>
      </c>
      <c r="J74">
        <v>9.3348060000000004</v>
      </c>
      <c r="K74">
        <v>9.5546989999999994</v>
      </c>
      <c r="L74">
        <v>9.7704109999999993</v>
      </c>
      <c r="M74">
        <v>9.9763179999999991</v>
      </c>
      <c r="N74">
        <v>10.172041999999999</v>
      </c>
      <c r="O74">
        <v>10.358764000000001</v>
      </c>
      <c r="P74">
        <v>10.535639</v>
      </c>
      <c r="Q74">
        <v>10.702966999999999</v>
      </c>
      <c r="R74">
        <v>10.865589999999999</v>
      </c>
      <c r="S74">
        <v>11.016742000000001</v>
      </c>
      <c r="T74">
        <v>11.160425</v>
      </c>
      <c r="U74">
        <v>11.295287</v>
      </c>
      <c r="V74">
        <v>11.42648</v>
      </c>
      <c r="W74">
        <v>11.555186000000001</v>
      </c>
      <c r="X74">
        <v>11.677161999999999</v>
      </c>
      <c r="Y74">
        <v>11.789802999999999</v>
      </c>
      <c r="Z74">
        <v>11.888045</v>
      </c>
      <c r="AA74">
        <v>11.968591999999999</v>
      </c>
      <c r="AB74">
        <v>12.036063</v>
      </c>
      <c r="AC74">
        <v>12.093634</v>
      </c>
      <c r="AD74">
        <v>12.145685</v>
      </c>
      <c r="AE74">
        <v>12.196770000000001</v>
      </c>
      <c r="AF74">
        <v>12.244811</v>
      </c>
      <c r="AG74" s="9">
        <v>1.4999999999999999E-2</v>
      </c>
    </row>
    <row r="75" spans="1:33">
      <c r="A75" t="s">
        <v>339</v>
      </c>
      <c r="B75" t="s">
        <v>1027</v>
      </c>
      <c r="C75" t="s">
        <v>1026</v>
      </c>
      <c r="D75" t="s">
        <v>194</v>
      </c>
      <c r="F75">
        <v>0.60352700000000004</v>
      </c>
      <c r="G75">
        <v>0.64750799999999997</v>
      </c>
      <c r="H75">
        <v>0.67507600000000001</v>
      </c>
      <c r="I75">
        <v>0.688334</v>
      </c>
      <c r="J75">
        <v>0.70993300000000004</v>
      </c>
      <c r="K75">
        <v>0.73007599999999995</v>
      </c>
      <c r="L75">
        <v>0.74805299999999997</v>
      </c>
      <c r="M75">
        <v>0.76425100000000001</v>
      </c>
      <c r="N75">
        <v>0.77945399999999998</v>
      </c>
      <c r="O75">
        <v>0.79393400000000003</v>
      </c>
      <c r="P75">
        <v>0.80802600000000002</v>
      </c>
      <c r="Q75">
        <v>0.82153600000000004</v>
      </c>
      <c r="R75">
        <v>0.83333999999999997</v>
      </c>
      <c r="S75">
        <v>0.84337399999999996</v>
      </c>
      <c r="T75">
        <v>0.85204999999999997</v>
      </c>
      <c r="U75">
        <v>0.85959300000000005</v>
      </c>
      <c r="V75">
        <v>0.86641100000000004</v>
      </c>
      <c r="W75">
        <v>0.87519000000000002</v>
      </c>
      <c r="X75">
        <v>0.88506099999999999</v>
      </c>
      <c r="Y75">
        <v>0.89469500000000002</v>
      </c>
      <c r="Z75">
        <v>0.90395899999999996</v>
      </c>
      <c r="AA75">
        <v>0.91264400000000001</v>
      </c>
      <c r="AB75">
        <v>0.92145100000000002</v>
      </c>
      <c r="AC75">
        <v>0.93086199999999997</v>
      </c>
      <c r="AD75">
        <v>0.93947800000000004</v>
      </c>
      <c r="AE75">
        <v>0.94730300000000001</v>
      </c>
      <c r="AF75">
        <v>0.95501599999999998</v>
      </c>
      <c r="AG75" s="9">
        <v>1.7999999999999999E-2</v>
      </c>
    </row>
    <row r="76" spans="1:33">
      <c r="A76" t="s">
        <v>699</v>
      </c>
      <c r="B76" t="s">
        <v>1025</v>
      </c>
      <c r="C76" t="s">
        <v>1024</v>
      </c>
      <c r="D76" t="s">
        <v>194</v>
      </c>
      <c r="F76">
        <v>0.53995300000000002</v>
      </c>
      <c r="G76">
        <v>0.47585699999999997</v>
      </c>
      <c r="H76">
        <v>0.42205700000000002</v>
      </c>
      <c r="I76">
        <v>0.37659399999999998</v>
      </c>
      <c r="J76">
        <v>0.338501</v>
      </c>
      <c r="K76">
        <v>0.306585</v>
      </c>
      <c r="L76">
        <v>0.27970899999999999</v>
      </c>
      <c r="M76">
        <v>0.25713900000000001</v>
      </c>
      <c r="N76">
        <v>0.23830200000000001</v>
      </c>
      <c r="O76">
        <v>0.22267799999999999</v>
      </c>
      <c r="P76">
        <v>0.20979900000000001</v>
      </c>
      <c r="Q76">
        <v>0.19930700000000001</v>
      </c>
      <c r="R76">
        <v>0.190861</v>
      </c>
      <c r="S76">
        <v>0.18412600000000001</v>
      </c>
      <c r="T76">
        <v>0.17884700000000001</v>
      </c>
      <c r="U76">
        <v>0.17480699999999999</v>
      </c>
      <c r="V76">
        <v>0.171795</v>
      </c>
      <c r="W76">
        <v>0.16966000000000001</v>
      </c>
      <c r="X76">
        <v>0.16831499999999999</v>
      </c>
      <c r="Y76">
        <v>0.167659</v>
      </c>
      <c r="Z76">
        <v>0.1676</v>
      </c>
      <c r="AA76">
        <v>0.16806199999999999</v>
      </c>
      <c r="AB76">
        <v>0.16895399999999999</v>
      </c>
      <c r="AC76">
        <v>0.17022999999999999</v>
      </c>
      <c r="AD76">
        <v>0.17183999999999999</v>
      </c>
      <c r="AE76">
        <v>0.17374100000000001</v>
      </c>
      <c r="AF76">
        <v>0.175895</v>
      </c>
      <c r="AG76" s="9">
        <v>-4.2000000000000003E-2</v>
      </c>
    </row>
    <row r="77" spans="1:33">
      <c r="A77" t="s">
        <v>206</v>
      </c>
      <c r="B77" t="s">
        <v>1023</v>
      </c>
      <c r="C77" t="s">
        <v>1022</v>
      </c>
      <c r="D77" t="s">
        <v>194</v>
      </c>
      <c r="F77">
        <v>16.529194</v>
      </c>
      <c r="G77">
        <v>17.362121999999999</v>
      </c>
      <c r="H77">
        <v>18.120519999999999</v>
      </c>
      <c r="I77">
        <v>18.829101999999999</v>
      </c>
      <c r="J77">
        <v>19.515839</v>
      </c>
      <c r="K77">
        <v>20.189909</v>
      </c>
      <c r="L77">
        <v>20.851711000000002</v>
      </c>
      <c r="M77">
        <v>21.499815000000002</v>
      </c>
      <c r="N77">
        <v>22.138054</v>
      </c>
      <c r="O77">
        <v>22.763999999999999</v>
      </c>
      <c r="P77">
        <v>23.378685000000001</v>
      </c>
      <c r="Q77">
        <v>23.982783999999999</v>
      </c>
      <c r="R77">
        <v>24.57217</v>
      </c>
      <c r="S77">
        <v>25.151173</v>
      </c>
      <c r="T77">
        <v>25.723199999999999</v>
      </c>
      <c r="U77">
        <v>26.288422000000001</v>
      </c>
      <c r="V77">
        <v>26.846848000000001</v>
      </c>
      <c r="W77">
        <v>27.398415</v>
      </c>
      <c r="X77">
        <v>27.942936</v>
      </c>
      <c r="Y77">
        <v>28.480183</v>
      </c>
      <c r="Z77">
        <v>29.009817000000002</v>
      </c>
      <c r="AA77">
        <v>29.531483000000001</v>
      </c>
      <c r="AB77">
        <v>30.044754000000001</v>
      </c>
      <c r="AC77">
        <v>30.549208</v>
      </c>
      <c r="AD77">
        <v>31.044312999999999</v>
      </c>
      <c r="AE77">
        <v>31.529593999999999</v>
      </c>
      <c r="AF77">
        <v>32.004528000000001</v>
      </c>
      <c r="AG77" s="9">
        <v>2.5999999999999999E-2</v>
      </c>
    </row>
    <row r="78" spans="1:33">
      <c r="A78" t="s">
        <v>340</v>
      </c>
      <c r="B78" t="s">
        <v>1021</v>
      </c>
      <c r="C78" t="s">
        <v>1020</v>
      </c>
      <c r="D78" t="s">
        <v>194</v>
      </c>
      <c r="F78">
        <v>3.233301</v>
      </c>
      <c r="G78">
        <v>3.423184</v>
      </c>
      <c r="H78">
        <v>3.6107589999999998</v>
      </c>
      <c r="I78">
        <v>3.800875</v>
      </c>
      <c r="J78">
        <v>3.9895149999999999</v>
      </c>
      <c r="K78">
        <v>4.1779780000000004</v>
      </c>
      <c r="L78">
        <v>4.3662179999999999</v>
      </c>
      <c r="M78">
        <v>4.5535839999999999</v>
      </c>
      <c r="N78">
        <v>4.7394860000000003</v>
      </c>
      <c r="O78">
        <v>4.9233599999999997</v>
      </c>
      <c r="P78">
        <v>5.1051849999999996</v>
      </c>
      <c r="Q78">
        <v>5.2848030000000001</v>
      </c>
      <c r="R78">
        <v>5.4617459999999998</v>
      </c>
      <c r="S78">
        <v>5.6373300000000004</v>
      </c>
      <c r="T78">
        <v>5.8109390000000003</v>
      </c>
      <c r="U78">
        <v>5.9832280000000004</v>
      </c>
      <c r="V78">
        <v>6.1554589999999996</v>
      </c>
      <c r="W78">
        <v>6.3274910000000002</v>
      </c>
      <c r="X78">
        <v>6.499231</v>
      </c>
      <c r="Y78">
        <v>6.6704470000000002</v>
      </c>
      <c r="Z78">
        <v>6.8410330000000004</v>
      </c>
      <c r="AA78">
        <v>7.0111270000000001</v>
      </c>
      <c r="AB78">
        <v>7.1809719999999997</v>
      </c>
      <c r="AC78">
        <v>7.3504069999999997</v>
      </c>
      <c r="AD78">
        <v>7.5193079999999997</v>
      </c>
      <c r="AE78">
        <v>7.6875739999999997</v>
      </c>
      <c r="AF78">
        <v>7.8550940000000002</v>
      </c>
      <c r="AG78" s="9">
        <v>3.5000000000000003E-2</v>
      </c>
    </row>
    <row r="79" spans="1:33">
      <c r="A79" t="s">
        <v>692</v>
      </c>
      <c r="B79" t="s">
        <v>1019</v>
      </c>
      <c r="C79" t="s">
        <v>1018</v>
      </c>
      <c r="D79" t="s">
        <v>194</v>
      </c>
      <c r="F79">
        <v>18.962054999999999</v>
      </c>
      <c r="G79">
        <v>19.803460999999999</v>
      </c>
      <c r="H79">
        <v>20.548679</v>
      </c>
      <c r="I79">
        <v>21.198917000000002</v>
      </c>
      <c r="J79">
        <v>21.767309000000001</v>
      </c>
      <c r="K79">
        <v>22.266064</v>
      </c>
      <c r="L79">
        <v>22.706779000000001</v>
      </c>
      <c r="M79">
        <v>23.098610000000001</v>
      </c>
      <c r="N79">
        <v>23.448578000000001</v>
      </c>
      <c r="O79">
        <v>23.762236000000001</v>
      </c>
      <c r="P79">
        <v>24.044249000000001</v>
      </c>
      <c r="Q79">
        <v>24.298673999999998</v>
      </c>
      <c r="R79">
        <v>24.529485999999999</v>
      </c>
      <c r="S79">
        <v>24.739484999999998</v>
      </c>
      <c r="T79">
        <v>24.933277</v>
      </c>
      <c r="U79">
        <v>25.113233999999999</v>
      </c>
      <c r="V79">
        <v>25.281115</v>
      </c>
      <c r="W79">
        <v>25.438202</v>
      </c>
      <c r="X79">
        <v>25.586137999999998</v>
      </c>
      <c r="Y79">
        <v>25.726053</v>
      </c>
      <c r="Z79">
        <v>25.858837000000001</v>
      </c>
      <c r="AA79">
        <v>25.985292000000001</v>
      </c>
      <c r="AB79">
        <v>26.105982000000001</v>
      </c>
      <c r="AC79">
        <v>26.221277000000001</v>
      </c>
      <c r="AD79">
        <v>26.331917000000001</v>
      </c>
      <c r="AE79">
        <v>26.438707000000001</v>
      </c>
      <c r="AF79">
        <v>26.542497999999998</v>
      </c>
      <c r="AG79" s="9">
        <v>1.2999999999999999E-2</v>
      </c>
    </row>
    <row r="80" spans="1:33">
      <c r="A80" t="s">
        <v>341</v>
      </c>
      <c r="B80" t="s">
        <v>1017</v>
      </c>
      <c r="C80" t="s">
        <v>1016</v>
      </c>
      <c r="D80" t="s">
        <v>194</v>
      </c>
      <c r="F80">
        <v>9.4425450000000009</v>
      </c>
      <c r="G80">
        <v>8.8007729999999995</v>
      </c>
      <c r="H80">
        <v>8.2775940000000006</v>
      </c>
      <c r="I80">
        <v>7.8187040000000003</v>
      </c>
      <c r="J80">
        <v>7.4284780000000001</v>
      </c>
      <c r="K80">
        <v>7.099774</v>
      </c>
      <c r="L80">
        <v>6.8228790000000004</v>
      </c>
      <c r="M80">
        <v>6.5915549999999996</v>
      </c>
      <c r="N80">
        <v>6.3975970000000002</v>
      </c>
      <c r="O80">
        <v>6.2355359999999997</v>
      </c>
      <c r="P80">
        <v>6.1006159999999996</v>
      </c>
      <c r="Q80">
        <v>5.989312</v>
      </c>
      <c r="R80">
        <v>5.8981070000000004</v>
      </c>
      <c r="S80">
        <v>5.8240030000000003</v>
      </c>
      <c r="T80">
        <v>5.7642559999999996</v>
      </c>
      <c r="U80">
        <v>5.7163940000000002</v>
      </c>
      <c r="V80">
        <v>5.6788850000000002</v>
      </c>
      <c r="W80">
        <v>5.6503160000000001</v>
      </c>
      <c r="X80">
        <v>5.6295210000000004</v>
      </c>
      <c r="Y80">
        <v>5.6152870000000004</v>
      </c>
      <c r="Z80">
        <v>5.6064870000000004</v>
      </c>
      <c r="AA80">
        <v>5.602176</v>
      </c>
      <c r="AB80">
        <v>5.6016069999999996</v>
      </c>
      <c r="AC80">
        <v>5.6044340000000004</v>
      </c>
      <c r="AD80">
        <v>5.6100950000000003</v>
      </c>
      <c r="AE80">
        <v>5.6182040000000004</v>
      </c>
      <c r="AF80">
        <v>5.6284879999999999</v>
      </c>
      <c r="AG80" s="9">
        <v>-0.02</v>
      </c>
    </row>
    <row r="81" spans="1:33">
      <c r="A81" t="s">
        <v>205</v>
      </c>
      <c r="B81" t="s">
        <v>1015</v>
      </c>
      <c r="C81" t="s">
        <v>1014</v>
      </c>
      <c r="D81" t="s">
        <v>194</v>
      </c>
      <c r="F81">
        <v>4.7045709999999996</v>
      </c>
      <c r="G81">
        <v>4.9472129999999996</v>
      </c>
      <c r="H81">
        <v>5.223986</v>
      </c>
      <c r="I81">
        <v>5.4771619999999999</v>
      </c>
      <c r="J81">
        <v>5.7276360000000004</v>
      </c>
      <c r="K81">
        <v>5.9776239999999996</v>
      </c>
      <c r="L81">
        <v>6.2310739999999996</v>
      </c>
      <c r="M81">
        <v>6.4893640000000001</v>
      </c>
      <c r="N81">
        <v>6.7491490000000001</v>
      </c>
      <c r="O81">
        <v>7.0109979999999998</v>
      </c>
      <c r="P81">
        <v>7.2763289999999996</v>
      </c>
      <c r="Q81">
        <v>7.5456599999999998</v>
      </c>
      <c r="R81">
        <v>7.8198550000000004</v>
      </c>
      <c r="S81">
        <v>8.0985530000000008</v>
      </c>
      <c r="T81">
        <v>8.3813300000000002</v>
      </c>
      <c r="U81">
        <v>8.6682930000000002</v>
      </c>
      <c r="V81">
        <v>8.9594919999999991</v>
      </c>
      <c r="W81">
        <v>9.2551480000000002</v>
      </c>
      <c r="X81">
        <v>9.5549970000000002</v>
      </c>
      <c r="Y81">
        <v>9.8591770000000007</v>
      </c>
      <c r="Z81">
        <v>10.167911999999999</v>
      </c>
      <c r="AA81">
        <v>10.481163</v>
      </c>
      <c r="AB81">
        <v>10.798802</v>
      </c>
      <c r="AC81">
        <v>11.120630999999999</v>
      </c>
      <c r="AD81">
        <v>11.446486</v>
      </c>
      <c r="AE81">
        <v>11.776161999999999</v>
      </c>
      <c r="AF81">
        <v>12.109522999999999</v>
      </c>
      <c r="AG81" s="9">
        <v>3.6999999999999998E-2</v>
      </c>
    </row>
    <row r="82" spans="1:33">
      <c r="A82" t="s">
        <v>342</v>
      </c>
      <c r="B82" t="s">
        <v>1013</v>
      </c>
      <c r="C82" t="s">
        <v>1012</v>
      </c>
      <c r="D82" t="s">
        <v>194</v>
      </c>
      <c r="F82">
        <v>2.27536</v>
      </c>
      <c r="G82">
        <v>2.285974</v>
      </c>
      <c r="H82">
        <v>2.2924950000000002</v>
      </c>
      <c r="I82">
        <v>2.3104360000000002</v>
      </c>
      <c r="J82">
        <v>2.3340070000000002</v>
      </c>
      <c r="K82">
        <v>2.3585750000000001</v>
      </c>
      <c r="L82">
        <v>2.383829</v>
      </c>
      <c r="M82">
        <v>2.409691</v>
      </c>
      <c r="N82">
        <v>2.436051</v>
      </c>
      <c r="O82">
        <v>2.4627569999999999</v>
      </c>
      <c r="P82">
        <v>2.4896259999999999</v>
      </c>
      <c r="Q82">
        <v>2.5164930000000001</v>
      </c>
      <c r="R82">
        <v>2.5432260000000002</v>
      </c>
      <c r="S82">
        <v>2.569715</v>
      </c>
      <c r="T82">
        <v>2.59585</v>
      </c>
      <c r="U82">
        <v>2.6215229999999998</v>
      </c>
      <c r="V82">
        <v>2.6466409999999998</v>
      </c>
      <c r="W82">
        <v>2.671119</v>
      </c>
      <c r="X82">
        <v>2.6948780000000001</v>
      </c>
      <c r="Y82">
        <v>2.717848</v>
      </c>
      <c r="Z82">
        <v>2.739967</v>
      </c>
      <c r="AA82">
        <v>2.7611750000000002</v>
      </c>
      <c r="AB82">
        <v>2.7814230000000002</v>
      </c>
      <c r="AC82">
        <v>2.8006600000000001</v>
      </c>
      <c r="AD82">
        <v>2.8188439999999999</v>
      </c>
      <c r="AE82">
        <v>2.8359350000000001</v>
      </c>
      <c r="AF82">
        <v>2.8519019999999999</v>
      </c>
      <c r="AG82" s="9">
        <v>8.9999999999999993E-3</v>
      </c>
    </row>
    <row r="83" spans="1:33">
      <c r="A83" t="s">
        <v>683</v>
      </c>
      <c r="B83" t="s">
        <v>1011</v>
      </c>
      <c r="C83" t="s">
        <v>1010</v>
      </c>
      <c r="D83" t="s">
        <v>194</v>
      </c>
      <c r="F83">
        <v>4.5103299999999997</v>
      </c>
      <c r="G83">
        <v>4.7625849999999996</v>
      </c>
      <c r="H83">
        <v>5.0333829999999997</v>
      </c>
      <c r="I83">
        <v>5.2902170000000002</v>
      </c>
      <c r="J83">
        <v>5.5300209999999996</v>
      </c>
      <c r="K83">
        <v>5.7648190000000001</v>
      </c>
      <c r="L83">
        <v>5.9990959999999998</v>
      </c>
      <c r="M83">
        <v>6.2341699999999998</v>
      </c>
      <c r="N83">
        <v>6.4710650000000003</v>
      </c>
      <c r="O83">
        <v>6.7098880000000003</v>
      </c>
      <c r="P83">
        <v>6.9501379999999999</v>
      </c>
      <c r="Q83">
        <v>7.1912399999999996</v>
      </c>
      <c r="R83">
        <v>7.4334350000000002</v>
      </c>
      <c r="S83">
        <v>7.6783279999999996</v>
      </c>
      <c r="T83">
        <v>7.9264169999999998</v>
      </c>
      <c r="U83">
        <v>8.1783940000000008</v>
      </c>
      <c r="V83">
        <v>8.4339440000000003</v>
      </c>
      <c r="W83">
        <v>8.6928350000000005</v>
      </c>
      <c r="X83">
        <v>8.9549970000000005</v>
      </c>
      <c r="Y83">
        <v>9.2207469999999994</v>
      </c>
      <c r="Z83">
        <v>9.4899920000000009</v>
      </c>
      <c r="AA83">
        <v>9.7625550000000008</v>
      </c>
      <c r="AB83">
        <v>10.038292999999999</v>
      </c>
      <c r="AC83">
        <v>10.316409999999999</v>
      </c>
      <c r="AD83">
        <v>10.596745</v>
      </c>
      <c r="AE83">
        <v>10.879801</v>
      </c>
      <c r="AF83">
        <v>11.165881000000001</v>
      </c>
      <c r="AG83" s="9">
        <v>3.5000000000000003E-2</v>
      </c>
    </row>
    <row r="84" spans="1:33">
      <c r="A84" t="s">
        <v>343</v>
      </c>
      <c r="B84" t="s">
        <v>1009</v>
      </c>
      <c r="C84" t="s">
        <v>1006</v>
      </c>
      <c r="D84" t="s">
        <v>194</v>
      </c>
      <c r="F84">
        <v>35.567261000000002</v>
      </c>
      <c r="G84">
        <v>36.249363000000002</v>
      </c>
      <c r="H84">
        <v>36.966208999999999</v>
      </c>
      <c r="I84">
        <v>37.640391999999999</v>
      </c>
      <c r="J84">
        <v>38.282325999999998</v>
      </c>
      <c r="K84">
        <v>38.943832</v>
      </c>
      <c r="L84">
        <v>39.592078999999998</v>
      </c>
      <c r="M84">
        <v>40.211585999999997</v>
      </c>
      <c r="N84">
        <v>40.857680999999999</v>
      </c>
      <c r="O84">
        <v>41.518245999999998</v>
      </c>
      <c r="P84">
        <v>42.174179000000002</v>
      </c>
      <c r="Q84">
        <v>42.849598</v>
      </c>
      <c r="R84">
        <v>43.528122000000003</v>
      </c>
      <c r="S84">
        <v>44.219456000000001</v>
      </c>
      <c r="T84">
        <v>44.927284</v>
      </c>
      <c r="U84">
        <v>45.636302999999998</v>
      </c>
      <c r="V84">
        <v>46.346553999999998</v>
      </c>
      <c r="W84">
        <v>47.054188000000003</v>
      </c>
      <c r="X84">
        <v>47.781376000000002</v>
      </c>
      <c r="Y84">
        <v>48.503410000000002</v>
      </c>
      <c r="Z84">
        <v>49.209381</v>
      </c>
      <c r="AA84">
        <v>49.910355000000003</v>
      </c>
      <c r="AB84">
        <v>50.607216000000001</v>
      </c>
      <c r="AC84">
        <v>51.339931</v>
      </c>
      <c r="AD84">
        <v>52.088051</v>
      </c>
      <c r="AE84">
        <v>52.824531999999998</v>
      </c>
      <c r="AF84">
        <v>53.556854000000001</v>
      </c>
      <c r="AG84" s="9">
        <v>1.6E-2</v>
      </c>
    </row>
    <row r="85" spans="1:33">
      <c r="A85" t="s">
        <v>344</v>
      </c>
      <c r="B85" t="s">
        <v>1008</v>
      </c>
      <c r="C85" t="s">
        <v>1006</v>
      </c>
      <c r="D85" t="s">
        <v>194</v>
      </c>
      <c r="F85">
        <v>135.24774199999999</v>
      </c>
      <c r="G85">
        <v>139.887451</v>
      </c>
      <c r="H85">
        <v>144.74943500000001</v>
      </c>
      <c r="I85">
        <v>149.35334800000001</v>
      </c>
      <c r="J85">
        <v>153.71546900000001</v>
      </c>
      <c r="K85">
        <v>157.96852100000001</v>
      </c>
      <c r="L85">
        <v>162.051117</v>
      </c>
      <c r="M85">
        <v>165.91743500000001</v>
      </c>
      <c r="N85">
        <v>169.752655</v>
      </c>
      <c r="O85">
        <v>173.585724</v>
      </c>
      <c r="P85">
        <v>177.37635800000001</v>
      </c>
      <c r="Q85">
        <v>181.18914799999999</v>
      </c>
      <c r="R85">
        <v>185.01506000000001</v>
      </c>
      <c r="S85">
        <v>188.85900899999999</v>
      </c>
      <c r="T85">
        <v>192.730988</v>
      </c>
      <c r="U85">
        <v>196.60434000000001</v>
      </c>
      <c r="V85">
        <v>200.48928799999999</v>
      </c>
      <c r="W85">
        <v>204.37535099999999</v>
      </c>
      <c r="X85">
        <v>208.33488500000001</v>
      </c>
      <c r="Y85">
        <v>212.29684399999999</v>
      </c>
      <c r="Z85">
        <v>216.21632399999999</v>
      </c>
      <c r="AA85">
        <v>220.11917099999999</v>
      </c>
      <c r="AB85">
        <v>224.02186599999999</v>
      </c>
      <c r="AC85">
        <v>228.04422</v>
      </c>
      <c r="AD85">
        <v>232.135895</v>
      </c>
      <c r="AE85">
        <v>236.23289500000001</v>
      </c>
      <c r="AF85">
        <v>240.36685199999999</v>
      </c>
      <c r="AG85" s="9">
        <v>2.1999999999999999E-2</v>
      </c>
    </row>
    <row r="86" spans="1:33">
      <c r="A86" t="s">
        <v>111</v>
      </c>
      <c r="B86" t="s">
        <v>1007</v>
      </c>
      <c r="C86" t="s">
        <v>1006</v>
      </c>
      <c r="D86" t="s">
        <v>194</v>
      </c>
      <c r="F86">
        <v>170.81500199999999</v>
      </c>
      <c r="G86">
        <v>176.13682600000001</v>
      </c>
      <c r="H86">
        <v>181.71563699999999</v>
      </c>
      <c r="I86">
        <v>186.99374399999999</v>
      </c>
      <c r="J86">
        <v>191.997818</v>
      </c>
      <c r="K86">
        <v>196.91232299999999</v>
      </c>
      <c r="L86">
        <v>201.643204</v>
      </c>
      <c r="M86">
        <v>206.12904399999999</v>
      </c>
      <c r="N86">
        <v>210.610321</v>
      </c>
      <c r="O86">
        <v>215.103973</v>
      </c>
      <c r="P86">
        <v>219.55053699999999</v>
      </c>
      <c r="Q86">
        <v>224.038712</v>
      </c>
      <c r="R86">
        <v>228.54315199999999</v>
      </c>
      <c r="S86">
        <v>233.07843</v>
      </c>
      <c r="T86">
        <v>237.658264</v>
      </c>
      <c r="U86">
        <v>242.240646</v>
      </c>
      <c r="V86">
        <v>246.835815</v>
      </c>
      <c r="W86">
        <v>251.42955000000001</v>
      </c>
      <c r="X86">
        <v>256.11627199999998</v>
      </c>
      <c r="Y86">
        <v>260.80026199999998</v>
      </c>
      <c r="Z86">
        <v>265.42575099999999</v>
      </c>
      <c r="AA86">
        <v>270.02954099999999</v>
      </c>
      <c r="AB86">
        <v>274.62905899999998</v>
      </c>
      <c r="AC86">
        <v>279.38412499999998</v>
      </c>
      <c r="AD86">
        <v>284.22396900000001</v>
      </c>
      <c r="AE86">
        <v>289.05740400000002</v>
      </c>
      <c r="AF86">
        <v>293.92370599999998</v>
      </c>
      <c r="AG86" s="9">
        <v>2.1000000000000001E-2</v>
      </c>
    </row>
    <row r="87" spans="1:33">
      <c r="A87" t="s">
        <v>112</v>
      </c>
    </row>
    <row r="88" spans="1:33">
      <c r="A88" t="s">
        <v>203</v>
      </c>
      <c r="B88" t="s">
        <v>1005</v>
      </c>
      <c r="C88" t="s">
        <v>1004</v>
      </c>
      <c r="D88" t="s">
        <v>194</v>
      </c>
      <c r="F88">
        <v>1413.1365969999999</v>
      </c>
      <c r="G88">
        <v>1426.5014650000001</v>
      </c>
      <c r="H88">
        <v>1461.8975829999999</v>
      </c>
      <c r="I88">
        <v>1494.7885739999999</v>
      </c>
      <c r="J88">
        <v>1522.10022</v>
      </c>
      <c r="K88">
        <v>1551.6201169999999</v>
      </c>
      <c r="L88">
        <v>1578.6829829999999</v>
      </c>
      <c r="M88">
        <v>1601.181519</v>
      </c>
      <c r="N88">
        <v>1627.146362</v>
      </c>
      <c r="O88">
        <v>1654.892212</v>
      </c>
      <c r="P88">
        <v>1681.6214600000001</v>
      </c>
      <c r="Q88">
        <v>1711.017578</v>
      </c>
      <c r="R88">
        <v>1740.960693</v>
      </c>
      <c r="S88">
        <v>1772.771851</v>
      </c>
      <c r="T88">
        <v>1806.9364009999999</v>
      </c>
      <c r="U88">
        <v>1841.1685789999999</v>
      </c>
      <c r="V88">
        <v>1875.4395750000001</v>
      </c>
      <c r="W88">
        <v>1909.125366</v>
      </c>
      <c r="X88">
        <v>1945.61853</v>
      </c>
      <c r="Y88">
        <v>1981.3470460000001</v>
      </c>
      <c r="Z88">
        <v>2014.714111</v>
      </c>
      <c r="AA88">
        <v>2047.454346</v>
      </c>
      <c r="AB88">
        <v>2079.6472170000002</v>
      </c>
      <c r="AC88">
        <v>2117.3378910000001</v>
      </c>
      <c r="AD88">
        <v>2157.5336910000001</v>
      </c>
      <c r="AE88">
        <v>2196.0695799999999</v>
      </c>
      <c r="AF88">
        <v>2234.092529</v>
      </c>
      <c r="AG88" s="9">
        <v>1.7999999999999999E-2</v>
      </c>
    </row>
    <row r="89" spans="1:33">
      <c r="A89" t="s">
        <v>209</v>
      </c>
      <c r="B89" t="s">
        <v>1003</v>
      </c>
      <c r="C89" t="s">
        <v>1002</v>
      </c>
      <c r="D89" t="s">
        <v>194</v>
      </c>
      <c r="F89">
        <v>891.301331</v>
      </c>
      <c r="G89">
        <v>899.92388900000003</v>
      </c>
      <c r="H89">
        <v>921.62634300000002</v>
      </c>
      <c r="I89">
        <v>941.72473100000002</v>
      </c>
      <c r="J89">
        <v>958.128784</v>
      </c>
      <c r="K89">
        <v>975.96337900000003</v>
      </c>
      <c r="L89">
        <v>992.16058299999997</v>
      </c>
      <c r="M89">
        <v>1005.340759</v>
      </c>
      <c r="N89">
        <v>1020.7742919999999</v>
      </c>
      <c r="O89">
        <v>1037.3516850000001</v>
      </c>
      <c r="P89">
        <v>1053.238525</v>
      </c>
      <c r="Q89">
        <v>1070.848389</v>
      </c>
      <c r="R89">
        <v>1088.7901609999999</v>
      </c>
      <c r="S89">
        <v>1107.924927</v>
      </c>
      <c r="T89">
        <v>1128.56665</v>
      </c>
      <c r="U89">
        <v>1149.2211910000001</v>
      </c>
      <c r="V89">
        <v>1169.857422</v>
      </c>
      <c r="W89">
        <v>1190.073975</v>
      </c>
      <c r="X89">
        <v>1212.082764</v>
      </c>
      <c r="Y89">
        <v>1233.553101</v>
      </c>
      <c r="Z89">
        <v>1253.446533</v>
      </c>
      <c r="AA89">
        <v>1272.8930660000001</v>
      </c>
      <c r="AB89">
        <v>1291.944702</v>
      </c>
      <c r="AC89">
        <v>1314.5280760000001</v>
      </c>
      <c r="AD89">
        <v>1338.692749</v>
      </c>
      <c r="AE89">
        <v>1361.732788</v>
      </c>
      <c r="AF89">
        <v>1384.3929439999999</v>
      </c>
      <c r="AG89" s="9">
        <v>1.7000000000000001E-2</v>
      </c>
    </row>
    <row r="90" spans="1:33">
      <c r="A90" t="s">
        <v>210</v>
      </c>
      <c r="B90" t="s">
        <v>1001</v>
      </c>
      <c r="C90" t="s">
        <v>1000</v>
      </c>
      <c r="D90" t="s">
        <v>194</v>
      </c>
      <c r="F90">
        <v>436.674622</v>
      </c>
      <c r="G90">
        <v>440.58538800000002</v>
      </c>
      <c r="H90">
        <v>452.23049900000001</v>
      </c>
      <c r="I90">
        <v>463.12853999999999</v>
      </c>
      <c r="J90">
        <v>472.50158699999997</v>
      </c>
      <c r="K90">
        <v>482.51437399999998</v>
      </c>
      <c r="L90">
        <v>491.86749300000002</v>
      </c>
      <c r="M90">
        <v>499.96688799999998</v>
      </c>
      <c r="N90">
        <v>509.061218</v>
      </c>
      <c r="O90">
        <v>518.682861</v>
      </c>
      <c r="P90">
        <v>528.04632600000002</v>
      </c>
      <c r="Q90">
        <v>538.18731700000001</v>
      </c>
      <c r="R90">
        <v>548.51232900000002</v>
      </c>
      <c r="S90">
        <v>559.39764400000001</v>
      </c>
      <c r="T90">
        <v>570.98431400000004</v>
      </c>
      <c r="U90">
        <v>582.62622099999999</v>
      </c>
      <c r="V90">
        <v>594.32861300000002</v>
      </c>
      <c r="W90">
        <v>605.90722700000003</v>
      </c>
      <c r="X90">
        <v>618.32934599999999</v>
      </c>
      <c r="Y90">
        <v>630.57855199999995</v>
      </c>
      <c r="Z90">
        <v>642.19775400000003</v>
      </c>
      <c r="AA90">
        <v>653.68176300000005</v>
      </c>
      <c r="AB90">
        <v>665.05255099999999</v>
      </c>
      <c r="AC90">
        <v>678.04998799999998</v>
      </c>
      <c r="AD90">
        <v>691.81976299999997</v>
      </c>
      <c r="AE90">
        <v>705.16479500000003</v>
      </c>
      <c r="AF90">
        <v>718.41540499999996</v>
      </c>
      <c r="AG90" s="9">
        <v>1.9E-2</v>
      </c>
    </row>
    <row r="91" spans="1:33">
      <c r="A91" t="s">
        <v>211</v>
      </c>
      <c r="B91" t="s">
        <v>999</v>
      </c>
      <c r="C91" t="s">
        <v>998</v>
      </c>
      <c r="D91" t="s">
        <v>194</v>
      </c>
      <c r="F91">
        <v>85.160713000000001</v>
      </c>
      <c r="G91">
        <v>85.992301999999995</v>
      </c>
      <c r="H91">
        <v>88.040931999999998</v>
      </c>
      <c r="I91">
        <v>89.935371000000004</v>
      </c>
      <c r="J91">
        <v>91.46978</v>
      </c>
      <c r="K91">
        <v>93.142380000000003</v>
      </c>
      <c r="L91">
        <v>94.655028999999999</v>
      </c>
      <c r="M91">
        <v>95.873885999999999</v>
      </c>
      <c r="N91">
        <v>97.310721999999998</v>
      </c>
      <c r="O91">
        <v>98.857651000000004</v>
      </c>
      <c r="P91">
        <v>100.33663199999999</v>
      </c>
      <c r="Q91">
        <v>101.981888</v>
      </c>
      <c r="R91">
        <v>103.65834</v>
      </c>
      <c r="S91">
        <v>105.449348</v>
      </c>
      <c r="T91">
        <v>107.385284</v>
      </c>
      <c r="U91">
        <v>109.321236</v>
      </c>
      <c r="V91">
        <v>111.25369999999999</v>
      </c>
      <c r="W91">
        <v>113.144081</v>
      </c>
      <c r="X91">
        <v>115.20652</v>
      </c>
      <c r="Y91">
        <v>117.21528600000001</v>
      </c>
      <c r="Z91">
        <v>119.069862</v>
      </c>
      <c r="AA91">
        <v>120.8797</v>
      </c>
      <c r="AB91">
        <v>122.649834</v>
      </c>
      <c r="AC91">
        <v>124.759933</v>
      </c>
      <c r="AD91">
        <v>127.021179</v>
      </c>
      <c r="AE91">
        <v>129.171875</v>
      </c>
      <c r="AF91">
        <v>131.28401199999999</v>
      </c>
      <c r="AG91" s="9">
        <v>1.7000000000000001E-2</v>
      </c>
    </row>
    <row r="92" spans="1:33">
      <c r="A92" t="s">
        <v>204</v>
      </c>
      <c r="B92" t="s">
        <v>997</v>
      </c>
      <c r="C92" t="s">
        <v>996</v>
      </c>
      <c r="D92" t="s">
        <v>194</v>
      </c>
      <c r="F92">
        <v>152.36386100000001</v>
      </c>
      <c r="G92">
        <v>153.52302599999999</v>
      </c>
      <c r="H92">
        <v>156.75119000000001</v>
      </c>
      <c r="I92">
        <v>159.98341400000001</v>
      </c>
      <c r="J92">
        <v>163.74202</v>
      </c>
      <c r="K92">
        <v>167.56549100000001</v>
      </c>
      <c r="L92">
        <v>171.46038799999999</v>
      </c>
      <c r="M92">
        <v>175.41145299999999</v>
      </c>
      <c r="N92">
        <v>179.41497799999999</v>
      </c>
      <c r="O92">
        <v>183.48805200000001</v>
      </c>
      <c r="P92">
        <v>187.62974500000001</v>
      </c>
      <c r="Q92">
        <v>191.84019499999999</v>
      </c>
      <c r="R92">
        <v>196.116074</v>
      </c>
      <c r="S92">
        <v>200.45474200000001</v>
      </c>
      <c r="T92">
        <v>204.85635400000001</v>
      </c>
      <c r="U92">
        <v>209.33021500000001</v>
      </c>
      <c r="V92">
        <v>213.874313</v>
      </c>
      <c r="W92">
        <v>218.496567</v>
      </c>
      <c r="X92">
        <v>223.19648699999999</v>
      </c>
      <c r="Y92">
        <v>227.97311400000001</v>
      </c>
      <c r="Z92">
        <v>232.822281</v>
      </c>
      <c r="AA92">
        <v>237.738586</v>
      </c>
      <c r="AB92">
        <v>242.73268100000001</v>
      </c>
      <c r="AC92">
        <v>247.81187399999999</v>
      </c>
      <c r="AD92">
        <v>252.97404499999999</v>
      </c>
      <c r="AE92">
        <v>258.22345000000001</v>
      </c>
      <c r="AF92">
        <v>263.55206299999998</v>
      </c>
      <c r="AG92" s="9">
        <v>2.1000000000000001E-2</v>
      </c>
    </row>
    <row r="93" spans="1:33">
      <c r="A93" t="s">
        <v>209</v>
      </c>
      <c r="B93" t="s">
        <v>995</v>
      </c>
      <c r="C93" t="s">
        <v>994</v>
      </c>
      <c r="D93" t="s">
        <v>194</v>
      </c>
      <c r="F93">
        <v>61.368454</v>
      </c>
      <c r="G93">
        <v>61.755752999999999</v>
      </c>
      <c r="H93">
        <v>62.900623000000003</v>
      </c>
      <c r="I93">
        <v>64.050490999999994</v>
      </c>
      <c r="J93">
        <v>65.383162999999996</v>
      </c>
      <c r="K93">
        <v>66.736900000000006</v>
      </c>
      <c r="L93">
        <v>68.113144000000005</v>
      </c>
      <c r="M93">
        <v>69.501968000000005</v>
      </c>
      <c r="N93">
        <v>70.902373999999995</v>
      </c>
      <c r="O93">
        <v>72.325660999999997</v>
      </c>
      <c r="P93">
        <v>73.770522999999997</v>
      </c>
      <c r="Q93">
        <v>75.236098999999996</v>
      </c>
      <c r="R93">
        <v>76.719832999999994</v>
      </c>
      <c r="S93">
        <v>78.221237000000002</v>
      </c>
      <c r="T93">
        <v>79.740027999999995</v>
      </c>
      <c r="U93">
        <v>81.281479000000004</v>
      </c>
      <c r="V93">
        <v>82.842986999999994</v>
      </c>
      <c r="W93">
        <v>84.428764000000001</v>
      </c>
      <c r="X93">
        <v>86.037711999999999</v>
      </c>
      <c r="Y93">
        <v>87.668266000000003</v>
      </c>
      <c r="Z93">
        <v>89.317466999999994</v>
      </c>
      <c r="AA93">
        <v>90.982123999999999</v>
      </c>
      <c r="AB93">
        <v>92.668227999999999</v>
      </c>
      <c r="AC93">
        <v>94.378203999999997</v>
      </c>
      <c r="AD93">
        <v>96.109825000000001</v>
      </c>
      <c r="AE93">
        <v>97.865311000000005</v>
      </c>
      <c r="AF93">
        <v>99.639763000000002</v>
      </c>
      <c r="AG93" s="9">
        <v>1.9E-2</v>
      </c>
    </row>
    <row r="94" spans="1:33">
      <c r="A94" t="s">
        <v>210</v>
      </c>
      <c r="B94" t="s">
        <v>993</v>
      </c>
      <c r="C94" t="s">
        <v>992</v>
      </c>
      <c r="D94" t="s">
        <v>194</v>
      </c>
      <c r="F94">
        <v>83.427338000000006</v>
      </c>
      <c r="G94">
        <v>84.148787999999996</v>
      </c>
      <c r="H94">
        <v>86.085739000000004</v>
      </c>
      <c r="I94">
        <v>88.021248</v>
      </c>
      <c r="J94">
        <v>90.276825000000002</v>
      </c>
      <c r="K94">
        <v>92.573463000000004</v>
      </c>
      <c r="L94">
        <v>94.916022999999996</v>
      </c>
      <c r="M94">
        <v>97.300262000000004</v>
      </c>
      <c r="N94">
        <v>99.723656000000005</v>
      </c>
      <c r="O94">
        <v>102.190704</v>
      </c>
      <c r="P94">
        <v>104.701958</v>
      </c>
      <c r="Q94">
        <v>107.25846900000001</v>
      </c>
      <c r="R94">
        <v>109.859718</v>
      </c>
      <c r="S94">
        <v>112.503685</v>
      </c>
      <c r="T94">
        <v>115.19077299999999</v>
      </c>
      <c r="U94">
        <v>117.92448400000001</v>
      </c>
      <c r="V94">
        <v>120.705574</v>
      </c>
      <c r="W94">
        <v>123.53733099999999</v>
      </c>
      <c r="X94">
        <v>126.420479</v>
      </c>
      <c r="Y94">
        <v>129.355728</v>
      </c>
      <c r="Z94">
        <v>132.34225499999999</v>
      </c>
      <c r="AA94">
        <v>135.37814299999999</v>
      </c>
      <c r="AB94">
        <v>138.46743799999999</v>
      </c>
      <c r="AC94">
        <v>141.61463900000001</v>
      </c>
      <c r="AD94">
        <v>144.82011399999999</v>
      </c>
      <c r="AE94">
        <v>148.08566300000001</v>
      </c>
      <c r="AF94">
        <v>151.40867600000001</v>
      </c>
      <c r="AG94" s="9">
        <v>2.3E-2</v>
      </c>
    </row>
    <row r="95" spans="1:33">
      <c r="A95" t="s">
        <v>211</v>
      </c>
      <c r="B95" t="s">
        <v>991</v>
      </c>
      <c r="C95" t="s">
        <v>990</v>
      </c>
      <c r="D95" t="s">
        <v>194</v>
      </c>
      <c r="F95">
        <v>7.5680759999999996</v>
      </c>
      <c r="G95">
        <v>7.6184760000000002</v>
      </c>
      <c r="H95">
        <v>7.7648130000000002</v>
      </c>
      <c r="I95">
        <v>7.9116549999999997</v>
      </c>
      <c r="J95">
        <v>8.0820089999999993</v>
      </c>
      <c r="K95">
        <v>8.2551279999999991</v>
      </c>
      <c r="L95">
        <v>8.4312310000000004</v>
      </c>
      <c r="M95">
        <v>8.6092189999999995</v>
      </c>
      <c r="N95">
        <v>8.7889490000000006</v>
      </c>
      <c r="O95">
        <v>8.9716729999999991</v>
      </c>
      <c r="P95">
        <v>9.1572580000000006</v>
      </c>
      <c r="Q95">
        <v>9.3456290000000006</v>
      </c>
      <c r="R95">
        <v>9.5365099999999998</v>
      </c>
      <c r="S95">
        <v>9.7298229999999997</v>
      </c>
      <c r="T95">
        <v>9.9255460000000006</v>
      </c>
      <c r="U95">
        <v>10.124275000000001</v>
      </c>
      <c r="V95">
        <v>10.325751</v>
      </c>
      <c r="W95">
        <v>10.530459</v>
      </c>
      <c r="X95">
        <v>10.738293000000001</v>
      </c>
      <c r="Y95">
        <v>10.9491</v>
      </c>
      <c r="Z95">
        <v>11.162554999999999</v>
      </c>
      <c r="AA95">
        <v>11.378303000000001</v>
      </c>
      <c r="AB95">
        <v>11.597022000000001</v>
      </c>
      <c r="AC95">
        <v>11.819027</v>
      </c>
      <c r="AD95">
        <v>12.044098</v>
      </c>
      <c r="AE95">
        <v>12.27248</v>
      </c>
      <c r="AF95">
        <v>12.503633000000001</v>
      </c>
      <c r="AG95" s="9">
        <v>1.9E-2</v>
      </c>
    </row>
    <row r="96" spans="1:33">
      <c r="A96" t="s">
        <v>713</v>
      </c>
      <c r="B96" t="s">
        <v>989</v>
      </c>
      <c r="C96" t="s">
        <v>988</v>
      </c>
      <c r="D96" t="s">
        <v>194</v>
      </c>
      <c r="F96">
        <v>121.859619</v>
      </c>
      <c r="G96">
        <v>125.195145</v>
      </c>
      <c r="H96">
        <v>129.65220600000001</v>
      </c>
      <c r="I96">
        <v>134.19151299999999</v>
      </c>
      <c r="J96">
        <v>138.78720100000001</v>
      </c>
      <c r="K96">
        <v>143.481537</v>
      </c>
      <c r="L96">
        <v>148.29257200000001</v>
      </c>
      <c r="M96">
        <v>153.225021</v>
      </c>
      <c r="N96">
        <v>158.290054</v>
      </c>
      <c r="O96">
        <v>163.49423200000001</v>
      </c>
      <c r="P96">
        <v>168.83616599999999</v>
      </c>
      <c r="Q96">
        <v>174.319244</v>
      </c>
      <c r="R96">
        <v>179.94657900000001</v>
      </c>
      <c r="S96">
        <v>185.72126800000001</v>
      </c>
      <c r="T96">
        <v>191.64660599999999</v>
      </c>
      <c r="U96">
        <v>197.718277</v>
      </c>
      <c r="V96">
        <v>203.93481399999999</v>
      </c>
      <c r="W96">
        <v>210.30452</v>
      </c>
      <c r="X96">
        <v>216.828598</v>
      </c>
      <c r="Y96">
        <v>223.50592</v>
      </c>
      <c r="Z96">
        <v>230.341354</v>
      </c>
      <c r="AA96">
        <v>237.33680699999999</v>
      </c>
      <c r="AB96">
        <v>244.49108899999999</v>
      </c>
      <c r="AC96">
        <v>251.80650299999999</v>
      </c>
      <c r="AD96">
        <v>259.290009</v>
      </c>
      <c r="AE96">
        <v>266.94113199999998</v>
      </c>
      <c r="AF96">
        <v>274.760559</v>
      </c>
      <c r="AG96" s="9">
        <v>3.2000000000000001E-2</v>
      </c>
    </row>
    <row r="97" spans="1:33">
      <c r="A97" t="s">
        <v>209</v>
      </c>
      <c r="B97" t="s">
        <v>987</v>
      </c>
      <c r="C97" t="s">
        <v>986</v>
      </c>
      <c r="D97" t="s">
        <v>194</v>
      </c>
      <c r="F97">
        <v>91.602242000000004</v>
      </c>
      <c r="G97">
        <v>94.111480999999998</v>
      </c>
      <c r="H97">
        <v>97.493561</v>
      </c>
      <c r="I97">
        <v>100.93884300000001</v>
      </c>
      <c r="J97">
        <v>104.42688800000001</v>
      </c>
      <c r="K97">
        <v>107.990891</v>
      </c>
      <c r="L97">
        <v>111.64505</v>
      </c>
      <c r="M97">
        <v>115.39299800000001</v>
      </c>
      <c r="N97">
        <v>119.24353000000001</v>
      </c>
      <c r="O97">
        <v>123.201813</v>
      </c>
      <c r="P97">
        <v>127.26692199999999</v>
      </c>
      <c r="Q97">
        <v>131.441498</v>
      </c>
      <c r="R97">
        <v>135.728027</v>
      </c>
      <c r="S97">
        <v>140.128952</v>
      </c>
      <c r="T97">
        <v>144.646851</v>
      </c>
      <c r="U97">
        <v>149.27865600000001</v>
      </c>
      <c r="V97">
        <v>154.02299500000001</v>
      </c>
      <c r="W97">
        <v>158.886414</v>
      </c>
      <c r="X97">
        <v>163.869934</v>
      </c>
      <c r="Y97">
        <v>168.97294600000001</v>
      </c>
      <c r="Z97">
        <v>174.199219</v>
      </c>
      <c r="AA97">
        <v>179.550308</v>
      </c>
      <c r="AB97">
        <v>185.025543</v>
      </c>
      <c r="AC97">
        <v>190.626801</v>
      </c>
      <c r="AD97">
        <v>196.35943599999999</v>
      </c>
      <c r="AE97">
        <v>202.223251</v>
      </c>
      <c r="AF97">
        <v>208.219009</v>
      </c>
      <c r="AG97" s="9">
        <v>3.2000000000000001E-2</v>
      </c>
    </row>
    <row r="98" spans="1:33">
      <c r="A98" t="s">
        <v>210</v>
      </c>
      <c r="B98" t="s">
        <v>985</v>
      </c>
      <c r="C98" t="s">
        <v>984</v>
      </c>
      <c r="D98" t="s">
        <v>194</v>
      </c>
      <c r="F98">
        <v>23.761005000000001</v>
      </c>
      <c r="G98">
        <v>24.408756</v>
      </c>
      <c r="H98">
        <v>25.234297000000002</v>
      </c>
      <c r="I98">
        <v>26.073988</v>
      </c>
      <c r="J98">
        <v>26.924144999999999</v>
      </c>
      <c r="K98">
        <v>27.791046000000001</v>
      </c>
      <c r="L98">
        <v>28.677401</v>
      </c>
      <c r="M98">
        <v>29.583922999999999</v>
      </c>
      <c r="N98">
        <v>30.512312000000001</v>
      </c>
      <c r="O98">
        <v>31.463519999999999</v>
      </c>
      <c r="P98">
        <v>32.437064999999997</v>
      </c>
      <c r="Q98">
        <v>33.433472000000002</v>
      </c>
      <c r="R98">
        <v>34.453217000000002</v>
      </c>
      <c r="S98">
        <v>35.496718999999999</v>
      </c>
      <c r="T98">
        <v>36.564480000000003</v>
      </c>
      <c r="U98">
        <v>37.655369</v>
      </c>
      <c r="V98">
        <v>38.769539000000002</v>
      </c>
      <c r="W98">
        <v>39.908172999999998</v>
      </c>
      <c r="X98">
        <v>41.071285000000003</v>
      </c>
      <c r="Y98">
        <v>42.258408000000003</v>
      </c>
      <c r="Z98">
        <v>43.470329</v>
      </c>
      <c r="AA98">
        <v>44.707180000000001</v>
      </c>
      <c r="AB98">
        <v>45.968494</v>
      </c>
      <c r="AC98">
        <v>47.254497999999998</v>
      </c>
      <c r="AD98">
        <v>48.566391000000003</v>
      </c>
      <c r="AE98">
        <v>49.903812000000002</v>
      </c>
      <c r="AF98">
        <v>51.266669999999998</v>
      </c>
      <c r="AG98" s="9">
        <v>0.03</v>
      </c>
    </row>
    <row r="99" spans="1:33">
      <c r="A99" t="s">
        <v>211</v>
      </c>
      <c r="B99" t="s">
        <v>983</v>
      </c>
      <c r="C99" t="s">
        <v>982</v>
      </c>
      <c r="D99" t="s">
        <v>194</v>
      </c>
      <c r="F99">
        <v>6.4963730000000002</v>
      </c>
      <c r="G99">
        <v>6.674906</v>
      </c>
      <c r="H99">
        <v>6.9243430000000004</v>
      </c>
      <c r="I99">
        <v>7.1786789999999998</v>
      </c>
      <c r="J99">
        <v>7.4361629999999996</v>
      </c>
      <c r="K99">
        <v>7.6995829999999996</v>
      </c>
      <c r="L99">
        <v>7.9701230000000001</v>
      </c>
      <c r="M99">
        <v>8.2480860000000007</v>
      </c>
      <c r="N99">
        <v>8.5342029999999998</v>
      </c>
      <c r="O99">
        <v>8.8289120000000008</v>
      </c>
      <c r="P99">
        <v>9.1321910000000006</v>
      </c>
      <c r="Q99">
        <v>9.4442579999999996</v>
      </c>
      <c r="R99">
        <v>9.7653230000000004</v>
      </c>
      <c r="S99">
        <v>10.09559</v>
      </c>
      <c r="T99">
        <v>10.435283999999999</v>
      </c>
      <c r="U99">
        <v>10.784245</v>
      </c>
      <c r="V99">
        <v>11.142282</v>
      </c>
      <c r="W99">
        <v>11.509945999999999</v>
      </c>
      <c r="X99">
        <v>11.887375</v>
      </c>
      <c r="Y99">
        <v>12.274566</v>
      </c>
      <c r="Z99">
        <v>12.671827</v>
      </c>
      <c r="AA99">
        <v>13.079319</v>
      </c>
      <c r="AB99">
        <v>13.497047999999999</v>
      </c>
      <c r="AC99">
        <v>13.925196</v>
      </c>
      <c r="AD99">
        <v>14.364179999999999</v>
      </c>
      <c r="AE99">
        <v>14.814038999999999</v>
      </c>
      <c r="AF99">
        <v>15.274884999999999</v>
      </c>
      <c r="AG99" s="9">
        <v>3.3000000000000002E-2</v>
      </c>
    </row>
    <row r="100" spans="1:33">
      <c r="A100" t="s">
        <v>710</v>
      </c>
      <c r="B100" t="s">
        <v>981</v>
      </c>
      <c r="C100" t="s">
        <v>980</v>
      </c>
      <c r="D100" t="s">
        <v>194</v>
      </c>
      <c r="F100">
        <v>1702.777466</v>
      </c>
      <c r="G100">
        <v>1684.4600829999999</v>
      </c>
      <c r="H100">
        <v>1718.778198</v>
      </c>
      <c r="I100">
        <v>1753.4241939999999</v>
      </c>
      <c r="J100">
        <v>1788.4212649999999</v>
      </c>
      <c r="K100">
        <v>1823.810669</v>
      </c>
      <c r="L100">
        <v>1859.6085210000001</v>
      </c>
      <c r="M100">
        <v>1895.7563479999999</v>
      </c>
      <c r="N100">
        <v>1932.350952</v>
      </c>
      <c r="O100">
        <v>1969.5593260000001</v>
      </c>
      <c r="P100">
        <v>2007.447144</v>
      </c>
      <c r="Q100">
        <v>2045.962769</v>
      </c>
      <c r="R100">
        <v>2085.1594239999999</v>
      </c>
      <c r="S100">
        <v>2124.968018</v>
      </c>
      <c r="T100">
        <v>2165.3234859999998</v>
      </c>
      <c r="U100">
        <v>2206.2604980000001</v>
      </c>
      <c r="V100">
        <v>2247.774414</v>
      </c>
      <c r="W100">
        <v>2289.8474120000001</v>
      </c>
      <c r="X100">
        <v>2332.5178219999998</v>
      </c>
      <c r="Y100">
        <v>2375.7565920000002</v>
      </c>
      <c r="Z100">
        <v>2419.5266109999998</v>
      </c>
      <c r="AA100">
        <v>2463.798828</v>
      </c>
      <c r="AB100">
        <v>2508.6098630000001</v>
      </c>
      <c r="AC100">
        <v>2553.9504390000002</v>
      </c>
      <c r="AD100">
        <v>2599.780029</v>
      </c>
      <c r="AE100">
        <v>2646.1127929999998</v>
      </c>
      <c r="AF100">
        <v>2692.961914</v>
      </c>
      <c r="AG100" s="9">
        <v>1.7999999999999999E-2</v>
      </c>
    </row>
    <row r="101" spans="1:33">
      <c r="A101" t="s">
        <v>209</v>
      </c>
      <c r="B101" t="s">
        <v>979</v>
      </c>
      <c r="C101" t="s">
        <v>978</v>
      </c>
      <c r="D101" t="s">
        <v>194</v>
      </c>
      <c r="F101">
        <v>853.27618399999994</v>
      </c>
      <c r="G101">
        <v>864.38037099999997</v>
      </c>
      <c r="H101">
        <v>883.00707999999997</v>
      </c>
      <c r="I101">
        <v>901.83013900000003</v>
      </c>
      <c r="J101">
        <v>920.840149</v>
      </c>
      <c r="K101">
        <v>940.03234899999995</v>
      </c>
      <c r="L101">
        <v>959.41461200000003</v>
      </c>
      <c r="M101">
        <v>978.95013400000005</v>
      </c>
      <c r="N101">
        <v>998.71148700000003</v>
      </c>
      <c r="O101">
        <v>1018.817078</v>
      </c>
      <c r="P101">
        <v>1039.30249</v>
      </c>
      <c r="Q101">
        <v>1060.1397710000001</v>
      </c>
      <c r="R101">
        <v>1081.369751</v>
      </c>
      <c r="S101">
        <v>1102.944702</v>
      </c>
      <c r="T101">
        <v>1124.827393</v>
      </c>
      <c r="U101">
        <v>1147.043457</v>
      </c>
      <c r="V101">
        <v>1169.591919</v>
      </c>
      <c r="W101">
        <v>1192.462524</v>
      </c>
      <c r="X101">
        <v>1215.6829829999999</v>
      </c>
      <c r="Y101">
        <v>1239.238525</v>
      </c>
      <c r="Z101">
        <v>1263.104736</v>
      </c>
      <c r="AA101">
        <v>1287.2658690000001</v>
      </c>
      <c r="AB101">
        <v>1311.746582</v>
      </c>
      <c r="AC101">
        <v>1336.5437010000001</v>
      </c>
      <c r="AD101">
        <v>1361.6401370000001</v>
      </c>
      <c r="AE101">
        <v>1387.051025</v>
      </c>
      <c r="AF101">
        <v>1412.789673</v>
      </c>
      <c r="AG101" s="9">
        <v>0.02</v>
      </c>
    </row>
    <row r="102" spans="1:33">
      <c r="A102" t="s">
        <v>210</v>
      </c>
      <c r="B102" t="s">
        <v>977</v>
      </c>
      <c r="C102" t="s">
        <v>976</v>
      </c>
      <c r="D102" t="s">
        <v>194</v>
      </c>
      <c r="F102">
        <v>789.53143299999999</v>
      </c>
      <c r="G102">
        <v>758.97247300000004</v>
      </c>
      <c r="H102">
        <v>773.32983400000001</v>
      </c>
      <c r="I102">
        <v>787.80413799999997</v>
      </c>
      <c r="J102">
        <v>802.42926</v>
      </c>
      <c r="K102">
        <v>817.251892</v>
      </c>
      <c r="L102">
        <v>832.27978499999995</v>
      </c>
      <c r="M102">
        <v>847.49426300000005</v>
      </c>
      <c r="N102">
        <v>862.913635</v>
      </c>
      <c r="O102">
        <v>878.57763699999998</v>
      </c>
      <c r="P102">
        <v>894.513733</v>
      </c>
      <c r="Q102">
        <v>910.70086700000002</v>
      </c>
      <c r="R102">
        <v>927.14721699999996</v>
      </c>
      <c r="S102">
        <v>943.83605999999997</v>
      </c>
      <c r="T102">
        <v>960.74182099999996</v>
      </c>
      <c r="U102">
        <v>977.87133800000004</v>
      </c>
      <c r="V102">
        <v>995.22137499999997</v>
      </c>
      <c r="W102">
        <v>1012.784912</v>
      </c>
      <c r="X102">
        <v>1030.570557</v>
      </c>
      <c r="Y102">
        <v>1048.565063</v>
      </c>
      <c r="Z102">
        <v>1066.7570800000001</v>
      </c>
      <c r="AA102">
        <v>1085.1357419999999</v>
      </c>
      <c r="AB102">
        <v>1103.709717</v>
      </c>
      <c r="AC102">
        <v>1122.473999</v>
      </c>
      <c r="AD102">
        <v>1141.405884</v>
      </c>
      <c r="AE102">
        <v>1160.5032960000001</v>
      </c>
      <c r="AF102">
        <v>1179.7651370000001</v>
      </c>
      <c r="AG102" s="9">
        <v>1.6E-2</v>
      </c>
    </row>
    <row r="103" spans="1:33">
      <c r="A103" t="s">
        <v>211</v>
      </c>
      <c r="B103" t="s">
        <v>975</v>
      </c>
      <c r="C103" t="s">
        <v>974</v>
      </c>
      <c r="D103" t="s">
        <v>194</v>
      </c>
      <c r="F103">
        <v>59.969872000000002</v>
      </c>
      <c r="G103">
        <v>61.107044000000002</v>
      </c>
      <c r="H103">
        <v>62.441302999999998</v>
      </c>
      <c r="I103">
        <v>63.789932</v>
      </c>
      <c r="J103">
        <v>65.151886000000005</v>
      </c>
      <c r="K103">
        <v>66.526398</v>
      </c>
      <c r="L103">
        <v>67.914017000000001</v>
      </c>
      <c r="M103">
        <v>69.312019000000006</v>
      </c>
      <c r="N103">
        <v>70.725921999999997</v>
      </c>
      <c r="O103">
        <v>72.164658000000003</v>
      </c>
      <c r="P103">
        <v>73.630791000000002</v>
      </c>
      <c r="Q103">
        <v>75.122298999999998</v>
      </c>
      <c r="R103">
        <v>76.642325999999997</v>
      </c>
      <c r="S103">
        <v>78.187247999999997</v>
      </c>
      <c r="T103">
        <v>79.754401999999999</v>
      </c>
      <c r="U103">
        <v>81.345741000000004</v>
      </c>
      <c r="V103">
        <v>82.961181999999994</v>
      </c>
      <c r="W103">
        <v>84.599997999999999</v>
      </c>
      <c r="X103">
        <v>86.264313000000001</v>
      </c>
      <c r="Y103">
        <v>87.953048999999993</v>
      </c>
      <c r="Z103">
        <v>89.664421000000004</v>
      </c>
      <c r="AA103">
        <v>91.397246999999993</v>
      </c>
      <c r="AB103">
        <v>93.153435000000002</v>
      </c>
      <c r="AC103">
        <v>94.932747000000006</v>
      </c>
      <c r="AD103">
        <v>96.734047000000004</v>
      </c>
      <c r="AE103">
        <v>98.558548000000002</v>
      </c>
      <c r="AF103">
        <v>100.40728799999999</v>
      </c>
      <c r="AG103" s="9">
        <v>0.02</v>
      </c>
    </row>
    <row r="104" spans="1:33">
      <c r="A104" t="s">
        <v>336</v>
      </c>
      <c r="B104" t="s">
        <v>973</v>
      </c>
      <c r="C104" t="s">
        <v>972</v>
      </c>
      <c r="D104" t="s">
        <v>194</v>
      </c>
      <c r="F104">
        <v>238.66572600000001</v>
      </c>
      <c r="G104">
        <v>223.10365300000001</v>
      </c>
      <c r="H104">
        <v>224.82252500000001</v>
      </c>
      <c r="I104">
        <v>226.523438</v>
      </c>
      <c r="J104">
        <v>227.73524499999999</v>
      </c>
      <c r="K104">
        <v>228.690414</v>
      </c>
      <c r="L104">
        <v>229.440247</v>
      </c>
      <c r="M104">
        <v>229.91059899999999</v>
      </c>
      <c r="N104">
        <v>230.30450400000001</v>
      </c>
      <c r="O104">
        <v>230.581818</v>
      </c>
      <c r="P104">
        <v>230.667923</v>
      </c>
      <c r="Q104">
        <v>230.58933999999999</v>
      </c>
      <c r="R104">
        <v>230.37927199999999</v>
      </c>
      <c r="S104">
        <v>230.12742600000001</v>
      </c>
      <c r="T104">
        <v>229.833282</v>
      </c>
      <c r="U104">
        <v>229.48713699999999</v>
      </c>
      <c r="V104">
        <v>229.18249499999999</v>
      </c>
      <c r="W104">
        <v>228.95282</v>
      </c>
      <c r="X104">
        <v>228.79997299999999</v>
      </c>
      <c r="Y104">
        <v>228.73371900000001</v>
      </c>
      <c r="Z104">
        <v>228.76908900000001</v>
      </c>
      <c r="AA104">
        <v>228.969482</v>
      </c>
      <c r="AB104">
        <v>229.32295199999999</v>
      </c>
      <c r="AC104">
        <v>229.784988</v>
      </c>
      <c r="AD104">
        <v>230.312836</v>
      </c>
      <c r="AE104">
        <v>230.87681599999999</v>
      </c>
      <c r="AF104">
        <v>231.55372600000001</v>
      </c>
      <c r="AG104" s="9">
        <v>-1E-3</v>
      </c>
    </row>
    <row r="105" spans="1:33">
      <c r="A105" t="s">
        <v>209</v>
      </c>
      <c r="B105" t="s">
        <v>971</v>
      </c>
      <c r="C105" t="s">
        <v>970</v>
      </c>
      <c r="D105" t="s">
        <v>194</v>
      </c>
      <c r="F105">
        <v>76.344016999999994</v>
      </c>
      <c r="G105">
        <v>75.495750000000001</v>
      </c>
      <c r="H105">
        <v>75.999092000000005</v>
      </c>
      <c r="I105">
        <v>76.499649000000005</v>
      </c>
      <c r="J105">
        <v>76.932747000000006</v>
      </c>
      <c r="K105">
        <v>77.331992999999997</v>
      </c>
      <c r="L105">
        <v>77.703902999999997</v>
      </c>
      <c r="M105">
        <v>78.037102000000004</v>
      </c>
      <c r="N105">
        <v>78.360275000000001</v>
      </c>
      <c r="O105">
        <v>78.668059999999997</v>
      </c>
      <c r="P105">
        <v>78.948966999999996</v>
      </c>
      <c r="Q105">
        <v>79.205803000000003</v>
      </c>
      <c r="R105">
        <v>79.444748000000004</v>
      </c>
      <c r="S105">
        <v>79.679276000000002</v>
      </c>
      <c r="T105">
        <v>79.909728999999999</v>
      </c>
      <c r="U105">
        <v>80.134590000000003</v>
      </c>
      <c r="V105">
        <v>80.363724000000005</v>
      </c>
      <c r="W105">
        <v>80.602538999999993</v>
      </c>
      <c r="X105">
        <v>80.853667999999999</v>
      </c>
      <c r="Y105">
        <v>81.120720000000006</v>
      </c>
      <c r="Z105">
        <v>81.404731999999996</v>
      </c>
      <c r="AA105">
        <v>81.714691000000002</v>
      </c>
      <c r="AB105">
        <v>82.049362000000002</v>
      </c>
      <c r="AC105">
        <v>82.403510999999995</v>
      </c>
      <c r="AD105">
        <v>82.770927</v>
      </c>
      <c r="AE105">
        <v>83.146118000000001</v>
      </c>
      <c r="AF105">
        <v>83.539519999999996</v>
      </c>
      <c r="AG105" s="9">
        <v>3.0000000000000001E-3</v>
      </c>
    </row>
    <row r="106" spans="1:33">
      <c r="A106" t="s">
        <v>210</v>
      </c>
      <c r="B106" t="s">
        <v>969</v>
      </c>
      <c r="C106" t="s">
        <v>968</v>
      </c>
      <c r="D106" t="s">
        <v>194</v>
      </c>
      <c r="F106">
        <v>155.10116600000001</v>
      </c>
      <c r="G106">
        <v>140.39276100000001</v>
      </c>
      <c r="H106">
        <v>141.56153900000001</v>
      </c>
      <c r="I106">
        <v>142.71534700000001</v>
      </c>
      <c r="J106">
        <v>143.45225500000001</v>
      </c>
      <c r="K106">
        <v>143.96871899999999</v>
      </c>
      <c r="L106">
        <v>144.30908199999999</v>
      </c>
      <c r="M106">
        <v>144.411407</v>
      </c>
      <c r="N106">
        <v>144.44798299999999</v>
      </c>
      <c r="O106">
        <v>144.38443000000001</v>
      </c>
      <c r="P106">
        <v>144.158447</v>
      </c>
      <c r="Q106">
        <v>143.79367099999999</v>
      </c>
      <c r="R106">
        <v>143.31648300000001</v>
      </c>
      <c r="S106">
        <v>142.80221599999999</v>
      </c>
      <c r="T106">
        <v>142.24996899999999</v>
      </c>
      <c r="U106">
        <v>141.65159600000001</v>
      </c>
      <c r="V106">
        <v>141.09025600000001</v>
      </c>
      <c r="W106">
        <v>140.593491</v>
      </c>
      <c r="X106">
        <v>140.16030900000001</v>
      </c>
      <c r="Y106">
        <v>139.796539</v>
      </c>
      <c r="Z106">
        <v>139.516098</v>
      </c>
      <c r="AA106">
        <v>139.372772</v>
      </c>
      <c r="AB106">
        <v>139.355896</v>
      </c>
      <c r="AC106">
        <v>139.42652899999999</v>
      </c>
      <c r="AD106">
        <v>139.54863</v>
      </c>
      <c r="AE106">
        <v>139.698395</v>
      </c>
      <c r="AF106">
        <v>139.94148300000001</v>
      </c>
      <c r="AG106" s="9">
        <v>-4.0000000000000001E-3</v>
      </c>
    </row>
    <row r="107" spans="1:33">
      <c r="A107" t="s">
        <v>211</v>
      </c>
      <c r="B107" t="s">
        <v>967</v>
      </c>
      <c r="C107" t="s">
        <v>966</v>
      </c>
      <c r="D107" t="s">
        <v>194</v>
      </c>
      <c r="F107">
        <v>7.2205240000000002</v>
      </c>
      <c r="G107">
        <v>7.2151449999999997</v>
      </c>
      <c r="H107">
        <v>7.2619069999999999</v>
      </c>
      <c r="I107">
        <v>7.3084600000000002</v>
      </c>
      <c r="J107">
        <v>7.3502470000000004</v>
      </c>
      <c r="K107">
        <v>7.3897050000000002</v>
      </c>
      <c r="L107">
        <v>7.4272729999999996</v>
      </c>
      <c r="M107">
        <v>7.4620990000000003</v>
      </c>
      <c r="N107">
        <v>7.496238</v>
      </c>
      <c r="O107">
        <v>7.529318</v>
      </c>
      <c r="P107">
        <v>7.5604779999999998</v>
      </c>
      <c r="Q107">
        <v>7.58988</v>
      </c>
      <c r="R107">
        <v>7.6180279999999998</v>
      </c>
      <c r="S107">
        <v>7.6459200000000003</v>
      </c>
      <c r="T107">
        <v>7.6735980000000001</v>
      </c>
      <c r="U107">
        <v>7.7009480000000003</v>
      </c>
      <c r="V107">
        <v>7.7285380000000004</v>
      </c>
      <c r="W107">
        <v>7.7567839999999997</v>
      </c>
      <c r="X107">
        <v>7.7859730000000003</v>
      </c>
      <c r="Y107">
        <v>7.8164540000000002</v>
      </c>
      <c r="Z107">
        <v>7.8482589999999997</v>
      </c>
      <c r="AA107">
        <v>7.8820300000000003</v>
      </c>
      <c r="AB107">
        <v>7.9176989999999998</v>
      </c>
      <c r="AC107">
        <v>7.9549339999999997</v>
      </c>
      <c r="AD107">
        <v>7.9932819999999998</v>
      </c>
      <c r="AE107">
        <v>8.0322990000000001</v>
      </c>
      <c r="AF107">
        <v>8.0727130000000002</v>
      </c>
      <c r="AG107" s="9">
        <v>4.0000000000000001E-3</v>
      </c>
    </row>
    <row r="108" spans="1:33">
      <c r="A108" t="s">
        <v>337</v>
      </c>
      <c r="B108" t="s">
        <v>965</v>
      </c>
      <c r="C108" t="s">
        <v>964</v>
      </c>
      <c r="D108" t="s">
        <v>194</v>
      </c>
      <c r="F108">
        <v>209.76535000000001</v>
      </c>
      <c r="G108">
        <v>198.410461</v>
      </c>
      <c r="H108">
        <v>204.20455899999999</v>
      </c>
      <c r="I108">
        <v>210.181107</v>
      </c>
      <c r="J108">
        <v>216.36660800000001</v>
      </c>
      <c r="K108">
        <v>222.59574900000001</v>
      </c>
      <c r="L108">
        <v>228.884109</v>
      </c>
      <c r="M108">
        <v>235.27534499999999</v>
      </c>
      <c r="N108">
        <v>241.74443099999999</v>
      </c>
      <c r="O108">
        <v>248.28384399999999</v>
      </c>
      <c r="P108">
        <v>254.90438800000001</v>
      </c>
      <c r="Q108">
        <v>261.56607100000002</v>
      </c>
      <c r="R108">
        <v>268.30892899999998</v>
      </c>
      <c r="S108">
        <v>275.14407299999999</v>
      </c>
      <c r="T108">
        <v>281.98040800000001</v>
      </c>
      <c r="U108">
        <v>288.88665800000001</v>
      </c>
      <c r="V108">
        <v>295.86978099999999</v>
      </c>
      <c r="W108">
        <v>302.95361300000002</v>
      </c>
      <c r="X108">
        <v>310.138306</v>
      </c>
      <c r="Y108">
        <v>317.42541499999999</v>
      </c>
      <c r="Z108">
        <v>324.80920400000002</v>
      </c>
      <c r="AA108">
        <v>332.28497299999998</v>
      </c>
      <c r="AB108">
        <v>339.851654</v>
      </c>
      <c r="AC108">
        <v>347.50949100000003</v>
      </c>
      <c r="AD108">
        <v>355.26086400000003</v>
      </c>
      <c r="AE108">
        <v>363.10723899999999</v>
      </c>
      <c r="AF108">
        <v>371.05029300000001</v>
      </c>
      <c r="AG108" s="9">
        <v>2.1999999999999999E-2</v>
      </c>
    </row>
    <row r="109" spans="1:33">
      <c r="A109" t="s">
        <v>209</v>
      </c>
      <c r="B109" t="s">
        <v>963</v>
      </c>
      <c r="C109" t="s">
        <v>962</v>
      </c>
      <c r="D109" t="s">
        <v>194</v>
      </c>
      <c r="F109">
        <v>68.958838999999998</v>
      </c>
      <c r="G109">
        <v>69.029549000000003</v>
      </c>
      <c r="H109">
        <v>70.989502000000002</v>
      </c>
      <c r="I109">
        <v>73.001082999999994</v>
      </c>
      <c r="J109">
        <v>75.059714999999997</v>
      </c>
      <c r="K109">
        <v>77.106376999999995</v>
      </c>
      <c r="L109">
        <v>79.154151999999996</v>
      </c>
      <c r="M109">
        <v>81.230057000000002</v>
      </c>
      <c r="N109">
        <v>83.319061000000005</v>
      </c>
      <c r="O109">
        <v>85.415817000000004</v>
      </c>
      <c r="P109">
        <v>87.526343999999995</v>
      </c>
      <c r="Q109">
        <v>89.624747999999997</v>
      </c>
      <c r="R109">
        <v>91.734511999999995</v>
      </c>
      <c r="S109">
        <v>93.862258999999995</v>
      </c>
      <c r="T109">
        <v>95.950119000000001</v>
      </c>
      <c r="U109">
        <v>98.039237999999997</v>
      </c>
      <c r="V109">
        <v>100.13226299999999</v>
      </c>
      <c r="W109">
        <v>102.24350699999999</v>
      </c>
      <c r="X109">
        <v>104.372215</v>
      </c>
      <c r="Y109">
        <v>106.518837</v>
      </c>
      <c r="Z109">
        <v>108.679497</v>
      </c>
      <c r="AA109">
        <v>110.851067</v>
      </c>
      <c r="AB109">
        <v>113.03274500000001</v>
      </c>
      <c r="AC109">
        <v>115.22473100000001</v>
      </c>
      <c r="AD109">
        <v>117.428017</v>
      </c>
      <c r="AE109">
        <v>119.643028</v>
      </c>
      <c r="AF109">
        <v>121.870476</v>
      </c>
      <c r="AG109" s="9">
        <v>2.1999999999999999E-2</v>
      </c>
    </row>
    <row r="110" spans="1:33">
      <c r="A110" t="s">
        <v>210</v>
      </c>
      <c r="B110" t="s">
        <v>961</v>
      </c>
      <c r="C110" t="s">
        <v>960</v>
      </c>
      <c r="D110" t="s">
        <v>194</v>
      </c>
      <c r="F110">
        <v>134.86244199999999</v>
      </c>
      <c r="G110">
        <v>123.36409</v>
      </c>
      <c r="H110">
        <v>127.02831999999999</v>
      </c>
      <c r="I110">
        <v>130.81907699999999</v>
      </c>
      <c r="J110">
        <v>134.768036</v>
      </c>
      <c r="K110">
        <v>138.774124</v>
      </c>
      <c r="L110">
        <v>142.83854700000001</v>
      </c>
      <c r="M110">
        <v>146.975357</v>
      </c>
      <c r="N110">
        <v>151.176041</v>
      </c>
      <c r="O110">
        <v>155.43888899999999</v>
      </c>
      <c r="P110">
        <v>159.768158</v>
      </c>
      <c r="Q110">
        <v>164.15214499999999</v>
      </c>
      <c r="R110">
        <v>168.60528600000001</v>
      </c>
      <c r="S110">
        <v>173.131348</v>
      </c>
      <c r="T110">
        <v>177.70262099999999</v>
      </c>
      <c r="U110">
        <v>182.34288000000001</v>
      </c>
      <c r="V110">
        <v>187.05612199999999</v>
      </c>
      <c r="W110">
        <v>191.85055500000001</v>
      </c>
      <c r="X110">
        <v>196.72709699999999</v>
      </c>
      <c r="Y110">
        <v>201.686905</v>
      </c>
      <c r="Z110">
        <v>206.72851600000001</v>
      </c>
      <c r="AA110">
        <v>211.85046399999999</v>
      </c>
      <c r="AB110">
        <v>217.052795</v>
      </c>
      <c r="AC110">
        <v>222.33543399999999</v>
      </c>
      <c r="AD110">
        <v>227.69967700000001</v>
      </c>
      <c r="AE110">
        <v>233.14648399999999</v>
      </c>
      <c r="AF110">
        <v>238.67678799999999</v>
      </c>
      <c r="AG110" s="9">
        <v>2.1999999999999999E-2</v>
      </c>
    </row>
    <row r="111" spans="1:33">
      <c r="A111" t="s">
        <v>211</v>
      </c>
      <c r="B111" t="s">
        <v>959</v>
      </c>
      <c r="C111" t="s">
        <v>958</v>
      </c>
      <c r="D111" t="s">
        <v>194</v>
      </c>
      <c r="F111">
        <v>5.944083</v>
      </c>
      <c r="G111">
        <v>6.0168400000000002</v>
      </c>
      <c r="H111">
        <v>6.18675</v>
      </c>
      <c r="I111">
        <v>6.3609650000000002</v>
      </c>
      <c r="J111">
        <v>6.538856</v>
      </c>
      <c r="K111">
        <v>6.7152520000000004</v>
      </c>
      <c r="L111">
        <v>6.8914239999999998</v>
      </c>
      <c r="M111">
        <v>7.0699209999999999</v>
      </c>
      <c r="N111">
        <v>7.2493299999999996</v>
      </c>
      <c r="O111">
        <v>7.4291340000000003</v>
      </c>
      <c r="P111">
        <v>7.6099009999999998</v>
      </c>
      <c r="Q111">
        <v>7.789174</v>
      </c>
      <c r="R111">
        <v>7.9691559999999999</v>
      </c>
      <c r="S111">
        <v>8.1504740000000009</v>
      </c>
      <c r="T111">
        <v>8.3276439999999994</v>
      </c>
      <c r="U111">
        <v>8.5045450000000002</v>
      </c>
      <c r="V111">
        <v>8.6814079999999993</v>
      </c>
      <c r="W111">
        <v>8.8595790000000001</v>
      </c>
      <c r="X111">
        <v>9.0389820000000007</v>
      </c>
      <c r="Y111">
        <v>9.2196510000000007</v>
      </c>
      <c r="Z111">
        <v>9.4012209999999996</v>
      </c>
      <c r="AA111">
        <v>9.5833910000000007</v>
      </c>
      <c r="AB111">
        <v>9.7660859999999996</v>
      </c>
      <c r="AC111">
        <v>9.9493270000000003</v>
      </c>
      <c r="AD111">
        <v>10.1332</v>
      </c>
      <c r="AE111">
        <v>10.317741</v>
      </c>
      <c r="AF111">
        <v>10.503016000000001</v>
      </c>
      <c r="AG111" s="9">
        <v>2.1999999999999999E-2</v>
      </c>
    </row>
    <row r="112" spans="1:33">
      <c r="A112" t="s">
        <v>338</v>
      </c>
      <c r="B112" t="s">
        <v>957</v>
      </c>
      <c r="C112" t="s">
        <v>956</v>
      </c>
      <c r="D112" t="s">
        <v>194</v>
      </c>
      <c r="F112">
        <v>119.327629</v>
      </c>
      <c r="G112">
        <v>118.269302</v>
      </c>
      <c r="H112">
        <v>124.674477</v>
      </c>
      <c r="I112">
        <v>130.92004399999999</v>
      </c>
      <c r="J112">
        <v>137.08445699999999</v>
      </c>
      <c r="K112">
        <v>143.26277200000001</v>
      </c>
      <c r="L112">
        <v>149.537003</v>
      </c>
      <c r="M112">
        <v>155.63314800000001</v>
      </c>
      <c r="N112">
        <v>161.52098100000001</v>
      </c>
      <c r="O112">
        <v>167.26478599999999</v>
      </c>
      <c r="P112">
        <v>172.81475800000001</v>
      </c>
      <c r="Q112">
        <v>178.15687600000001</v>
      </c>
      <c r="R112">
        <v>183.51745600000001</v>
      </c>
      <c r="S112">
        <v>188.56248500000001</v>
      </c>
      <c r="T112">
        <v>193.48852500000001</v>
      </c>
      <c r="U112">
        <v>198.202347</v>
      </c>
      <c r="V112">
        <v>202.93879699999999</v>
      </c>
      <c r="W112">
        <v>207.77690100000001</v>
      </c>
      <c r="X112">
        <v>212.46725499999999</v>
      </c>
      <c r="Y112">
        <v>216.83813499999999</v>
      </c>
      <c r="Z112">
        <v>220.65924100000001</v>
      </c>
      <c r="AA112">
        <v>223.73474100000001</v>
      </c>
      <c r="AB112">
        <v>226.27565000000001</v>
      </c>
      <c r="AC112">
        <v>228.519531</v>
      </c>
      <c r="AD112">
        <v>230.75152600000001</v>
      </c>
      <c r="AE112">
        <v>233.22546399999999</v>
      </c>
      <c r="AF112">
        <v>235.830353</v>
      </c>
      <c r="AG112" s="9">
        <v>2.7E-2</v>
      </c>
    </row>
    <row r="113" spans="1:33">
      <c r="A113" t="s">
        <v>209</v>
      </c>
      <c r="B113" t="s">
        <v>955</v>
      </c>
      <c r="C113" t="s">
        <v>954</v>
      </c>
      <c r="D113" t="s">
        <v>194</v>
      </c>
      <c r="F113">
        <v>23.492933000000001</v>
      </c>
      <c r="G113">
        <v>23.411591000000001</v>
      </c>
      <c r="H113">
        <v>24.417916999999999</v>
      </c>
      <c r="I113">
        <v>25.395171999999999</v>
      </c>
      <c r="J113">
        <v>26.355919</v>
      </c>
      <c r="K113">
        <v>27.314820999999998</v>
      </c>
      <c r="L113">
        <v>28.284123999999998</v>
      </c>
      <c r="M113">
        <v>29.222660000000001</v>
      </c>
      <c r="N113">
        <v>30.125996000000001</v>
      </c>
      <c r="O113">
        <v>31.003620000000002</v>
      </c>
      <c r="P113">
        <v>31.848188</v>
      </c>
      <c r="Q113">
        <v>32.658011999999999</v>
      </c>
      <c r="R113">
        <v>33.466965000000002</v>
      </c>
      <c r="S113">
        <v>34.225304000000001</v>
      </c>
      <c r="T113">
        <v>34.962333999999998</v>
      </c>
      <c r="U113">
        <v>35.664558</v>
      </c>
      <c r="V113">
        <v>36.366695</v>
      </c>
      <c r="W113">
        <v>37.080429000000002</v>
      </c>
      <c r="X113">
        <v>37.769278999999997</v>
      </c>
      <c r="Y113">
        <v>38.408423999999997</v>
      </c>
      <c r="Z113">
        <v>38.963557999999999</v>
      </c>
      <c r="AA113">
        <v>39.40625</v>
      </c>
      <c r="AB113">
        <v>39.768107999999998</v>
      </c>
      <c r="AC113">
        <v>40.083309</v>
      </c>
      <c r="AD113">
        <v>40.393191999999999</v>
      </c>
      <c r="AE113">
        <v>40.734909000000002</v>
      </c>
      <c r="AF113">
        <v>41.092162999999999</v>
      </c>
      <c r="AG113" s="9">
        <v>2.1999999999999999E-2</v>
      </c>
    </row>
    <row r="114" spans="1:33">
      <c r="A114" t="s">
        <v>210</v>
      </c>
      <c r="B114" t="s">
        <v>953</v>
      </c>
      <c r="C114" t="s">
        <v>952</v>
      </c>
      <c r="D114" t="s">
        <v>194</v>
      </c>
      <c r="F114">
        <v>94.252387999999996</v>
      </c>
      <c r="G114">
        <v>93.274506000000002</v>
      </c>
      <c r="H114">
        <v>98.618347</v>
      </c>
      <c r="I114">
        <v>103.833473</v>
      </c>
      <c r="J114">
        <v>108.985123</v>
      </c>
      <c r="K114">
        <v>114.15286999999999</v>
      </c>
      <c r="L114">
        <v>119.405838</v>
      </c>
      <c r="M114">
        <v>124.513351</v>
      </c>
      <c r="N114">
        <v>129.44986</v>
      </c>
      <c r="O114">
        <v>134.26960800000001</v>
      </c>
      <c r="P114">
        <v>138.93057300000001</v>
      </c>
      <c r="Q114">
        <v>143.420456</v>
      </c>
      <c r="R114">
        <v>147.929947</v>
      </c>
      <c r="S114">
        <v>152.17733799999999</v>
      </c>
      <c r="T114">
        <v>156.32839999999999</v>
      </c>
      <c r="U114">
        <v>160.30401599999999</v>
      </c>
      <c r="V114">
        <v>164.302582</v>
      </c>
      <c r="W114">
        <v>168.39086900000001</v>
      </c>
      <c r="X114">
        <v>172.35771199999999</v>
      </c>
      <c r="Y114">
        <v>176.05749499999999</v>
      </c>
      <c r="Z114">
        <v>179.295975</v>
      </c>
      <c r="AA114">
        <v>181.90711999999999</v>
      </c>
      <c r="AB114">
        <v>184.068771</v>
      </c>
      <c r="AC114">
        <v>185.98254399999999</v>
      </c>
      <c r="AD114">
        <v>187.890289</v>
      </c>
      <c r="AE114">
        <v>190.00676000000001</v>
      </c>
      <c r="AF114">
        <v>192.238159</v>
      </c>
      <c r="AG114" s="9">
        <v>2.8000000000000001E-2</v>
      </c>
    </row>
    <row r="115" spans="1:33">
      <c r="A115" t="s">
        <v>211</v>
      </c>
      <c r="B115" t="s">
        <v>951</v>
      </c>
      <c r="C115" t="s">
        <v>950</v>
      </c>
      <c r="D115" t="s">
        <v>194</v>
      </c>
      <c r="F115">
        <v>1.582317</v>
      </c>
      <c r="G115">
        <v>1.583207</v>
      </c>
      <c r="H115">
        <v>1.6382140000000001</v>
      </c>
      <c r="I115">
        <v>1.691381</v>
      </c>
      <c r="J115">
        <v>1.743409</v>
      </c>
      <c r="K115">
        <v>1.7950839999999999</v>
      </c>
      <c r="L115">
        <v>1.8470329999999999</v>
      </c>
      <c r="M115">
        <v>1.8971260000000001</v>
      </c>
      <c r="N115">
        <v>1.945139</v>
      </c>
      <c r="O115">
        <v>1.9915529999999999</v>
      </c>
      <c r="P115">
        <v>2.0359959999999999</v>
      </c>
      <c r="Q115">
        <v>2.0784099999999999</v>
      </c>
      <c r="R115">
        <v>2.1205379999999998</v>
      </c>
      <c r="S115">
        <v>2.1598350000000002</v>
      </c>
      <c r="T115">
        <v>2.1978019999999998</v>
      </c>
      <c r="U115">
        <v>2.2337760000000002</v>
      </c>
      <c r="V115">
        <v>2.2695159999999999</v>
      </c>
      <c r="W115">
        <v>2.3056139999999998</v>
      </c>
      <c r="X115">
        <v>2.3402479999999999</v>
      </c>
      <c r="Y115">
        <v>2.3721950000000001</v>
      </c>
      <c r="Z115">
        <v>2.399699</v>
      </c>
      <c r="AA115">
        <v>2.4213520000000002</v>
      </c>
      <c r="AB115">
        <v>2.4387840000000001</v>
      </c>
      <c r="AC115">
        <v>2.4536669999999998</v>
      </c>
      <c r="AD115">
        <v>2.4680430000000002</v>
      </c>
      <c r="AE115">
        <v>2.483771</v>
      </c>
      <c r="AF115">
        <v>2.5000309999999999</v>
      </c>
      <c r="AG115" s="9">
        <v>1.7999999999999999E-2</v>
      </c>
    </row>
    <row r="116" spans="1:33">
      <c r="A116" t="s">
        <v>339</v>
      </c>
      <c r="B116" t="s">
        <v>949</v>
      </c>
      <c r="C116" t="s">
        <v>948</v>
      </c>
      <c r="D116" t="s">
        <v>194</v>
      </c>
      <c r="F116">
        <v>142.92860400000001</v>
      </c>
      <c r="G116">
        <v>161.574738</v>
      </c>
      <c r="H116">
        <v>181.70813000000001</v>
      </c>
      <c r="I116">
        <v>193.723221</v>
      </c>
      <c r="J116">
        <v>201.39308199999999</v>
      </c>
      <c r="K116">
        <v>204.35287500000001</v>
      </c>
      <c r="L116">
        <v>207.35012800000001</v>
      </c>
      <c r="M116">
        <v>210.382721</v>
      </c>
      <c r="N116">
        <v>213.506561</v>
      </c>
      <c r="O116">
        <v>216.74534600000001</v>
      </c>
      <c r="P116">
        <v>220.104523</v>
      </c>
      <c r="Q116">
        <v>223.557007</v>
      </c>
      <c r="R116">
        <v>227.00102200000001</v>
      </c>
      <c r="S116">
        <v>230.420151</v>
      </c>
      <c r="T116">
        <v>233.84686300000001</v>
      </c>
      <c r="U116">
        <v>237.29298399999999</v>
      </c>
      <c r="V116">
        <v>240.787125</v>
      </c>
      <c r="W116">
        <v>244.556793</v>
      </c>
      <c r="X116">
        <v>248.524338</v>
      </c>
      <c r="Y116">
        <v>252.56860399999999</v>
      </c>
      <c r="Z116">
        <v>256.67440800000003</v>
      </c>
      <c r="AA116">
        <v>260.83218399999998</v>
      </c>
      <c r="AB116">
        <v>265.09466600000002</v>
      </c>
      <c r="AC116">
        <v>269.47885100000002</v>
      </c>
      <c r="AD116">
        <v>273.84585600000003</v>
      </c>
      <c r="AE116">
        <v>278.19955399999998</v>
      </c>
      <c r="AF116">
        <v>282.59265099999999</v>
      </c>
      <c r="AG116" s="9">
        <v>2.7E-2</v>
      </c>
    </row>
    <row r="117" spans="1:33">
      <c r="A117" t="s">
        <v>209</v>
      </c>
      <c r="B117" t="s">
        <v>947</v>
      </c>
      <c r="C117" t="s">
        <v>946</v>
      </c>
      <c r="D117" t="s">
        <v>194</v>
      </c>
      <c r="F117">
        <v>107.393021</v>
      </c>
      <c r="G117">
        <v>117.987534</v>
      </c>
      <c r="H117">
        <v>129.52288799999999</v>
      </c>
      <c r="I117">
        <v>136.38978599999999</v>
      </c>
      <c r="J117">
        <v>140.984283</v>
      </c>
      <c r="K117">
        <v>142.959869</v>
      </c>
      <c r="L117">
        <v>144.96014400000001</v>
      </c>
      <c r="M117">
        <v>146.98387099999999</v>
      </c>
      <c r="N117">
        <v>149.07118199999999</v>
      </c>
      <c r="O117">
        <v>151.23812899999999</v>
      </c>
      <c r="P117">
        <v>153.488846</v>
      </c>
      <c r="Q117">
        <v>155.80313100000001</v>
      </c>
      <c r="R117">
        <v>158.10571300000001</v>
      </c>
      <c r="S117">
        <v>160.38452100000001</v>
      </c>
      <c r="T117">
        <v>162.662857</v>
      </c>
      <c r="U117">
        <v>164.949341</v>
      </c>
      <c r="V117">
        <v>167.26385500000001</v>
      </c>
      <c r="W117">
        <v>169.773529</v>
      </c>
      <c r="X117">
        <v>172.421188</v>
      </c>
      <c r="Y117">
        <v>175.118088</v>
      </c>
      <c r="Z117">
        <v>177.853027</v>
      </c>
      <c r="AA117">
        <v>180.618256</v>
      </c>
      <c r="AB117">
        <v>183.45259100000001</v>
      </c>
      <c r="AC117">
        <v>186.369888</v>
      </c>
      <c r="AD117">
        <v>189.26944</v>
      </c>
      <c r="AE117">
        <v>192.153717</v>
      </c>
      <c r="AF117">
        <v>195.06158400000001</v>
      </c>
      <c r="AG117" s="9">
        <v>2.3E-2</v>
      </c>
    </row>
    <row r="118" spans="1:33">
      <c r="A118" t="s">
        <v>210</v>
      </c>
      <c r="B118" t="s">
        <v>945</v>
      </c>
      <c r="C118" t="s">
        <v>944</v>
      </c>
      <c r="D118" t="s">
        <v>194</v>
      </c>
      <c r="F118">
        <v>25.993459999999999</v>
      </c>
      <c r="G118">
        <v>33.605080000000001</v>
      </c>
      <c r="H118">
        <v>41.705432999999999</v>
      </c>
      <c r="I118">
        <v>46.560657999999997</v>
      </c>
      <c r="J118">
        <v>49.399281000000002</v>
      </c>
      <c r="K118">
        <v>50.244391999999998</v>
      </c>
      <c r="L118">
        <v>51.100605000000002</v>
      </c>
      <c r="M118">
        <v>51.967072000000002</v>
      </c>
      <c r="N118">
        <v>52.856273999999999</v>
      </c>
      <c r="O118">
        <v>53.774718999999997</v>
      </c>
      <c r="P118">
        <v>54.723278000000001</v>
      </c>
      <c r="Q118">
        <v>55.696933999999999</v>
      </c>
      <c r="R118">
        <v>56.675632</v>
      </c>
      <c r="S118">
        <v>57.656089999999999</v>
      </c>
      <c r="T118">
        <v>58.645504000000003</v>
      </c>
      <c r="U118">
        <v>59.646445999999997</v>
      </c>
      <c r="V118">
        <v>60.666046000000001</v>
      </c>
      <c r="W118">
        <v>61.750442999999997</v>
      </c>
      <c r="X118">
        <v>62.884014000000001</v>
      </c>
      <c r="Y118">
        <v>64.041938999999999</v>
      </c>
      <c r="Z118">
        <v>65.221153000000001</v>
      </c>
      <c r="AA118">
        <v>66.420692000000003</v>
      </c>
      <c r="AB118">
        <v>67.651047000000005</v>
      </c>
      <c r="AC118">
        <v>68.914032000000006</v>
      </c>
      <c r="AD118">
        <v>70.179893000000007</v>
      </c>
      <c r="AE118">
        <v>71.449875000000006</v>
      </c>
      <c r="AF118">
        <v>72.734427999999994</v>
      </c>
      <c r="AG118" s="9">
        <v>0.04</v>
      </c>
    </row>
    <row r="119" spans="1:33">
      <c r="A119" t="s">
        <v>211</v>
      </c>
      <c r="B119" t="s">
        <v>943</v>
      </c>
      <c r="C119" t="s">
        <v>942</v>
      </c>
      <c r="D119" t="s">
        <v>194</v>
      </c>
      <c r="F119">
        <v>9.5421250000000004</v>
      </c>
      <c r="G119">
        <v>9.982132</v>
      </c>
      <c r="H119">
        <v>10.479811</v>
      </c>
      <c r="I119">
        <v>10.772781999999999</v>
      </c>
      <c r="J119">
        <v>11.009517000000001</v>
      </c>
      <c r="K119">
        <v>11.148605999999999</v>
      </c>
      <c r="L119">
        <v>11.289377</v>
      </c>
      <c r="M119">
        <v>11.431779000000001</v>
      </c>
      <c r="N119">
        <v>11.579103</v>
      </c>
      <c r="O119">
        <v>11.732507999999999</v>
      </c>
      <c r="P119">
        <v>11.892381</v>
      </c>
      <c r="Q119">
        <v>12.056938000000001</v>
      </c>
      <c r="R119">
        <v>12.219676</v>
      </c>
      <c r="S119">
        <v>12.37955</v>
      </c>
      <c r="T119">
        <v>12.538484</v>
      </c>
      <c r="U119">
        <v>12.697193</v>
      </c>
      <c r="V119">
        <v>12.857211</v>
      </c>
      <c r="W119">
        <v>13.032829</v>
      </c>
      <c r="X119">
        <v>13.219137</v>
      </c>
      <c r="Y119">
        <v>13.408585</v>
      </c>
      <c r="Z119">
        <v>13.600213</v>
      </c>
      <c r="AA119">
        <v>13.793241999999999</v>
      </c>
      <c r="AB119">
        <v>13.991013000000001</v>
      </c>
      <c r="AC119">
        <v>14.194908</v>
      </c>
      <c r="AD119">
        <v>14.396512</v>
      </c>
      <c r="AE119">
        <v>14.595986999999999</v>
      </c>
      <c r="AF119">
        <v>14.796673999999999</v>
      </c>
      <c r="AG119" s="9">
        <v>1.7000000000000001E-2</v>
      </c>
    </row>
    <row r="120" spans="1:33">
      <c r="A120" t="s">
        <v>699</v>
      </c>
      <c r="B120" t="s">
        <v>941</v>
      </c>
      <c r="C120" t="s">
        <v>940</v>
      </c>
      <c r="D120" t="s">
        <v>194</v>
      </c>
      <c r="F120">
        <v>63.267685</v>
      </c>
      <c r="G120">
        <v>65.509933000000004</v>
      </c>
      <c r="H120">
        <v>68.677513000000005</v>
      </c>
      <c r="I120">
        <v>71.140906999999999</v>
      </c>
      <c r="J120">
        <v>74.722579999999994</v>
      </c>
      <c r="K120">
        <v>77.332970000000003</v>
      </c>
      <c r="L120">
        <v>79.924933999999993</v>
      </c>
      <c r="M120">
        <v>82.506439</v>
      </c>
      <c r="N120">
        <v>85.129028000000005</v>
      </c>
      <c r="O120">
        <v>87.810248999999999</v>
      </c>
      <c r="P120">
        <v>90.553070000000005</v>
      </c>
      <c r="Q120">
        <v>93.384726999999998</v>
      </c>
      <c r="R120">
        <v>96.317734000000002</v>
      </c>
      <c r="S120">
        <v>99.335678000000001</v>
      </c>
      <c r="T120">
        <v>102.42898599999999</v>
      </c>
      <c r="U120">
        <v>105.60099</v>
      </c>
      <c r="V120">
        <v>108.836128</v>
      </c>
      <c r="W120">
        <v>112.13511699999999</v>
      </c>
      <c r="X120">
        <v>115.525436</v>
      </c>
      <c r="Y120">
        <v>119.01010100000001</v>
      </c>
      <c r="Z120">
        <v>122.58757799999999</v>
      </c>
      <c r="AA120">
        <v>126.259254</v>
      </c>
      <c r="AB120">
        <v>130.003128</v>
      </c>
      <c r="AC120">
        <v>133.830063</v>
      </c>
      <c r="AD120">
        <v>137.740341</v>
      </c>
      <c r="AE120">
        <v>141.74255400000001</v>
      </c>
      <c r="AF120">
        <v>145.84314000000001</v>
      </c>
      <c r="AG120" s="9">
        <v>3.3000000000000002E-2</v>
      </c>
    </row>
    <row r="121" spans="1:33">
      <c r="A121" t="s">
        <v>209</v>
      </c>
      <c r="B121" t="s">
        <v>939</v>
      </c>
      <c r="C121" t="s">
        <v>938</v>
      </c>
      <c r="D121" t="s">
        <v>194</v>
      </c>
      <c r="F121">
        <v>48.335636000000001</v>
      </c>
      <c r="G121">
        <v>50.047905</v>
      </c>
      <c r="H121">
        <v>52.466721</v>
      </c>
      <c r="I121">
        <v>54.348492</v>
      </c>
      <c r="J121">
        <v>57.082709999999999</v>
      </c>
      <c r="K121">
        <v>59.076931000000002</v>
      </c>
      <c r="L121">
        <v>61.057017999999999</v>
      </c>
      <c r="M121">
        <v>63.029057000000002</v>
      </c>
      <c r="N121">
        <v>65.032471000000001</v>
      </c>
      <c r="O121">
        <v>67.080658</v>
      </c>
      <c r="P121">
        <v>69.175895999999995</v>
      </c>
      <c r="Q121">
        <v>71.339011999999997</v>
      </c>
      <c r="R121">
        <v>73.579566999999997</v>
      </c>
      <c r="S121">
        <v>75.884979000000001</v>
      </c>
      <c r="T121">
        <v>78.247962999999999</v>
      </c>
      <c r="U121">
        <v>80.671051000000006</v>
      </c>
      <c r="V121">
        <v>83.142334000000005</v>
      </c>
      <c r="W121">
        <v>85.662375999999995</v>
      </c>
      <c r="X121">
        <v>88.252173999999997</v>
      </c>
      <c r="Y121">
        <v>90.914023999999998</v>
      </c>
      <c r="Z121">
        <v>93.646766999999997</v>
      </c>
      <c r="AA121">
        <v>96.451469000000003</v>
      </c>
      <c r="AB121">
        <v>99.311301999999998</v>
      </c>
      <c r="AC121">
        <v>102.234596</v>
      </c>
      <c r="AD121">
        <v>105.221535</v>
      </c>
      <c r="AE121">
        <v>108.278679</v>
      </c>
      <c r="AF121">
        <v>111.410957</v>
      </c>
      <c r="AG121" s="9">
        <v>3.3000000000000002E-2</v>
      </c>
    </row>
    <row r="122" spans="1:33">
      <c r="A122" t="s">
        <v>210</v>
      </c>
      <c r="B122" t="s">
        <v>937</v>
      </c>
      <c r="C122" t="s">
        <v>936</v>
      </c>
      <c r="D122" t="s">
        <v>194</v>
      </c>
      <c r="F122">
        <v>9.9797700000000003</v>
      </c>
      <c r="G122">
        <v>10.346156000000001</v>
      </c>
      <c r="H122">
        <v>10.865069999999999</v>
      </c>
      <c r="I122">
        <v>11.25741</v>
      </c>
      <c r="J122">
        <v>11.857099</v>
      </c>
      <c r="K122">
        <v>12.270179000000001</v>
      </c>
      <c r="L122">
        <v>12.681398</v>
      </c>
      <c r="M122">
        <v>13.091692</v>
      </c>
      <c r="N122">
        <v>13.508883000000001</v>
      </c>
      <c r="O122">
        <v>13.935513</v>
      </c>
      <c r="P122">
        <v>14.371999000000001</v>
      </c>
      <c r="Q122">
        <v>14.822459</v>
      </c>
      <c r="R122">
        <v>15.288921999999999</v>
      </c>
      <c r="S122">
        <v>15.76901</v>
      </c>
      <c r="T122">
        <v>16.261216999999998</v>
      </c>
      <c r="U122">
        <v>16.766123</v>
      </c>
      <c r="V122">
        <v>17.281552999999999</v>
      </c>
      <c r="W122">
        <v>17.807554</v>
      </c>
      <c r="X122">
        <v>18.348305</v>
      </c>
      <c r="Y122">
        <v>18.904219000000001</v>
      </c>
      <c r="Z122">
        <v>19.475031000000001</v>
      </c>
      <c r="AA122">
        <v>20.060934</v>
      </c>
      <c r="AB122">
        <v>20.658508000000001</v>
      </c>
      <c r="AC122">
        <v>21.269428000000001</v>
      </c>
      <c r="AD122">
        <v>21.89377</v>
      </c>
      <c r="AE122">
        <v>22.532948999999999</v>
      </c>
      <c r="AF122">
        <v>23.188065999999999</v>
      </c>
      <c r="AG122" s="9">
        <v>3.3000000000000002E-2</v>
      </c>
    </row>
    <row r="123" spans="1:33">
      <c r="A123" t="s">
        <v>211</v>
      </c>
      <c r="B123" t="s">
        <v>935</v>
      </c>
      <c r="C123" t="s">
        <v>934</v>
      </c>
      <c r="D123" t="s">
        <v>194</v>
      </c>
      <c r="F123">
        <v>4.9522779999999997</v>
      </c>
      <c r="G123">
        <v>5.115869</v>
      </c>
      <c r="H123">
        <v>5.3457249999999998</v>
      </c>
      <c r="I123">
        <v>5.5350109999999999</v>
      </c>
      <c r="J123">
        <v>5.7827679999999999</v>
      </c>
      <c r="K123">
        <v>5.9858570000000002</v>
      </c>
      <c r="L123">
        <v>6.1865240000000004</v>
      </c>
      <c r="M123">
        <v>6.3856859999999998</v>
      </c>
      <c r="N123">
        <v>6.5876789999999996</v>
      </c>
      <c r="O123">
        <v>6.794079</v>
      </c>
      <c r="P123">
        <v>7.0051709999999998</v>
      </c>
      <c r="Q123">
        <v>7.2232529999999997</v>
      </c>
      <c r="R123">
        <v>7.4492560000000001</v>
      </c>
      <c r="S123">
        <v>7.6816890000000004</v>
      </c>
      <c r="T123">
        <v>7.9198069999999996</v>
      </c>
      <c r="U123">
        <v>8.1638169999999999</v>
      </c>
      <c r="V123">
        <v>8.412236</v>
      </c>
      <c r="W123">
        <v>8.665184</v>
      </c>
      <c r="X123">
        <v>8.9249620000000007</v>
      </c>
      <c r="Y123">
        <v>9.1918609999999994</v>
      </c>
      <c r="Z123">
        <v>9.4657789999999995</v>
      </c>
      <c r="AA123">
        <v>9.7468570000000003</v>
      </c>
      <c r="AB123">
        <v>10.033315999999999</v>
      </c>
      <c r="AC123">
        <v>10.326048999999999</v>
      </c>
      <c r="AD123">
        <v>10.625047</v>
      </c>
      <c r="AE123">
        <v>10.930925</v>
      </c>
      <c r="AF123">
        <v>11.244109</v>
      </c>
      <c r="AG123" s="9">
        <v>3.2000000000000001E-2</v>
      </c>
    </row>
    <row r="124" spans="1:33">
      <c r="A124" t="s">
        <v>206</v>
      </c>
      <c r="B124" t="s">
        <v>933</v>
      </c>
      <c r="C124" t="s">
        <v>932</v>
      </c>
      <c r="D124" t="s">
        <v>194</v>
      </c>
      <c r="F124">
        <v>907.643372</v>
      </c>
      <c r="G124">
        <v>936.21020499999997</v>
      </c>
      <c r="H124">
        <v>987.149902</v>
      </c>
      <c r="I124">
        <v>1038.0001219999999</v>
      </c>
      <c r="J124">
        <v>1090.720581</v>
      </c>
      <c r="K124">
        <v>1145.8204350000001</v>
      </c>
      <c r="L124">
        <v>1203.104736</v>
      </c>
      <c r="M124">
        <v>1262.2410890000001</v>
      </c>
      <c r="N124">
        <v>1323.399658</v>
      </c>
      <c r="O124">
        <v>1386.192139</v>
      </c>
      <c r="P124">
        <v>1450.5645750000001</v>
      </c>
      <c r="Q124">
        <v>1516.445068</v>
      </c>
      <c r="R124">
        <v>1583.2913820000001</v>
      </c>
      <c r="S124">
        <v>1651.4217530000001</v>
      </c>
      <c r="T124">
        <v>1721.0950929999999</v>
      </c>
      <c r="U124">
        <v>1792.2664789999999</v>
      </c>
      <c r="V124">
        <v>1864.8164059999999</v>
      </c>
      <c r="W124">
        <v>1938.716919</v>
      </c>
      <c r="X124">
        <v>2013.8991699999999</v>
      </c>
      <c r="Y124">
        <v>2090.2871089999999</v>
      </c>
      <c r="Z124">
        <v>2167.8032229999999</v>
      </c>
      <c r="AA124">
        <v>2246.389893</v>
      </c>
      <c r="AB124">
        <v>2325.9804690000001</v>
      </c>
      <c r="AC124">
        <v>2406.4941410000001</v>
      </c>
      <c r="AD124">
        <v>2487.8405760000001</v>
      </c>
      <c r="AE124">
        <v>2569.9492190000001</v>
      </c>
      <c r="AF124">
        <v>2652.7197270000001</v>
      </c>
      <c r="AG124" s="9">
        <v>4.2000000000000003E-2</v>
      </c>
    </row>
    <row r="125" spans="1:33">
      <c r="A125" t="s">
        <v>209</v>
      </c>
      <c r="B125" t="s">
        <v>931</v>
      </c>
      <c r="C125" t="s">
        <v>930</v>
      </c>
      <c r="D125" t="s">
        <v>194</v>
      </c>
      <c r="F125">
        <v>592.813354</v>
      </c>
      <c r="G125">
        <v>621.688354</v>
      </c>
      <c r="H125">
        <v>656.07244900000001</v>
      </c>
      <c r="I125">
        <v>690.25488299999995</v>
      </c>
      <c r="J125">
        <v>725.69146699999999</v>
      </c>
      <c r="K125">
        <v>762.75372300000004</v>
      </c>
      <c r="L125">
        <v>801.29119900000001</v>
      </c>
      <c r="M125">
        <v>841.05304000000001</v>
      </c>
      <c r="N125">
        <v>882.160034</v>
      </c>
      <c r="O125">
        <v>924.31909199999996</v>
      </c>
      <c r="P125">
        <v>967.48284899999999</v>
      </c>
      <c r="Q125">
        <v>1011.590515</v>
      </c>
      <c r="R125">
        <v>1056.2349850000001</v>
      </c>
      <c r="S125">
        <v>1101.645264</v>
      </c>
      <c r="T125">
        <v>1148.0040280000001</v>
      </c>
      <c r="U125">
        <v>1195.2742920000001</v>
      </c>
      <c r="V125">
        <v>1243.3572999999999</v>
      </c>
      <c r="W125">
        <v>1292.2298579999999</v>
      </c>
      <c r="X125">
        <v>1341.8366699999999</v>
      </c>
      <c r="Y125">
        <v>1392.1141359999999</v>
      </c>
      <c r="Z125">
        <v>1443.0020750000001</v>
      </c>
      <c r="AA125">
        <v>1494.462158</v>
      </c>
      <c r="AB125">
        <v>1546.4506839999999</v>
      </c>
      <c r="AC125">
        <v>1598.9068600000001</v>
      </c>
      <c r="AD125">
        <v>1651.7669679999999</v>
      </c>
      <c r="AE125">
        <v>1704.987427</v>
      </c>
      <c r="AF125">
        <v>1758.494385</v>
      </c>
      <c r="AG125" s="9">
        <v>4.2999999999999997E-2</v>
      </c>
    </row>
    <row r="126" spans="1:33">
      <c r="A126" t="s">
        <v>210</v>
      </c>
      <c r="B126" t="s">
        <v>929</v>
      </c>
      <c r="C126" t="s">
        <v>928</v>
      </c>
      <c r="D126" t="s">
        <v>194</v>
      </c>
      <c r="F126">
        <v>254.10467499999999</v>
      </c>
      <c r="G126">
        <v>250.68653900000001</v>
      </c>
      <c r="H126">
        <v>263.703461</v>
      </c>
      <c r="I126">
        <v>276.855255</v>
      </c>
      <c r="J126">
        <v>290.49447600000002</v>
      </c>
      <c r="K126">
        <v>304.71929899999998</v>
      </c>
      <c r="L126">
        <v>319.50177000000002</v>
      </c>
      <c r="M126">
        <v>334.78637700000002</v>
      </c>
      <c r="N126">
        <v>350.609802</v>
      </c>
      <c r="O126">
        <v>366.90774499999998</v>
      </c>
      <c r="P126">
        <v>383.67816199999999</v>
      </c>
      <c r="Q126">
        <v>400.91674799999998</v>
      </c>
      <c r="R126">
        <v>418.53076199999998</v>
      </c>
      <c r="S126">
        <v>436.58557100000002</v>
      </c>
      <c r="T126">
        <v>455.13864100000001</v>
      </c>
      <c r="U126">
        <v>474.18588299999999</v>
      </c>
      <c r="V126">
        <v>493.71713299999999</v>
      </c>
      <c r="W126">
        <v>513.72949200000005</v>
      </c>
      <c r="X126">
        <v>534.216003</v>
      </c>
      <c r="Y126">
        <v>555.17040999999995</v>
      </c>
      <c r="Z126">
        <v>576.58215299999995</v>
      </c>
      <c r="AA126">
        <v>598.43542500000001</v>
      </c>
      <c r="AB126">
        <v>620.71215800000004</v>
      </c>
      <c r="AC126">
        <v>643.39813200000003</v>
      </c>
      <c r="AD126">
        <v>666.47363299999995</v>
      </c>
      <c r="AE126">
        <v>689.91625999999997</v>
      </c>
      <c r="AF126">
        <v>713.70678699999996</v>
      </c>
      <c r="AG126" s="9">
        <v>4.1000000000000002E-2</v>
      </c>
    </row>
    <row r="127" spans="1:33">
      <c r="A127" t="s">
        <v>211</v>
      </c>
      <c r="B127" t="s">
        <v>927</v>
      </c>
      <c r="C127" t="s">
        <v>926</v>
      </c>
      <c r="D127" t="s">
        <v>194</v>
      </c>
      <c r="F127">
        <v>60.725364999999996</v>
      </c>
      <c r="G127">
        <v>63.835247000000003</v>
      </c>
      <c r="H127">
        <v>67.373985000000005</v>
      </c>
      <c r="I127">
        <v>70.889931000000004</v>
      </c>
      <c r="J127">
        <v>74.534820999999994</v>
      </c>
      <c r="K127">
        <v>78.347335999999999</v>
      </c>
      <c r="L127">
        <v>82.311653000000007</v>
      </c>
      <c r="M127">
        <v>86.401627000000005</v>
      </c>
      <c r="N127">
        <v>90.629761000000002</v>
      </c>
      <c r="O127">
        <v>94.965423999999999</v>
      </c>
      <c r="P127">
        <v>99.403603000000004</v>
      </c>
      <c r="Q127">
        <v>103.93787399999999</v>
      </c>
      <c r="R127">
        <v>108.52572600000001</v>
      </c>
      <c r="S127">
        <v>113.190933</v>
      </c>
      <c r="T127">
        <v>117.952415</v>
      </c>
      <c r="U127">
        <v>122.80629</v>
      </c>
      <c r="V127">
        <v>127.742088</v>
      </c>
      <c r="W127">
        <v>132.75740099999999</v>
      </c>
      <c r="X127">
        <v>137.84641999999999</v>
      </c>
      <c r="Y127">
        <v>143.002396</v>
      </c>
      <c r="Z127">
        <v>148.21902499999999</v>
      </c>
      <c r="AA127">
        <v>153.49231</v>
      </c>
      <c r="AB127">
        <v>158.81788599999999</v>
      </c>
      <c r="AC127">
        <v>164.18933100000001</v>
      </c>
      <c r="AD127">
        <v>169.60011299999999</v>
      </c>
      <c r="AE127">
        <v>175.04570000000001</v>
      </c>
      <c r="AF127">
        <v>180.518539</v>
      </c>
      <c r="AG127" s="9">
        <v>4.2999999999999997E-2</v>
      </c>
    </row>
    <row r="128" spans="1:33">
      <c r="A128" t="s">
        <v>340</v>
      </c>
      <c r="B128" t="s">
        <v>925</v>
      </c>
      <c r="C128" t="s">
        <v>924</v>
      </c>
      <c r="D128" t="s">
        <v>194</v>
      </c>
      <c r="F128">
        <v>223.57252500000001</v>
      </c>
      <c r="G128">
        <v>230.97392300000001</v>
      </c>
      <c r="H128">
        <v>249.562454</v>
      </c>
      <c r="I128">
        <v>269.73525999999998</v>
      </c>
      <c r="J128">
        <v>290.86743200000001</v>
      </c>
      <c r="K128">
        <v>313.08288599999997</v>
      </c>
      <c r="L128">
        <v>336.31631499999997</v>
      </c>
      <c r="M128">
        <v>360.40683000000001</v>
      </c>
      <c r="N128">
        <v>385.19262700000002</v>
      </c>
      <c r="O128">
        <v>410.50692700000002</v>
      </c>
      <c r="P128">
        <v>436.27282700000001</v>
      </c>
      <c r="Q128">
        <v>462.39138800000001</v>
      </c>
      <c r="R128">
        <v>488.70764200000002</v>
      </c>
      <c r="S128">
        <v>515.410706</v>
      </c>
      <c r="T128">
        <v>542.33282499999996</v>
      </c>
      <c r="U128">
        <v>569.54925500000002</v>
      </c>
      <c r="V128">
        <v>597.25628700000004</v>
      </c>
      <c r="W128">
        <v>625.40460199999995</v>
      </c>
      <c r="X128">
        <v>653.95147699999995</v>
      </c>
      <c r="Y128">
        <v>682.82293700000002</v>
      </c>
      <c r="Z128">
        <v>711.96466099999998</v>
      </c>
      <c r="AA128">
        <v>741.37866199999996</v>
      </c>
      <c r="AB128">
        <v>771.09826699999996</v>
      </c>
      <c r="AC128">
        <v>801.06756600000006</v>
      </c>
      <c r="AD128">
        <v>831.23730499999999</v>
      </c>
      <c r="AE128">
        <v>861.55950900000005</v>
      </c>
      <c r="AF128">
        <v>891.98156700000004</v>
      </c>
      <c r="AG128" s="9">
        <v>5.5E-2</v>
      </c>
    </row>
    <row r="129" spans="1:33">
      <c r="A129" t="s">
        <v>209</v>
      </c>
      <c r="B129" t="s">
        <v>923</v>
      </c>
      <c r="C129" t="s">
        <v>922</v>
      </c>
      <c r="D129" t="s">
        <v>194</v>
      </c>
      <c r="F129">
        <v>140.80940200000001</v>
      </c>
      <c r="G129">
        <v>147.591522</v>
      </c>
      <c r="H129">
        <v>159.79884300000001</v>
      </c>
      <c r="I129">
        <v>173.07870500000001</v>
      </c>
      <c r="J129">
        <v>187.01431299999999</v>
      </c>
      <c r="K129">
        <v>201.68985000000001</v>
      </c>
      <c r="L129">
        <v>217.06231700000001</v>
      </c>
      <c r="M129">
        <v>233.023911</v>
      </c>
      <c r="N129">
        <v>249.46519499999999</v>
      </c>
      <c r="O129">
        <v>266.27285799999999</v>
      </c>
      <c r="P129">
        <v>283.393799</v>
      </c>
      <c r="Q129">
        <v>300.76001000000002</v>
      </c>
      <c r="R129">
        <v>318.26495399999999</v>
      </c>
      <c r="S129">
        <v>336.036743</v>
      </c>
      <c r="T129">
        <v>353.96051</v>
      </c>
      <c r="U129">
        <v>372.08648699999998</v>
      </c>
      <c r="V129">
        <v>390.54534899999999</v>
      </c>
      <c r="W129">
        <v>409.30426</v>
      </c>
      <c r="X129">
        <v>428.33377100000001</v>
      </c>
      <c r="Y129">
        <v>447.58297700000003</v>
      </c>
      <c r="Z129">
        <v>467.01400799999999</v>
      </c>
      <c r="AA129">
        <v>486.62734999999998</v>
      </c>
      <c r="AB129">
        <v>506.44555700000001</v>
      </c>
      <c r="AC129">
        <v>526.42999299999997</v>
      </c>
      <c r="AD129">
        <v>546.54638699999998</v>
      </c>
      <c r="AE129">
        <v>566.76086399999997</v>
      </c>
      <c r="AF129">
        <v>587.03656000000001</v>
      </c>
      <c r="AG129" s="9">
        <v>5.6000000000000001E-2</v>
      </c>
    </row>
    <row r="130" spans="1:33">
      <c r="A130" t="s">
        <v>210</v>
      </c>
      <c r="B130" t="s">
        <v>921</v>
      </c>
      <c r="C130" t="s">
        <v>920</v>
      </c>
      <c r="D130" t="s">
        <v>194</v>
      </c>
      <c r="F130">
        <v>73.054665</v>
      </c>
      <c r="G130">
        <v>72.903976</v>
      </c>
      <c r="H130">
        <v>78.372237999999996</v>
      </c>
      <c r="I130">
        <v>84.267600999999999</v>
      </c>
      <c r="J130">
        <v>90.414092999999994</v>
      </c>
      <c r="K130">
        <v>96.844634999999997</v>
      </c>
      <c r="L130">
        <v>103.54026</v>
      </c>
      <c r="M130">
        <v>110.45618399999999</v>
      </c>
      <c r="N130">
        <v>117.548637</v>
      </c>
      <c r="O130">
        <v>124.773186</v>
      </c>
      <c r="P130">
        <v>132.110275</v>
      </c>
      <c r="Q130">
        <v>139.53469799999999</v>
      </c>
      <c r="R130">
        <v>147.006393</v>
      </c>
      <c r="S130">
        <v>154.57637</v>
      </c>
      <c r="T130">
        <v>162.200943</v>
      </c>
      <c r="U130">
        <v>169.901184</v>
      </c>
      <c r="V130">
        <v>177.73287999999999</v>
      </c>
      <c r="W130">
        <v>185.682007</v>
      </c>
      <c r="X130">
        <v>193.73756399999999</v>
      </c>
      <c r="Y130">
        <v>201.88063</v>
      </c>
      <c r="Z130">
        <v>210.09814499999999</v>
      </c>
      <c r="AA130">
        <v>218.391403</v>
      </c>
      <c r="AB130">
        <v>226.76942399999999</v>
      </c>
      <c r="AC130">
        <v>235.21824599999999</v>
      </c>
      <c r="AD130">
        <v>243.72569300000001</v>
      </c>
      <c r="AE130">
        <v>252.28031899999999</v>
      </c>
      <c r="AF130">
        <v>260.86968999999999</v>
      </c>
      <c r="AG130" s="9">
        <v>0.05</v>
      </c>
    </row>
    <row r="131" spans="1:33">
      <c r="A131" t="s">
        <v>211</v>
      </c>
      <c r="B131" t="s">
        <v>919</v>
      </c>
      <c r="C131" t="s">
        <v>918</v>
      </c>
      <c r="D131" t="s">
        <v>194</v>
      </c>
      <c r="F131">
        <v>9.7084440000000001</v>
      </c>
      <c r="G131">
        <v>10.478415</v>
      </c>
      <c r="H131">
        <v>11.391368</v>
      </c>
      <c r="I131">
        <v>12.388927000000001</v>
      </c>
      <c r="J131">
        <v>13.43904</v>
      </c>
      <c r="K131">
        <v>14.548394999999999</v>
      </c>
      <c r="L131">
        <v>15.713751</v>
      </c>
      <c r="M131">
        <v>16.926762</v>
      </c>
      <c r="N131">
        <v>18.178806000000002</v>
      </c>
      <c r="O131">
        <v>19.460888000000001</v>
      </c>
      <c r="P131">
        <v>20.768695999999998</v>
      </c>
      <c r="Q131">
        <v>22.096700999999999</v>
      </c>
      <c r="R131">
        <v>23.436304</v>
      </c>
      <c r="S131">
        <v>24.797616999999999</v>
      </c>
      <c r="T131">
        <v>26.171406000000001</v>
      </c>
      <c r="U131">
        <v>27.561547999999998</v>
      </c>
      <c r="V131">
        <v>28.978034999999998</v>
      </c>
      <c r="W131">
        <v>30.418367</v>
      </c>
      <c r="X131">
        <v>31.880151999999999</v>
      </c>
      <c r="Y131">
        <v>33.359264000000003</v>
      </c>
      <c r="Z131">
        <v>34.852558000000002</v>
      </c>
      <c r="AA131">
        <v>36.359974000000001</v>
      </c>
      <c r="AB131">
        <v>37.883285999999998</v>
      </c>
      <c r="AC131">
        <v>39.419327000000003</v>
      </c>
      <c r="AD131">
        <v>40.965279000000002</v>
      </c>
      <c r="AE131">
        <v>42.518303000000003</v>
      </c>
      <c r="AF131">
        <v>44.075294</v>
      </c>
      <c r="AG131" s="9">
        <v>0.06</v>
      </c>
    </row>
    <row r="132" spans="1:33">
      <c r="A132" t="s">
        <v>692</v>
      </c>
      <c r="B132" t="s">
        <v>917</v>
      </c>
      <c r="C132" t="s">
        <v>916</v>
      </c>
      <c r="D132" t="s">
        <v>194</v>
      </c>
      <c r="F132">
        <v>697.15936299999998</v>
      </c>
      <c r="G132">
        <v>738.99865699999998</v>
      </c>
      <c r="H132">
        <v>773.85076900000001</v>
      </c>
      <c r="I132">
        <v>809.40240500000004</v>
      </c>
      <c r="J132">
        <v>845.525757</v>
      </c>
      <c r="K132">
        <v>882.277466</v>
      </c>
      <c r="L132">
        <v>919.97674600000005</v>
      </c>
      <c r="M132">
        <v>958.78204300000004</v>
      </c>
      <c r="N132">
        <v>998.67016599999999</v>
      </c>
      <c r="O132">
        <v>1039.534302</v>
      </c>
      <c r="P132">
        <v>1081.241211</v>
      </c>
      <c r="Q132">
        <v>1123.682861</v>
      </c>
      <c r="R132">
        <v>1166.9107670000001</v>
      </c>
      <c r="S132">
        <v>1210.8045649999999</v>
      </c>
      <c r="T132">
        <v>1255.855225</v>
      </c>
      <c r="U132">
        <v>1302.1038820000001</v>
      </c>
      <c r="V132">
        <v>1349.5058590000001</v>
      </c>
      <c r="W132">
        <v>1397.949341</v>
      </c>
      <c r="X132">
        <v>1447.5043949999999</v>
      </c>
      <c r="Y132">
        <v>1498.161865</v>
      </c>
      <c r="Z132">
        <v>1549.8865969999999</v>
      </c>
      <c r="AA132">
        <v>1602.648193</v>
      </c>
      <c r="AB132">
        <v>1656.3923339999999</v>
      </c>
      <c r="AC132">
        <v>1710.9888920000001</v>
      </c>
      <c r="AD132">
        <v>1766.490601</v>
      </c>
      <c r="AE132">
        <v>1823.050659</v>
      </c>
      <c r="AF132">
        <v>1880.8292240000001</v>
      </c>
      <c r="AG132" s="9">
        <v>3.9E-2</v>
      </c>
    </row>
    <row r="133" spans="1:33">
      <c r="A133" t="s">
        <v>209</v>
      </c>
      <c r="B133" t="s">
        <v>915</v>
      </c>
      <c r="C133" t="s">
        <v>914</v>
      </c>
      <c r="D133" t="s">
        <v>194</v>
      </c>
      <c r="F133">
        <v>279.16104100000001</v>
      </c>
      <c r="G133">
        <v>288.345123</v>
      </c>
      <c r="H133">
        <v>303.40893599999998</v>
      </c>
      <c r="I133">
        <v>318.74945100000002</v>
      </c>
      <c r="J133">
        <v>334.28720099999998</v>
      </c>
      <c r="K133">
        <v>350.05493200000001</v>
      </c>
      <c r="L133">
        <v>366.22366299999999</v>
      </c>
      <c r="M133">
        <v>382.87957799999998</v>
      </c>
      <c r="N133">
        <v>400.01474000000002</v>
      </c>
      <c r="O133">
        <v>417.56631499999997</v>
      </c>
      <c r="P133">
        <v>435.46365400000002</v>
      </c>
      <c r="Q133">
        <v>453.649384</v>
      </c>
      <c r="R133">
        <v>472.14041099999997</v>
      </c>
      <c r="S133">
        <v>490.865295</v>
      </c>
      <c r="T133">
        <v>510.09726000000001</v>
      </c>
      <c r="U133">
        <v>529.85497999999995</v>
      </c>
      <c r="V133">
        <v>550.11462400000005</v>
      </c>
      <c r="W133">
        <v>570.81732199999999</v>
      </c>
      <c r="X133">
        <v>592.00238000000002</v>
      </c>
      <c r="Y133">
        <v>613.65765399999998</v>
      </c>
      <c r="Z133">
        <v>635.75982699999997</v>
      </c>
      <c r="AA133">
        <v>658.29315199999996</v>
      </c>
      <c r="AB133">
        <v>681.21777299999997</v>
      </c>
      <c r="AC133">
        <v>704.47381600000006</v>
      </c>
      <c r="AD133">
        <v>728.09136999999998</v>
      </c>
      <c r="AE133">
        <v>752.13647500000002</v>
      </c>
      <c r="AF133">
        <v>776.70764199999996</v>
      </c>
      <c r="AG133" s="9">
        <v>0.04</v>
      </c>
    </row>
    <row r="134" spans="1:33">
      <c r="A134" t="s">
        <v>210</v>
      </c>
      <c r="B134" t="s">
        <v>913</v>
      </c>
      <c r="C134" t="s">
        <v>912</v>
      </c>
      <c r="D134" t="s">
        <v>194</v>
      </c>
      <c r="F134">
        <v>398.59359699999999</v>
      </c>
      <c r="G134">
        <v>430.86456299999998</v>
      </c>
      <c r="H134">
        <v>449.56857300000001</v>
      </c>
      <c r="I134">
        <v>468.67623900000001</v>
      </c>
      <c r="J134">
        <v>488.14581299999998</v>
      </c>
      <c r="K134">
        <v>507.99841300000003</v>
      </c>
      <c r="L134">
        <v>528.36914100000001</v>
      </c>
      <c r="M134">
        <v>549.32318099999998</v>
      </c>
      <c r="N134">
        <v>570.84606900000006</v>
      </c>
      <c r="O134">
        <v>592.89862100000005</v>
      </c>
      <c r="P134">
        <v>615.42394999999999</v>
      </c>
      <c r="Q134">
        <v>638.37579300000004</v>
      </c>
      <c r="R134">
        <v>661.78772000000004</v>
      </c>
      <c r="S134">
        <v>685.61645499999997</v>
      </c>
      <c r="T134">
        <v>710.05835000000002</v>
      </c>
      <c r="U134">
        <v>735.13439900000003</v>
      </c>
      <c r="V134">
        <v>760.82531700000004</v>
      </c>
      <c r="W134">
        <v>787.08337400000005</v>
      </c>
      <c r="X134">
        <v>813.93566899999996</v>
      </c>
      <c r="Y134">
        <v>841.38665800000001</v>
      </c>
      <c r="Z134">
        <v>869.42614700000001</v>
      </c>
      <c r="AA134">
        <v>898.04101600000001</v>
      </c>
      <c r="AB134">
        <v>927.21984899999995</v>
      </c>
      <c r="AC134">
        <v>956.89685099999997</v>
      </c>
      <c r="AD134">
        <v>987.09271200000001</v>
      </c>
      <c r="AE134">
        <v>1017.889282</v>
      </c>
      <c r="AF134">
        <v>1049.3405760000001</v>
      </c>
      <c r="AG134" s="9">
        <v>3.7999999999999999E-2</v>
      </c>
    </row>
    <row r="135" spans="1:33">
      <c r="A135" t="s">
        <v>211</v>
      </c>
      <c r="B135" t="s">
        <v>911</v>
      </c>
      <c r="C135" t="s">
        <v>910</v>
      </c>
      <c r="D135" t="s">
        <v>194</v>
      </c>
      <c r="F135">
        <v>19.404713000000001</v>
      </c>
      <c r="G135">
        <v>19.788975000000001</v>
      </c>
      <c r="H135">
        <v>20.873276000000001</v>
      </c>
      <c r="I135">
        <v>21.976696</v>
      </c>
      <c r="J135">
        <v>23.092759999999998</v>
      </c>
      <c r="K135">
        <v>24.224088999999999</v>
      </c>
      <c r="L135">
        <v>25.384011999999998</v>
      </c>
      <c r="M135">
        <v>26.579287000000001</v>
      </c>
      <c r="N135">
        <v>27.809414</v>
      </c>
      <c r="O135">
        <v>29.069336</v>
      </c>
      <c r="P135">
        <v>30.353580000000001</v>
      </c>
      <c r="Q135">
        <v>31.657667</v>
      </c>
      <c r="R135">
        <v>32.982655000000001</v>
      </c>
      <c r="S135">
        <v>34.322803</v>
      </c>
      <c r="T135">
        <v>35.699669</v>
      </c>
      <c r="U135">
        <v>37.114628000000003</v>
      </c>
      <c r="V135">
        <v>38.565818999999998</v>
      </c>
      <c r="W135">
        <v>40.048682999999997</v>
      </c>
      <c r="X135">
        <v>41.566322</v>
      </c>
      <c r="Y135">
        <v>43.117618999999998</v>
      </c>
      <c r="Z135">
        <v>44.700637999999998</v>
      </c>
      <c r="AA135">
        <v>46.314148000000003</v>
      </c>
      <c r="AB135">
        <v>47.954796000000002</v>
      </c>
      <c r="AC135">
        <v>49.618160000000003</v>
      </c>
      <c r="AD135">
        <v>51.306609999999999</v>
      </c>
      <c r="AE135">
        <v>53.024906000000001</v>
      </c>
      <c r="AF135">
        <v>54.781039999999997</v>
      </c>
      <c r="AG135" s="9">
        <v>4.1000000000000002E-2</v>
      </c>
    </row>
    <row r="136" spans="1:33">
      <c r="A136" t="s">
        <v>341</v>
      </c>
      <c r="B136" t="s">
        <v>909</v>
      </c>
      <c r="C136" t="s">
        <v>908</v>
      </c>
      <c r="D136" t="s">
        <v>194</v>
      </c>
      <c r="F136">
        <v>446.17581200000001</v>
      </c>
      <c r="G136">
        <v>466.72500600000001</v>
      </c>
      <c r="H136">
        <v>489.19940200000002</v>
      </c>
      <c r="I136">
        <v>511.097351</v>
      </c>
      <c r="J136">
        <v>533.08056599999998</v>
      </c>
      <c r="K136">
        <v>555.45568800000001</v>
      </c>
      <c r="L136">
        <v>578.23632799999996</v>
      </c>
      <c r="M136">
        <v>601.59436000000005</v>
      </c>
      <c r="N136">
        <v>625.56756600000006</v>
      </c>
      <c r="O136">
        <v>650.191956</v>
      </c>
      <c r="P136">
        <v>675.50469999999996</v>
      </c>
      <c r="Q136">
        <v>701.57244900000001</v>
      </c>
      <c r="R136">
        <v>728.44329800000003</v>
      </c>
      <c r="S136">
        <v>756.15301499999998</v>
      </c>
      <c r="T136">
        <v>784.70404099999996</v>
      </c>
      <c r="U136">
        <v>814.128784</v>
      </c>
      <c r="V136">
        <v>844.48840299999995</v>
      </c>
      <c r="W136">
        <v>875.75836200000003</v>
      </c>
      <c r="X136">
        <v>907.96075399999995</v>
      </c>
      <c r="Y136">
        <v>941.11724900000002</v>
      </c>
      <c r="Z136">
        <v>975.25640899999996</v>
      </c>
      <c r="AA136">
        <v>1010.43396</v>
      </c>
      <c r="AB136">
        <v>1046.6088870000001</v>
      </c>
      <c r="AC136">
        <v>1083.8360600000001</v>
      </c>
      <c r="AD136">
        <v>1122.2025149999999</v>
      </c>
      <c r="AE136">
        <v>1161.7468260000001</v>
      </c>
      <c r="AF136">
        <v>1202.4589840000001</v>
      </c>
      <c r="AG136" s="9">
        <v>3.9E-2</v>
      </c>
    </row>
    <row r="137" spans="1:33">
      <c r="A137" t="s">
        <v>209</v>
      </c>
      <c r="B137" t="s">
        <v>907</v>
      </c>
      <c r="C137" t="s">
        <v>906</v>
      </c>
      <c r="D137" t="s">
        <v>194</v>
      </c>
      <c r="F137">
        <v>139.67271400000001</v>
      </c>
      <c r="G137">
        <v>145.97792100000001</v>
      </c>
      <c r="H137">
        <v>153.70373499999999</v>
      </c>
      <c r="I137">
        <v>160.77865600000001</v>
      </c>
      <c r="J137">
        <v>167.74844400000001</v>
      </c>
      <c r="K137">
        <v>174.78280599999999</v>
      </c>
      <c r="L137">
        <v>181.87915000000001</v>
      </c>
      <c r="M137">
        <v>189.12948600000001</v>
      </c>
      <c r="N137">
        <v>196.50741600000001</v>
      </c>
      <c r="O137">
        <v>204.032318</v>
      </c>
      <c r="P137">
        <v>211.71987899999999</v>
      </c>
      <c r="Q137">
        <v>219.60841400000001</v>
      </c>
      <c r="R137">
        <v>227.71388200000001</v>
      </c>
      <c r="S137">
        <v>236.048553</v>
      </c>
      <c r="T137">
        <v>244.60992400000001</v>
      </c>
      <c r="U137">
        <v>253.39781199999999</v>
      </c>
      <c r="V137">
        <v>262.439728</v>
      </c>
      <c r="W137">
        <v>271.73779300000001</v>
      </c>
      <c r="X137">
        <v>281.306061</v>
      </c>
      <c r="Y137">
        <v>291.14968900000002</v>
      </c>
      <c r="Z137">
        <v>301.27151500000002</v>
      </c>
      <c r="AA137">
        <v>311.68170199999997</v>
      </c>
      <c r="AB137">
        <v>322.370026</v>
      </c>
      <c r="AC137">
        <v>333.36138899999997</v>
      </c>
      <c r="AD137">
        <v>344.675995</v>
      </c>
      <c r="AE137">
        <v>356.326752</v>
      </c>
      <c r="AF137">
        <v>368.31726099999997</v>
      </c>
      <c r="AG137" s="9">
        <v>3.7999999999999999E-2</v>
      </c>
    </row>
    <row r="138" spans="1:33">
      <c r="A138" t="s">
        <v>210</v>
      </c>
      <c r="B138" t="s">
        <v>905</v>
      </c>
      <c r="C138" t="s">
        <v>904</v>
      </c>
      <c r="D138" t="s">
        <v>194</v>
      </c>
      <c r="F138">
        <v>303.31839000000002</v>
      </c>
      <c r="G138">
        <v>317.42691000000002</v>
      </c>
      <c r="H138">
        <v>331.95461999999998</v>
      </c>
      <c r="I138">
        <v>346.602081</v>
      </c>
      <c r="J138">
        <v>361.45092799999998</v>
      </c>
      <c r="K138">
        <v>376.62933299999997</v>
      </c>
      <c r="L138">
        <v>392.15405299999998</v>
      </c>
      <c r="M138">
        <v>408.10046399999999</v>
      </c>
      <c r="N138">
        <v>424.535706</v>
      </c>
      <c r="O138">
        <v>441.47549400000003</v>
      </c>
      <c r="P138">
        <v>458.94073500000002</v>
      </c>
      <c r="Q138">
        <v>476.95773300000002</v>
      </c>
      <c r="R138">
        <v>495.55810500000001</v>
      </c>
      <c r="S138">
        <v>514.76513699999998</v>
      </c>
      <c r="T138">
        <v>534.58392300000003</v>
      </c>
      <c r="U138">
        <v>555.04779099999996</v>
      </c>
      <c r="V138">
        <v>576.18933100000004</v>
      </c>
      <c r="W138">
        <v>597.98101799999995</v>
      </c>
      <c r="X138">
        <v>620.430115</v>
      </c>
      <c r="Y138">
        <v>643.553223</v>
      </c>
      <c r="Z138">
        <v>667.37658699999997</v>
      </c>
      <c r="AA138">
        <v>691.94537400000002</v>
      </c>
      <c r="AB138">
        <v>717.22949200000005</v>
      </c>
      <c r="AC138">
        <v>743.25756799999999</v>
      </c>
      <c r="AD138">
        <v>770.096497</v>
      </c>
      <c r="AE138">
        <v>797.77172900000005</v>
      </c>
      <c r="AF138">
        <v>826.26873799999998</v>
      </c>
      <c r="AG138" s="9">
        <v>3.9E-2</v>
      </c>
    </row>
    <row r="139" spans="1:33">
      <c r="A139" t="s">
        <v>211</v>
      </c>
      <c r="B139" t="s">
        <v>903</v>
      </c>
      <c r="C139" t="s">
        <v>902</v>
      </c>
      <c r="D139" t="s">
        <v>194</v>
      </c>
      <c r="F139">
        <v>3.1846800000000002</v>
      </c>
      <c r="G139">
        <v>3.3201779999999999</v>
      </c>
      <c r="H139">
        <v>3.5410490000000001</v>
      </c>
      <c r="I139">
        <v>3.7166079999999999</v>
      </c>
      <c r="J139">
        <v>3.8812289999999998</v>
      </c>
      <c r="K139">
        <v>4.0435610000000004</v>
      </c>
      <c r="L139">
        <v>4.2031000000000001</v>
      </c>
      <c r="M139">
        <v>4.3644129999999999</v>
      </c>
      <c r="N139">
        <v>4.5244280000000003</v>
      </c>
      <c r="O139">
        <v>4.6841090000000003</v>
      </c>
      <c r="P139">
        <v>4.8440789999999998</v>
      </c>
      <c r="Q139">
        <v>5.0063389999999997</v>
      </c>
      <c r="R139">
        <v>5.1713100000000001</v>
      </c>
      <c r="S139">
        <v>5.3393459999999999</v>
      </c>
      <c r="T139">
        <v>5.5101769999999997</v>
      </c>
      <c r="U139">
        <v>5.683128</v>
      </c>
      <c r="V139">
        <v>5.8593679999999999</v>
      </c>
      <c r="W139">
        <v>6.0395810000000001</v>
      </c>
      <c r="X139">
        <v>6.2245530000000002</v>
      </c>
      <c r="Y139">
        <v>6.4142890000000001</v>
      </c>
      <c r="Z139">
        <v>6.6084639999999997</v>
      </c>
      <c r="AA139">
        <v>6.8068379999999999</v>
      </c>
      <c r="AB139">
        <v>7.0093459999999999</v>
      </c>
      <c r="AC139">
        <v>7.2170560000000004</v>
      </c>
      <c r="AD139">
        <v>7.4299720000000002</v>
      </c>
      <c r="AE139">
        <v>7.6484399999999999</v>
      </c>
      <c r="AF139">
        <v>7.872986</v>
      </c>
      <c r="AG139" s="9">
        <v>3.5000000000000003E-2</v>
      </c>
    </row>
    <row r="140" spans="1:33">
      <c r="A140" t="s">
        <v>205</v>
      </c>
      <c r="B140" t="s">
        <v>901</v>
      </c>
      <c r="C140" t="s">
        <v>900</v>
      </c>
      <c r="D140" t="s">
        <v>194</v>
      </c>
      <c r="F140">
        <v>225.09278900000001</v>
      </c>
      <c r="G140">
        <v>234.120102</v>
      </c>
      <c r="H140">
        <v>245.91430700000001</v>
      </c>
      <c r="I140">
        <v>257.19220000000001</v>
      </c>
      <c r="J140">
        <v>268.65457199999997</v>
      </c>
      <c r="K140">
        <v>280.36849999999998</v>
      </c>
      <c r="L140">
        <v>292.463348</v>
      </c>
      <c r="M140">
        <v>304.98327599999999</v>
      </c>
      <c r="N140">
        <v>317.80999800000001</v>
      </c>
      <c r="O140">
        <v>330.96167000000003</v>
      </c>
      <c r="P140">
        <v>344.48855600000002</v>
      </c>
      <c r="Q140">
        <v>358.41073599999999</v>
      </c>
      <c r="R140">
        <v>372.76129200000003</v>
      </c>
      <c r="S140">
        <v>387.53118899999998</v>
      </c>
      <c r="T140">
        <v>402.71044899999998</v>
      </c>
      <c r="U140">
        <v>418.30813599999999</v>
      </c>
      <c r="V140">
        <v>434.32543900000002</v>
      </c>
      <c r="W140">
        <v>450.77975500000002</v>
      </c>
      <c r="X140">
        <v>467.66839599999997</v>
      </c>
      <c r="Y140">
        <v>485.00405899999998</v>
      </c>
      <c r="Z140">
        <v>502.802277</v>
      </c>
      <c r="AA140">
        <v>521.06945800000005</v>
      </c>
      <c r="AB140">
        <v>539.80938700000002</v>
      </c>
      <c r="AC140">
        <v>559.02423099999999</v>
      </c>
      <c r="AD140">
        <v>578.71667500000001</v>
      </c>
      <c r="AE140">
        <v>598.88751200000002</v>
      </c>
      <c r="AF140">
        <v>619.54077099999995</v>
      </c>
      <c r="AG140" s="9">
        <v>0.04</v>
      </c>
    </row>
    <row r="141" spans="1:33">
      <c r="A141" t="s">
        <v>209</v>
      </c>
      <c r="B141" t="s">
        <v>899</v>
      </c>
      <c r="C141" t="s">
        <v>898</v>
      </c>
      <c r="D141" t="s">
        <v>194</v>
      </c>
      <c r="F141">
        <v>86.946799999999996</v>
      </c>
      <c r="G141">
        <v>90.630065999999999</v>
      </c>
      <c r="H141">
        <v>95.233283999999998</v>
      </c>
      <c r="I141">
        <v>99.655608999999998</v>
      </c>
      <c r="J141">
        <v>104.159325</v>
      </c>
      <c r="K141">
        <v>108.770065</v>
      </c>
      <c r="L141">
        <v>113.536705</v>
      </c>
      <c r="M141">
        <v>118.47635699999999</v>
      </c>
      <c r="N141">
        <v>123.545029</v>
      </c>
      <c r="O141">
        <v>128.749863</v>
      </c>
      <c r="P141">
        <v>134.11024499999999</v>
      </c>
      <c r="Q141">
        <v>139.63436899999999</v>
      </c>
      <c r="R141">
        <v>145.33505199999999</v>
      </c>
      <c r="S141">
        <v>151.20924400000001</v>
      </c>
      <c r="T141">
        <v>157.25379899999999</v>
      </c>
      <c r="U141">
        <v>163.472748</v>
      </c>
      <c r="V141">
        <v>169.86566199999999</v>
      </c>
      <c r="W141">
        <v>176.44023100000001</v>
      </c>
      <c r="X141">
        <v>183.19603000000001</v>
      </c>
      <c r="Y141">
        <v>190.13841199999999</v>
      </c>
      <c r="Z141">
        <v>197.273788</v>
      </c>
      <c r="AA141">
        <v>204.60498000000001</v>
      </c>
      <c r="AB141">
        <v>212.134109</v>
      </c>
      <c r="AC141">
        <v>219.862762</v>
      </c>
      <c r="AD141">
        <v>227.79255699999999</v>
      </c>
      <c r="AE141">
        <v>235.92416399999999</v>
      </c>
      <c r="AF141">
        <v>244.25971999999999</v>
      </c>
      <c r="AG141" s="9">
        <v>4.1000000000000002E-2</v>
      </c>
    </row>
    <row r="142" spans="1:33">
      <c r="A142" t="s">
        <v>210</v>
      </c>
      <c r="B142" t="s">
        <v>897</v>
      </c>
      <c r="C142" t="s">
        <v>896</v>
      </c>
      <c r="D142" t="s">
        <v>194</v>
      </c>
      <c r="F142">
        <v>131.31431599999999</v>
      </c>
      <c r="G142">
        <v>136.33462499999999</v>
      </c>
      <c r="H142">
        <v>143.155609</v>
      </c>
      <c r="I142">
        <v>149.65213</v>
      </c>
      <c r="J142">
        <v>156.243561</v>
      </c>
      <c r="K142">
        <v>162.96942100000001</v>
      </c>
      <c r="L142">
        <v>169.906509</v>
      </c>
      <c r="M142">
        <v>177.08050499999999</v>
      </c>
      <c r="N142">
        <v>184.420334</v>
      </c>
      <c r="O142">
        <v>191.936386</v>
      </c>
      <c r="P142">
        <v>199.65799000000001</v>
      </c>
      <c r="Q142">
        <v>207.59639000000001</v>
      </c>
      <c r="R142">
        <v>215.770782</v>
      </c>
      <c r="S142">
        <v>224.175308</v>
      </c>
      <c r="T142">
        <v>232.803314</v>
      </c>
      <c r="U142">
        <v>241.65943899999999</v>
      </c>
      <c r="V142">
        <v>250.745499</v>
      </c>
      <c r="W142">
        <v>260.07034299999998</v>
      </c>
      <c r="X142">
        <v>269.63171399999999</v>
      </c>
      <c r="Y142">
        <v>279.43637100000001</v>
      </c>
      <c r="Z142">
        <v>289.49298099999999</v>
      </c>
      <c r="AA142">
        <v>299.80471799999998</v>
      </c>
      <c r="AB142">
        <v>310.373108</v>
      </c>
      <c r="AC142">
        <v>321.19833399999999</v>
      </c>
      <c r="AD142">
        <v>332.28131100000002</v>
      </c>
      <c r="AE142">
        <v>343.62204000000003</v>
      </c>
      <c r="AF142">
        <v>355.22219799999999</v>
      </c>
      <c r="AG142" s="9">
        <v>3.9E-2</v>
      </c>
    </row>
    <row r="143" spans="1:33">
      <c r="A143" t="s">
        <v>211</v>
      </c>
      <c r="B143" t="s">
        <v>895</v>
      </c>
      <c r="C143" t="s">
        <v>894</v>
      </c>
      <c r="D143" t="s">
        <v>194</v>
      </c>
      <c r="F143">
        <v>6.8316489999999996</v>
      </c>
      <c r="G143">
        <v>7.1554260000000003</v>
      </c>
      <c r="H143">
        <v>7.5254260000000004</v>
      </c>
      <c r="I143">
        <v>7.8844609999999999</v>
      </c>
      <c r="J143">
        <v>8.2516630000000006</v>
      </c>
      <c r="K143">
        <v>8.6290010000000006</v>
      </c>
      <c r="L143">
        <v>9.0201209999999996</v>
      </c>
      <c r="M143">
        <v>9.4263840000000005</v>
      </c>
      <c r="N143">
        <v>9.8446230000000003</v>
      </c>
      <c r="O143">
        <v>10.27542</v>
      </c>
      <c r="P143">
        <v>10.720305</v>
      </c>
      <c r="Q143">
        <v>11.17999</v>
      </c>
      <c r="R143">
        <v>11.655481999999999</v>
      </c>
      <c r="S143">
        <v>12.146635</v>
      </c>
      <c r="T143">
        <v>12.653316999999999</v>
      </c>
      <c r="U143">
        <v>13.175935000000001</v>
      </c>
      <c r="V143">
        <v>13.714297999999999</v>
      </c>
      <c r="W143">
        <v>14.269194000000001</v>
      </c>
      <c r="X143">
        <v>14.840680000000001</v>
      </c>
      <c r="Y143">
        <v>15.429266</v>
      </c>
      <c r="Z143">
        <v>16.035523999999999</v>
      </c>
      <c r="AA143">
        <v>16.659738999999998</v>
      </c>
      <c r="AB143">
        <v>17.302185000000001</v>
      </c>
      <c r="AC143">
        <v>17.963128999999999</v>
      </c>
      <c r="AD143">
        <v>18.642796000000001</v>
      </c>
      <c r="AE143">
        <v>19.341294999999999</v>
      </c>
      <c r="AF143">
        <v>20.058904999999999</v>
      </c>
      <c r="AG143" s="9">
        <v>4.2000000000000003E-2</v>
      </c>
    </row>
    <row r="144" spans="1:33">
      <c r="A144" t="s">
        <v>342</v>
      </c>
      <c r="B144" t="s">
        <v>893</v>
      </c>
      <c r="C144" t="s">
        <v>892</v>
      </c>
      <c r="D144" t="s">
        <v>194</v>
      </c>
      <c r="F144">
        <v>136.51760899999999</v>
      </c>
      <c r="G144">
        <v>132.90751599999999</v>
      </c>
      <c r="H144">
        <v>135.17517100000001</v>
      </c>
      <c r="I144">
        <v>138.185699</v>
      </c>
      <c r="J144">
        <v>141.49491900000001</v>
      </c>
      <c r="K144">
        <v>144.74092099999999</v>
      </c>
      <c r="L144">
        <v>147.92227199999999</v>
      </c>
      <c r="M144">
        <v>151.05413799999999</v>
      </c>
      <c r="N144">
        <v>154.14518699999999</v>
      </c>
      <c r="O144">
        <v>157.19809000000001</v>
      </c>
      <c r="P144">
        <v>160.20971700000001</v>
      </c>
      <c r="Q144">
        <v>163.177032</v>
      </c>
      <c r="R144">
        <v>166.097824</v>
      </c>
      <c r="S144">
        <v>168.97027600000001</v>
      </c>
      <c r="T144">
        <v>171.79118299999999</v>
      </c>
      <c r="U144">
        <v>174.556625</v>
      </c>
      <c r="V144">
        <v>177.25761399999999</v>
      </c>
      <c r="W144">
        <v>179.89335600000001</v>
      </c>
      <c r="X144">
        <v>182.461105</v>
      </c>
      <c r="Y144">
        <v>184.95674099999999</v>
      </c>
      <c r="Z144">
        <v>187.37617499999999</v>
      </c>
      <c r="AA144">
        <v>189.71572900000001</v>
      </c>
      <c r="AB144">
        <v>191.971497</v>
      </c>
      <c r="AC144">
        <v>194.13931299999999</v>
      </c>
      <c r="AD144">
        <v>196.21594200000001</v>
      </c>
      <c r="AE144">
        <v>198.19818100000001</v>
      </c>
      <c r="AF144">
        <v>200.082367</v>
      </c>
      <c r="AG144" s="9">
        <v>1.4999999999999999E-2</v>
      </c>
    </row>
    <row r="145" spans="1:33">
      <c r="A145" t="s">
        <v>209</v>
      </c>
      <c r="B145" t="s">
        <v>891</v>
      </c>
      <c r="C145" t="s">
        <v>890</v>
      </c>
      <c r="D145" t="s">
        <v>194</v>
      </c>
      <c r="F145">
        <v>73.535843</v>
      </c>
      <c r="G145">
        <v>73.544578999999999</v>
      </c>
      <c r="H145">
        <v>74.746375999999998</v>
      </c>
      <c r="I145">
        <v>76.298858999999993</v>
      </c>
      <c r="J145">
        <v>77.992378000000002</v>
      </c>
      <c r="K145">
        <v>79.656868000000003</v>
      </c>
      <c r="L145">
        <v>81.291740000000004</v>
      </c>
      <c r="M145">
        <v>82.904015000000001</v>
      </c>
      <c r="N145">
        <v>84.497619999999998</v>
      </c>
      <c r="O145">
        <v>86.073768999999999</v>
      </c>
      <c r="P145">
        <v>87.630973999999995</v>
      </c>
      <c r="Q145">
        <v>89.167770000000004</v>
      </c>
      <c r="R145">
        <v>90.682998999999995</v>
      </c>
      <c r="S145">
        <v>92.175765999999996</v>
      </c>
      <c r="T145">
        <v>93.644478000000007</v>
      </c>
      <c r="U145">
        <v>95.087112000000005</v>
      </c>
      <c r="V145">
        <v>96.497742000000002</v>
      </c>
      <c r="W145">
        <v>97.876579000000007</v>
      </c>
      <c r="X145">
        <v>99.221748000000005</v>
      </c>
      <c r="Y145">
        <v>100.53138</v>
      </c>
      <c r="Z145">
        <v>101.803673</v>
      </c>
      <c r="AA145">
        <v>103.036743</v>
      </c>
      <c r="AB145">
        <v>104.228966</v>
      </c>
      <c r="AC145">
        <v>105.378471</v>
      </c>
      <c r="AD145">
        <v>106.48362</v>
      </c>
      <c r="AE145">
        <v>107.54274700000001</v>
      </c>
      <c r="AF145">
        <v>108.554413</v>
      </c>
      <c r="AG145" s="9">
        <v>1.4999999999999999E-2</v>
      </c>
    </row>
    <row r="146" spans="1:33">
      <c r="A146" t="s">
        <v>210</v>
      </c>
      <c r="B146" t="s">
        <v>889</v>
      </c>
      <c r="C146" t="s">
        <v>888</v>
      </c>
      <c r="D146" t="s">
        <v>194</v>
      </c>
      <c r="F146">
        <v>56.117828000000003</v>
      </c>
      <c r="G146">
        <v>52.431319999999999</v>
      </c>
      <c r="H146">
        <v>53.385646999999999</v>
      </c>
      <c r="I146">
        <v>54.701168000000003</v>
      </c>
      <c r="J146">
        <v>56.161845999999997</v>
      </c>
      <c r="K146">
        <v>57.590857999999997</v>
      </c>
      <c r="L146">
        <v>58.987414999999999</v>
      </c>
      <c r="M146">
        <v>60.359070000000003</v>
      </c>
      <c r="N146">
        <v>61.710236000000002</v>
      </c>
      <c r="O146">
        <v>63.042191000000003</v>
      </c>
      <c r="P146">
        <v>64.353493</v>
      </c>
      <c r="Q146">
        <v>65.642677000000006</v>
      </c>
      <c r="R146">
        <v>66.908798000000004</v>
      </c>
      <c r="S146">
        <v>68.151024000000007</v>
      </c>
      <c r="T146">
        <v>69.367867000000004</v>
      </c>
      <c r="U146">
        <v>70.557602000000003</v>
      </c>
      <c r="V146">
        <v>71.717819000000006</v>
      </c>
      <c r="W146">
        <v>72.847412000000006</v>
      </c>
      <c r="X146">
        <v>73.945746999999997</v>
      </c>
      <c r="Y146">
        <v>75.010658000000006</v>
      </c>
      <c r="Z146">
        <v>76.040122999999994</v>
      </c>
      <c r="AA146">
        <v>77.032448000000002</v>
      </c>
      <c r="AB146">
        <v>77.985480999999993</v>
      </c>
      <c r="AC146">
        <v>78.897125000000003</v>
      </c>
      <c r="AD146">
        <v>79.765906999999999</v>
      </c>
      <c r="AE146">
        <v>80.590468999999999</v>
      </c>
      <c r="AF146">
        <v>81.368660000000006</v>
      </c>
      <c r="AG146" s="9">
        <v>1.4E-2</v>
      </c>
    </row>
    <row r="147" spans="1:33">
      <c r="A147" t="s">
        <v>211</v>
      </c>
      <c r="B147" t="s">
        <v>887</v>
      </c>
      <c r="C147" t="s">
        <v>886</v>
      </c>
      <c r="D147" t="s">
        <v>194</v>
      </c>
      <c r="F147">
        <v>6.8639380000000001</v>
      </c>
      <c r="G147">
        <v>6.9316319999999996</v>
      </c>
      <c r="H147">
        <v>7.0431350000000004</v>
      </c>
      <c r="I147">
        <v>7.1856780000000002</v>
      </c>
      <c r="J147">
        <v>7.3407049999999998</v>
      </c>
      <c r="K147">
        <v>7.4931970000000003</v>
      </c>
      <c r="L147">
        <v>7.6431019999999998</v>
      </c>
      <c r="M147">
        <v>7.7910360000000001</v>
      </c>
      <c r="N147">
        <v>7.9373389999999997</v>
      </c>
      <c r="O147">
        <v>8.0821199999999997</v>
      </c>
      <c r="P147">
        <v>8.2252460000000003</v>
      </c>
      <c r="Q147">
        <v>8.3665850000000006</v>
      </c>
      <c r="R147">
        <v>8.5060300000000009</v>
      </c>
      <c r="S147">
        <v>8.6435010000000005</v>
      </c>
      <c r="T147">
        <v>8.7788540000000008</v>
      </c>
      <c r="U147">
        <v>8.9119030000000006</v>
      </c>
      <c r="V147">
        <v>9.0420590000000001</v>
      </c>
      <c r="W147">
        <v>9.169359</v>
      </c>
      <c r="X147">
        <v>9.2936189999999996</v>
      </c>
      <c r="Y147">
        <v>9.4146780000000003</v>
      </c>
      <c r="Z147">
        <v>9.5323740000000008</v>
      </c>
      <c r="AA147">
        <v>9.6465409999999991</v>
      </c>
      <c r="AB147">
        <v>9.7570429999999995</v>
      </c>
      <c r="AC147">
        <v>9.8637160000000002</v>
      </c>
      <c r="AD147">
        <v>9.9664129999999993</v>
      </c>
      <c r="AE147">
        <v>10.064977000000001</v>
      </c>
      <c r="AF147">
        <v>10.159297</v>
      </c>
      <c r="AG147" s="9">
        <v>1.4999999999999999E-2</v>
      </c>
    </row>
    <row r="148" spans="1:33">
      <c r="A148" t="s">
        <v>683</v>
      </c>
      <c r="B148" t="s">
        <v>885</v>
      </c>
      <c r="C148" t="s">
        <v>884</v>
      </c>
      <c r="D148" t="s">
        <v>194</v>
      </c>
      <c r="F148">
        <v>225.72833299999999</v>
      </c>
      <c r="G148">
        <v>225.805969</v>
      </c>
      <c r="H148">
        <v>233.132431</v>
      </c>
      <c r="I148">
        <v>240.441833</v>
      </c>
      <c r="J148">
        <v>247.70794699999999</v>
      </c>
      <c r="K148">
        <v>255.044556</v>
      </c>
      <c r="L148">
        <v>262.49648999999999</v>
      </c>
      <c r="M148">
        <v>270.07488999999998</v>
      </c>
      <c r="N148">
        <v>277.786835</v>
      </c>
      <c r="O148">
        <v>285.63098100000002</v>
      </c>
      <c r="P148">
        <v>293.60537699999998</v>
      </c>
      <c r="Q148">
        <v>301.70101899999997</v>
      </c>
      <c r="R148">
        <v>309.91436800000002</v>
      </c>
      <c r="S148">
        <v>318.25787400000002</v>
      </c>
      <c r="T148">
        <v>326.73956299999998</v>
      </c>
      <c r="U148">
        <v>335.36563100000001</v>
      </c>
      <c r="V148">
        <v>344.12753300000003</v>
      </c>
      <c r="W148">
        <v>353.02172899999999</v>
      </c>
      <c r="X148">
        <v>362.050659</v>
      </c>
      <c r="Y148">
        <v>371.21697999999998</v>
      </c>
      <c r="Z148">
        <v>380.51953099999997</v>
      </c>
      <c r="AA148">
        <v>389.95986900000003</v>
      </c>
      <c r="AB148">
        <v>399.53704800000003</v>
      </c>
      <c r="AC148">
        <v>409.24920700000001</v>
      </c>
      <c r="AD148">
        <v>419.094696</v>
      </c>
      <c r="AE148">
        <v>429.073486</v>
      </c>
      <c r="AF148">
        <v>439.19454999999999</v>
      </c>
      <c r="AG148" s="9">
        <v>2.5999999999999999E-2</v>
      </c>
    </row>
    <row r="149" spans="1:33">
      <c r="A149" t="s">
        <v>209</v>
      </c>
      <c r="B149" t="s">
        <v>883</v>
      </c>
      <c r="C149" t="s">
        <v>882</v>
      </c>
      <c r="D149" t="s">
        <v>194</v>
      </c>
      <c r="F149">
        <v>136.104874</v>
      </c>
      <c r="G149">
        <v>136.98419200000001</v>
      </c>
      <c r="H149">
        <v>141.36958300000001</v>
      </c>
      <c r="I149">
        <v>145.71807899999999</v>
      </c>
      <c r="J149">
        <v>150.010696</v>
      </c>
      <c r="K149">
        <v>154.32934599999999</v>
      </c>
      <c r="L149">
        <v>158.70533800000001</v>
      </c>
      <c r="M149">
        <v>163.14634699999999</v>
      </c>
      <c r="N149">
        <v>167.65725699999999</v>
      </c>
      <c r="O149">
        <v>172.23699999999999</v>
      </c>
      <c r="P149">
        <v>176.883408</v>
      </c>
      <c r="Q149">
        <v>181.59030200000001</v>
      </c>
      <c r="R149">
        <v>186.35574299999999</v>
      </c>
      <c r="S149">
        <v>191.188705</v>
      </c>
      <c r="T149">
        <v>196.09399400000001</v>
      </c>
      <c r="U149">
        <v>201.075714</v>
      </c>
      <c r="V149">
        <v>206.128433</v>
      </c>
      <c r="W149">
        <v>211.24964900000001</v>
      </c>
      <c r="X149">
        <v>216.440338</v>
      </c>
      <c r="Y149">
        <v>221.70225500000001</v>
      </c>
      <c r="Z149">
        <v>227.03434799999999</v>
      </c>
      <c r="AA149">
        <v>232.43708799999999</v>
      </c>
      <c r="AB149">
        <v>237.909561</v>
      </c>
      <c r="AC149">
        <v>243.44949299999999</v>
      </c>
      <c r="AD149">
        <v>249.05564899999999</v>
      </c>
      <c r="AE149">
        <v>254.72860700000001</v>
      </c>
      <c r="AF149">
        <v>260.47341899999998</v>
      </c>
      <c r="AG149" s="9">
        <v>2.5000000000000001E-2</v>
      </c>
    </row>
    <row r="150" spans="1:33">
      <c r="A150" t="s">
        <v>210</v>
      </c>
      <c r="B150" t="s">
        <v>881</v>
      </c>
      <c r="C150" t="s">
        <v>880</v>
      </c>
      <c r="D150" t="s">
        <v>194</v>
      </c>
      <c r="F150">
        <v>83.166152999999994</v>
      </c>
      <c r="G150">
        <v>82.253112999999999</v>
      </c>
      <c r="H150">
        <v>84.988822999999996</v>
      </c>
      <c r="I150">
        <v>87.748328999999998</v>
      </c>
      <c r="J150">
        <v>90.525581000000003</v>
      </c>
      <c r="K150">
        <v>93.347426999999996</v>
      </c>
      <c r="L150">
        <v>96.225555</v>
      </c>
      <c r="M150">
        <v>99.163032999999999</v>
      </c>
      <c r="N150">
        <v>102.161697</v>
      </c>
      <c r="O150">
        <v>105.221329</v>
      </c>
      <c r="P150">
        <v>108.342422</v>
      </c>
      <c r="Q150">
        <v>111.522491</v>
      </c>
      <c r="R150">
        <v>114.759911</v>
      </c>
      <c r="S150">
        <v>118.057693</v>
      </c>
      <c r="T150">
        <v>121.418846</v>
      </c>
      <c r="U150">
        <v>124.845184</v>
      </c>
      <c r="V150">
        <v>128.333923</v>
      </c>
      <c r="W150">
        <v>131.88415499999999</v>
      </c>
      <c r="X150">
        <v>135.49733000000001</v>
      </c>
      <c r="Y150">
        <v>139.174286</v>
      </c>
      <c r="Z150">
        <v>142.91493199999999</v>
      </c>
      <c r="AA150">
        <v>146.72044399999999</v>
      </c>
      <c r="AB150">
        <v>150.59080499999999</v>
      </c>
      <c r="AC150">
        <v>154.526611</v>
      </c>
      <c r="AD150">
        <v>158.52757299999999</v>
      </c>
      <c r="AE150">
        <v>162.59309400000001</v>
      </c>
      <c r="AF150">
        <v>166.72673</v>
      </c>
      <c r="AG150" s="9">
        <v>2.7E-2</v>
      </c>
    </row>
    <row r="151" spans="1:33">
      <c r="A151" t="s">
        <v>211</v>
      </c>
      <c r="B151" t="s">
        <v>879</v>
      </c>
      <c r="C151" t="s">
        <v>878</v>
      </c>
      <c r="D151" t="s">
        <v>194</v>
      </c>
      <c r="F151">
        <v>6.4572950000000002</v>
      </c>
      <c r="G151">
        <v>6.5686640000000001</v>
      </c>
      <c r="H151">
        <v>6.7740309999999999</v>
      </c>
      <c r="I151">
        <v>6.975422</v>
      </c>
      <c r="J151">
        <v>7.1716699999999998</v>
      </c>
      <c r="K151">
        <v>7.3677760000000001</v>
      </c>
      <c r="L151">
        <v>7.5655809999999999</v>
      </c>
      <c r="M151">
        <v>7.7655289999999999</v>
      </c>
      <c r="N151">
        <v>7.9679070000000003</v>
      </c>
      <c r="O151">
        <v>8.1726430000000008</v>
      </c>
      <c r="P151">
        <v>8.3795439999999992</v>
      </c>
      <c r="Q151">
        <v>8.58826</v>
      </c>
      <c r="R151">
        <v>8.7987169999999999</v>
      </c>
      <c r="S151">
        <v>9.0114579999999993</v>
      </c>
      <c r="T151">
        <v>9.2267130000000002</v>
      </c>
      <c r="U151">
        <v>9.4447039999999998</v>
      </c>
      <c r="V151">
        <v>9.6651509999999998</v>
      </c>
      <c r="W151">
        <v>9.8879029999999997</v>
      </c>
      <c r="X151">
        <v>10.112970000000001</v>
      </c>
      <c r="Y151">
        <v>10.340441</v>
      </c>
      <c r="Z151">
        <v>10.570240999999999</v>
      </c>
      <c r="AA151">
        <v>10.802353999999999</v>
      </c>
      <c r="AB151">
        <v>11.036707</v>
      </c>
      <c r="AC151">
        <v>11.273096000000001</v>
      </c>
      <c r="AD151">
        <v>11.511441</v>
      </c>
      <c r="AE151">
        <v>11.751815000000001</v>
      </c>
      <c r="AF151">
        <v>11.994434</v>
      </c>
      <c r="AG151" s="9">
        <v>2.4E-2</v>
      </c>
    </row>
    <row r="152" spans="1:33">
      <c r="A152" t="s">
        <v>345</v>
      </c>
      <c r="B152" t="s">
        <v>877</v>
      </c>
      <c r="C152" t="s">
        <v>876</v>
      </c>
      <c r="D152" t="s">
        <v>194</v>
      </c>
      <c r="F152">
        <v>7025.9829099999997</v>
      </c>
      <c r="G152">
        <v>7122.2890619999998</v>
      </c>
      <c r="H152">
        <v>7385.1513670000004</v>
      </c>
      <c r="I152">
        <v>7638.9316410000001</v>
      </c>
      <c r="J152">
        <v>7888.4038090000004</v>
      </c>
      <c r="K152">
        <v>8139.5034180000002</v>
      </c>
      <c r="L152">
        <v>8393.6982420000004</v>
      </c>
      <c r="M152">
        <v>8648.4189449999994</v>
      </c>
      <c r="N152">
        <v>8911.9804690000001</v>
      </c>
      <c r="O152">
        <v>9182.3369139999995</v>
      </c>
      <c r="P152">
        <v>9456.4667969999991</v>
      </c>
      <c r="Q152">
        <v>9737.7744139999995</v>
      </c>
      <c r="R152">
        <v>10023.833008</v>
      </c>
      <c r="S152">
        <v>10316.053711</v>
      </c>
      <c r="T152">
        <v>10615.570312</v>
      </c>
      <c r="U152">
        <v>10920.227539</v>
      </c>
      <c r="V152">
        <v>11230.415039</v>
      </c>
      <c r="W152">
        <v>11545.672852</v>
      </c>
      <c r="X152">
        <v>11869.113281</v>
      </c>
      <c r="Y152">
        <v>12196.724609000001</v>
      </c>
      <c r="Z152">
        <v>12526.511719</v>
      </c>
      <c r="AA152">
        <v>12860.004883</v>
      </c>
      <c r="AB152">
        <v>13197.424805000001</v>
      </c>
      <c r="AC152">
        <v>13544.829102</v>
      </c>
      <c r="AD152">
        <v>13899.288086</v>
      </c>
      <c r="AE152">
        <v>14256.965819999999</v>
      </c>
      <c r="AF152">
        <v>14619.044921999999</v>
      </c>
      <c r="AG152" s="9">
        <v>2.9000000000000001E-2</v>
      </c>
    </row>
    <row r="153" spans="1:33">
      <c r="A153" t="s">
        <v>346</v>
      </c>
      <c r="B153" t="s">
        <v>875</v>
      </c>
      <c r="C153" t="s">
        <v>874</v>
      </c>
      <c r="D153" t="s">
        <v>194</v>
      </c>
      <c r="F153">
        <v>3671.1164549999999</v>
      </c>
      <c r="G153">
        <v>3760.9057619999999</v>
      </c>
      <c r="H153">
        <v>3902.7570799999999</v>
      </c>
      <c r="I153">
        <v>4038.7126459999999</v>
      </c>
      <c r="J153">
        <v>4172.0981449999999</v>
      </c>
      <c r="K153">
        <v>4306.5507809999999</v>
      </c>
      <c r="L153">
        <v>4442.4833980000003</v>
      </c>
      <c r="M153">
        <v>4578.3012699999999</v>
      </c>
      <c r="N153">
        <v>4719.3881840000004</v>
      </c>
      <c r="O153">
        <v>4864.3540039999998</v>
      </c>
      <c r="P153">
        <v>5011.2514650000003</v>
      </c>
      <c r="Q153">
        <v>5162.2978519999997</v>
      </c>
      <c r="R153">
        <v>5315.6669920000004</v>
      </c>
      <c r="S153">
        <v>5472.4252930000002</v>
      </c>
      <c r="T153">
        <v>5633.1777339999999</v>
      </c>
      <c r="U153">
        <v>5796.5327150000003</v>
      </c>
      <c r="V153">
        <v>5962.5322269999997</v>
      </c>
      <c r="W153">
        <v>6130.8696289999998</v>
      </c>
      <c r="X153">
        <v>6303.6796880000002</v>
      </c>
      <c r="Y153">
        <v>6478.3891599999997</v>
      </c>
      <c r="Z153">
        <v>6653.7749020000001</v>
      </c>
      <c r="AA153">
        <v>6830.8759769999997</v>
      </c>
      <c r="AB153">
        <v>7009.7553710000002</v>
      </c>
      <c r="AC153">
        <v>7194.2563479999999</v>
      </c>
      <c r="AD153">
        <v>7382.2973629999997</v>
      </c>
      <c r="AE153">
        <v>7571.2353519999997</v>
      </c>
      <c r="AF153">
        <v>7761.859375</v>
      </c>
      <c r="AG153" s="9">
        <v>2.9000000000000001E-2</v>
      </c>
    </row>
    <row r="154" spans="1:33">
      <c r="A154" t="s">
        <v>347</v>
      </c>
      <c r="B154" t="s">
        <v>873</v>
      </c>
      <c r="C154" t="s">
        <v>872</v>
      </c>
      <c r="D154" t="s">
        <v>194</v>
      </c>
      <c r="F154">
        <v>3053.2531739999999</v>
      </c>
      <c r="G154">
        <v>3051.999268</v>
      </c>
      <c r="H154">
        <v>3161.788086</v>
      </c>
      <c r="I154">
        <v>3268.7165530000002</v>
      </c>
      <c r="J154">
        <v>3374.0295409999999</v>
      </c>
      <c r="K154">
        <v>3479.6403810000002</v>
      </c>
      <c r="L154">
        <v>3586.7609859999998</v>
      </c>
      <c r="M154">
        <v>3694.5729980000001</v>
      </c>
      <c r="N154">
        <v>3805.4821780000002</v>
      </c>
      <c r="O154">
        <v>3918.9729000000002</v>
      </c>
      <c r="P154">
        <v>4034.1586910000001</v>
      </c>
      <c r="Q154">
        <v>4152.0126950000003</v>
      </c>
      <c r="R154">
        <v>4272.1108400000003</v>
      </c>
      <c r="S154">
        <v>4394.6972660000001</v>
      </c>
      <c r="T154">
        <v>4520.2421880000002</v>
      </c>
      <c r="U154">
        <v>4648.1201170000004</v>
      </c>
      <c r="V154">
        <v>4778.6835940000001</v>
      </c>
      <c r="W154">
        <v>4911.8085940000001</v>
      </c>
      <c r="X154">
        <v>5048.263672</v>
      </c>
      <c r="Y154">
        <v>5186.857422</v>
      </c>
      <c r="Z154">
        <v>5326.935547</v>
      </c>
      <c r="AA154">
        <v>5468.8862300000001</v>
      </c>
      <c r="AB154">
        <v>5612.8662109999996</v>
      </c>
      <c r="AC154">
        <v>5760.7138670000004</v>
      </c>
      <c r="AD154">
        <v>5911.7880859999996</v>
      </c>
      <c r="AE154">
        <v>6065.1552730000003</v>
      </c>
      <c r="AF154">
        <v>6221.1381840000004</v>
      </c>
      <c r="AG154" s="9">
        <v>2.8000000000000001E-2</v>
      </c>
    </row>
    <row r="155" spans="1:33">
      <c r="A155" t="s">
        <v>111</v>
      </c>
      <c r="B155" t="s">
        <v>871</v>
      </c>
      <c r="C155" t="s">
        <v>870</v>
      </c>
      <c r="D155" t="s">
        <v>194</v>
      </c>
      <c r="F155">
        <v>301.61242700000003</v>
      </c>
      <c r="G155">
        <v>309.38445999999999</v>
      </c>
      <c r="H155">
        <v>320.60607900000002</v>
      </c>
      <c r="I155">
        <v>331.50198399999999</v>
      </c>
      <c r="J155">
        <v>342.27648900000003</v>
      </c>
      <c r="K155">
        <v>353.31137100000001</v>
      </c>
      <c r="L155">
        <v>364.45333900000003</v>
      </c>
      <c r="M155">
        <v>375.54480000000001</v>
      </c>
      <c r="N155">
        <v>387.10955799999999</v>
      </c>
      <c r="O155">
        <v>399.00943000000001</v>
      </c>
      <c r="P155">
        <v>411.05587800000001</v>
      </c>
      <c r="Q155">
        <v>423.46508799999998</v>
      </c>
      <c r="R155">
        <v>436.05538899999999</v>
      </c>
      <c r="S155">
        <v>448.93179300000003</v>
      </c>
      <c r="T155">
        <v>462.15035999999998</v>
      </c>
      <c r="U155">
        <v>475.57394399999998</v>
      </c>
      <c r="V155">
        <v>489.19863900000001</v>
      </c>
      <c r="W155">
        <v>502.99496499999998</v>
      </c>
      <c r="X155">
        <v>517.17053199999998</v>
      </c>
      <c r="Y155">
        <v>531.47869900000001</v>
      </c>
      <c r="Z155">
        <v>545.80267300000003</v>
      </c>
      <c r="AA155">
        <v>560.24334699999997</v>
      </c>
      <c r="AB155">
        <v>574.80548099999999</v>
      </c>
      <c r="AC155">
        <v>589.85961899999995</v>
      </c>
      <c r="AD155">
        <v>605.202271</v>
      </c>
      <c r="AE155">
        <v>620.57318099999998</v>
      </c>
      <c r="AF155">
        <v>636.04693599999996</v>
      </c>
      <c r="AG155" s="9">
        <v>2.9000000000000001E-2</v>
      </c>
    </row>
    <row r="156" spans="1:33">
      <c r="A156" t="s">
        <v>292</v>
      </c>
    </row>
    <row r="157" spans="1:33">
      <c r="A157" t="s">
        <v>203</v>
      </c>
      <c r="B157" t="s">
        <v>869</v>
      </c>
      <c r="C157" t="s">
        <v>868</v>
      </c>
      <c r="D157" t="s">
        <v>192</v>
      </c>
      <c r="F157">
        <v>520.62988299999995</v>
      </c>
      <c r="G157">
        <v>433.98046900000003</v>
      </c>
      <c r="H157">
        <v>475.06411700000001</v>
      </c>
      <c r="I157">
        <v>468.64211999999998</v>
      </c>
      <c r="J157">
        <v>444.656677</v>
      </c>
      <c r="K157">
        <v>460.75589000000002</v>
      </c>
      <c r="L157">
        <v>445.53591899999998</v>
      </c>
      <c r="M157">
        <v>423.51995799999997</v>
      </c>
      <c r="N157">
        <v>443.403595</v>
      </c>
      <c r="O157">
        <v>453.90432700000002</v>
      </c>
      <c r="P157">
        <v>449.03823899999998</v>
      </c>
      <c r="Q157">
        <v>463.69042999999999</v>
      </c>
      <c r="R157">
        <v>467.63226300000002</v>
      </c>
      <c r="S157">
        <v>479.00531000000001</v>
      </c>
      <c r="T157">
        <v>493.70745799999997</v>
      </c>
      <c r="U157">
        <v>496.85668900000002</v>
      </c>
      <c r="V157">
        <v>500.33526599999999</v>
      </c>
      <c r="W157">
        <v>501.053406</v>
      </c>
      <c r="X157">
        <v>520.59216300000003</v>
      </c>
      <c r="Y157">
        <v>522.08398399999999</v>
      </c>
      <c r="Z157">
        <v>515.46691899999996</v>
      </c>
      <c r="AA157">
        <v>518.41473399999995</v>
      </c>
      <c r="AB157">
        <v>522.41021699999999</v>
      </c>
      <c r="AC157">
        <v>558.933716</v>
      </c>
      <c r="AD157">
        <v>580.52685499999995</v>
      </c>
      <c r="AE157">
        <v>580.38116500000001</v>
      </c>
      <c r="AF157">
        <v>586.29919400000006</v>
      </c>
      <c r="AG157" s="9">
        <v>5.0000000000000001E-3</v>
      </c>
    </row>
    <row r="158" spans="1:33">
      <c r="A158" t="s">
        <v>209</v>
      </c>
      <c r="B158" t="s">
        <v>867</v>
      </c>
      <c r="C158" t="s">
        <v>866</v>
      </c>
      <c r="D158" t="s">
        <v>192</v>
      </c>
      <c r="F158">
        <v>285.98443600000002</v>
      </c>
      <c r="G158">
        <v>251.453934</v>
      </c>
      <c r="H158">
        <v>277.46118200000001</v>
      </c>
      <c r="I158">
        <v>274.41711400000003</v>
      </c>
      <c r="J158">
        <v>260.57345600000002</v>
      </c>
      <c r="K158">
        <v>270.70996100000002</v>
      </c>
      <c r="L158">
        <v>262.05465700000002</v>
      </c>
      <c r="M158">
        <v>249.49954199999999</v>
      </c>
      <c r="N158">
        <v>261.97949199999999</v>
      </c>
      <c r="O158">
        <v>268.665527</v>
      </c>
      <c r="P158">
        <v>266.16894500000001</v>
      </c>
      <c r="Q158">
        <v>275.29931599999998</v>
      </c>
      <c r="R158">
        <v>277.875</v>
      </c>
      <c r="S158">
        <v>284.80175800000001</v>
      </c>
      <c r="T158">
        <v>293.578125</v>
      </c>
      <c r="U158">
        <v>295.45605499999999</v>
      </c>
      <c r="V158">
        <v>297.45410199999998</v>
      </c>
      <c r="W158">
        <v>297.81835899999999</v>
      </c>
      <c r="X158">
        <v>309.51904300000001</v>
      </c>
      <c r="Y158">
        <v>310.273438</v>
      </c>
      <c r="Z158">
        <v>306.07324199999999</v>
      </c>
      <c r="AA158">
        <v>307.55688500000002</v>
      </c>
      <c r="AB158">
        <v>309.60247800000002</v>
      </c>
      <c r="AC158">
        <v>331.03653000000003</v>
      </c>
      <c r="AD158">
        <v>343.43554699999999</v>
      </c>
      <c r="AE158">
        <v>342.80566399999998</v>
      </c>
      <c r="AF158">
        <v>345.83251999999999</v>
      </c>
      <c r="AG158" s="9">
        <v>7.0000000000000001E-3</v>
      </c>
    </row>
    <row r="159" spans="1:33">
      <c r="A159" t="s">
        <v>210</v>
      </c>
      <c r="B159" t="s">
        <v>865</v>
      </c>
      <c r="C159" t="s">
        <v>864</v>
      </c>
      <c r="D159" t="s">
        <v>192</v>
      </c>
      <c r="F159">
        <v>126.6567</v>
      </c>
      <c r="G159">
        <v>84.905181999999996</v>
      </c>
      <c r="H159">
        <v>89.174109999999999</v>
      </c>
      <c r="I159">
        <v>86.394919999999999</v>
      </c>
      <c r="J159">
        <v>81.657088999999999</v>
      </c>
      <c r="K159">
        <v>82.391388000000006</v>
      </c>
      <c r="L159">
        <v>78.507874000000001</v>
      </c>
      <c r="M159">
        <v>73.415672000000001</v>
      </c>
      <c r="N159">
        <v>74.235991999999996</v>
      </c>
      <c r="O159">
        <v>73.744415000000004</v>
      </c>
      <c r="P159">
        <v>71.155417999999997</v>
      </c>
      <c r="Q159">
        <v>71.585937999999999</v>
      </c>
      <c r="R159">
        <v>70.850020999999998</v>
      </c>
      <c r="S159">
        <v>71.563643999999996</v>
      </c>
      <c r="T159">
        <v>73.163773000000006</v>
      </c>
      <c r="U159">
        <v>73.350098000000003</v>
      </c>
      <c r="V159">
        <v>73.948302999999996</v>
      </c>
      <c r="W159">
        <v>74.338065999999998</v>
      </c>
      <c r="X159">
        <v>77.591919000000004</v>
      </c>
      <c r="Y159">
        <v>78.577613999999997</v>
      </c>
      <c r="Z159">
        <v>78.702545000000001</v>
      </c>
      <c r="AA159">
        <v>80.368354999999994</v>
      </c>
      <c r="AB159">
        <v>82.336044000000001</v>
      </c>
      <c r="AC159">
        <v>89.077370000000002</v>
      </c>
      <c r="AD159">
        <v>93.752646999999996</v>
      </c>
      <c r="AE159">
        <v>95.401443</v>
      </c>
      <c r="AF159">
        <v>97.927368000000001</v>
      </c>
      <c r="AG159" s="9">
        <v>-0.01</v>
      </c>
    </row>
    <row r="160" spans="1:33">
      <c r="A160" t="s">
        <v>211</v>
      </c>
      <c r="B160" t="s">
        <v>863</v>
      </c>
      <c r="C160" t="s">
        <v>862</v>
      </c>
      <c r="D160" t="s">
        <v>192</v>
      </c>
      <c r="F160">
        <v>107.98877</v>
      </c>
      <c r="G160">
        <v>97.621337999999994</v>
      </c>
      <c r="H160">
        <v>108.428833</v>
      </c>
      <c r="I160">
        <v>107.830078</v>
      </c>
      <c r="J160">
        <v>102.426147</v>
      </c>
      <c r="K160">
        <v>107.65454099999999</v>
      </c>
      <c r="L160">
        <v>104.973389</v>
      </c>
      <c r="M160">
        <v>100.604736</v>
      </c>
      <c r="N160">
        <v>107.18810999999999</v>
      </c>
      <c r="O160">
        <v>111.49438499999999</v>
      </c>
      <c r="P160">
        <v>111.71386699999999</v>
      </c>
      <c r="Q160">
        <v>116.805176</v>
      </c>
      <c r="R160">
        <v>118.90722700000001</v>
      </c>
      <c r="S160">
        <v>122.639893</v>
      </c>
      <c r="T160">
        <v>126.965576</v>
      </c>
      <c r="U160">
        <v>128.05053699999999</v>
      </c>
      <c r="V160">
        <v>128.932861</v>
      </c>
      <c r="W160">
        <v>128.896973</v>
      </c>
      <c r="X160">
        <v>133.481201</v>
      </c>
      <c r="Y160">
        <v>133.23291</v>
      </c>
      <c r="Z160">
        <v>130.69116199999999</v>
      </c>
      <c r="AA160">
        <v>130.48950199999999</v>
      </c>
      <c r="AB160">
        <v>130.47167999999999</v>
      </c>
      <c r="AC160">
        <v>138.81982400000001</v>
      </c>
      <c r="AD160">
        <v>143.33862300000001</v>
      </c>
      <c r="AE160">
        <v>142.174072</v>
      </c>
      <c r="AF160">
        <v>142.53930700000001</v>
      </c>
      <c r="AG160" s="9">
        <v>1.0999999999999999E-2</v>
      </c>
    </row>
    <row r="161" spans="1:33">
      <c r="A161" t="s">
        <v>204</v>
      </c>
      <c r="B161" t="s">
        <v>861</v>
      </c>
      <c r="C161" t="s">
        <v>860</v>
      </c>
      <c r="D161" t="s">
        <v>192</v>
      </c>
      <c r="F161">
        <v>67.953529000000003</v>
      </c>
      <c r="G161">
        <v>74.382857999999999</v>
      </c>
      <c r="H161">
        <v>52.820174999999999</v>
      </c>
      <c r="I161">
        <v>52.816794999999999</v>
      </c>
      <c r="J161">
        <v>55.772506999999997</v>
      </c>
      <c r="K161">
        <v>56.447716</v>
      </c>
      <c r="L161">
        <v>57.671889999999998</v>
      </c>
      <c r="M161">
        <v>59.054290999999999</v>
      </c>
      <c r="N161">
        <v>59.838196000000003</v>
      </c>
      <c r="O161">
        <v>60.384331000000003</v>
      </c>
      <c r="P161">
        <v>61.013137999999998</v>
      </c>
      <c r="Q161">
        <v>61.743637</v>
      </c>
      <c r="R161">
        <v>62.477950999999997</v>
      </c>
      <c r="S161">
        <v>63.304488999999997</v>
      </c>
      <c r="T161">
        <v>64.229263000000003</v>
      </c>
      <c r="U161">
        <v>65.244750999999994</v>
      </c>
      <c r="V161">
        <v>66.220534999999998</v>
      </c>
      <c r="W161">
        <v>67.311385999999999</v>
      </c>
      <c r="X161">
        <v>68.663100999999997</v>
      </c>
      <c r="Y161">
        <v>69.990250000000003</v>
      </c>
      <c r="Z161">
        <v>71.336440999999994</v>
      </c>
      <c r="AA161">
        <v>72.615875000000003</v>
      </c>
      <c r="AB161">
        <v>74.015518</v>
      </c>
      <c r="AC161">
        <v>75.506698999999998</v>
      </c>
      <c r="AD161">
        <v>76.989638999999997</v>
      </c>
      <c r="AE161">
        <v>78.547470000000004</v>
      </c>
      <c r="AF161">
        <v>80.072922000000005</v>
      </c>
      <c r="AG161" s="9">
        <v>6.0000000000000001E-3</v>
      </c>
    </row>
    <row r="162" spans="1:33">
      <c r="A162" t="s">
        <v>209</v>
      </c>
      <c r="B162" t="s">
        <v>859</v>
      </c>
      <c r="C162" t="s">
        <v>858</v>
      </c>
      <c r="D162" t="s">
        <v>192</v>
      </c>
      <c r="F162">
        <v>16.922930000000001</v>
      </c>
      <c r="G162">
        <v>20.367187999999999</v>
      </c>
      <c r="H162">
        <v>21.354523</v>
      </c>
      <c r="I162">
        <v>21.558502000000001</v>
      </c>
      <c r="J162">
        <v>22.923096000000001</v>
      </c>
      <c r="K162">
        <v>23.288788</v>
      </c>
      <c r="L162">
        <v>24.631499999999999</v>
      </c>
      <c r="M162">
        <v>25.035339</v>
      </c>
      <c r="N162">
        <v>25.207550000000001</v>
      </c>
      <c r="O162">
        <v>25.493957999999999</v>
      </c>
      <c r="P162">
        <v>25.808776999999999</v>
      </c>
      <c r="Q162">
        <v>26.158446999999999</v>
      </c>
      <c r="R162">
        <v>26.527312999999999</v>
      </c>
      <c r="S162">
        <v>26.928528</v>
      </c>
      <c r="T162">
        <v>27.364349000000001</v>
      </c>
      <c r="U162">
        <v>27.866302000000001</v>
      </c>
      <c r="V162">
        <v>28.379332999999999</v>
      </c>
      <c r="W162">
        <v>28.941832999999999</v>
      </c>
      <c r="X162">
        <v>29.513123</v>
      </c>
      <c r="Y162">
        <v>30.082885999999998</v>
      </c>
      <c r="Z162">
        <v>30.635131999999999</v>
      </c>
      <c r="AA162">
        <v>31.161560000000001</v>
      </c>
      <c r="AB162">
        <v>31.717345999999999</v>
      </c>
      <c r="AC162">
        <v>32.276488999999998</v>
      </c>
      <c r="AD162">
        <v>32.809142999999999</v>
      </c>
      <c r="AE162">
        <v>33.346558000000002</v>
      </c>
      <c r="AF162">
        <v>33.846252</v>
      </c>
      <c r="AG162" s="9">
        <v>2.7E-2</v>
      </c>
    </row>
    <row r="163" spans="1:33">
      <c r="A163" t="s">
        <v>210</v>
      </c>
      <c r="B163" t="s">
        <v>857</v>
      </c>
      <c r="C163" t="s">
        <v>856</v>
      </c>
      <c r="D163" t="s">
        <v>192</v>
      </c>
      <c r="F163">
        <v>10.306296</v>
      </c>
      <c r="G163">
        <v>7.2837740000000002</v>
      </c>
      <c r="H163">
        <v>7.3379669999999999</v>
      </c>
      <c r="I163">
        <v>7.485519</v>
      </c>
      <c r="J163">
        <v>8.1928099999999997</v>
      </c>
      <c r="K163">
        <v>8.4356840000000002</v>
      </c>
      <c r="L163">
        <v>8.5302889999999998</v>
      </c>
      <c r="M163">
        <v>9.4522399999999998</v>
      </c>
      <c r="N163">
        <v>9.9992149999999995</v>
      </c>
      <c r="O163">
        <v>10.092148</v>
      </c>
      <c r="P163">
        <v>10.204146</v>
      </c>
      <c r="Q163">
        <v>10.346161</v>
      </c>
      <c r="R163">
        <v>10.489641000000001</v>
      </c>
      <c r="S163">
        <v>10.655559999999999</v>
      </c>
      <c r="T163">
        <v>10.827715</v>
      </c>
      <c r="U163">
        <v>11.032287</v>
      </c>
      <c r="V163">
        <v>11.226307</v>
      </c>
      <c r="W163">
        <v>11.441390999999999</v>
      </c>
      <c r="X163">
        <v>11.669662000000001</v>
      </c>
      <c r="Y163">
        <v>11.912582</v>
      </c>
      <c r="Z163">
        <v>12.166611</v>
      </c>
      <c r="AA163">
        <v>12.428284</v>
      </c>
      <c r="AB163">
        <v>12.707133000000001</v>
      </c>
      <c r="AC163">
        <v>13.015809000000001</v>
      </c>
      <c r="AD163">
        <v>13.319748000000001</v>
      </c>
      <c r="AE163">
        <v>13.632034000000001</v>
      </c>
      <c r="AF163">
        <v>13.944504</v>
      </c>
      <c r="AG163" s="9">
        <v>1.2E-2</v>
      </c>
    </row>
    <row r="164" spans="1:33">
      <c r="A164" t="s">
        <v>211</v>
      </c>
      <c r="B164" t="s">
        <v>855</v>
      </c>
      <c r="C164" t="s">
        <v>854</v>
      </c>
      <c r="D164" t="s">
        <v>192</v>
      </c>
      <c r="F164">
        <v>40.724303999999997</v>
      </c>
      <c r="G164">
        <v>46.731895000000002</v>
      </c>
      <c r="H164">
        <v>24.127686000000001</v>
      </c>
      <c r="I164">
        <v>23.772773999999998</v>
      </c>
      <c r="J164">
        <v>24.656600999999998</v>
      </c>
      <c r="K164">
        <v>24.723246</v>
      </c>
      <c r="L164">
        <v>24.510100999999999</v>
      </c>
      <c r="M164">
        <v>24.566711000000002</v>
      </c>
      <c r="N164">
        <v>24.631430000000002</v>
      </c>
      <c r="O164">
        <v>24.798224999999999</v>
      </c>
      <c r="P164">
        <v>25.000214</v>
      </c>
      <c r="Q164">
        <v>25.239028999999999</v>
      </c>
      <c r="R164">
        <v>25.460999000000001</v>
      </c>
      <c r="S164">
        <v>25.720400000000001</v>
      </c>
      <c r="T164">
        <v>26.037201</v>
      </c>
      <c r="U164">
        <v>26.346160999999999</v>
      </c>
      <c r="V164">
        <v>26.614899000000001</v>
      </c>
      <c r="W164">
        <v>26.928162</v>
      </c>
      <c r="X164">
        <v>27.480315999999998</v>
      </c>
      <c r="Y164">
        <v>27.994781</v>
      </c>
      <c r="Z164">
        <v>28.534697999999999</v>
      </c>
      <c r="AA164">
        <v>29.026031</v>
      </c>
      <c r="AB164">
        <v>29.591034000000001</v>
      </c>
      <c r="AC164">
        <v>30.214400999999999</v>
      </c>
      <c r="AD164">
        <v>30.860745999999999</v>
      </c>
      <c r="AE164">
        <v>31.568878000000002</v>
      </c>
      <c r="AF164">
        <v>32.282165999999997</v>
      </c>
      <c r="AG164" s="9">
        <v>-8.9999999999999993E-3</v>
      </c>
    </row>
    <row r="165" spans="1:33">
      <c r="A165" t="s">
        <v>713</v>
      </c>
      <c r="B165" t="s">
        <v>853</v>
      </c>
      <c r="C165" t="s">
        <v>852</v>
      </c>
      <c r="D165" t="s">
        <v>192</v>
      </c>
      <c r="F165">
        <v>26.557766000000001</v>
      </c>
      <c r="G165">
        <v>28.583897</v>
      </c>
      <c r="H165">
        <v>31.784264</v>
      </c>
      <c r="I165">
        <v>32.443469999999998</v>
      </c>
      <c r="J165">
        <v>34.015011000000001</v>
      </c>
      <c r="K165">
        <v>34.937733000000001</v>
      </c>
      <c r="L165">
        <v>35.426369000000001</v>
      </c>
      <c r="M165">
        <v>36.476565999999998</v>
      </c>
      <c r="N165">
        <v>37.715214000000003</v>
      </c>
      <c r="O165">
        <v>39.075726000000003</v>
      </c>
      <c r="P165">
        <v>40.482723</v>
      </c>
      <c r="Q165">
        <v>41.973376999999999</v>
      </c>
      <c r="R165">
        <v>43.543785</v>
      </c>
      <c r="S165">
        <v>45.188873000000001</v>
      </c>
      <c r="T165">
        <v>46.899169999999998</v>
      </c>
      <c r="U165">
        <v>48.639263</v>
      </c>
      <c r="V165">
        <v>50.4086</v>
      </c>
      <c r="W165">
        <v>52.217086999999999</v>
      </c>
      <c r="X165">
        <v>54.045105</v>
      </c>
      <c r="Y165">
        <v>55.854179000000002</v>
      </c>
      <c r="Z165">
        <v>57.687083999999999</v>
      </c>
      <c r="AA165">
        <v>59.496139999999997</v>
      </c>
      <c r="AB165">
        <v>61.27552</v>
      </c>
      <c r="AC165">
        <v>63.054760000000002</v>
      </c>
      <c r="AD165">
        <v>64.826301999999998</v>
      </c>
      <c r="AE165">
        <v>66.569182999999995</v>
      </c>
      <c r="AF165">
        <v>68.335632000000004</v>
      </c>
      <c r="AG165" s="9">
        <v>3.6999999999999998E-2</v>
      </c>
    </row>
    <row r="166" spans="1:33">
      <c r="A166" t="s">
        <v>209</v>
      </c>
      <c r="B166" t="s">
        <v>851</v>
      </c>
      <c r="C166" t="s">
        <v>850</v>
      </c>
      <c r="D166" t="s">
        <v>192</v>
      </c>
      <c r="F166">
        <v>17.408660999999999</v>
      </c>
      <c r="G166">
        <v>18.841857999999998</v>
      </c>
      <c r="H166">
        <v>21.553374999999999</v>
      </c>
      <c r="I166">
        <v>22.006271000000002</v>
      </c>
      <c r="J166">
        <v>22.417525999999999</v>
      </c>
      <c r="K166">
        <v>23.073270999999998</v>
      </c>
      <c r="L166">
        <v>23.476641000000001</v>
      </c>
      <c r="M166">
        <v>24.286384999999999</v>
      </c>
      <c r="N166">
        <v>25.237601999999999</v>
      </c>
      <c r="O166">
        <v>26.283124999999998</v>
      </c>
      <c r="P166">
        <v>27.387433999999999</v>
      </c>
      <c r="Q166">
        <v>28.562248</v>
      </c>
      <c r="R166">
        <v>29.802727000000001</v>
      </c>
      <c r="S166">
        <v>31.103176000000001</v>
      </c>
      <c r="T166">
        <v>32.455387000000002</v>
      </c>
      <c r="U166">
        <v>33.829388000000002</v>
      </c>
      <c r="V166">
        <v>35.214233</v>
      </c>
      <c r="W166">
        <v>36.619259</v>
      </c>
      <c r="X166">
        <v>38.031112999999998</v>
      </c>
      <c r="Y166">
        <v>39.437260000000002</v>
      </c>
      <c r="Z166">
        <v>40.847168000000003</v>
      </c>
      <c r="AA166">
        <v>42.216369999999998</v>
      </c>
      <c r="AB166">
        <v>43.546387000000003</v>
      </c>
      <c r="AC166">
        <v>44.858826000000001</v>
      </c>
      <c r="AD166">
        <v>46.145873999999999</v>
      </c>
      <c r="AE166">
        <v>47.386046999999998</v>
      </c>
      <c r="AF166">
        <v>48.606873</v>
      </c>
      <c r="AG166" s="9">
        <v>0.04</v>
      </c>
    </row>
    <row r="167" spans="1:33">
      <c r="A167" t="s">
        <v>210</v>
      </c>
      <c r="B167" t="s">
        <v>849</v>
      </c>
      <c r="C167" t="s">
        <v>848</v>
      </c>
      <c r="D167" t="s">
        <v>192</v>
      </c>
      <c r="F167">
        <v>1.7627900000000001</v>
      </c>
      <c r="G167">
        <v>2.2088730000000001</v>
      </c>
      <c r="H167">
        <v>2.2346509999999999</v>
      </c>
      <c r="I167">
        <v>2.1886109999999999</v>
      </c>
      <c r="J167">
        <v>2.141804</v>
      </c>
      <c r="K167">
        <v>2.1227939999999998</v>
      </c>
      <c r="L167">
        <v>2.0919050000000001</v>
      </c>
      <c r="M167">
        <v>2.1038139999999999</v>
      </c>
      <c r="N167">
        <v>2.1323669999999999</v>
      </c>
      <c r="O167">
        <v>2.175338</v>
      </c>
      <c r="P167">
        <v>2.2296420000000001</v>
      </c>
      <c r="Q167">
        <v>2.2954970000000001</v>
      </c>
      <c r="R167">
        <v>2.3717169999999999</v>
      </c>
      <c r="S167">
        <v>2.4568840000000001</v>
      </c>
      <c r="T167">
        <v>2.5495320000000001</v>
      </c>
      <c r="U167">
        <v>2.6459869999999999</v>
      </c>
      <c r="V167">
        <v>2.7454540000000001</v>
      </c>
      <c r="W167">
        <v>2.8464849999999999</v>
      </c>
      <c r="X167">
        <v>2.9394529999999999</v>
      </c>
      <c r="Y167">
        <v>3.0281389999999999</v>
      </c>
      <c r="Z167">
        <v>3.1181760000000001</v>
      </c>
      <c r="AA167">
        <v>3.2062819999999999</v>
      </c>
      <c r="AB167">
        <v>3.2882440000000002</v>
      </c>
      <c r="AC167">
        <v>3.3659780000000001</v>
      </c>
      <c r="AD167">
        <v>3.4356610000000001</v>
      </c>
      <c r="AE167">
        <v>3.5057109999999998</v>
      </c>
      <c r="AF167">
        <v>3.578697</v>
      </c>
      <c r="AG167" s="9">
        <v>2.8000000000000001E-2</v>
      </c>
    </row>
    <row r="168" spans="1:33">
      <c r="A168" t="s">
        <v>211</v>
      </c>
      <c r="B168" t="s">
        <v>847</v>
      </c>
      <c r="C168" t="s">
        <v>846</v>
      </c>
      <c r="D168" t="s">
        <v>192</v>
      </c>
      <c r="F168">
        <v>7.3863139999999996</v>
      </c>
      <c r="G168">
        <v>7.5331650000000003</v>
      </c>
      <c r="H168">
        <v>7.9962390000000001</v>
      </c>
      <c r="I168">
        <v>8.2485890000000008</v>
      </c>
      <c r="J168">
        <v>9.4556810000000002</v>
      </c>
      <c r="K168">
        <v>9.7416689999999999</v>
      </c>
      <c r="L168">
        <v>9.8578209999999995</v>
      </c>
      <c r="M168">
        <v>10.086368999999999</v>
      </c>
      <c r="N168">
        <v>10.345245</v>
      </c>
      <c r="O168">
        <v>10.617264</v>
      </c>
      <c r="P168">
        <v>10.865646</v>
      </c>
      <c r="Q168">
        <v>11.115631</v>
      </c>
      <c r="R168">
        <v>11.369339</v>
      </c>
      <c r="S168">
        <v>11.628814999999999</v>
      </c>
      <c r="T168">
        <v>11.894247999999999</v>
      </c>
      <c r="U168">
        <v>12.163891</v>
      </c>
      <c r="V168">
        <v>12.448914</v>
      </c>
      <c r="W168">
        <v>12.751343</v>
      </c>
      <c r="X168">
        <v>13.074539</v>
      </c>
      <c r="Y168">
        <v>13.388779</v>
      </c>
      <c r="Z168">
        <v>13.721741</v>
      </c>
      <c r="AA168">
        <v>14.073486000000001</v>
      </c>
      <c r="AB168">
        <v>14.440887</v>
      </c>
      <c r="AC168">
        <v>14.829955999999999</v>
      </c>
      <c r="AD168">
        <v>15.244766</v>
      </c>
      <c r="AE168">
        <v>15.677426000000001</v>
      </c>
      <c r="AF168">
        <v>16.150062999999999</v>
      </c>
      <c r="AG168" s="9">
        <v>3.1E-2</v>
      </c>
    </row>
    <row r="169" spans="1:33">
      <c r="A169" t="s">
        <v>710</v>
      </c>
      <c r="B169" t="s">
        <v>845</v>
      </c>
      <c r="C169" t="s">
        <v>844</v>
      </c>
      <c r="D169" t="s">
        <v>192</v>
      </c>
      <c r="F169">
        <v>163.286789</v>
      </c>
      <c r="G169">
        <v>286.76901199999998</v>
      </c>
      <c r="H169">
        <v>313.17236300000002</v>
      </c>
      <c r="I169">
        <v>324.34777800000001</v>
      </c>
      <c r="J169">
        <v>335.47668499999997</v>
      </c>
      <c r="K169">
        <v>358.18756100000002</v>
      </c>
      <c r="L169">
        <v>363.81100500000002</v>
      </c>
      <c r="M169">
        <v>373.22500600000001</v>
      </c>
      <c r="N169">
        <v>382.99279799999999</v>
      </c>
      <c r="O169">
        <v>393.70156900000001</v>
      </c>
      <c r="P169">
        <v>404.52465799999999</v>
      </c>
      <c r="Q169">
        <v>414.980591</v>
      </c>
      <c r="R169">
        <v>425.74353000000002</v>
      </c>
      <c r="S169">
        <v>435.88378899999998</v>
      </c>
      <c r="T169">
        <v>447.02578699999998</v>
      </c>
      <c r="U169">
        <v>462.57043499999997</v>
      </c>
      <c r="V169">
        <v>470.948486</v>
      </c>
      <c r="W169">
        <v>479.06863399999997</v>
      </c>
      <c r="X169">
        <v>487.32806399999998</v>
      </c>
      <c r="Y169">
        <v>495.29534899999999</v>
      </c>
      <c r="Z169">
        <v>502.91668700000002</v>
      </c>
      <c r="AA169">
        <v>510.290009</v>
      </c>
      <c r="AB169">
        <v>517.75830099999996</v>
      </c>
      <c r="AC169">
        <v>525.09558100000004</v>
      </c>
      <c r="AD169">
        <v>532.26507600000002</v>
      </c>
      <c r="AE169">
        <v>539.58569299999999</v>
      </c>
      <c r="AF169">
        <v>547.16339100000005</v>
      </c>
      <c r="AG169" s="9">
        <v>4.8000000000000001E-2</v>
      </c>
    </row>
    <row r="170" spans="1:33">
      <c r="A170" t="s">
        <v>209</v>
      </c>
      <c r="B170" t="s">
        <v>843</v>
      </c>
      <c r="C170" t="s">
        <v>842</v>
      </c>
      <c r="D170" t="s">
        <v>192</v>
      </c>
      <c r="F170">
        <v>65.728194999999999</v>
      </c>
      <c r="G170">
        <v>182.61532600000001</v>
      </c>
      <c r="H170">
        <v>197.36596700000001</v>
      </c>
      <c r="I170">
        <v>204.98608400000001</v>
      </c>
      <c r="J170">
        <v>212.554688</v>
      </c>
      <c r="K170">
        <v>220.07763700000001</v>
      </c>
      <c r="L170">
        <v>223.25805700000001</v>
      </c>
      <c r="M170">
        <v>230.17285200000001</v>
      </c>
      <c r="N170">
        <v>237.22558599999999</v>
      </c>
      <c r="O170">
        <v>244.561035</v>
      </c>
      <c r="P170">
        <v>251.76757799999999</v>
      </c>
      <c r="Q170">
        <v>258.53125</v>
      </c>
      <c r="R170">
        <v>265.125</v>
      </c>
      <c r="S170">
        <v>271.15332000000001</v>
      </c>
      <c r="T170">
        <v>278.16162100000003</v>
      </c>
      <c r="U170">
        <v>289.459473</v>
      </c>
      <c r="V170">
        <v>293.4375</v>
      </c>
      <c r="W170">
        <v>297.20654300000001</v>
      </c>
      <c r="X170">
        <v>301.00585899999999</v>
      </c>
      <c r="Y170">
        <v>304.64892600000002</v>
      </c>
      <c r="Z170">
        <v>308.13232399999998</v>
      </c>
      <c r="AA170">
        <v>311.52880900000002</v>
      </c>
      <c r="AB170">
        <v>315.08056599999998</v>
      </c>
      <c r="AC170">
        <v>318.70800800000001</v>
      </c>
      <c r="AD170">
        <v>322.40332000000001</v>
      </c>
      <c r="AE170">
        <v>326.36621100000002</v>
      </c>
      <c r="AF170">
        <v>330.64160199999998</v>
      </c>
      <c r="AG170" s="9">
        <v>6.4000000000000001E-2</v>
      </c>
    </row>
    <row r="171" spans="1:33">
      <c r="A171" t="s">
        <v>210</v>
      </c>
      <c r="B171" t="s">
        <v>841</v>
      </c>
      <c r="C171" t="s">
        <v>840</v>
      </c>
      <c r="D171" t="s">
        <v>192</v>
      </c>
      <c r="F171">
        <v>20.364135999999998</v>
      </c>
      <c r="G171">
        <v>40.035888999999997</v>
      </c>
      <c r="H171">
        <v>49.242798000000001</v>
      </c>
      <c r="I171">
        <v>51.040283000000002</v>
      </c>
      <c r="J171">
        <v>52.847168000000003</v>
      </c>
      <c r="K171">
        <v>66.267769000000001</v>
      </c>
      <c r="L171">
        <v>68.413910000000001</v>
      </c>
      <c r="M171">
        <v>69.237578999999997</v>
      </c>
      <c r="N171">
        <v>70.101439999999997</v>
      </c>
      <c r="O171">
        <v>71.391884000000005</v>
      </c>
      <c r="P171">
        <v>72.837761</v>
      </c>
      <c r="Q171">
        <v>74.376114000000001</v>
      </c>
      <c r="R171">
        <v>76.300545</v>
      </c>
      <c r="S171">
        <v>78.225837999999996</v>
      </c>
      <c r="T171">
        <v>80.218665999999999</v>
      </c>
      <c r="U171">
        <v>82.265991</v>
      </c>
      <c r="V171">
        <v>84.456558000000001</v>
      </c>
      <c r="W171">
        <v>86.601226999999994</v>
      </c>
      <c r="X171">
        <v>88.797539</v>
      </c>
      <c r="Y171">
        <v>90.869452999999993</v>
      </c>
      <c r="Z171">
        <v>92.787307999999996</v>
      </c>
      <c r="AA171">
        <v>94.563568000000004</v>
      </c>
      <c r="AB171">
        <v>96.231842</v>
      </c>
      <c r="AC171">
        <v>97.697165999999996</v>
      </c>
      <c r="AD171">
        <v>98.953682000000001</v>
      </c>
      <c r="AE171">
        <v>100.075928</v>
      </c>
      <c r="AF171">
        <v>101.132637</v>
      </c>
      <c r="AG171" s="9">
        <v>6.4000000000000001E-2</v>
      </c>
    </row>
    <row r="172" spans="1:33">
      <c r="A172" t="s">
        <v>211</v>
      </c>
      <c r="B172" t="s">
        <v>839</v>
      </c>
      <c r="C172" t="s">
        <v>838</v>
      </c>
      <c r="D172" t="s">
        <v>192</v>
      </c>
      <c r="F172">
        <v>77.194457999999997</v>
      </c>
      <c r="G172">
        <v>64.117797999999993</v>
      </c>
      <c r="H172">
        <v>66.563598999999996</v>
      </c>
      <c r="I172">
        <v>68.321410999999998</v>
      </c>
      <c r="J172">
        <v>70.074828999999994</v>
      </c>
      <c r="K172">
        <v>71.842162999999999</v>
      </c>
      <c r="L172">
        <v>72.139037999999999</v>
      </c>
      <c r="M172">
        <v>73.814575000000005</v>
      </c>
      <c r="N172">
        <v>75.665771000000007</v>
      </c>
      <c r="O172">
        <v>77.748656999999994</v>
      </c>
      <c r="P172">
        <v>79.919312000000005</v>
      </c>
      <c r="Q172">
        <v>82.073241999999993</v>
      </c>
      <c r="R172">
        <v>84.317993000000001</v>
      </c>
      <c r="S172">
        <v>86.504638999999997</v>
      </c>
      <c r="T172">
        <v>88.645508000000007</v>
      </c>
      <c r="U172">
        <v>90.844971000000001</v>
      </c>
      <c r="V172">
        <v>93.054443000000006</v>
      </c>
      <c r="W172">
        <v>95.260863999999998</v>
      </c>
      <c r="X172">
        <v>97.524658000000002</v>
      </c>
      <c r="Y172">
        <v>99.776978</v>
      </c>
      <c r="Z172">
        <v>101.99706999999999</v>
      </c>
      <c r="AA172">
        <v>104.197632</v>
      </c>
      <c r="AB172">
        <v>106.44592299999999</v>
      </c>
      <c r="AC172">
        <v>108.69043000000001</v>
      </c>
      <c r="AD172">
        <v>110.908081</v>
      </c>
      <c r="AE172">
        <v>113.14355500000001</v>
      </c>
      <c r="AF172">
        <v>115.38916</v>
      </c>
      <c r="AG172" s="9">
        <v>1.6E-2</v>
      </c>
    </row>
    <row r="173" spans="1:33">
      <c r="A173" t="s">
        <v>336</v>
      </c>
      <c r="B173" t="s">
        <v>837</v>
      </c>
      <c r="C173" t="s">
        <v>836</v>
      </c>
      <c r="D173" t="s">
        <v>192</v>
      </c>
      <c r="F173">
        <v>46.108635</v>
      </c>
      <c r="G173">
        <v>11.789963</v>
      </c>
      <c r="H173">
        <v>19.906883000000001</v>
      </c>
      <c r="I173">
        <v>20.830887000000001</v>
      </c>
      <c r="J173">
        <v>20.560486000000001</v>
      </c>
      <c r="K173">
        <v>20.976050999999998</v>
      </c>
      <c r="L173">
        <v>20.963303</v>
      </c>
      <c r="M173">
        <v>21.434813999999999</v>
      </c>
      <c r="N173">
        <v>22.488464</v>
      </c>
      <c r="O173">
        <v>23.456924000000001</v>
      </c>
      <c r="P173">
        <v>24.221976999999999</v>
      </c>
      <c r="Q173">
        <v>25.036567999999999</v>
      </c>
      <c r="R173">
        <v>25.969973</v>
      </c>
      <c r="S173">
        <v>27.035173</v>
      </c>
      <c r="T173">
        <v>28.010909999999999</v>
      </c>
      <c r="U173">
        <v>28.867180000000001</v>
      </c>
      <c r="V173">
        <v>29.844002</v>
      </c>
      <c r="W173">
        <v>30.785727999999999</v>
      </c>
      <c r="X173">
        <v>32.764313000000001</v>
      </c>
      <c r="Y173">
        <v>33.569938999999998</v>
      </c>
      <c r="Z173">
        <v>34.142349000000003</v>
      </c>
      <c r="AA173">
        <v>34.774932999999997</v>
      </c>
      <c r="AB173">
        <v>35.282639000000003</v>
      </c>
      <c r="AC173">
        <v>35.589011999999997</v>
      </c>
      <c r="AD173">
        <v>35.701515000000001</v>
      </c>
      <c r="AE173">
        <v>35.656714999999998</v>
      </c>
      <c r="AF173">
        <v>35.735756000000002</v>
      </c>
      <c r="AG173" s="9">
        <v>-0.01</v>
      </c>
    </row>
    <row r="174" spans="1:33">
      <c r="A174" t="s">
        <v>209</v>
      </c>
      <c r="B174" t="s">
        <v>835</v>
      </c>
      <c r="C174" t="s">
        <v>834</v>
      </c>
      <c r="D174" t="s">
        <v>192</v>
      </c>
      <c r="F174">
        <v>1.8047709999999999</v>
      </c>
      <c r="G174">
        <v>6.7129820000000002</v>
      </c>
      <c r="H174">
        <v>7.2505490000000004</v>
      </c>
      <c r="I174">
        <v>7.64621</v>
      </c>
      <c r="J174">
        <v>7.8644410000000002</v>
      </c>
      <c r="K174">
        <v>8.2343139999999995</v>
      </c>
      <c r="L174">
        <v>8.4675899999999995</v>
      </c>
      <c r="M174">
        <v>8.8986509999999992</v>
      </c>
      <c r="N174">
        <v>9.4466549999999998</v>
      </c>
      <c r="O174">
        <v>9.9853520000000007</v>
      </c>
      <c r="P174">
        <v>10.480041999999999</v>
      </c>
      <c r="Q174">
        <v>10.964935000000001</v>
      </c>
      <c r="R174">
        <v>11.501818</v>
      </c>
      <c r="S174">
        <v>11.982912000000001</v>
      </c>
      <c r="T174">
        <v>12.393134999999999</v>
      </c>
      <c r="U174">
        <v>12.732642</v>
      </c>
      <c r="V174">
        <v>13.018921000000001</v>
      </c>
      <c r="W174">
        <v>13.241272</v>
      </c>
      <c r="X174">
        <v>13.495604999999999</v>
      </c>
      <c r="Y174">
        <v>13.638855</v>
      </c>
      <c r="Z174">
        <v>13.708954</v>
      </c>
      <c r="AA174">
        <v>13.746551999999999</v>
      </c>
      <c r="AB174">
        <v>13.737152</v>
      </c>
      <c r="AC174">
        <v>13.680878</v>
      </c>
      <c r="AD174">
        <v>13.584503</v>
      </c>
      <c r="AE174">
        <v>13.458740000000001</v>
      </c>
      <c r="AF174">
        <v>13.35318</v>
      </c>
      <c r="AG174" s="9">
        <v>0.08</v>
      </c>
    </row>
    <row r="175" spans="1:33">
      <c r="A175" t="s">
        <v>210</v>
      </c>
      <c r="B175" t="s">
        <v>833</v>
      </c>
      <c r="C175" t="s">
        <v>832</v>
      </c>
      <c r="D175" t="s">
        <v>192</v>
      </c>
      <c r="F175">
        <v>44.303863999999997</v>
      </c>
      <c r="G175">
        <v>1.476227</v>
      </c>
      <c r="H175">
        <v>9.0852660000000007</v>
      </c>
      <c r="I175">
        <v>9.4823299999999993</v>
      </c>
      <c r="J175">
        <v>8.9247130000000006</v>
      </c>
      <c r="K175">
        <v>8.8601679999999998</v>
      </c>
      <c r="L175">
        <v>8.5756530000000009</v>
      </c>
      <c r="M175">
        <v>8.5011290000000006</v>
      </c>
      <c r="N175">
        <v>8.858765</v>
      </c>
      <c r="O175">
        <v>9.1476749999999996</v>
      </c>
      <c r="P175">
        <v>9.2944340000000008</v>
      </c>
      <c r="Q175">
        <v>9.503876</v>
      </c>
      <c r="R175">
        <v>9.7794489999999996</v>
      </c>
      <c r="S175">
        <v>10.235687</v>
      </c>
      <c r="T175">
        <v>10.682525999999999</v>
      </c>
      <c r="U175">
        <v>11.093781</v>
      </c>
      <c r="V175">
        <v>11.682494999999999</v>
      </c>
      <c r="W175">
        <v>12.306457999999999</v>
      </c>
      <c r="X175">
        <v>13.944274999999999</v>
      </c>
      <c r="Y175">
        <v>14.528136999999999</v>
      </c>
      <c r="Z175">
        <v>14.964752000000001</v>
      </c>
      <c r="AA175">
        <v>15.49649</v>
      </c>
      <c r="AB175">
        <v>15.962921</v>
      </c>
      <c r="AC175">
        <v>16.290619</v>
      </c>
      <c r="AD175">
        <v>16.480713000000002</v>
      </c>
      <c r="AE175">
        <v>16.557494999999999</v>
      </c>
      <c r="AF175">
        <v>16.732361000000001</v>
      </c>
      <c r="AG175" s="9">
        <v>-3.6999999999999998E-2</v>
      </c>
    </row>
    <row r="176" spans="1:33">
      <c r="A176" t="s">
        <v>211</v>
      </c>
      <c r="B176" t="s">
        <v>831</v>
      </c>
      <c r="C176" t="s">
        <v>830</v>
      </c>
      <c r="D176" t="s">
        <v>192</v>
      </c>
      <c r="F176">
        <v>0</v>
      </c>
      <c r="G176">
        <v>3.6007539999999998</v>
      </c>
      <c r="H176">
        <v>3.5710679999999999</v>
      </c>
      <c r="I176">
        <v>3.7023470000000001</v>
      </c>
      <c r="J176">
        <v>3.7713320000000001</v>
      </c>
      <c r="K176">
        <v>3.8815689999999998</v>
      </c>
      <c r="L176">
        <v>3.9200590000000002</v>
      </c>
      <c r="M176">
        <v>4.0350339999999996</v>
      </c>
      <c r="N176">
        <v>4.1830439999999998</v>
      </c>
      <c r="O176">
        <v>4.3238979999999998</v>
      </c>
      <c r="P176">
        <v>4.4475020000000001</v>
      </c>
      <c r="Q176">
        <v>4.5677570000000003</v>
      </c>
      <c r="R176">
        <v>4.6887049999999997</v>
      </c>
      <c r="S176">
        <v>4.8165740000000001</v>
      </c>
      <c r="T176">
        <v>4.9352489999999998</v>
      </c>
      <c r="U176">
        <v>5.040756</v>
      </c>
      <c r="V176">
        <v>5.1425859999999997</v>
      </c>
      <c r="W176">
        <v>5.2379990000000003</v>
      </c>
      <c r="X176">
        <v>5.3244319999999998</v>
      </c>
      <c r="Y176">
        <v>5.402946</v>
      </c>
      <c r="Z176">
        <v>5.4686430000000001</v>
      </c>
      <c r="AA176">
        <v>5.5318909999999999</v>
      </c>
      <c r="AB176">
        <v>5.5825649999999998</v>
      </c>
      <c r="AC176">
        <v>5.6175160000000002</v>
      </c>
      <c r="AD176">
        <v>5.6362990000000002</v>
      </c>
      <c r="AE176">
        <v>5.6404800000000002</v>
      </c>
      <c r="AF176">
        <v>5.6502150000000002</v>
      </c>
      <c r="AG176" t="s">
        <v>110</v>
      </c>
    </row>
    <row r="177" spans="1:33">
      <c r="A177" t="s">
        <v>337</v>
      </c>
      <c r="B177" t="s">
        <v>829</v>
      </c>
      <c r="C177" t="s">
        <v>828</v>
      </c>
      <c r="D177" t="s">
        <v>192</v>
      </c>
      <c r="F177">
        <v>34.605949000000003</v>
      </c>
      <c r="G177">
        <v>33.751865000000002</v>
      </c>
      <c r="H177">
        <v>44.242972999999999</v>
      </c>
      <c r="I177">
        <v>45.734969999999997</v>
      </c>
      <c r="J177">
        <v>47.148972000000001</v>
      </c>
      <c r="K177">
        <v>47.957413000000003</v>
      </c>
      <c r="L177">
        <v>48.234031999999999</v>
      </c>
      <c r="M177">
        <v>49.347031000000001</v>
      </c>
      <c r="N177">
        <v>50.289703000000003</v>
      </c>
      <c r="O177">
        <v>51.136108</v>
      </c>
      <c r="P177">
        <v>52.259262</v>
      </c>
      <c r="Q177">
        <v>53.354019000000001</v>
      </c>
      <c r="R177">
        <v>53.972946</v>
      </c>
      <c r="S177">
        <v>54.622771999999998</v>
      </c>
      <c r="T177">
        <v>54.708632999999999</v>
      </c>
      <c r="U177">
        <v>55.149185000000003</v>
      </c>
      <c r="V177">
        <v>55.610458000000001</v>
      </c>
      <c r="W177">
        <v>56.205643000000002</v>
      </c>
      <c r="X177">
        <v>56.813643999999996</v>
      </c>
      <c r="Y177">
        <v>57.479233000000001</v>
      </c>
      <c r="Z177">
        <v>58.192352</v>
      </c>
      <c r="AA177">
        <v>59.756134000000003</v>
      </c>
      <c r="AB177">
        <v>60.521835000000003</v>
      </c>
      <c r="AC177">
        <v>61.236190999999998</v>
      </c>
      <c r="AD177">
        <v>62.051498000000002</v>
      </c>
      <c r="AE177">
        <v>62.959000000000003</v>
      </c>
      <c r="AF177">
        <v>63.950394000000003</v>
      </c>
      <c r="AG177" s="9">
        <v>2.4E-2</v>
      </c>
    </row>
    <row r="178" spans="1:33">
      <c r="A178" t="s">
        <v>209</v>
      </c>
      <c r="B178" t="s">
        <v>827</v>
      </c>
      <c r="C178" t="s">
        <v>826</v>
      </c>
      <c r="D178" t="s">
        <v>192</v>
      </c>
      <c r="F178">
        <v>18.321746999999998</v>
      </c>
      <c r="G178">
        <v>14.802325</v>
      </c>
      <c r="H178">
        <v>18.808655000000002</v>
      </c>
      <c r="I178">
        <v>19.718658000000001</v>
      </c>
      <c r="J178">
        <v>20.588104000000001</v>
      </c>
      <c r="K178">
        <v>21.173003999999999</v>
      </c>
      <c r="L178">
        <v>21.521056999999999</v>
      </c>
      <c r="M178">
        <v>22.240784000000001</v>
      </c>
      <c r="N178">
        <v>22.855530000000002</v>
      </c>
      <c r="O178">
        <v>23.402283000000001</v>
      </c>
      <c r="P178">
        <v>24.201599000000002</v>
      </c>
      <c r="Q178">
        <v>25.093719</v>
      </c>
      <c r="R178">
        <v>25.406524999999998</v>
      </c>
      <c r="S178">
        <v>25.720184</v>
      </c>
      <c r="T178">
        <v>25.734985000000002</v>
      </c>
      <c r="U178">
        <v>25.916138</v>
      </c>
      <c r="V178">
        <v>26.091460999999999</v>
      </c>
      <c r="W178">
        <v>26.319305</v>
      </c>
      <c r="X178">
        <v>26.537903</v>
      </c>
      <c r="Y178">
        <v>26.780425999999999</v>
      </c>
      <c r="Z178">
        <v>27.002929999999999</v>
      </c>
      <c r="AA178">
        <v>27.232513000000001</v>
      </c>
      <c r="AB178">
        <v>27.487518000000001</v>
      </c>
      <c r="AC178">
        <v>27.779357999999998</v>
      </c>
      <c r="AD178">
        <v>28.116882</v>
      </c>
      <c r="AE178">
        <v>28.499573000000002</v>
      </c>
      <c r="AF178">
        <v>28.927979000000001</v>
      </c>
      <c r="AG178" s="9">
        <v>1.7999999999999999E-2</v>
      </c>
    </row>
    <row r="179" spans="1:33">
      <c r="A179" t="s">
        <v>210</v>
      </c>
      <c r="B179" t="s">
        <v>825</v>
      </c>
      <c r="C179" t="s">
        <v>824</v>
      </c>
      <c r="D179" t="s">
        <v>192</v>
      </c>
      <c r="F179">
        <v>6.7281719999999998</v>
      </c>
      <c r="G179">
        <v>0.843445</v>
      </c>
      <c r="H179">
        <v>5.3548200000000001</v>
      </c>
      <c r="I179">
        <v>5.6553500000000003</v>
      </c>
      <c r="J179">
        <v>5.9956509999999996</v>
      </c>
      <c r="K179">
        <v>6.2580720000000003</v>
      </c>
      <c r="L179">
        <v>6.403435</v>
      </c>
      <c r="M179">
        <v>6.6898960000000001</v>
      </c>
      <c r="N179">
        <v>6.9726869999999996</v>
      </c>
      <c r="O179">
        <v>7.2542720000000003</v>
      </c>
      <c r="P179">
        <v>7.53688</v>
      </c>
      <c r="Q179">
        <v>7.8034520000000001</v>
      </c>
      <c r="R179">
        <v>8.0759740000000004</v>
      </c>
      <c r="S179">
        <v>8.3441159999999996</v>
      </c>
      <c r="T179">
        <v>8.579269</v>
      </c>
      <c r="U179">
        <v>8.8295440000000003</v>
      </c>
      <c r="V179">
        <v>9.0795139999999996</v>
      </c>
      <c r="W179">
        <v>9.3362879999999997</v>
      </c>
      <c r="X179">
        <v>9.597092</v>
      </c>
      <c r="Y179">
        <v>9.8659820000000007</v>
      </c>
      <c r="Z179">
        <v>10.143768</v>
      </c>
      <c r="AA179">
        <v>11.030609</v>
      </c>
      <c r="AB179">
        <v>11.366165000000001</v>
      </c>
      <c r="AC179">
        <v>11.583878</v>
      </c>
      <c r="AD179">
        <v>11.821182</v>
      </c>
      <c r="AE179">
        <v>12.070999</v>
      </c>
      <c r="AF179">
        <v>12.325974</v>
      </c>
      <c r="AG179" s="9">
        <v>2.4E-2</v>
      </c>
    </row>
    <row r="180" spans="1:33">
      <c r="A180" t="s">
        <v>211</v>
      </c>
      <c r="B180" t="s">
        <v>823</v>
      </c>
      <c r="C180" t="s">
        <v>822</v>
      </c>
      <c r="D180" t="s">
        <v>192</v>
      </c>
      <c r="F180">
        <v>9.5560299999999998</v>
      </c>
      <c r="G180">
        <v>18.106093999999999</v>
      </c>
      <c r="H180">
        <v>20.079498000000001</v>
      </c>
      <c r="I180">
        <v>20.360962000000001</v>
      </c>
      <c r="J180">
        <v>20.565215999999999</v>
      </c>
      <c r="K180">
        <v>20.526337000000002</v>
      </c>
      <c r="L180">
        <v>20.309539999999998</v>
      </c>
      <c r="M180">
        <v>20.416350999999999</v>
      </c>
      <c r="N180">
        <v>20.461487000000002</v>
      </c>
      <c r="O180">
        <v>20.479552999999999</v>
      </c>
      <c r="P180">
        <v>20.520782000000001</v>
      </c>
      <c r="Q180">
        <v>20.456848000000001</v>
      </c>
      <c r="R180">
        <v>20.490448000000001</v>
      </c>
      <c r="S180">
        <v>20.558471999999998</v>
      </c>
      <c r="T180">
        <v>20.394379000000001</v>
      </c>
      <c r="U180">
        <v>20.403503000000001</v>
      </c>
      <c r="V180">
        <v>20.439484</v>
      </c>
      <c r="W180">
        <v>20.550049000000001</v>
      </c>
      <c r="X180">
        <v>20.678650000000001</v>
      </c>
      <c r="Y180">
        <v>20.832825</v>
      </c>
      <c r="Z180">
        <v>21.045653999999999</v>
      </c>
      <c r="AA180">
        <v>21.493010999999999</v>
      </c>
      <c r="AB180">
        <v>21.668151999999999</v>
      </c>
      <c r="AC180">
        <v>21.872955000000001</v>
      </c>
      <c r="AD180">
        <v>22.113434000000002</v>
      </c>
      <c r="AE180">
        <v>22.388428000000001</v>
      </c>
      <c r="AF180">
        <v>22.696442000000001</v>
      </c>
      <c r="AG180" s="9">
        <v>3.4000000000000002E-2</v>
      </c>
    </row>
    <row r="181" spans="1:33">
      <c r="A181" t="s">
        <v>338</v>
      </c>
      <c r="B181" t="s">
        <v>821</v>
      </c>
      <c r="C181" t="s">
        <v>820</v>
      </c>
      <c r="D181" t="s">
        <v>192</v>
      </c>
      <c r="F181">
        <v>43.084499000000001</v>
      </c>
      <c r="G181">
        <v>7.2758409999999998</v>
      </c>
      <c r="H181">
        <v>29.789082000000001</v>
      </c>
      <c r="I181">
        <v>30.198889000000001</v>
      </c>
      <c r="J181">
        <v>32.275641999999998</v>
      </c>
      <c r="K181">
        <v>33.170639000000001</v>
      </c>
      <c r="L181">
        <v>33.786278000000003</v>
      </c>
      <c r="M181">
        <v>33.964320999999998</v>
      </c>
      <c r="N181">
        <v>34.026328999999997</v>
      </c>
      <c r="O181">
        <v>34.243293999999999</v>
      </c>
      <c r="P181">
        <v>34.307651999999997</v>
      </c>
      <c r="Q181">
        <v>34.326476999999997</v>
      </c>
      <c r="R181">
        <v>35.060668999999997</v>
      </c>
      <c r="S181">
        <v>34.735382000000001</v>
      </c>
      <c r="T181">
        <v>35.008648000000001</v>
      </c>
      <c r="U181">
        <v>34.965324000000003</v>
      </c>
      <c r="V181">
        <v>35.610290999999997</v>
      </c>
      <c r="W181">
        <v>36.499405000000003</v>
      </c>
      <c r="X181">
        <v>36.582970000000003</v>
      </c>
      <c r="Y181">
        <v>36.153892999999997</v>
      </c>
      <c r="Z181">
        <v>34.946072000000001</v>
      </c>
      <c r="AA181">
        <v>33.195698</v>
      </c>
      <c r="AB181">
        <v>32.132781999999999</v>
      </c>
      <c r="AC181">
        <v>31.682784999999999</v>
      </c>
      <c r="AD181">
        <v>32.097014999999999</v>
      </c>
      <c r="AE181">
        <v>33.338768000000002</v>
      </c>
      <c r="AF181">
        <v>34.252453000000003</v>
      </c>
      <c r="AG181" s="9">
        <v>-8.9999999999999993E-3</v>
      </c>
    </row>
    <row r="182" spans="1:33">
      <c r="A182" t="s">
        <v>209</v>
      </c>
      <c r="B182" t="s">
        <v>819</v>
      </c>
      <c r="C182" t="s">
        <v>818</v>
      </c>
      <c r="D182" t="s">
        <v>192</v>
      </c>
      <c r="F182">
        <v>6.2283299999999997</v>
      </c>
      <c r="G182">
        <v>5.1383970000000003</v>
      </c>
      <c r="H182">
        <v>13.900726000000001</v>
      </c>
      <c r="I182">
        <v>14.182648</v>
      </c>
      <c r="J182">
        <v>14.523163</v>
      </c>
      <c r="K182">
        <v>14.986205999999999</v>
      </c>
      <c r="L182">
        <v>15.336959999999999</v>
      </c>
      <c r="M182">
        <v>15.534698000000001</v>
      </c>
      <c r="N182">
        <v>15.673569000000001</v>
      </c>
      <c r="O182">
        <v>15.86322</v>
      </c>
      <c r="P182">
        <v>15.959808000000001</v>
      </c>
      <c r="Q182">
        <v>16.004486</v>
      </c>
      <c r="R182">
        <v>16.289733999999999</v>
      </c>
      <c r="S182">
        <v>16.125183</v>
      </c>
      <c r="T182">
        <v>16.159148999999999</v>
      </c>
      <c r="U182">
        <v>16.046173</v>
      </c>
      <c r="V182">
        <v>16.187836000000001</v>
      </c>
      <c r="W182">
        <v>16.405304000000001</v>
      </c>
      <c r="X182">
        <v>16.30603</v>
      </c>
      <c r="Y182">
        <v>15.989990000000001</v>
      </c>
      <c r="Z182">
        <v>15.384857</v>
      </c>
      <c r="AA182">
        <v>14.627991</v>
      </c>
      <c r="AB182">
        <v>14.191742</v>
      </c>
      <c r="AC182">
        <v>13.924408</v>
      </c>
      <c r="AD182">
        <v>14.025359999999999</v>
      </c>
      <c r="AE182">
        <v>14.46524</v>
      </c>
      <c r="AF182">
        <v>14.799042</v>
      </c>
      <c r="AG182" s="9">
        <v>3.4000000000000002E-2</v>
      </c>
    </row>
    <row r="183" spans="1:33">
      <c r="A183" t="s">
        <v>210</v>
      </c>
      <c r="B183" t="s">
        <v>817</v>
      </c>
      <c r="C183" t="s">
        <v>816</v>
      </c>
      <c r="D183" t="s">
        <v>192</v>
      </c>
      <c r="F183">
        <v>36.478931000000003</v>
      </c>
      <c r="G183">
        <v>1.9480440000000001</v>
      </c>
      <c r="H183">
        <v>15.493546</v>
      </c>
      <c r="I183">
        <v>15.615738</v>
      </c>
      <c r="J183">
        <v>17.346537000000001</v>
      </c>
      <c r="K183">
        <v>17.769310000000001</v>
      </c>
      <c r="L183">
        <v>18.028687000000001</v>
      </c>
      <c r="M183">
        <v>18.006057999999999</v>
      </c>
      <c r="N183">
        <v>17.927261000000001</v>
      </c>
      <c r="O183">
        <v>17.950589999999998</v>
      </c>
      <c r="P183">
        <v>17.916086</v>
      </c>
      <c r="Q183">
        <v>17.888439000000002</v>
      </c>
      <c r="R183">
        <v>18.328140000000001</v>
      </c>
      <c r="S183">
        <v>18.169439000000001</v>
      </c>
      <c r="T183">
        <v>18.404692000000001</v>
      </c>
      <c r="U183">
        <v>18.473358000000001</v>
      </c>
      <c r="V183">
        <v>18.968222000000001</v>
      </c>
      <c r="W183">
        <v>19.628805</v>
      </c>
      <c r="X183">
        <v>19.808617000000002</v>
      </c>
      <c r="Y183">
        <v>19.698191000000001</v>
      </c>
      <c r="Z183">
        <v>19.106085</v>
      </c>
      <c r="AA183">
        <v>18.129726000000002</v>
      </c>
      <c r="AB183">
        <v>17.513407000000001</v>
      </c>
      <c r="AC183">
        <v>17.333818000000001</v>
      </c>
      <c r="AD183">
        <v>17.641199</v>
      </c>
      <c r="AE183">
        <v>18.428923000000001</v>
      </c>
      <c r="AF183">
        <v>18.99823</v>
      </c>
      <c r="AG183" s="9">
        <v>-2.5000000000000001E-2</v>
      </c>
    </row>
    <row r="184" spans="1:33">
      <c r="A184" t="s">
        <v>211</v>
      </c>
      <c r="B184" t="s">
        <v>815</v>
      </c>
      <c r="C184" t="s">
        <v>814</v>
      </c>
      <c r="D184" t="s">
        <v>192</v>
      </c>
      <c r="F184">
        <v>0.37724000000000002</v>
      </c>
      <c r="G184">
        <v>0.18940000000000001</v>
      </c>
      <c r="H184">
        <v>0.39480900000000002</v>
      </c>
      <c r="I184">
        <v>0.40050400000000003</v>
      </c>
      <c r="J184">
        <v>0.405943</v>
      </c>
      <c r="K184">
        <v>0.41512199999999999</v>
      </c>
      <c r="L184">
        <v>0.42063200000000001</v>
      </c>
      <c r="M184">
        <v>0.423564</v>
      </c>
      <c r="N184">
        <v>0.42550100000000002</v>
      </c>
      <c r="O184">
        <v>0.429483</v>
      </c>
      <c r="P184">
        <v>0.43175799999999998</v>
      </c>
      <c r="Q184">
        <v>0.43355199999999999</v>
      </c>
      <c r="R184">
        <v>0.44279499999999999</v>
      </c>
      <c r="S184">
        <v>0.44075900000000001</v>
      </c>
      <c r="T184">
        <v>0.44480399999999998</v>
      </c>
      <c r="U184">
        <v>0.44579099999999999</v>
      </c>
      <c r="V184">
        <v>0.454231</v>
      </c>
      <c r="W184">
        <v>0.46529599999999999</v>
      </c>
      <c r="X184">
        <v>0.46832099999999999</v>
      </c>
      <c r="Y184">
        <v>0.46571299999999999</v>
      </c>
      <c r="Z184">
        <v>0.455127</v>
      </c>
      <c r="AA184">
        <v>0.43798100000000001</v>
      </c>
      <c r="AB184">
        <v>0.42763499999999999</v>
      </c>
      <c r="AC184">
        <v>0.42455999999999999</v>
      </c>
      <c r="AD184">
        <v>0.43045800000000001</v>
      </c>
      <c r="AE184">
        <v>0.44460100000000002</v>
      </c>
      <c r="AF184">
        <v>0.45518199999999998</v>
      </c>
      <c r="AG184" s="9">
        <v>7.0000000000000001E-3</v>
      </c>
    </row>
    <row r="185" spans="1:33">
      <c r="A185" t="s">
        <v>339</v>
      </c>
      <c r="B185" t="s">
        <v>813</v>
      </c>
      <c r="C185" t="s">
        <v>812</v>
      </c>
      <c r="D185" t="s">
        <v>192</v>
      </c>
      <c r="F185">
        <v>84.074707000000004</v>
      </c>
      <c r="G185">
        <v>92.996528999999995</v>
      </c>
      <c r="H185">
        <v>101.012398</v>
      </c>
      <c r="I185">
        <v>70.425826999999998</v>
      </c>
      <c r="J185">
        <v>55.522796999999997</v>
      </c>
      <c r="K185">
        <v>38.304305999999997</v>
      </c>
      <c r="L185">
        <v>39.305832000000002</v>
      </c>
      <c r="M185">
        <v>40.391463999999999</v>
      </c>
      <c r="N185">
        <v>41.731597999999998</v>
      </c>
      <c r="O185">
        <v>43.173309000000003</v>
      </c>
      <c r="P185">
        <v>44.638610999999997</v>
      </c>
      <c r="Q185">
        <v>45.968918000000002</v>
      </c>
      <c r="R185">
        <v>46.799239999999998</v>
      </c>
      <c r="S185">
        <v>47.544800000000002</v>
      </c>
      <c r="T185">
        <v>48.447876000000001</v>
      </c>
      <c r="U185">
        <v>49.416533999999999</v>
      </c>
      <c r="V185">
        <v>50.528838999999998</v>
      </c>
      <c r="W185">
        <v>52.767532000000003</v>
      </c>
      <c r="X185">
        <v>54.664093000000001</v>
      </c>
      <c r="Y185">
        <v>56.013184000000003</v>
      </c>
      <c r="Z185">
        <v>57.308562999999999</v>
      </c>
      <c r="AA185">
        <v>58.576400999999997</v>
      </c>
      <c r="AB185">
        <v>60.135178000000003</v>
      </c>
      <c r="AC185">
        <v>61.820435000000003</v>
      </c>
      <c r="AD185">
        <v>62.863663000000003</v>
      </c>
      <c r="AE185">
        <v>63.928818</v>
      </c>
      <c r="AF185">
        <v>65.247619999999998</v>
      </c>
      <c r="AG185" s="9">
        <v>-0.01</v>
      </c>
    </row>
    <row r="186" spans="1:33">
      <c r="A186" t="s">
        <v>209</v>
      </c>
      <c r="B186" t="s">
        <v>811</v>
      </c>
      <c r="C186" t="s">
        <v>810</v>
      </c>
      <c r="D186" t="s">
        <v>192</v>
      </c>
      <c r="F186">
        <v>58.829224000000004</v>
      </c>
      <c r="G186">
        <v>58.144043000000003</v>
      </c>
      <c r="H186">
        <v>63.434539999999998</v>
      </c>
      <c r="I186">
        <v>44.688831</v>
      </c>
      <c r="J186">
        <v>35.820435000000003</v>
      </c>
      <c r="K186">
        <v>25.378661999999998</v>
      </c>
      <c r="L186">
        <v>26.117249000000001</v>
      </c>
      <c r="M186">
        <v>26.903625000000002</v>
      </c>
      <c r="N186">
        <v>27.847899999999999</v>
      </c>
      <c r="O186">
        <v>28.850097999999999</v>
      </c>
      <c r="P186">
        <v>29.860046000000001</v>
      </c>
      <c r="Q186">
        <v>30.77478</v>
      </c>
      <c r="R186">
        <v>31.357361000000001</v>
      </c>
      <c r="S186">
        <v>31.878357000000001</v>
      </c>
      <c r="T186">
        <v>32.494385000000001</v>
      </c>
      <c r="U186">
        <v>33.145080999999998</v>
      </c>
      <c r="V186">
        <v>33.879333000000003</v>
      </c>
      <c r="W186">
        <v>35.336303999999998</v>
      </c>
      <c r="X186">
        <v>36.556519000000002</v>
      </c>
      <c r="Y186">
        <v>37.395569000000002</v>
      </c>
      <c r="Z186">
        <v>38.183044000000002</v>
      </c>
      <c r="AA186">
        <v>38.936584000000003</v>
      </c>
      <c r="AB186">
        <v>39.856749999999998</v>
      </c>
      <c r="AC186">
        <v>40.836426000000003</v>
      </c>
      <c r="AD186">
        <v>41.380004999999997</v>
      </c>
      <c r="AE186">
        <v>41.921813999999998</v>
      </c>
      <c r="AF186">
        <v>42.617736999999998</v>
      </c>
      <c r="AG186" s="9">
        <v>-1.2E-2</v>
      </c>
    </row>
    <row r="187" spans="1:33">
      <c r="A187" t="s">
        <v>210</v>
      </c>
      <c r="B187" t="s">
        <v>809</v>
      </c>
      <c r="C187" t="s">
        <v>808</v>
      </c>
      <c r="D187" t="s">
        <v>192</v>
      </c>
      <c r="F187">
        <v>10.70711</v>
      </c>
      <c r="G187">
        <v>22.922706999999999</v>
      </c>
      <c r="H187">
        <v>24.425834999999999</v>
      </c>
      <c r="I187">
        <v>15.890114000000001</v>
      </c>
      <c r="J187">
        <v>10.676437</v>
      </c>
      <c r="K187">
        <v>5.4167630000000004</v>
      </c>
      <c r="L187">
        <v>5.486847</v>
      </c>
      <c r="M187">
        <v>5.566147</v>
      </c>
      <c r="N187">
        <v>5.6873779999999998</v>
      </c>
      <c r="O187">
        <v>5.8340300000000003</v>
      </c>
      <c r="P187">
        <v>5.992432</v>
      </c>
      <c r="Q187">
        <v>6.1448359999999997</v>
      </c>
      <c r="R187">
        <v>6.2466280000000003</v>
      </c>
      <c r="S187">
        <v>6.3485259999999997</v>
      </c>
      <c r="T187">
        <v>6.4815519999999998</v>
      </c>
      <c r="U187">
        <v>6.6326599999999996</v>
      </c>
      <c r="V187">
        <v>6.8158719999999997</v>
      </c>
      <c r="W187">
        <v>7.1483920000000003</v>
      </c>
      <c r="X187">
        <v>7.4508669999999997</v>
      </c>
      <c r="Y187">
        <v>7.705673</v>
      </c>
      <c r="Z187">
        <v>7.9748539999999997</v>
      </c>
      <c r="AA187">
        <v>8.2664950000000008</v>
      </c>
      <c r="AB187">
        <v>8.6189420000000005</v>
      </c>
      <c r="AC187">
        <v>9.0091400000000004</v>
      </c>
      <c r="AD187">
        <v>9.3409270000000006</v>
      </c>
      <c r="AE187">
        <v>9.6980900000000005</v>
      </c>
      <c r="AF187">
        <v>10.099045</v>
      </c>
      <c r="AG187" s="9">
        <v>-2E-3</v>
      </c>
    </row>
    <row r="188" spans="1:33">
      <c r="A188" t="s">
        <v>211</v>
      </c>
      <c r="B188" t="s">
        <v>807</v>
      </c>
      <c r="C188" t="s">
        <v>806</v>
      </c>
      <c r="D188" t="s">
        <v>192</v>
      </c>
      <c r="F188">
        <v>14.538376</v>
      </c>
      <c r="G188">
        <v>11.929779</v>
      </c>
      <c r="H188">
        <v>13.152023</v>
      </c>
      <c r="I188">
        <v>9.8468780000000002</v>
      </c>
      <c r="J188">
        <v>9.0259250000000009</v>
      </c>
      <c r="K188">
        <v>7.5088809999999997</v>
      </c>
      <c r="L188">
        <v>7.7017360000000004</v>
      </c>
      <c r="M188">
        <v>7.9216920000000002</v>
      </c>
      <c r="N188">
        <v>8.1963200000000001</v>
      </c>
      <c r="O188">
        <v>8.4891819999999996</v>
      </c>
      <c r="P188">
        <v>8.7861329999999995</v>
      </c>
      <c r="Q188">
        <v>9.0493009999999998</v>
      </c>
      <c r="R188">
        <v>9.1952510000000007</v>
      </c>
      <c r="S188">
        <v>9.3179169999999996</v>
      </c>
      <c r="T188">
        <v>9.4719390000000008</v>
      </c>
      <c r="U188">
        <v>9.6387940000000008</v>
      </c>
      <c r="V188">
        <v>9.8336330000000007</v>
      </c>
      <c r="W188">
        <v>10.282837000000001</v>
      </c>
      <c r="X188">
        <v>10.656708</v>
      </c>
      <c r="Y188">
        <v>10.911942</v>
      </c>
      <c r="Z188">
        <v>11.150665</v>
      </c>
      <c r="AA188">
        <v>11.373322</v>
      </c>
      <c r="AB188">
        <v>11.659485</v>
      </c>
      <c r="AC188">
        <v>11.974869</v>
      </c>
      <c r="AD188">
        <v>12.142730999999999</v>
      </c>
      <c r="AE188">
        <v>12.308914</v>
      </c>
      <c r="AF188">
        <v>12.530837999999999</v>
      </c>
      <c r="AG188" s="9">
        <v>-6.0000000000000001E-3</v>
      </c>
    </row>
    <row r="189" spans="1:33">
      <c r="A189" t="s">
        <v>699</v>
      </c>
      <c r="B189" t="s">
        <v>805</v>
      </c>
      <c r="C189" t="s">
        <v>804</v>
      </c>
      <c r="D189" t="s">
        <v>192</v>
      </c>
      <c r="F189">
        <v>23.461634</v>
      </c>
      <c r="G189">
        <v>19.559650000000001</v>
      </c>
      <c r="H189">
        <v>24.251434</v>
      </c>
      <c r="I189">
        <v>21.377963999999999</v>
      </c>
      <c r="J189">
        <v>26.800121000000001</v>
      </c>
      <c r="K189">
        <v>22.846088000000002</v>
      </c>
      <c r="L189">
        <v>23.071075</v>
      </c>
      <c r="M189">
        <v>23.378921999999999</v>
      </c>
      <c r="N189">
        <v>23.955441</v>
      </c>
      <c r="O189">
        <v>24.639301</v>
      </c>
      <c r="P189">
        <v>25.358253000000001</v>
      </c>
      <c r="Q189">
        <v>26.230473</v>
      </c>
      <c r="R189">
        <v>27.183727000000001</v>
      </c>
      <c r="S189">
        <v>28.075648999999999</v>
      </c>
      <c r="T189">
        <v>28.938231999999999</v>
      </c>
      <c r="U189">
        <v>29.833065000000001</v>
      </c>
      <c r="V189">
        <v>30.666575999999999</v>
      </c>
      <c r="W189">
        <v>31.521591000000001</v>
      </c>
      <c r="X189">
        <v>32.530582000000003</v>
      </c>
      <c r="Y189">
        <v>33.57835</v>
      </c>
      <c r="Z189">
        <v>34.643279999999997</v>
      </c>
      <c r="AA189">
        <v>35.740509000000003</v>
      </c>
      <c r="AB189">
        <v>36.756644999999999</v>
      </c>
      <c r="AC189">
        <v>37.84816</v>
      </c>
      <c r="AD189">
        <v>38.962218999999997</v>
      </c>
      <c r="AE189">
        <v>40.134117000000003</v>
      </c>
      <c r="AF189">
        <v>41.348571999999997</v>
      </c>
      <c r="AG189" s="9">
        <v>2.1999999999999999E-2</v>
      </c>
    </row>
    <row r="190" spans="1:33">
      <c r="A190" t="s">
        <v>209</v>
      </c>
      <c r="B190" t="s">
        <v>803</v>
      </c>
      <c r="C190" t="s">
        <v>802</v>
      </c>
      <c r="D190" t="s">
        <v>192</v>
      </c>
      <c r="F190">
        <v>16.051894999999998</v>
      </c>
      <c r="G190">
        <v>13.644196000000001</v>
      </c>
      <c r="H190">
        <v>16.832169</v>
      </c>
      <c r="I190">
        <v>14.818375</v>
      </c>
      <c r="J190">
        <v>18.621765</v>
      </c>
      <c r="K190">
        <v>15.761642</v>
      </c>
      <c r="L190">
        <v>15.89827</v>
      </c>
      <c r="M190">
        <v>16.080185</v>
      </c>
      <c r="N190">
        <v>16.432465000000001</v>
      </c>
      <c r="O190">
        <v>16.848327999999999</v>
      </c>
      <c r="P190">
        <v>17.281524999999998</v>
      </c>
      <c r="Q190">
        <v>17.810974000000002</v>
      </c>
      <c r="R190">
        <v>18.391113000000001</v>
      </c>
      <c r="S190">
        <v>18.930389000000002</v>
      </c>
      <c r="T190">
        <v>19.451384999999998</v>
      </c>
      <c r="U190">
        <v>19.99823</v>
      </c>
      <c r="V190">
        <v>20.512726000000001</v>
      </c>
      <c r="W190">
        <v>21.050446000000001</v>
      </c>
      <c r="X190">
        <v>21.700989</v>
      </c>
      <c r="Y190">
        <v>22.389251999999999</v>
      </c>
      <c r="Z190">
        <v>23.101807000000001</v>
      </c>
      <c r="AA190">
        <v>23.847290000000001</v>
      </c>
      <c r="AB190">
        <v>24.549225</v>
      </c>
      <c r="AC190">
        <v>25.308745999999999</v>
      </c>
      <c r="AD190">
        <v>26.088470000000001</v>
      </c>
      <c r="AE190">
        <v>26.909026999999998</v>
      </c>
      <c r="AF190">
        <v>27.758483999999999</v>
      </c>
      <c r="AG190" s="9">
        <v>2.1000000000000001E-2</v>
      </c>
    </row>
    <row r="191" spans="1:33">
      <c r="A191" t="s">
        <v>210</v>
      </c>
      <c r="B191" t="s">
        <v>801</v>
      </c>
      <c r="C191" t="s">
        <v>800</v>
      </c>
      <c r="D191" t="s">
        <v>192</v>
      </c>
      <c r="F191">
        <v>2.291906</v>
      </c>
      <c r="G191">
        <v>1.8775440000000001</v>
      </c>
      <c r="H191">
        <v>2.4123000000000001</v>
      </c>
      <c r="I191">
        <v>2.0186959999999998</v>
      </c>
      <c r="J191">
        <v>2.7580070000000001</v>
      </c>
      <c r="K191">
        <v>2.1816059999999999</v>
      </c>
      <c r="L191">
        <v>2.230499</v>
      </c>
      <c r="M191">
        <v>2.2915730000000001</v>
      </c>
      <c r="N191">
        <v>2.387203</v>
      </c>
      <c r="O191">
        <v>2.499409</v>
      </c>
      <c r="P191">
        <v>2.620384</v>
      </c>
      <c r="Q191">
        <v>2.761425</v>
      </c>
      <c r="R191">
        <v>2.9139370000000002</v>
      </c>
      <c r="S191">
        <v>3.0608249999999999</v>
      </c>
      <c r="T191">
        <v>3.2023160000000002</v>
      </c>
      <c r="U191">
        <v>3.3426019999999999</v>
      </c>
      <c r="V191">
        <v>3.4697300000000002</v>
      </c>
      <c r="W191">
        <v>3.5889739999999999</v>
      </c>
      <c r="X191">
        <v>3.7130010000000002</v>
      </c>
      <c r="Y191">
        <v>3.828999</v>
      </c>
      <c r="Z191">
        <v>3.935562</v>
      </c>
      <c r="AA191">
        <v>4.0360950000000004</v>
      </c>
      <c r="AB191">
        <v>4.1208270000000002</v>
      </c>
      <c r="AC191">
        <v>4.2094569999999996</v>
      </c>
      <c r="AD191">
        <v>4.2989350000000002</v>
      </c>
      <c r="AE191">
        <v>4.3956379999999999</v>
      </c>
      <c r="AF191">
        <v>4.4995729999999998</v>
      </c>
      <c r="AG191" s="9">
        <v>2.5999999999999999E-2</v>
      </c>
    </row>
    <row r="192" spans="1:33">
      <c r="A192" t="s">
        <v>211</v>
      </c>
      <c r="B192" t="s">
        <v>799</v>
      </c>
      <c r="C192" t="s">
        <v>798</v>
      </c>
      <c r="D192" t="s">
        <v>192</v>
      </c>
      <c r="F192">
        <v>5.1178319999999999</v>
      </c>
      <c r="G192">
        <v>4.0379100000000001</v>
      </c>
      <c r="H192">
        <v>5.0069660000000002</v>
      </c>
      <c r="I192">
        <v>4.5408939999999998</v>
      </c>
      <c r="J192">
        <v>5.4203489999999999</v>
      </c>
      <c r="K192">
        <v>4.9028400000000003</v>
      </c>
      <c r="L192">
        <v>4.9423069999999996</v>
      </c>
      <c r="M192">
        <v>5.0071640000000004</v>
      </c>
      <c r="N192">
        <v>5.1357730000000004</v>
      </c>
      <c r="O192">
        <v>5.2915650000000003</v>
      </c>
      <c r="P192">
        <v>5.4563449999999998</v>
      </c>
      <c r="Q192">
        <v>5.6580729999999999</v>
      </c>
      <c r="R192">
        <v>5.8786769999999997</v>
      </c>
      <c r="S192">
        <v>6.084435</v>
      </c>
      <c r="T192">
        <v>6.2845310000000003</v>
      </c>
      <c r="U192">
        <v>6.4922329999999997</v>
      </c>
      <c r="V192">
        <v>6.6841200000000001</v>
      </c>
      <c r="W192">
        <v>6.8821719999999997</v>
      </c>
      <c r="X192">
        <v>7.1165919999999998</v>
      </c>
      <c r="Y192">
        <v>7.3601000000000001</v>
      </c>
      <c r="Z192">
        <v>7.6059109999999999</v>
      </c>
      <c r="AA192">
        <v>7.8571239999999998</v>
      </c>
      <c r="AB192">
        <v>8.0865939999999998</v>
      </c>
      <c r="AC192">
        <v>8.3299559999999992</v>
      </c>
      <c r="AD192">
        <v>8.5748139999999999</v>
      </c>
      <c r="AE192">
        <v>8.8294530000000009</v>
      </c>
      <c r="AF192">
        <v>9.0905149999999999</v>
      </c>
      <c r="AG192" s="9">
        <v>2.1999999999999999E-2</v>
      </c>
    </row>
    <row r="193" spans="1:33">
      <c r="A193" t="s">
        <v>206</v>
      </c>
      <c r="B193" t="s">
        <v>797</v>
      </c>
      <c r="C193" t="s">
        <v>796</v>
      </c>
      <c r="D193" t="s">
        <v>192</v>
      </c>
      <c r="F193">
        <v>497.07781999999997</v>
      </c>
      <c r="G193">
        <v>318.32605000000001</v>
      </c>
      <c r="H193">
        <v>367.27825899999999</v>
      </c>
      <c r="I193">
        <v>377.446167</v>
      </c>
      <c r="J193">
        <v>395.63104199999998</v>
      </c>
      <c r="K193">
        <v>417.32894900000002</v>
      </c>
      <c r="L193">
        <v>434.11129799999998</v>
      </c>
      <c r="M193">
        <v>454.31488000000002</v>
      </c>
      <c r="N193">
        <v>476.09115600000001</v>
      </c>
      <c r="O193">
        <v>496.38107300000001</v>
      </c>
      <c r="P193">
        <v>516.826233</v>
      </c>
      <c r="Q193">
        <v>537.26104699999996</v>
      </c>
      <c r="R193">
        <v>555.03564500000005</v>
      </c>
      <c r="S193">
        <v>574.61749299999997</v>
      </c>
      <c r="T193">
        <v>595.536743</v>
      </c>
      <c r="U193">
        <v>616.13995399999999</v>
      </c>
      <c r="V193">
        <v>635.84057600000006</v>
      </c>
      <c r="W193">
        <v>655.05853300000001</v>
      </c>
      <c r="X193">
        <v>673.87805200000003</v>
      </c>
      <c r="Y193">
        <v>691.82336399999997</v>
      </c>
      <c r="Z193">
        <v>709.08319100000006</v>
      </c>
      <c r="AA193">
        <v>725.73223900000005</v>
      </c>
      <c r="AB193">
        <v>741.90454099999999</v>
      </c>
      <c r="AC193">
        <v>757.65637200000003</v>
      </c>
      <c r="AD193">
        <v>773.108521</v>
      </c>
      <c r="AE193">
        <v>788.60430899999994</v>
      </c>
      <c r="AF193">
        <v>804.10858199999996</v>
      </c>
      <c r="AG193" s="9">
        <v>1.9E-2</v>
      </c>
    </row>
    <row r="194" spans="1:33">
      <c r="A194" t="s">
        <v>209</v>
      </c>
      <c r="B194" t="s">
        <v>795</v>
      </c>
      <c r="C194" t="s">
        <v>794</v>
      </c>
      <c r="D194" t="s">
        <v>192</v>
      </c>
      <c r="F194">
        <v>276.73751800000002</v>
      </c>
      <c r="G194">
        <v>283.66018700000001</v>
      </c>
      <c r="H194">
        <v>291.55502300000001</v>
      </c>
      <c r="I194">
        <v>297.33184799999998</v>
      </c>
      <c r="J194">
        <v>311.810699</v>
      </c>
      <c r="K194">
        <v>329.10732999999999</v>
      </c>
      <c r="L194">
        <v>342.68310500000001</v>
      </c>
      <c r="M194">
        <v>358.63812300000001</v>
      </c>
      <c r="N194">
        <v>375.75903299999999</v>
      </c>
      <c r="O194">
        <v>391.509277</v>
      </c>
      <c r="P194">
        <v>407.24627700000002</v>
      </c>
      <c r="Q194">
        <v>422.78796399999999</v>
      </c>
      <c r="R194">
        <v>436.00256300000001</v>
      </c>
      <c r="S194">
        <v>450.50824</v>
      </c>
      <c r="T194">
        <v>465.95330799999999</v>
      </c>
      <c r="U194">
        <v>481.009277</v>
      </c>
      <c r="V194">
        <v>495.23046900000003</v>
      </c>
      <c r="W194">
        <v>508.99804699999999</v>
      </c>
      <c r="X194">
        <v>522.48388699999998</v>
      </c>
      <c r="Y194">
        <v>535.21142599999996</v>
      </c>
      <c r="Z194">
        <v>547.35497999999995</v>
      </c>
      <c r="AA194">
        <v>559.15429700000004</v>
      </c>
      <c r="AB194">
        <v>570.70507799999996</v>
      </c>
      <c r="AC194">
        <v>582.01367200000004</v>
      </c>
      <c r="AD194">
        <v>593.20898399999999</v>
      </c>
      <c r="AE194">
        <v>604.54394500000001</v>
      </c>
      <c r="AF194">
        <v>615.9375</v>
      </c>
      <c r="AG194" s="9">
        <v>3.1E-2</v>
      </c>
    </row>
    <row r="195" spans="1:33">
      <c r="A195" t="s">
        <v>210</v>
      </c>
      <c r="B195" t="s">
        <v>793</v>
      </c>
      <c r="C195" t="s">
        <v>792</v>
      </c>
      <c r="D195" t="s">
        <v>192</v>
      </c>
      <c r="F195">
        <v>202.149597</v>
      </c>
      <c r="G195">
        <v>15.989215</v>
      </c>
      <c r="H195">
        <v>57.191040000000001</v>
      </c>
      <c r="I195">
        <v>61.302352999999997</v>
      </c>
      <c r="J195">
        <v>64.141707999999994</v>
      </c>
      <c r="K195">
        <v>67.497558999999995</v>
      </c>
      <c r="L195">
        <v>69.905074999999997</v>
      </c>
      <c r="M195">
        <v>73.217170999999993</v>
      </c>
      <c r="N195">
        <v>76.865616000000003</v>
      </c>
      <c r="O195">
        <v>80.487938</v>
      </c>
      <c r="P195">
        <v>84.278000000000006</v>
      </c>
      <c r="Q195">
        <v>88.257232999999999</v>
      </c>
      <c r="R195">
        <v>92.042793000000003</v>
      </c>
      <c r="S195">
        <v>96.243454</v>
      </c>
      <c r="T195">
        <v>100.75469200000001</v>
      </c>
      <c r="U195">
        <v>105.33741000000001</v>
      </c>
      <c r="V195">
        <v>109.878197</v>
      </c>
      <c r="W195">
        <v>114.38793200000001</v>
      </c>
      <c r="X195">
        <v>118.78387499999999</v>
      </c>
      <c r="Y195">
        <v>123.085976</v>
      </c>
      <c r="Z195">
        <v>127.30275</v>
      </c>
      <c r="AA195">
        <v>131.261765</v>
      </c>
      <c r="AB195">
        <v>135.00262499999999</v>
      </c>
      <c r="AC195">
        <v>138.58386200000001</v>
      </c>
      <c r="AD195">
        <v>141.99804700000001</v>
      </c>
      <c r="AE195">
        <v>145.32865899999999</v>
      </c>
      <c r="AF195">
        <v>148.632812</v>
      </c>
      <c r="AG195" s="9">
        <v>-1.2E-2</v>
      </c>
    </row>
    <row r="196" spans="1:33">
      <c r="A196" t="s">
        <v>211</v>
      </c>
      <c r="B196" t="s">
        <v>791</v>
      </c>
      <c r="C196" t="s">
        <v>790</v>
      </c>
      <c r="D196" t="s">
        <v>192</v>
      </c>
      <c r="F196">
        <v>18.190688999999999</v>
      </c>
      <c r="G196">
        <v>18.676638000000001</v>
      </c>
      <c r="H196">
        <v>18.532188000000001</v>
      </c>
      <c r="I196">
        <v>18.811958000000001</v>
      </c>
      <c r="J196">
        <v>19.678659</v>
      </c>
      <c r="K196">
        <v>20.724067999999999</v>
      </c>
      <c r="L196">
        <v>21.523102000000002</v>
      </c>
      <c r="M196">
        <v>22.459595</v>
      </c>
      <c r="N196">
        <v>23.466522000000001</v>
      </c>
      <c r="O196">
        <v>24.383849999999999</v>
      </c>
      <c r="P196">
        <v>25.301940999999999</v>
      </c>
      <c r="Q196">
        <v>26.215851000000001</v>
      </c>
      <c r="R196">
        <v>26.990265000000001</v>
      </c>
      <c r="S196">
        <v>27.865784000000001</v>
      </c>
      <c r="T196">
        <v>28.828735000000002</v>
      </c>
      <c r="U196">
        <v>29.793274</v>
      </c>
      <c r="V196">
        <v>30.731933999999999</v>
      </c>
      <c r="W196">
        <v>31.672546000000001</v>
      </c>
      <c r="X196">
        <v>32.610290999999997</v>
      </c>
      <c r="Y196">
        <v>33.525908999999999</v>
      </c>
      <c r="Z196">
        <v>34.425476000000003</v>
      </c>
      <c r="AA196">
        <v>35.316161999999998</v>
      </c>
      <c r="AB196">
        <v>36.196838</v>
      </c>
      <c r="AC196">
        <v>37.058838000000002</v>
      </c>
      <c r="AD196">
        <v>37.901488999999998</v>
      </c>
      <c r="AE196">
        <v>38.731689000000003</v>
      </c>
      <c r="AF196">
        <v>39.538269</v>
      </c>
      <c r="AG196" s="9">
        <v>0.03</v>
      </c>
    </row>
    <row r="197" spans="1:33">
      <c r="A197" t="s">
        <v>340</v>
      </c>
      <c r="B197" t="s">
        <v>789</v>
      </c>
      <c r="C197" t="s">
        <v>788</v>
      </c>
      <c r="D197" t="s">
        <v>192</v>
      </c>
      <c r="F197">
        <v>70.102631000000002</v>
      </c>
      <c r="G197">
        <v>86.719657999999995</v>
      </c>
      <c r="H197">
        <v>92.269042999999996</v>
      </c>
      <c r="I197">
        <v>100.55687</v>
      </c>
      <c r="J197">
        <v>106.48664100000001</v>
      </c>
      <c r="K197">
        <v>113.55687</v>
      </c>
      <c r="L197">
        <v>119.20884700000001</v>
      </c>
      <c r="M197">
        <v>125.09069100000001</v>
      </c>
      <c r="N197">
        <v>130.487503</v>
      </c>
      <c r="O197">
        <v>135.33909600000001</v>
      </c>
      <c r="P197">
        <v>140.01499899999999</v>
      </c>
      <c r="Q197">
        <v>144.42555200000001</v>
      </c>
      <c r="R197">
        <v>148.33371</v>
      </c>
      <c r="S197">
        <v>153.16871599999999</v>
      </c>
      <c r="T197">
        <v>157.453217</v>
      </c>
      <c r="U197">
        <v>162.195053</v>
      </c>
      <c r="V197">
        <v>167.88479599999999</v>
      </c>
      <c r="W197">
        <v>173.53035</v>
      </c>
      <c r="X197">
        <v>179.14297500000001</v>
      </c>
      <c r="Y197">
        <v>184.631561</v>
      </c>
      <c r="Z197">
        <v>190.02589399999999</v>
      </c>
      <c r="AA197">
        <v>195.56092799999999</v>
      </c>
      <c r="AB197">
        <v>201.38552899999999</v>
      </c>
      <c r="AC197">
        <v>207.06384299999999</v>
      </c>
      <c r="AD197">
        <v>212.61286899999999</v>
      </c>
      <c r="AE197">
        <v>218.02250699999999</v>
      </c>
      <c r="AF197">
        <v>223.287048</v>
      </c>
      <c r="AG197" s="9">
        <v>4.5999999999999999E-2</v>
      </c>
    </row>
    <row r="198" spans="1:33">
      <c r="A198" t="s">
        <v>209</v>
      </c>
      <c r="B198" t="s">
        <v>787</v>
      </c>
      <c r="C198" t="s">
        <v>786</v>
      </c>
      <c r="D198" t="s">
        <v>192</v>
      </c>
      <c r="F198">
        <v>53.977722</v>
      </c>
      <c r="G198">
        <v>67.948914000000002</v>
      </c>
      <c r="H198">
        <v>72.273132000000004</v>
      </c>
      <c r="I198">
        <v>78.812743999999995</v>
      </c>
      <c r="J198">
        <v>83.494018999999994</v>
      </c>
      <c r="K198">
        <v>89.171447999999998</v>
      </c>
      <c r="L198">
        <v>93.663703999999996</v>
      </c>
      <c r="M198">
        <v>98.290306000000001</v>
      </c>
      <c r="N198">
        <v>102.536209</v>
      </c>
      <c r="O198">
        <v>106.351364</v>
      </c>
      <c r="P198">
        <v>110.030762</v>
      </c>
      <c r="Q198">
        <v>113.508408</v>
      </c>
      <c r="R198">
        <v>116.603577</v>
      </c>
      <c r="S198">
        <v>120.44654800000001</v>
      </c>
      <c r="T198">
        <v>123.87623600000001</v>
      </c>
      <c r="U198">
        <v>127.694946</v>
      </c>
      <c r="V198">
        <v>132.28710899999999</v>
      </c>
      <c r="W198">
        <v>136.87207000000001</v>
      </c>
      <c r="X198">
        <v>141.45654300000001</v>
      </c>
      <c r="Y198">
        <v>145.92480499999999</v>
      </c>
      <c r="Z198">
        <v>150.32250999999999</v>
      </c>
      <c r="AA198">
        <v>154.816406</v>
      </c>
      <c r="AB198">
        <v>159.49951200000001</v>
      </c>
      <c r="AC198">
        <v>164.05590799999999</v>
      </c>
      <c r="AD198">
        <v>168.48339799999999</v>
      </c>
      <c r="AE198">
        <v>172.77856399999999</v>
      </c>
      <c r="AF198">
        <v>176.911621</v>
      </c>
      <c r="AG198" s="9">
        <v>4.7E-2</v>
      </c>
    </row>
    <row r="199" spans="1:33">
      <c r="A199" t="s">
        <v>210</v>
      </c>
      <c r="B199" t="s">
        <v>785</v>
      </c>
      <c r="C199" t="s">
        <v>784</v>
      </c>
      <c r="D199" t="s">
        <v>192</v>
      </c>
      <c r="F199">
        <v>5.4085460000000003</v>
      </c>
      <c r="G199">
        <v>6.7091289999999999</v>
      </c>
      <c r="H199">
        <v>7.0999280000000002</v>
      </c>
      <c r="I199">
        <v>7.6362800000000002</v>
      </c>
      <c r="J199">
        <v>8.0046879999999998</v>
      </c>
      <c r="K199">
        <v>8.4299090000000003</v>
      </c>
      <c r="L199">
        <v>8.7635349999999992</v>
      </c>
      <c r="M199">
        <v>9.1517560000000007</v>
      </c>
      <c r="N199">
        <v>9.5137479999999996</v>
      </c>
      <c r="O199">
        <v>9.8466129999999996</v>
      </c>
      <c r="P199">
        <v>10.173356999999999</v>
      </c>
      <c r="Q199">
        <v>10.483677</v>
      </c>
      <c r="R199">
        <v>10.756905</v>
      </c>
      <c r="S199">
        <v>11.082458000000001</v>
      </c>
      <c r="T199">
        <v>11.357224</v>
      </c>
      <c r="U199">
        <v>11.64439</v>
      </c>
      <c r="V199">
        <v>11.977695000000001</v>
      </c>
      <c r="W199">
        <v>12.284566</v>
      </c>
      <c r="X199">
        <v>12.570133</v>
      </c>
      <c r="Y199">
        <v>12.881073000000001</v>
      </c>
      <c r="Z199">
        <v>13.191172999999999</v>
      </c>
      <c r="AA199">
        <v>13.533829000000001</v>
      </c>
      <c r="AB199">
        <v>13.943871</v>
      </c>
      <c r="AC199">
        <v>14.356959</v>
      </c>
      <c r="AD199">
        <v>14.788988</v>
      </c>
      <c r="AE199">
        <v>15.234571000000001</v>
      </c>
      <c r="AF199">
        <v>15.720404</v>
      </c>
      <c r="AG199" s="9">
        <v>4.2000000000000003E-2</v>
      </c>
    </row>
    <row r="200" spans="1:33">
      <c r="A200" t="s">
        <v>211</v>
      </c>
      <c r="B200" t="s">
        <v>783</v>
      </c>
      <c r="C200" t="s">
        <v>782</v>
      </c>
      <c r="D200" t="s">
        <v>192</v>
      </c>
      <c r="F200">
        <v>10.716366000000001</v>
      </c>
      <c r="G200">
        <v>12.061617</v>
      </c>
      <c r="H200">
        <v>12.89598</v>
      </c>
      <c r="I200">
        <v>14.107851</v>
      </c>
      <c r="J200">
        <v>14.987939000000001</v>
      </c>
      <c r="K200">
        <v>15.955513</v>
      </c>
      <c r="L200">
        <v>16.781604999999999</v>
      </c>
      <c r="M200">
        <v>17.648627999999999</v>
      </c>
      <c r="N200">
        <v>18.437539999999998</v>
      </c>
      <c r="O200">
        <v>19.141114999999999</v>
      </c>
      <c r="P200">
        <v>19.810883</v>
      </c>
      <c r="Q200">
        <v>20.433471999999998</v>
      </c>
      <c r="R200">
        <v>20.973220999999999</v>
      </c>
      <c r="S200">
        <v>21.639709</v>
      </c>
      <c r="T200">
        <v>22.219757000000001</v>
      </c>
      <c r="U200">
        <v>22.855713000000002</v>
      </c>
      <c r="V200">
        <v>23.619994999999999</v>
      </c>
      <c r="W200">
        <v>24.373718</v>
      </c>
      <c r="X200">
        <v>25.116302000000001</v>
      </c>
      <c r="Y200">
        <v>25.825683999999999</v>
      </c>
      <c r="Z200">
        <v>26.512207</v>
      </c>
      <c r="AA200">
        <v>27.210692999999999</v>
      </c>
      <c r="AB200">
        <v>27.942139000000001</v>
      </c>
      <c r="AC200">
        <v>28.650970000000001</v>
      </c>
      <c r="AD200">
        <v>29.340485000000001</v>
      </c>
      <c r="AE200">
        <v>30.009369</v>
      </c>
      <c r="AF200">
        <v>30.655028999999999</v>
      </c>
      <c r="AG200" s="9">
        <v>4.1000000000000002E-2</v>
      </c>
    </row>
    <row r="201" spans="1:33">
      <c r="A201" t="s">
        <v>692</v>
      </c>
      <c r="B201" t="s">
        <v>781</v>
      </c>
      <c r="C201" t="s">
        <v>780</v>
      </c>
      <c r="D201" t="s">
        <v>192</v>
      </c>
      <c r="F201">
        <v>223.02676400000001</v>
      </c>
      <c r="G201">
        <v>139.64172400000001</v>
      </c>
      <c r="H201">
        <v>164.524719</v>
      </c>
      <c r="I201">
        <v>172.92480499999999</v>
      </c>
      <c r="J201">
        <v>178.84960899999999</v>
      </c>
      <c r="K201">
        <v>185.274292</v>
      </c>
      <c r="L201">
        <v>193.89390599999999</v>
      </c>
      <c r="M201">
        <v>203.73237599999999</v>
      </c>
      <c r="N201">
        <v>212.391693</v>
      </c>
      <c r="O201">
        <v>220.996216</v>
      </c>
      <c r="P201">
        <v>228.90715</v>
      </c>
      <c r="Q201">
        <v>236.60205099999999</v>
      </c>
      <c r="R201">
        <v>244.51870700000001</v>
      </c>
      <c r="S201">
        <v>251.986786</v>
      </c>
      <c r="T201">
        <v>261.38391100000001</v>
      </c>
      <c r="U201">
        <v>270.85827599999999</v>
      </c>
      <c r="V201">
        <v>280.13531499999999</v>
      </c>
      <c r="W201">
        <v>288.81146200000001</v>
      </c>
      <c r="X201">
        <v>297.64672899999999</v>
      </c>
      <c r="Y201">
        <v>306.28137199999998</v>
      </c>
      <c r="Z201">
        <v>314.63601699999998</v>
      </c>
      <c r="AA201">
        <v>322.81048600000003</v>
      </c>
      <c r="AB201">
        <v>330.64770499999997</v>
      </c>
      <c r="AC201">
        <v>338.06677200000001</v>
      </c>
      <c r="AD201">
        <v>345.74816900000002</v>
      </c>
      <c r="AE201">
        <v>354.09704599999998</v>
      </c>
      <c r="AF201">
        <v>363.36645499999997</v>
      </c>
      <c r="AG201" s="9">
        <v>1.9E-2</v>
      </c>
    </row>
    <row r="202" spans="1:33">
      <c r="A202" t="s">
        <v>209</v>
      </c>
      <c r="B202" t="s">
        <v>779</v>
      </c>
      <c r="C202" t="s">
        <v>778</v>
      </c>
      <c r="D202" t="s">
        <v>192</v>
      </c>
      <c r="F202">
        <v>51.344603999999997</v>
      </c>
      <c r="G202">
        <v>61.722656000000001</v>
      </c>
      <c r="H202">
        <v>87.393921000000006</v>
      </c>
      <c r="I202">
        <v>92.195922999999993</v>
      </c>
      <c r="J202">
        <v>95.579834000000005</v>
      </c>
      <c r="K202">
        <v>99.262328999999994</v>
      </c>
      <c r="L202">
        <v>104.130859</v>
      </c>
      <c r="M202">
        <v>109.887451</v>
      </c>
      <c r="N202">
        <v>114.558052</v>
      </c>
      <c r="O202">
        <v>119.12608299999999</v>
      </c>
      <c r="P202">
        <v>123.54431200000001</v>
      </c>
      <c r="Q202">
        <v>127.77973900000001</v>
      </c>
      <c r="R202">
        <v>132.066925</v>
      </c>
      <c r="S202">
        <v>136.01127600000001</v>
      </c>
      <c r="T202">
        <v>140.97143600000001</v>
      </c>
      <c r="U202">
        <v>145.86889600000001</v>
      </c>
      <c r="V202">
        <v>150.55908199999999</v>
      </c>
      <c r="W202">
        <v>154.81762699999999</v>
      </c>
      <c r="X202">
        <v>159.084473</v>
      </c>
      <c r="Y202">
        <v>163.171875</v>
      </c>
      <c r="Z202">
        <v>167.06909200000001</v>
      </c>
      <c r="AA202">
        <v>170.849121</v>
      </c>
      <c r="AB202">
        <v>174.47241199999999</v>
      </c>
      <c r="AC202">
        <v>177.912598</v>
      </c>
      <c r="AD202">
        <v>181.589111</v>
      </c>
      <c r="AE202">
        <v>185.70336900000001</v>
      </c>
      <c r="AF202">
        <v>190.43017599999999</v>
      </c>
      <c r="AG202" s="9">
        <v>5.1999999999999998E-2</v>
      </c>
    </row>
    <row r="203" spans="1:33">
      <c r="A203" t="s">
        <v>210</v>
      </c>
      <c r="B203" t="s">
        <v>777</v>
      </c>
      <c r="C203" t="s">
        <v>776</v>
      </c>
      <c r="D203" t="s">
        <v>192</v>
      </c>
      <c r="F203">
        <v>105.829224</v>
      </c>
      <c r="G203">
        <v>53.742125999999999</v>
      </c>
      <c r="H203">
        <v>35.609619000000002</v>
      </c>
      <c r="I203">
        <v>37.603515999999999</v>
      </c>
      <c r="J203">
        <v>39.054321000000002</v>
      </c>
      <c r="K203">
        <v>40.623534999999997</v>
      </c>
      <c r="L203">
        <v>43.479725000000002</v>
      </c>
      <c r="M203">
        <v>45.878982999999998</v>
      </c>
      <c r="N203">
        <v>47.900711000000001</v>
      </c>
      <c r="O203">
        <v>49.964981000000002</v>
      </c>
      <c r="P203">
        <v>51.982036999999998</v>
      </c>
      <c r="Q203">
        <v>54.045219000000003</v>
      </c>
      <c r="R203">
        <v>56.210940999999998</v>
      </c>
      <c r="S203">
        <v>58.374008000000003</v>
      </c>
      <c r="T203">
        <v>60.861404</v>
      </c>
      <c r="U203">
        <v>63.388610999999997</v>
      </c>
      <c r="V203">
        <v>65.897461000000007</v>
      </c>
      <c r="W203">
        <v>68.339232999999993</v>
      </c>
      <c r="X203">
        <v>70.809448000000003</v>
      </c>
      <c r="Y203">
        <v>73.239379999999997</v>
      </c>
      <c r="Z203">
        <v>75.583648999999994</v>
      </c>
      <c r="AA203">
        <v>77.853317000000004</v>
      </c>
      <c r="AB203">
        <v>79.984511999999995</v>
      </c>
      <c r="AC203">
        <v>81.955444</v>
      </c>
      <c r="AD203">
        <v>83.854370000000003</v>
      </c>
      <c r="AE203">
        <v>85.823486000000003</v>
      </c>
      <c r="AF203">
        <v>87.857178000000005</v>
      </c>
      <c r="AG203" s="9">
        <v>-7.0000000000000001E-3</v>
      </c>
    </row>
    <row r="204" spans="1:33">
      <c r="A204" t="s">
        <v>211</v>
      </c>
      <c r="B204" t="s">
        <v>775</v>
      </c>
      <c r="C204" t="s">
        <v>774</v>
      </c>
      <c r="D204" t="s">
        <v>192</v>
      </c>
      <c r="F204">
        <v>65.852936</v>
      </c>
      <c r="G204">
        <v>24.176940999999999</v>
      </c>
      <c r="H204">
        <v>41.521178999999997</v>
      </c>
      <c r="I204">
        <v>43.125366</v>
      </c>
      <c r="J204">
        <v>44.215454000000001</v>
      </c>
      <c r="K204">
        <v>45.388427999999998</v>
      </c>
      <c r="L204">
        <v>46.283324999999998</v>
      </c>
      <c r="M204">
        <v>47.965941999999998</v>
      </c>
      <c r="N204">
        <v>49.932921999999998</v>
      </c>
      <c r="O204">
        <v>51.905150999999996</v>
      </c>
      <c r="P204">
        <v>53.380797999999999</v>
      </c>
      <c r="Q204">
        <v>54.777099999999997</v>
      </c>
      <c r="R204">
        <v>56.240845</v>
      </c>
      <c r="S204">
        <v>57.601500999999999</v>
      </c>
      <c r="T204">
        <v>59.551085999999998</v>
      </c>
      <c r="U204">
        <v>61.600769</v>
      </c>
      <c r="V204">
        <v>63.678772000000002</v>
      </c>
      <c r="W204">
        <v>65.654601999999997</v>
      </c>
      <c r="X204">
        <v>67.752808000000002</v>
      </c>
      <c r="Y204">
        <v>69.870116999999993</v>
      </c>
      <c r="Z204">
        <v>71.983276000000004</v>
      </c>
      <c r="AA204">
        <v>74.108031999999994</v>
      </c>
      <c r="AB204">
        <v>76.190796000000006</v>
      </c>
      <c r="AC204">
        <v>78.198729999999998</v>
      </c>
      <c r="AD204">
        <v>80.304687999999999</v>
      </c>
      <c r="AE204">
        <v>82.570189999999997</v>
      </c>
      <c r="AF204">
        <v>85.079102000000006</v>
      </c>
      <c r="AG204" s="9">
        <v>0.01</v>
      </c>
    </row>
    <row r="205" spans="1:33">
      <c r="A205" t="s">
        <v>341</v>
      </c>
      <c r="B205" t="s">
        <v>773</v>
      </c>
      <c r="C205" t="s">
        <v>772</v>
      </c>
      <c r="D205" t="s">
        <v>192</v>
      </c>
      <c r="F205">
        <v>101.31321699999999</v>
      </c>
      <c r="G205">
        <v>115.492386</v>
      </c>
      <c r="H205">
        <v>122.40403000000001</v>
      </c>
      <c r="I205">
        <v>119.727859</v>
      </c>
      <c r="J205">
        <v>121.03449999999999</v>
      </c>
      <c r="K205">
        <v>124.004158</v>
      </c>
      <c r="L205">
        <v>125.271339</v>
      </c>
      <c r="M205">
        <v>129.383667</v>
      </c>
      <c r="N205">
        <v>133.73478700000001</v>
      </c>
      <c r="O205">
        <v>138.52889999999999</v>
      </c>
      <c r="P205">
        <v>143.741669</v>
      </c>
      <c r="Q205">
        <v>149.51602199999999</v>
      </c>
      <c r="R205">
        <v>155.67918399999999</v>
      </c>
      <c r="S205">
        <v>162.14257799999999</v>
      </c>
      <c r="T205">
        <v>168.718018</v>
      </c>
      <c r="U205">
        <v>175.42089799999999</v>
      </c>
      <c r="V205">
        <v>182.378433</v>
      </c>
      <c r="W205">
        <v>189.25842299999999</v>
      </c>
      <c r="X205">
        <v>196.15862999999999</v>
      </c>
      <c r="Y205">
        <v>202.99764999999999</v>
      </c>
      <c r="Z205">
        <v>209.76284799999999</v>
      </c>
      <c r="AA205">
        <v>216.53926100000001</v>
      </c>
      <c r="AB205">
        <v>223.07467700000001</v>
      </c>
      <c r="AC205">
        <v>229.76165800000001</v>
      </c>
      <c r="AD205">
        <v>236.70361299999999</v>
      </c>
      <c r="AE205">
        <v>243.84219400000001</v>
      </c>
      <c r="AF205">
        <v>251.10017400000001</v>
      </c>
      <c r="AG205" s="9">
        <v>3.5999999999999997E-2</v>
      </c>
    </row>
    <row r="206" spans="1:33">
      <c r="A206" t="s">
        <v>209</v>
      </c>
      <c r="B206" t="s">
        <v>771</v>
      </c>
      <c r="C206" t="s">
        <v>770</v>
      </c>
      <c r="D206" t="s">
        <v>192</v>
      </c>
      <c r="F206">
        <v>45.546813999999998</v>
      </c>
      <c r="G206">
        <v>53.642761</v>
      </c>
      <c r="H206">
        <v>57.699646000000001</v>
      </c>
      <c r="I206">
        <v>55.399231</v>
      </c>
      <c r="J206">
        <v>55.731323000000003</v>
      </c>
      <c r="K206">
        <v>56.960631999999997</v>
      </c>
      <c r="L206">
        <v>57.367370999999999</v>
      </c>
      <c r="M206">
        <v>59.105407999999997</v>
      </c>
      <c r="N206">
        <v>60.808228</v>
      </c>
      <c r="O206">
        <v>62.690429999999999</v>
      </c>
      <c r="P206">
        <v>64.733704000000003</v>
      </c>
      <c r="Q206">
        <v>67.043212999999994</v>
      </c>
      <c r="R206">
        <v>69.505736999999996</v>
      </c>
      <c r="S206">
        <v>72.092772999999994</v>
      </c>
      <c r="T206">
        <v>74.721312999999995</v>
      </c>
      <c r="U206">
        <v>77.394531000000001</v>
      </c>
      <c r="V206">
        <v>80.235229000000004</v>
      </c>
      <c r="W206">
        <v>83.116943000000006</v>
      </c>
      <c r="X206">
        <v>86.092528999999999</v>
      </c>
      <c r="Y206">
        <v>89.114990000000006</v>
      </c>
      <c r="Z206">
        <v>92.176270000000002</v>
      </c>
      <c r="AA206">
        <v>95.309082000000004</v>
      </c>
      <c r="AB206">
        <v>98.418700999999999</v>
      </c>
      <c r="AC206">
        <v>101.677002</v>
      </c>
      <c r="AD206">
        <v>105.06604</v>
      </c>
      <c r="AE206">
        <v>108.55212400000001</v>
      </c>
      <c r="AF206">
        <v>112.09045399999999</v>
      </c>
      <c r="AG206" s="9">
        <v>3.5000000000000003E-2</v>
      </c>
    </row>
    <row r="207" spans="1:33">
      <c r="A207" t="s">
        <v>210</v>
      </c>
      <c r="B207" t="s">
        <v>769</v>
      </c>
      <c r="C207" t="s">
        <v>768</v>
      </c>
      <c r="D207" t="s">
        <v>192</v>
      </c>
      <c r="F207">
        <v>49.528258999999998</v>
      </c>
      <c r="G207">
        <v>51.080627</v>
      </c>
      <c r="H207">
        <v>52.663330000000002</v>
      </c>
      <c r="I207">
        <v>53.584595</v>
      </c>
      <c r="J207">
        <v>54.866028</v>
      </c>
      <c r="K207">
        <v>56.642273000000003</v>
      </c>
      <c r="L207">
        <v>57.691344999999998</v>
      </c>
      <c r="M207">
        <v>60.003234999999997</v>
      </c>
      <c r="N207">
        <v>62.684508999999998</v>
      </c>
      <c r="O207">
        <v>65.604004000000003</v>
      </c>
      <c r="P207">
        <v>68.761229999999998</v>
      </c>
      <c r="Q207">
        <v>72.148560000000003</v>
      </c>
      <c r="R207">
        <v>75.752075000000005</v>
      </c>
      <c r="S207">
        <v>79.512816999999998</v>
      </c>
      <c r="T207">
        <v>83.342895999999996</v>
      </c>
      <c r="U207">
        <v>87.265502999999995</v>
      </c>
      <c r="V207">
        <v>91.226806999999994</v>
      </c>
      <c r="W207">
        <v>95.032104000000004</v>
      </c>
      <c r="X207">
        <v>98.721312999999995</v>
      </c>
      <c r="Y207">
        <v>102.283447</v>
      </c>
      <c r="Z207">
        <v>105.7229</v>
      </c>
      <c r="AA207">
        <v>109.090332</v>
      </c>
      <c r="AB207">
        <v>112.221924</v>
      </c>
      <c r="AC207">
        <v>115.303589</v>
      </c>
      <c r="AD207">
        <v>118.489136</v>
      </c>
      <c r="AE207">
        <v>121.74511699999999</v>
      </c>
      <c r="AF207">
        <v>125.034058</v>
      </c>
      <c r="AG207" s="9">
        <v>3.5999999999999997E-2</v>
      </c>
    </row>
    <row r="208" spans="1:33">
      <c r="A208" t="s">
        <v>211</v>
      </c>
      <c r="B208" t="s">
        <v>767</v>
      </c>
      <c r="C208" t="s">
        <v>766</v>
      </c>
      <c r="D208" t="s">
        <v>192</v>
      </c>
      <c r="F208">
        <v>6.2381440000000001</v>
      </c>
      <c r="G208">
        <v>10.768997000000001</v>
      </c>
      <c r="H208">
        <v>12.041054000000001</v>
      </c>
      <c r="I208">
        <v>10.744033999999999</v>
      </c>
      <c r="J208">
        <v>10.437149</v>
      </c>
      <c r="K208">
        <v>10.401253000000001</v>
      </c>
      <c r="L208">
        <v>10.212624</v>
      </c>
      <c r="M208">
        <v>10.275031999999999</v>
      </c>
      <c r="N208">
        <v>10.242050000000001</v>
      </c>
      <c r="O208">
        <v>10.234467</v>
      </c>
      <c r="P208">
        <v>10.246734999999999</v>
      </c>
      <c r="Q208">
        <v>10.324249</v>
      </c>
      <c r="R208">
        <v>10.421371000000001</v>
      </c>
      <c r="S208">
        <v>10.536987</v>
      </c>
      <c r="T208">
        <v>10.653809000000001</v>
      </c>
      <c r="U208">
        <v>10.760864</v>
      </c>
      <c r="V208">
        <v>10.916397</v>
      </c>
      <c r="W208">
        <v>11.109375</v>
      </c>
      <c r="X208">
        <v>11.344787999999999</v>
      </c>
      <c r="Y208">
        <v>11.599213000000001</v>
      </c>
      <c r="Z208">
        <v>11.863678</v>
      </c>
      <c r="AA208">
        <v>12.139847</v>
      </c>
      <c r="AB208">
        <v>12.434051999999999</v>
      </c>
      <c r="AC208">
        <v>12.781067</v>
      </c>
      <c r="AD208">
        <v>13.148438000000001</v>
      </c>
      <c r="AE208">
        <v>13.544952</v>
      </c>
      <c r="AF208">
        <v>13.975662</v>
      </c>
      <c r="AG208" s="9">
        <v>3.2000000000000001E-2</v>
      </c>
    </row>
    <row r="209" spans="1:33">
      <c r="A209" t="s">
        <v>205</v>
      </c>
      <c r="B209" t="s">
        <v>765</v>
      </c>
      <c r="C209" t="s">
        <v>764</v>
      </c>
      <c r="D209" t="s">
        <v>192</v>
      </c>
      <c r="F209">
        <v>62.043106000000002</v>
      </c>
      <c r="G209">
        <v>87.195389000000006</v>
      </c>
      <c r="H209">
        <v>102.36378499999999</v>
      </c>
      <c r="I209">
        <v>101.649719</v>
      </c>
      <c r="J209">
        <v>105.496628</v>
      </c>
      <c r="K209">
        <v>109.542343</v>
      </c>
      <c r="L209">
        <v>111.563232</v>
      </c>
      <c r="M209">
        <v>115.05587800000001</v>
      </c>
      <c r="N209">
        <v>118.04568500000001</v>
      </c>
      <c r="O209">
        <v>121.181</v>
      </c>
      <c r="P209">
        <v>125.071198</v>
      </c>
      <c r="Q209">
        <v>129.195221</v>
      </c>
      <c r="R209">
        <v>133.03971899999999</v>
      </c>
      <c r="S209">
        <v>137.371994</v>
      </c>
      <c r="T209">
        <v>141.40820299999999</v>
      </c>
      <c r="U209">
        <v>145.51799</v>
      </c>
      <c r="V209">
        <v>149.74319499999999</v>
      </c>
      <c r="W209">
        <v>154.21347</v>
      </c>
      <c r="X209">
        <v>158.87364199999999</v>
      </c>
      <c r="Y209">
        <v>163.77320900000001</v>
      </c>
      <c r="Z209">
        <v>168.93679800000001</v>
      </c>
      <c r="AA209">
        <v>174.28360000000001</v>
      </c>
      <c r="AB209">
        <v>179.850311</v>
      </c>
      <c r="AC209">
        <v>185.645599</v>
      </c>
      <c r="AD209">
        <v>191.657501</v>
      </c>
      <c r="AE209">
        <v>197.87631200000001</v>
      </c>
      <c r="AF209">
        <v>204.281555</v>
      </c>
      <c r="AG209" s="9">
        <v>4.7E-2</v>
      </c>
    </row>
    <row r="210" spans="1:33">
      <c r="A210" t="s">
        <v>209</v>
      </c>
      <c r="B210" t="s">
        <v>763</v>
      </c>
      <c r="C210" t="s">
        <v>762</v>
      </c>
      <c r="D210" t="s">
        <v>192</v>
      </c>
      <c r="F210">
        <v>33.070678999999998</v>
      </c>
      <c r="G210">
        <v>36.260406000000003</v>
      </c>
      <c r="H210">
        <v>42.109161</v>
      </c>
      <c r="I210">
        <v>41.781554999999997</v>
      </c>
      <c r="J210">
        <v>44.264159999999997</v>
      </c>
      <c r="K210">
        <v>46.729613999999998</v>
      </c>
      <c r="L210">
        <v>47.501648000000003</v>
      </c>
      <c r="M210">
        <v>48.921326000000001</v>
      </c>
      <c r="N210">
        <v>50.123412999999999</v>
      </c>
      <c r="O210">
        <v>51.391544000000003</v>
      </c>
      <c r="P210">
        <v>52.790157000000001</v>
      </c>
      <c r="Q210">
        <v>54.283076999999999</v>
      </c>
      <c r="R210">
        <v>55.841918999999997</v>
      </c>
      <c r="S210">
        <v>57.380215</v>
      </c>
      <c r="T210">
        <v>58.939819</v>
      </c>
      <c r="U210">
        <v>60.564770000000003</v>
      </c>
      <c r="V210">
        <v>62.239258</v>
      </c>
      <c r="W210">
        <v>63.999146000000003</v>
      </c>
      <c r="X210">
        <v>65.833800999999994</v>
      </c>
      <c r="Y210">
        <v>67.793762000000001</v>
      </c>
      <c r="Z210">
        <v>69.899840999999995</v>
      </c>
      <c r="AA210">
        <v>72.136841000000004</v>
      </c>
      <c r="AB210">
        <v>74.504517000000007</v>
      </c>
      <c r="AC210">
        <v>76.996139999999997</v>
      </c>
      <c r="AD210">
        <v>79.606453000000002</v>
      </c>
      <c r="AE210">
        <v>82.370154999999997</v>
      </c>
      <c r="AF210">
        <v>85.221335999999994</v>
      </c>
      <c r="AG210" s="9">
        <v>3.6999999999999998E-2</v>
      </c>
    </row>
    <row r="211" spans="1:33">
      <c r="A211" t="s">
        <v>210</v>
      </c>
      <c r="B211" t="s">
        <v>761</v>
      </c>
      <c r="C211" t="s">
        <v>760</v>
      </c>
      <c r="D211" t="s">
        <v>192</v>
      </c>
      <c r="F211">
        <v>9.7348789999999994</v>
      </c>
      <c r="G211">
        <v>11.876328000000001</v>
      </c>
      <c r="H211">
        <v>13.750809</v>
      </c>
      <c r="I211">
        <v>13.554413</v>
      </c>
      <c r="J211">
        <v>13.999283</v>
      </c>
      <c r="K211">
        <v>14.528122</v>
      </c>
      <c r="L211">
        <v>14.955078</v>
      </c>
      <c r="M211">
        <v>15.670197</v>
      </c>
      <c r="N211">
        <v>16.306183000000001</v>
      </c>
      <c r="O211">
        <v>16.984100000000002</v>
      </c>
      <c r="P211">
        <v>18.173981000000001</v>
      </c>
      <c r="Q211">
        <v>19.437477000000001</v>
      </c>
      <c r="R211">
        <v>20.264631000000001</v>
      </c>
      <c r="S211">
        <v>21.124834</v>
      </c>
      <c r="T211">
        <v>22.034115</v>
      </c>
      <c r="U211">
        <v>22.968230999999999</v>
      </c>
      <c r="V211">
        <v>23.922699000000001</v>
      </c>
      <c r="W211">
        <v>24.915610999999998</v>
      </c>
      <c r="X211">
        <v>25.944317000000002</v>
      </c>
      <c r="Y211">
        <v>26.972486</v>
      </c>
      <c r="Z211">
        <v>27.992645</v>
      </c>
      <c r="AA211">
        <v>28.954986999999999</v>
      </c>
      <c r="AB211">
        <v>29.894506</v>
      </c>
      <c r="AC211">
        <v>30.824987</v>
      </c>
      <c r="AD211">
        <v>31.741364000000001</v>
      </c>
      <c r="AE211">
        <v>32.606749999999998</v>
      </c>
      <c r="AF211">
        <v>33.457549999999998</v>
      </c>
      <c r="AG211" s="9">
        <v>4.9000000000000002E-2</v>
      </c>
    </row>
    <row r="212" spans="1:33">
      <c r="A212" t="s">
        <v>211</v>
      </c>
      <c r="B212" t="s">
        <v>759</v>
      </c>
      <c r="C212" t="s">
        <v>758</v>
      </c>
      <c r="D212" t="s">
        <v>192</v>
      </c>
      <c r="F212">
        <v>19.237549000000001</v>
      </c>
      <c r="G212">
        <v>39.058655000000002</v>
      </c>
      <c r="H212">
        <v>46.503815000000003</v>
      </c>
      <c r="I212">
        <v>46.313751000000003</v>
      </c>
      <c r="J212">
        <v>47.233184999999999</v>
      </c>
      <c r="K212">
        <v>48.284607000000001</v>
      </c>
      <c r="L212">
        <v>49.106506000000003</v>
      </c>
      <c r="M212">
        <v>50.464354999999998</v>
      </c>
      <c r="N212">
        <v>51.616089000000002</v>
      </c>
      <c r="O212">
        <v>52.805359000000003</v>
      </c>
      <c r="P212">
        <v>54.107056</v>
      </c>
      <c r="Q212">
        <v>55.474670000000003</v>
      </c>
      <c r="R212">
        <v>56.933166999999997</v>
      </c>
      <c r="S212">
        <v>58.866942999999999</v>
      </c>
      <c r="T212">
        <v>60.434265000000003</v>
      </c>
      <c r="U212">
        <v>61.984985000000002</v>
      </c>
      <c r="V212">
        <v>63.581237999999999</v>
      </c>
      <c r="W212">
        <v>65.298705999999996</v>
      </c>
      <c r="X212">
        <v>67.095519999999993</v>
      </c>
      <c r="Y212">
        <v>69.006957999999997</v>
      </c>
      <c r="Z212">
        <v>71.044312000000005</v>
      </c>
      <c r="AA212">
        <v>73.191772</v>
      </c>
      <c r="AB212">
        <v>75.451294000000004</v>
      </c>
      <c r="AC212">
        <v>77.824462999999994</v>
      </c>
      <c r="AD212">
        <v>80.309691999999998</v>
      </c>
      <c r="AE212">
        <v>82.899413999999993</v>
      </c>
      <c r="AF212">
        <v>85.602660999999998</v>
      </c>
      <c r="AG212" s="9">
        <v>5.8999999999999997E-2</v>
      </c>
    </row>
    <row r="213" spans="1:33">
      <c r="A213" t="s">
        <v>342</v>
      </c>
      <c r="B213" t="s">
        <v>757</v>
      </c>
      <c r="C213" t="s">
        <v>756</v>
      </c>
      <c r="D213" t="s">
        <v>192</v>
      </c>
      <c r="F213">
        <v>32.956401999999997</v>
      </c>
      <c r="G213">
        <v>26.036166999999999</v>
      </c>
      <c r="H213">
        <v>24.454052000000001</v>
      </c>
      <c r="I213">
        <v>28.901641999999999</v>
      </c>
      <c r="J213">
        <v>31.115359999999999</v>
      </c>
      <c r="K213">
        <v>31.743117999999999</v>
      </c>
      <c r="L213">
        <v>31.901575000000001</v>
      </c>
      <c r="M213">
        <v>32.629249999999999</v>
      </c>
      <c r="N213">
        <v>33.38599</v>
      </c>
      <c r="O213">
        <v>34.166801</v>
      </c>
      <c r="P213">
        <v>34.920772999999997</v>
      </c>
      <c r="Q213">
        <v>35.632454000000003</v>
      </c>
      <c r="R213">
        <v>36.298442999999999</v>
      </c>
      <c r="S213">
        <v>36.916649</v>
      </c>
      <c r="T213">
        <v>37.631805</v>
      </c>
      <c r="U213">
        <v>38.191642999999999</v>
      </c>
      <c r="V213">
        <v>38.556457999999999</v>
      </c>
      <c r="W213">
        <v>38.849711999999997</v>
      </c>
      <c r="X213">
        <v>39.151932000000002</v>
      </c>
      <c r="Y213">
        <v>39.353316999999997</v>
      </c>
      <c r="Z213">
        <v>39.4771</v>
      </c>
      <c r="AA213">
        <v>39.552235000000003</v>
      </c>
      <c r="AB213">
        <v>39.590789999999998</v>
      </c>
      <c r="AC213">
        <v>39.596611000000003</v>
      </c>
      <c r="AD213">
        <v>39.579475000000002</v>
      </c>
      <c r="AE213">
        <v>39.543114000000003</v>
      </c>
      <c r="AF213">
        <v>39.483184999999999</v>
      </c>
      <c r="AG213" s="9">
        <v>7.0000000000000001E-3</v>
      </c>
    </row>
    <row r="214" spans="1:33">
      <c r="A214" t="s">
        <v>209</v>
      </c>
      <c r="B214" t="s">
        <v>755</v>
      </c>
      <c r="C214" t="s">
        <v>754</v>
      </c>
      <c r="D214" t="s">
        <v>192</v>
      </c>
      <c r="F214">
        <v>20.001080000000002</v>
      </c>
      <c r="G214">
        <v>14.576172</v>
      </c>
      <c r="H214">
        <v>13.739197000000001</v>
      </c>
      <c r="I214">
        <v>16.731566999999998</v>
      </c>
      <c r="J214">
        <v>18.157115999999998</v>
      </c>
      <c r="K214">
        <v>18.578281</v>
      </c>
      <c r="L214">
        <v>18.743894999999998</v>
      </c>
      <c r="M214">
        <v>19.247568000000001</v>
      </c>
      <c r="N214">
        <v>19.765395999999999</v>
      </c>
      <c r="O214">
        <v>20.305696000000001</v>
      </c>
      <c r="P214">
        <v>20.828018</v>
      </c>
      <c r="Q214">
        <v>21.318390000000001</v>
      </c>
      <c r="R214">
        <v>21.77298</v>
      </c>
      <c r="S214">
        <v>22.18927</v>
      </c>
      <c r="T214">
        <v>22.557831</v>
      </c>
      <c r="U214">
        <v>22.871863999999999</v>
      </c>
      <c r="V214">
        <v>23.120697</v>
      </c>
      <c r="W214">
        <v>23.306975999999999</v>
      </c>
      <c r="X214">
        <v>23.508789</v>
      </c>
      <c r="Y214">
        <v>23.632415999999999</v>
      </c>
      <c r="Z214">
        <v>23.690735</v>
      </c>
      <c r="AA214">
        <v>23.708801000000001</v>
      </c>
      <c r="AB214">
        <v>23.694396999999999</v>
      </c>
      <c r="AC214">
        <v>23.663605</v>
      </c>
      <c r="AD214">
        <v>23.618195</v>
      </c>
      <c r="AE214">
        <v>23.563231999999999</v>
      </c>
      <c r="AF214">
        <v>23.496825999999999</v>
      </c>
      <c r="AG214" s="9">
        <v>6.0000000000000001E-3</v>
      </c>
    </row>
    <row r="215" spans="1:33">
      <c r="A215" t="s">
        <v>210</v>
      </c>
      <c r="B215" t="s">
        <v>753</v>
      </c>
      <c r="C215" t="s">
        <v>752</v>
      </c>
      <c r="D215" t="s">
        <v>192</v>
      </c>
      <c r="F215">
        <v>1.8612820000000001</v>
      </c>
      <c r="G215">
        <v>2.0910839999999999</v>
      </c>
      <c r="H215">
        <v>1.8595539999999999</v>
      </c>
      <c r="I215">
        <v>2.285263</v>
      </c>
      <c r="J215">
        <v>2.5070420000000002</v>
      </c>
      <c r="K215">
        <v>2.5586660000000001</v>
      </c>
      <c r="L215">
        <v>2.5544850000000001</v>
      </c>
      <c r="M215">
        <v>2.6130789999999999</v>
      </c>
      <c r="N215">
        <v>2.6768230000000002</v>
      </c>
      <c r="O215">
        <v>2.7421760000000002</v>
      </c>
      <c r="P215">
        <v>2.806454</v>
      </c>
      <c r="Q215">
        <v>2.8697430000000002</v>
      </c>
      <c r="R215">
        <v>2.932766</v>
      </c>
      <c r="S215">
        <v>2.9957199999999999</v>
      </c>
      <c r="T215">
        <v>3.2157290000000001</v>
      </c>
      <c r="U215">
        <v>3.3497469999999998</v>
      </c>
      <c r="V215">
        <v>3.3808419999999999</v>
      </c>
      <c r="W215">
        <v>3.4131140000000002</v>
      </c>
      <c r="X215">
        <v>3.4550779999999999</v>
      </c>
      <c r="Y215">
        <v>3.4896699999999998</v>
      </c>
      <c r="Z215">
        <v>3.526402</v>
      </c>
      <c r="AA215">
        <v>3.5688059999999999</v>
      </c>
      <c r="AB215">
        <v>3.617874</v>
      </c>
      <c r="AC215">
        <v>3.6607280000000002</v>
      </c>
      <c r="AD215">
        <v>3.7028270000000001</v>
      </c>
      <c r="AE215">
        <v>3.741295</v>
      </c>
      <c r="AF215">
        <v>3.7710880000000002</v>
      </c>
      <c r="AG215" s="9">
        <v>2.8000000000000001E-2</v>
      </c>
    </row>
    <row r="216" spans="1:33">
      <c r="A216" t="s">
        <v>211</v>
      </c>
      <c r="B216" t="s">
        <v>751</v>
      </c>
      <c r="C216" t="s">
        <v>750</v>
      </c>
      <c r="D216" t="s">
        <v>192</v>
      </c>
      <c r="F216">
        <v>11.09404</v>
      </c>
      <c r="G216">
        <v>9.3689119999999999</v>
      </c>
      <c r="H216">
        <v>8.8553010000000008</v>
      </c>
      <c r="I216">
        <v>9.8848109999999991</v>
      </c>
      <c r="J216">
        <v>10.451202</v>
      </c>
      <c r="K216">
        <v>10.606171</v>
      </c>
      <c r="L216">
        <v>10.603194999999999</v>
      </c>
      <c r="M216">
        <v>10.768599999999999</v>
      </c>
      <c r="N216">
        <v>10.943771</v>
      </c>
      <c r="O216">
        <v>11.118926999999999</v>
      </c>
      <c r="P216">
        <v>11.286301</v>
      </c>
      <c r="Q216">
        <v>11.444321</v>
      </c>
      <c r="R216">
        <v>11.592696999999999</v>
      </c>
      <c r="S216">
        <v>11.731659000000001</v>
      </c>
      <c r="T216">
        <v>11.858245999999999</v>
      </c>
      <c r="U216">
        <v>11.970032</v>
      </c>
      <c r="V216">
        <v>12.054916</v>
      </c>
      <c r="W216">
        <v>12.129623</v>
      </c>
      <c r="X216">
        <v>12.188065</v>
      </c>
      <c r="Y216">
        <v>12.231232</v>
      </c>
      <c r="Z216">
        <v>12.259964</v>
      </c>
      <c r="AA216">
        <v>12.274628</v>
      </c>
      <c r="AB216">
        <v>12.278518999999999</v>
      </c>
      <c r="AC216">
        <v>12.272278</v>
      </c>
      <c r="AD216">
        <v>12.258452999999999</v>
      </c>
      <c r="AE216">
        <v>12.238586</v>
      </c>
      <c r="AF216">
        <v>12.215271</v>
      </c>
      <c r="AG216" s="9">
        <v>4.0000000000000001E-3</v>
      </c>
    </row>
    <row r="217" spans="1:33">
      <c r="A217" t="s">
        <v>683</v>
      </c>
      <c r="B217" t="s">
        <v>749</v>
      </c>
      <c r="C217" t="s">
        <v>748</v>
      </c>
      <c r="D217" t="s">
        <v>192</v>
      </c>
      <c r="F217">
        <v>34.141190000000002</v>
      </c>
      <c r="G217">
        <v>59.041176</v>
      </c>
      <c r="H217">
        <v>61.291893000000002</v>
      </c>
      <c r="I217">
        <v>62.006638000000002</v>
      </c>
      <c r="J217">
        <v>62.645843999999997</v>
      </c>
      <c r="K217">
        <v>64.846717999999996</v>
      </c>
      <c r="L217">
        <v>65.727951000000004</v>
      </c>
      <c r="M217">
        <v>69.115532000000002</v>
      </c>
      <c r="N217">
        <v>70.739067000000006</v>
      </c>
      <c r="O217">
        <v>72.450835999999995</v>
      </c>
      <c r="P217">
        <v>74.224663000000007</v>
      </c>
      <c r="Q217">
        <v>75.996475000000004</v>
      </c>
      <c r="R217">
        <v>77.773787999999996</v>
      </c>
      <c r="S217">
        <v>79.683494999999994</v>
      </c>
      <c r="T217">
        <v>81.623565999999997</v>
      </c>
      <c r="U217">
        <v>83.565742</v>
      </c>
      <c r="V217">
        <v>85.466071999999997</v>
      </c>
      <c r="W217">
        <v>87.303566000000004</v>
      </c>
      <c r="X217">
        <v>89.127457000000007</v>
      </c>
      <c r="Y217">
        <v>90.935813999999993</v>
      </c>
      <c r="Z217">
        <v>92.743324000000001</v>
      </c>
      <c r="AA217">
        <v>94.540169000000006</v>
      </c>
      <c r="AB217">
        <v>96.326019000000002</v>
      </c>
      <c r="AC217">
        <v>98.083518999999995</v>
      </c>
      <c r="AD217">
        <v>99.863754</v>
      </c>
      <c r="AE217">
        <v>101.656342</v>
      </c>
      <c r="AF217">
        <v>103.526398</v>
      </c>
      <c r="AG217" s="9">
        <v>4.3999999999999997E-2</v>
      </c>
    </row>
    <row r="218" spans="1:33">
      <c r="A218" t="s">
        <v>209</v>
      </c>
      <c r="B218" t="s">
        <v>747</v>
      </c>
      <c r="C218" t="s">
        <v>746</v>
      </c>
      <c r="D218" t="s">
        <v>192</v>
      </c>
      <c r="F218">
        <v>21.934570000000001</v>
      </c>
      <c r="G218">
        <v>39.256897000000002</v>
      </c>
      <c r="H218">
        <v>40.729919000000002</v>
      </c>
      <c r="I218">
        <v>41.237183000000002</v>
      </c>
      <c r="J218">
        <v>41.728943000000001</v>
      </c>
      <c r="K218">
        <v>43.592896000000003</v>
      </c>
      <c r="L218">
        <v>44.410828000000002</v>
      </c>
      <c r="M218">
        <v>45.559325999999999</v>
      </c>
      <c r="N218">
        <v>46.810974000000002</v>
      </c>
      <c r="O218">
        <v>48.119812000000003</v>
      </c>
      <c r="P218">
        <v>49.464782999999997</v>
      </c>
      <c r="Q218">
        <v>50.811768000000001</v>
      </c>
      <c r="R218">
        <v>52.169128000000001</v>
      </c>
      <c r="S218">
        <v>53.594665999999997</v>
      </c>
      <c r="T218">
        <v>55.029907000000001</v>
      </c>
      <c r="U218">
        <v>56.465392999999999</v>
      </c>
      <c r="V218">
        <v>57.857177999999998</v>
      </c>
      <c r="W218">
        <v>59.218933</v>
      </c>
      <c r="X218">
        <v>60.569397000000002</v>
      </c>
      <c r="Y218">
        <v>61.916504000000003</v>
      </c>
      <c r="Z218">
        <v>63.252197000000002</v>
      </c>
      <c r="AA218">
        <v>64.589966000000004</v>
      </c>
      <c r="AB218">
        <v>65.927368000000001</v>
      </c>
      <c r="AC218">
        <v>67.259643999999994</v>
      </c>
      <c r="AD218">
        <v>68.594238000000004</v>
      </c>
      <c r="AE218">
        <v>69.942749000000006</v>
      </c>
      <c r="AF218">
        <v>71.325316999999998</v>
      </c>
      <c r="AG218" s="9">
        <v>4.5999999999999999E-2</v>
      </c>
    </row>
    <row r="219" spans="1:33">
      <c r="A219" t="s">
        <v>210</v>
      </c>
      <c r="B219" t="s">
        <v>745</v>
      </c>
      <c r="C219" t="s">
        <v>744</v>
      </c>
      <c r="D219" t="s">
        <v>192</v>
      </c>
      <c r="F219">
        <v>1.6696470000000001</v>
      </c>
      <c r="G219">
        <v>5.4057690000000003</v>
      </c>
      <c r="H219">
        <v>5.6687849999999997</v>
      </c>
      <c r="I219">
        <v>5.8528440000000002</v>
      </c>
      <c r="J219">
        <v>6.0350650000000003</v>
      </c>
      <c r="K219">
        <v>6.2568739999999998</v>
      </c>
      <c r="L219">
        <v>6.3919680000000003</v>
      </c>
      <c r="M219">
        <v>7.7470780000000001</v>
      </c>
      <c r="N219">
        <v>7.9581359999999997</v>
      </c>
      <c r="O219">
        <v>8.2157850000000003</v>
      </c>
      <c r="P219">
        <v>8.5005579999999998</v>
      </c>
      <c r="Q219">
        <v>8.7857260000000004</v>
      </c>
      <c r="R219">
        <v>9.0588519999999999</v>
      </c>
      <c r="S219">
        <v>9.3475889999999993</v>
      </c>
      <c r="T219">
        <v>9.6443189999999994</v>
      </c>
      <c r="U219">
        <v>9.9295439999999999</v>
      </c>
      <c r="V219">
        <v>10.210947000000001</v>
      </c>
      <c r="W219">
        <v>10.448923000000001</v>
      </c>
      <c r="X219">
        <v>10.669568999999999</v>
      </c>
      <c r="Y219">
        <v>10.858727</v>
      </c>
      <c r="Z219">
        <v>11.045356999999999</v>
      </c>
      <c r="AA219">
        <v>11.204383</v>
      </c>
      <c r="AB219">
        <v>11.338653000000001</v>
      </c>
      <c r="AC219">
        <v>11.441091999999999</v>
      </c>
      <c r="AD219">
        <v>11.551468</v>
      </c>
      <c r="AE219">
        <v>11.643402</v>
      </c>
      <c r="AF219">
        <v>11.759155</v>
      </c>
      <c r="AG219" s="9">
        <v>7.8E-2</v>
      </c>
    </row>
    <row r="220" spans="1:33">
      <c r="A220" t="s">
        <v>211</v>
      </c>
      <c r="B220" t="s">
        <v>743</v>
      </c>
      <c r="C220" t="s">
        <v>742</v>
      </c>
      <c r="D220" t="s">
        <v>192</v>
      </c>
      <c r="F220">
        <v>10.536972</v>
      </c>
      <c r="G220">
        <v>14.37851</v>
      </c>
      <c r="H220">
        <v>14.893188</v>
      </c>
      <c r="I220">
        <v>14.916611</v>
      </c>
      <c r="J220">
        <v>14.881836</v>
      </c>
      <c r="K220">
        <v>14.996948</v>
      </c>
      <c r="L220">
        <v>14.925155999999999</v>
      </c>
      <c r="M220">
        <v>15.809127999999999</v>
      </c>
      <c r="N220">
        <v>15.969955000000001</v>
      </c>
      <c r="O220">
        <v>16.115234000000001</v>
      </c>
      <c r="P220">
        <v>16.259322999999998</v>
      </c>
      <c r="Q220">
        <v>16.398987000000002</v>
      </c>
      <c r="R220">
        <v>16.545807</v>
      </c>
      <c r="S220">
        <v>16.741240999999999</v>
      </c>
      <c r="T220">
        <v>16.949341</v>
      </c>
      <c r="U220">
        <v>17.170807</v>
      </c>
      <c r="V220">
        <v>17.397949000000001</v>
      </c>
      <c r="W220">
        <v>17.635712000000002</v>
      </c>
      <c r="X220">
        <v>17.888489</v>
      </c>
      <c r="Y220">
        <v>18.160582999999999</v>
      </c>
      <c r="Z220">
        <v>18.44577</v>
      </c>
      <c r="AA220">
        <v>18.745819000000001</v>
      </c>
      <c r="AB220">
        <v>19.059998</v>
      </c>
      <c r="AC220">
        <v>19.382781999999999</v>
      </c>
      <c r="AD220">
        <v>19.718048</v>
      </c>
      <c r="AE220">
        <v>20.07019</v>
      </c>
      <c r="AF220">
        <v>20.441925000000001</v>
      </c>
      <c r="AG220" s="9">
        <v>2.5999999999999999E-2</v>
      </c>
    </row>
    <row r="221" spans="1:33">
      <c r="A221" t="s">
        <v>345</v>
      </c>
      <c r="B221" t="s">
        <v>741</v>
      </c>
      <c r="C221" t="s">
        <v>740</v>
      </c>
      <c r="D221" t="s">
        <v>192</v>
      </c>
      <c r="F221">
        <v>989.89318800000001</v>
      </c>
      <c r="G221">
        <v>1128.788086</v>
      </c>
      <c r="H221">
        <v>1243.461914</v>
      </c>
      <c r="I221">
        <v>1247.5124510000001</v>
      </c>
      <c r="J221">
        <v>1266.652832</v>
      </c>
      <c r="K221">
        <v>1306.0860600000001</v>
      </c>
      <c r="L221">
        <v>1329.263672</v>
      </c>
      <c r="M221">
        <v>1358.3017580000001</v>
      </c>
      <c r="N221">
        <v>1412.267822</v>
      </c>
      <c r="O221">
        <v>1459.4470209999999</v>
      </c>
      <c r="P221">
        <v>1497.5539550000001</v>
      </c>
      <c r="Q221">
        <v>1546.7329099999999</v>
      </c>
      <c r="R221">
        <v>1586.2395019999999</v>
      </c>
      <c r="S221">
        <v>1630.8469239999999</v>
      </c>
      <c r="T221">
        <v>1679.8424070000001</v>
      </c>
      <c r="U221">
        <v>1726.319092</v>
      </c>
      <c r="V221">
        <v>1765.7045900000001</v>
      </c>
      <c r="W221">
        <v>1803.268311</v>
      </c>
      <c r="X221">
        <v>1851.695557</v>
      </c>
      <c r="Y221">
        <v>1887.402466</v>
      </c>
      <c r="Z221">
        <v>1916.8352050000001</v>
      </c>
      <c r="AA221">
        <v>1951.419067</v>
      </c>
      <c r="AB221">
        <v>1986.9913329999999</v>
      </c>
      <c r="AC221">
        <v>2041.988159</v>
      </c>
      <c r="AD221">
        <v>2088.155518</v>
      </c>
      <c r="AE221">
        <v>2122.6127929999998</v>
      </c>
      <c r="AF221">
        <v>2161.796875</v>
      </c>
      <c r="AG221" s="9">
        <v>0.03</v>
      </c>
    </row>
    <row r="222" spans="1:33">
      <c r="A222" t="s">
        <v>346</v>
      </c>
      <c r="B222" t="s">
        <v>739</v>
      </c>
      <c r="C222" t="s">
        <v>738</v>
      </c>
      <c r="D222" t="s">
        <v>192</v>
      </c>
      <c r="F222">
        <v>635.78125</v>
      </c>
      <c r="G222">
        <v>310.39596599999999</v>
      </c>
      <c r="H222">
        <v>378.60433999999998</v>
      </c>
      <c r="I222">
        <v>377.59082000000001</v>
      </c>
      <c r="J222">
        <v>379.14837599999998</v>
      </c>
      <c r="K222">
        <v>396.24044800000001</v>
      </c>
      <c r="L222">
        <v>402.01034499999997</v>
      </c>
      <c r="M222">
        <v>409.545593</v>
      </c>
      <c r="N222">
        <v>422.20803799999999</v>
      </c>
      <c r="O222">
        <v>433.93536399999999</v>
      </c>
      <c r="P222">
        <v>444.46279900000002</v>
      </c>
      <c r="Q222">
        <v>458.73336799999998</v>
      </c>
      <c r="R222">
        <v>472.375</v>
      </c>
      <c r="S222">
        <v>487.74142499999999</v>
      </c>
      <c r="T222">
        <v>505.32037400000002</v>
      </c>
      <c r="U222">
        <v>521.54974400000003</v>
      </c>
      <c r="V222">
        <v>538.88708499999996</v>
      </c>
      <c r="W222">
        <v>556.05749500000002</v>
      </c>
      <c r="X222">
        <v>576.46612500000003</v>
      </c>
      <c r="Y222">
        <v>592.82550000000003</v>
      </c>
      <c r="Z222">
        <v>607.26452600000005</v>
      </c>
      <c r="AA222">
        <v>622.99328600000001</v>
      </c>
      <c r="AB222">
        <v>638.14947500000005</v>
      </c>
      <c r="AC222">
        <v>657.70989999999995</v>
      </c>
      <c r="AD222">
        <v>675.17089799999997</v>
      </c>
      <c r="AE222">
        <v>689.88952600000005</v>
      </c>
      <c r="AF222">
        <v>705.47070299999996</v>
      </c>
      <c r="AG222" s="9">
        <v>4.0000000000000001E-3</v>
      </c>
    </row>
    <row r="223" spans="1:33">
      <c r="A223" t="s">
        <v>347</v>
      </c>
      <c r="B223" t="s">
        <v>737</v>
      </c>
      <c r="C223" t="s">
        <v>736</v>
      </c>
      <c r="D223" t="s">
        <v>192</v>
      </c>
      <c r="F223">
        <v>404.75006100000002</v>
      </c>
      <c r="G223">
        <v>382.358429</v>
      </c>
      <c r="H223">
        <v>404.56341600000002</v>
      </c>
      <c r="I223">
        <v>404.928833</v>
      </c>
      <c r="J223">
        <v>407.68743899999998</v>
      </c>
      <c r="K223">
        <v>417.55334499999998</v>
      </c>
      <c r="L223">
        <v>418.21014400000001</v>
      </c>
      <c r="M223">
        <v>422.26745599999998</v>
      </c>
      <c r="N223">
        <v>436.84155299999998</v>
      </c>
      <c r="O223">
        <v>449.37631199999998</v>
      </c>
      <c r="P223">
        <v>457.53460699999999</v>
      </c>
      <c r="Q223">
        <v>470.467285</v>
      </c>
      <c r="R223">
        <v>480.44882200000001</v>
      </c>
      <c r="S223">
        <v>492.69570900000002</v>
      </c>
      <c r="T223">
        <v>505.56866500000001</v>
      </c>
      <c r="U223">
        <v>515.56311000000005</v>
      </c>
      <c r="V223">
        <v>525.586365</v>
      </c>
      <c r="W223">
        <v>535.13000499999998</v>
      </c>
      <c r="X223">
        <v>549.80163600000003</v>
      </c>
      <c r="Y223">
        <v>559.58660899999995</v>
      </c>
      <c r="Z223">
        <v>567.20532200000002</v>
      </c>
      <c r="AA223">
        <v>577.46691899999996</v>
      </c>
      <c r="AB223">
        <v>587.92761199999995</v>
      </c>
      <c r="AC223">
        <v>606.94360400000005</v>
      </c>
      <c r="AD223">
        <v>622.23120100000006</v>
      </c>
      <c r="AE223">
        <v>632.24023399999999</v>
      </c>
      <c r="AF223">
        <v>644.29174799999998</v>
      </c>
      <c r="AG223" s="9">
        <v>1.7999999999999999E-2</v>
      </c>
    </row>
    <row r="224" spans="1:33">
      <c r="A224" t="s">
        <v>111</v>
      </c>
      <c r="B224" t="s">
        <v>735</v>
      </c>
      <c r="C224" t="s">
        <v>734</v>
      </c>
      <c r="D224" t="s">
        <v>192</v>
      </c>
      <c r="F224">
        <v>2030.424438</v>
      </c>
      <c r="G224">
        <v>1821.5426030000001</v>
      </c>
      <c r="H224">
        <v>2026.6295170000001</v>
      </c>
      <c r="I224">
        <v>2030.0322269999999</v>
      </c>
      <c r="J224">
        <v>2053.4882809999999</v>
      </c>
      <c r="K224">
        <v>2119.8803710000002</v>
      </c>
      <c r="L224">
        <v>2149.4838869999999</v>
      </c>
      <c r="M224">
        <v>2190.11499</v>
      </c>
      <c r="N224">
        <v>2271.3171390000002</v>
      </c>
      <c r="O224">
        <v>2342.7583009999998</v>
      </c>
      <c r="P224">
        <v>2399.5510250000002</v>
      </c>
      <c r="Q224">
        <v>2475.9333499999998</v>
      </c>
      <c r="R224">
        <v>2539.0634770000001</v>
      </c>
      <c r="S224">
        <v>2611.2836910000001</v>
      </c>
      <c r="T224">
        <v>2690.7314449999999</v>
      </c>
      <c r="U224">
        <v>2763.4323730000001</v>
      </c>
      <c r="V224">
        <v>2830.178711</v>
      </c>
      <c r="W224">
        <v>2894.4558109999998</v>
      </c>
      <c r="X224">
        <v>2977.9633789999998</v>
      </c>
      <c r="Y224">
        <v>3039.8142090000001</v>
      </c>
      <c r="Z224">
        <v>3091.3059079999998</v>
      </c>
      <c r="AA224">
        <v>3151.8793949999999</v>
      </c>
      <c r="AB224">
        <v>3213.0690920000002</v>
      </c>
      <c r="AC224">
        <v>3306.6416020000001</v>
      </c>
      <c r="AD224">
        <v>3385.5581050000001</v>
      </c>
      <c r="AE224">
        <v>3444.7416990000002</v>
      </c>
      <c r="AF224">
        <v>3511.5595699999999</v>
      </c>
      <c r="AG224" s="9">
        <v>2.1000000000000001E-2</v>
      </c>
    </row>
    <row r="225" spans="1:33">
      <c r="A225" t="s">
        <v>212</v>
      </c>
    </row>
    <row r="226" spans="1:33">
      <c r="A226" t="s">
        <v>213</v>
      </c>
    </row>
    <row r="227" spans="1:33">
      <c r="A227" t="s">
        <v>209</v>
      </c>
      <c r="B227" t="s">
        <v>733</v>
      </c>
      <c r="C227" t="s">
        <v>732</v>
      </c>
      <c r="D227" t="s">
        <v>223</v>
      </c>
      <c r="F227">
        <v>86.813323999999994</v>
      </c>
      <c r="G227">
        <v>87.472510999999997</v>
      </c>
      <c r="H227">
        <v>88.147002999999998</v>
      </c>
      <c r="I227">
        <v>88.854056999999997</v>
      </c>
      <c r="J227">
        <v>89.586692999999997</v>
      </c>
      <c r="K227">
        <v>90.334716999999998</v>
      </c>
      <c r="L227">
        <v>91.090691000000007</v>
      </c>
      <c r="M227">
        <v>91.853035000000006</v>
      </c>
      <c r="N227">
        <v>92.621421999999995</v>
      </c>
      <c r="O227">
        <v>93.395447000000004</v>
      </c>
      <c r="P227">
        <v>94.175376999999997</v>
      </c>
      <c r="Q227">
        <v>94.960808</v>
      </c>
      <c r="R227">
        <v>95.751221000000001</v>
      </c>
      <c r="S227">
        <v>96.547409000000002</v>
      </c>
      <c r="T227">
        <v>97.348785000000007</v>
      </c>
      <c r="U227">
        <v>98.155624000000003</v>
      </c>
      <c r="V227">
        <v>98.967590000000001</v>
      </c>
      <c r="W227">
        <v>99.784171999999998</v>
      </c>
      <c r="X227">
        <v>100.60524700000001</v>
      </c>
      <c r="Y227">
        <v>101.43147999999999</v>
      </c>
      <c r="Z227">
        <v>102.26335899999999</v>
      </c>
      <c r="AA227">
        <v>103.100677</v>
      </c>
      <c r="AB227">
        <v>103.94343600000001</v>
      </c>
      <c r="AC227">
        <v>104.790909</v>
      </c>
      <c r="AD227">
        <v>105.643585</v>
      </c>
      <c r="AE227">
        <v>106.501724</v>
      </c>
      <c r="AF227">
        <v>107.364891</v>
      </c>
      <c r="AG227" s="9">
        <v>8.0000000000000002E-3</v>
      </c>
    </row>
    <row r="228" spans="1:33">
      <c r="A228" t="s">
        <v>210</v>
      </c>
      <c r="B228" t="s">
        <v>731</v>
      </c>
      <c r="C228" t="s">
        <v>730</v>
      </c>
      <c r="D228" t="s">
        <v>223</v>
      </c>
      <c r="F228">
        <v>109.564651</v>
      </c>
      <c r="G228">
        <v>110.106865</v>
      </c>
      <c r="H228">
        <v>110.92031900000001</v>
      </c>
      <c r="I228">
        <v>111.764</v>
      </c>
      <c r="J228">
        <v>112.631927</v>
      </c>
      <c r="K228">
        <v>113.518158</v>
      </c>
      <c r="L228">
        <v>114.414749</v>
      </c>
      <c r="M228">
        <v>115.321617</v>
      </c>
      <c r="N228">
        <v>116.234444</v>
      </c>
      <c r="O228">
        <v>117.153931</v>
      </c>
      <c r="P228">
        <v>118.081596</v>
      </c>
      <c r="Q228">
        <v>119.015587</v>
      </c>
      <c r="R228">
        <v>119.956406</v>
      </c>
      <c r="S228">
        <v>120.90392300000001</v>
      </c>
      <c r="T228">
        <v>121.85755899999999</v>
      </c>
      <c r="U228">
        <v>122.818375</v>
      </c>
      <c r="V228">
        <v>123.786362</v>
      </c>
      <c r="W228">
        <v>124.761909</v>
      </c>
      <c r="X228">
        <v>125.743607</v>
      </c>
      <c r="Y228">
        <v>126.732979</v>
      </c>
      <c r="Z228">
        <v>127.73039199999999</v>
      </c>
      <c r="AA228">
        <v>128.735062</v>
      </c>
      <c r="AB228">
        <v>129.74719200000001</v>
      </c>
      <c r="AC228">
        <v>130.76473999999999</v>
      </c>
      <c r="AD228">
        <v>131.78872699999999</v>
      </c>
      <c r="AE228">
        <v>132.820526</v>
      </c>
      <c r="AF228">
        <v>133.859634</v>
      </c>
      <c r="AG228" s="9">
        <v>8.0000000000000002E-3</v>
      </c>
    </row>
    <row r="229" spans="1:33">
      <c r="A229" t="s">
        <v>211</v>
      </c>
      <c r="B229" t="s">
        <v>729</v>
      </c>
      <c r="C229" t="s">
        <v>728</v>
      </c>
      <c r="D229" t="s">
        <v>223</v>
      </c>
      <c r="F229">
        <v>56.717154999999998</v>
      </c>
      <c r="G229">
        <v>57.286265999999998</v>
      </c>
      <c r="H229">
        <v>57.803204000000001</v>
      </c>
      <c r="I229">
        <v>58.329791999999998</v>
      </c>
      <c r="J229">
        <v>58.876694000000001</v>
      </c>
      <c r="K229">
        <v>59.428897999999997</v>
      </c>
      <c r="L229">
        <v>59.990425000000002</v>
      </c>
      <c r="M229">
        <v>60.563065000000002</v>
      </c>
      <c r="N229">
        <v>61.135212000000003</v>
      </c>
      <c r="O229">
        <v>61.708534</v>
      </c>
      <c r="P229">
        <v>62.287376000000002</v>
      </c>
      <c r="Q229">
        <v>62.866298999999998</v>
      </c>
      <c r="R229">
        <v>63.446990999999997</v>
      </c>
      <c r="S229">
        <v>64.028892999999997</v>
      </c>
      <c r="T229">
        <v>64.611305000000002</v>
      </c>
      <c r="U229">
        <v>65.197411000000002</v>
      </c>
      <c r="V229">
        <v>65.786652000000004</v>
      </c>
      <c r="W229">
        <v>66.379669000000007</v>
      </c>
      <c r="X229">
        <v>66.971976999999995</v>
      </c>
      <c r="Y229">
        <v>67.568718000000004</v>
      </c>
      <c r="Z229">
        <v>68.172020000000003</v>
      </c>
      <c r="AA229">
        <v>68.779747</v>
      </c>
      <c r="AB229">
        <v>69.391486999999998</v>
      </c>
      <c r="AC229">
        <v>69.999465999999998</v>
      </c>
      <c r="AD229">
        <v>70.607628000000005</v>
      </c>
      <c r="AE229">
        <v>71.220978000000002</v>
      </c>
      <c r="AF229">
        <v>71.837661999999995</v>
      </c>
      <c r="AG229" s="9">
        <v>8.9999999999999993E-3</v>
      </c>
    </row>
    <row r="230" spans="1:33">
      <c r="A230" t="s">
        <v>214</v>
      </c>
      <c r="B230" t="s">
        <v>727</v>
      </c>
      <c r="C230" t="s">
        <v>726</v>
      </c>
      <c r="D230" t="s">
        <v>223</v>
      </c>
      <c r="F230">
        <v>93.093322999999998</v>
      </c>
      <c r="G230">
        <v>93.573386999999997</v>
      </c>
      <c r="H230">
        <v>94.286040999999997</v>
      </c>
      <c r="I230">
        <v>95.031470999999996</v>
      </c>
      <c r="J230">
        <v>95.802582000000001</v>
      </c>
      <c r="K230">
        <v>96.587104999999994</v>
      </c>
      <c r="L230">
        <v>97.381630000000001</v>
      </c>
      <c r="M230">
        <v>98.186217999999997</v>
      </c>
      <c r="N230">
        <v>98.994202000000001</v>
      </c>
      <c r="O230">
        <v>99.807013999999995</v>
      </c>
      <c r="P230">
        <v>100.627037</v>
      </c>
      <c r="Q230">
        <v>101.45137</v>
      </c>
      <c r="R230">
        <v>102.28190600000001</v>
      </c>
      <c r="S230">
        <v>103.117935</v>
      </c>
      <c r="T230">
        <v>103.95887</v>
      </c>
      <c r="U230">
        <v>104.806282</v>
      </c>
      <c r="V230">
        <v>105.6605</v>
      </c>
      <c r="W230">
        <v>106.521378</v>
      </c>
      <c r="X230">
        <v>107.38653600000001</v>
      </c>
      <c r="Y230">
        <v>108.25868199999999</v>
      </c>
      <c r="Z230">
        <v>109.138885</v>
      </c>
      <c r="AA230">
        <v>110.025887</v>
      </c>
      <c r="AB230">
        <v>110.91982299999999</v>
      </c>
      <c r="AC230">
        <v>111.81680299999999</v>
      </c>
      <c r="AD230">
        <v>112.719421</v>
      </c>
      <c r="AE230">
        <v>113.630379</v>
      </c>
      <c r="AF230">
        <v>114.548462</v>
      </c>
      <c r="AG230" s="9">
        <v>8.0000000000000002E-3</v>
      </c>
    </row>
    <row r="231" spans="1:33">
      <c r="A231" t="s">
        <v>215</v>
      </c>
    </row>
    <row r="232" spans="1:33">
      <c r="A232" t="s">
        <v>209</v>
      </c>
      <c r="B232" t="s">
        <v>725</v>
      </c>
      <c r="C232" t="s">
        <v>724</v>
      </c>
      <c r="D232" t="s">
        <v>223</v>
      </c>
      <c r="F232">
        <v>79.154808000000003</v>
      </c>
      <c r="G232">
        <v>79.771843000000004</v>
      </c>
      <c r="H232">
        <v>80.438293000000002</v>
      </c>
      <c r="I232">
        <v>81.112999000000002</v>
      </c>
      <c r="J232">
        <v>81.807982999999993</v>
      </c>
      <c r="K232">
        <v>82.490273000000002</v>
      </c>
      <c r="L232">
        <v>83.190674000000001</v>
      </c>
      <c r="M232">
        <v>83.891509999999997</v>
      </c>
      <c r="N232">
        <v>84.617844000000005</v>
      </c>
      <c r="O232">
        <v>85.351249999999993</v>
      </c>
      <c r="P232">
        <v>86.095093000000006</v>
      </c>
      <c r="Q232">
        <v>86.855057000000002</v>
      </c>
      <c r="R232">
        <v>87.620330999999993</v>
      </c>
      <c r="S232">
        <v>88.392882999999998</v>
      </c>
      <c r="T232">
        <v>89.173385999999994</v>
      </c>
      <c r="U232">
        <v>89.948334000000003</v>
      </c>
      <c r="V232">
        <v>90.728012000000007</v>
      </c>
      <c r="W232">
        <v>91.508797000000001</v>
      </c>
      <c r="X232">
        <v>92.295364000000006</v>
      </c>
      <c r="Y232">
        <v>93.080223000000004</v>
      </c>
      <c r="Z232">
        <v>93.865844999999993</v>
      </c>
      <c r="AA232">
        <v>94.651488999999998</v>
      </c>
      <c r="AB232">
        <v>95.432175000000001</v>
      </c>
      <c r="AC232">
        <v>96.219948000000002</v>
      </c>
      <c r="AD232">
        <v>97.005950999999996</v>
      </c>
      <c r="AE232">
        <v>97.78434</v>
      </c>
      <c r="AF232">
        <v>98.564209000000005</v>
      </c>
      <c r="AG232" s="9">
        <v>8.0000000000000002E-3</v>
      </c>
    </row>
    <row r="233" spans="1:33">
      <c r="A233" t="s">
        <v>210</v>
      </c>
      <c r="B233" t="s">
        <v>723</v>
      </c>
      <c r="C233" t="s">
        <v>722</v>
      </c>
      <c r="D233" t="s">
        <v>223</v>
      </c>
      <c r="F233">
        <v>100.587761</v>
      </c>
      <c r="G233">
        <v>101.02362100000001</v>
      </c>
      <c r="H233">
        <v>101.77909099999999</v>
      </c>
      <c r="I233">
        <v>102.517769</v>
      </c>
      <c r="J233">
        <v>103.25535600000001</v>
      </c>
      <c r="K233">
        <v>104.000435</v>
      </c>
      <c r="L233">
        <v>104.721962</v>
      </c>
      <c r="M233">
        <v>105.486679</v>
      </c>
      <c r="N233">
        <v>106.35189800000001</v>
      </c>
      <c r="O233">
        <v>107.231514</v>
      </c>
      <c r="P233">
        <v>108.079819</v>
      </c>
      <c r="Q233">
        <v>108.904701</v>
      </c>
      <c r="R233">
        <v>109.722588</v>
      </c>
      <c r="S233">
        <v>110.514717</v>
      </c>
      <c r="T233">
        <v>111.355476</v>
      </c>
      <c r="U233">
        <v>112.184769</v>
      </c>
      <c r="V233">
        <v>113.041389</v>
      </c>
      <c r="W233">
        <v>113.920868</v>
      </c>
      <c r="X233">
        <v>114.879181</v>
      </c>
      <c r="Y233">
        <v>115.82804899999999</v>
      </c>
      <c r="Z233">
        <v>116.770988</v>
      </c>
      <c r="AA233">
        <v>117.728554</v>
      </c>
      <c r="AB233">
        <v>118.704292</v>
      </c>
      <c r="AC233">
        <v>119.69663199999999</v>
      </c>
      <c r="AD233">
        <v>120.70504800000001</v>
      </c>
      <c r="AE233">
        <v>121.71122</v>
      </c>
      <c r="AF233">
        <v>122.70468099999999</v>
      </c>
      <c r="AG233" s="9">
        <v>8.0000000000000002E-3</v>
      </c>
    </row>
    <row r="234" spans="1:33">
      <c r="A234" t="s">
        <v>211</v>
      </c>
      <c r="B234" t="s">
        <v>721</v>
      </c>
      <c r="C234" t="s">
        <v>720</v>
      </c>
      <c r="D234" t="s">
        <v>223</v>
      </c>
      <c r="F234">
        <v>54.161754999999999</v>
      </c>
      <c r="G234">
        <v>54.555252000000003</v>
      </c>
      <c r="H234">
        <v>54.898482999999999</v>
      </c>
      <c r="I234">
        <v>55.251460999999999</v>
      </c>
      <c r="J234">
        <v>55.621966999999998</v>
      </c>
      <c r="K234">
        <v>55.991557999999998</v>
      </c>
      <c r="L234">
        <v>56.369307999999997</v>
      </c>
      <c r="M234">
        <v>56.760151</v>
      </c>
      <c r="N234">
        <v>57.197288999999998</v>
      </c>
      <c r="O234">
        <v>57.616149999999998</v>
      </c>
      <c r="P234">
        <v>58.040951</v>
      </c>
      <c r="Q234">
        <v>58.468879999999999</v>
      </c>
      <c r="R234">
        <v>58.898578999999998</v>
      </c>
      <c r="S234">
        <v>59.337757000000003</v>
      </c>
      <c r="T234">
        <v>59.783493</v>
      </c>
      <c r="U234">
        <v>60.228088</v>
      </c>
      <c r="V234">
        <v>60.680472999999999</v>
      </c>
      <c r="W234">
        <v>61.14217</v>
      </c>
      <c r="X234">
        <v>61.633167</v>
      </c>
      <c r="Y234">
        <v>62.113590000000002</v>
      </c>
      <c r="Z234">
        <v>62.600262000000001</v>
      </c>
      <c r="AA234">
        <v>63.093299999999999</v>
      </c>
      <c r="AB234">
        <v>63.591670999999998</v>
      </c>
      <c r="AC234">
        <v>64.088607999999994</v>
      </c>
      <c r="AD234">
        <v>64.588211000000001</v>
      </c>
      <c r="AE234">
        <v>65.090714000000006</v>
      </c>
      <c r="AF234">
        <v>65.599288999999999</v>
      </c>
      <c r="AG234" s="9">
        <v>7.0000000000000001E-3</v>
      </c>
    </row>
    <row r="235" spans="1:33">
      <c r="A235" t="s">
        <v>214</v>
      </c>
      <c r="B235" t="s">
        <v>719</v>
      </c>
      <c r="C235" t="s">
        <v>718</v>
      </c>
      <c r="D235" t="s">
        <v>223</v>
      </c>
      <c r="F235">
        <v>85.368492000000003</v>
      </c>
      <c r="G235">
        <v>85.782234000000003</v>
      </c>
      <c r="H235">
        <v>86.453063999999998</v>
      </c>
      <c r="I235">
        <v>87.127350000000007</v>
      </c>
      <c r="J235">
        <v>87.815926000000005</v>
      </c>
      <c r="K235">
        <v>88.497085999999996</v>
      </c>
      <c r="L235">
        <v>89.183655000000002</v>
      </c>
      <c r="M235">
        <v>89.886848000000001</v>
      </c>
      <c r="N235">
        <v>90.639893000000001</v>
      </c>
      <c r="O235">
        <v>91.399001999999996</v>
      </c>
      <c r="P235">
        <v>92.155806999999996</v>
      </c>
      <c r="Q235">
        <v>92.914574000000002</v>
      </c>
      <c r="R235">
        <v>93.675323000000006</v>
      </c>
      <c r="S235">
        <v>94.433295999999999</v>
      </c>
      <c r="T235">
        <v>95.211731</v>
      </c>
      <c r="U235">
        <v>95.983520999999996</v>
      </c>
      <c r="V235">
        <v>96.768569999999997</v>
      </c>
      <c r="W235">
        <v>97.563377000000003</v>
      </c>
      <c r="X235">
        <v>98.389313000000001</v>
      </c>
      <c r="Y235">
        <v>99.21096</v>
      </c>
      <c r="Z235">
        <v>100.03321099999999</v>
      </c>
      <c r="AA235">
        <v>100.86144299999999</v>
      </c>
      <c r="AB235">
        <v>101.69375599999999</v>
      </c>
      <c r="AC235">
        <v>102.534424</v>
      </c>
      <c r="AD235">
        <v>103.379761</v>
      </c>
      <c r="AE235">
        <v>104.22199999999999</v>
      </c>
      <c r="AF235">
        <v>105.063164</v>
      </c>
      <c r="AG235" s="9">
        <v>8.0000000000000002E-3</v>
      </c>
    </row>
    <row r="236" spans="1:33">
      <c r="A236" t="s">
        <v>109</v>
      </c>
    </row>
    <row r="237" spans="1:33">
      <c r="A237" t="s">
        <v>216</v>
      </c>
    </row>
    <row r="238" spans="1:33">
      <c r="A238" t="s">
        <v>203</v>
      </c>
      <c r="B238" t="s">
        <v>717</v>
      </c>
      <c r="C238" t="s">
        <v>716</v>
      </c>
      <c r="D238" t="s">
        <v>193</v>
      </c>
      <c r="F238">
        <v>3245.922607</v>
      </c>
      <c r="G238">
        <v>3239.6389159999999</v>
      </c>
      <c r="H238">
        <v>3266.3591310000002</v>
      </c>
      <c r="I238">
        <v>3301.492432</v>
      </c>
      <c r="J238">
        <v>3328.8823240000002</v>
      </c>
      <c r="K238">
        <v>3361.1733399999998</v>
      </c>
      <c r="L238">
        <v>3389.1999510000001</v>
      </c>
      <c r="M238">
        <v>3408.5810550000001</v>
      </c>
      <c r="N238">
        <v>3432.2368160000001</v>
      </c>
      <c r="O238">
        <v>3456.9389649999998</v>
      </c>
      <c r="P238">
        <v>3480.8808589999999</v>
      </c>
      <c r="Q238">
        <v>3511.6606449999999</v>
      </c>
      <c r="R238">
        <v>3545.1933589999999</v>
      </c>
      <c r="S238">
        <v>3584.7944339999999</v>
      </c>
      <c r="T238">
        <v>3627.2595209999999</v>
      </c>
      <c r="U238">
        <v>3670.78125</v>
      </c>
      <c r="V238">
        <v>3713.5908199999999</v>
      </c>
      <c r="W238">
        <v>3754.086182</v>
      </c>
      <c r="X238">
        <v>3799.3286130000001</v>
      </c>
      <c r="Y238">
        <v>3841.6186520000001</v>
      </c>
      <c r="Z238">
        <v>3878.8190920000002</v>
      </c>
      <c r="AA238">
        <v>3914.5507809999999</v>
      </c>
      <c r="AB238">
        <v>3947.8647460000002</v>
      </c>
      <c r="AC238">
        <v>3988.7727049999999</v>
      </c>
      <c r="AD238">
        <v>4032.7719729999999</v>
      </c>
      <c r="AE238">
        <v>4072.156982</v>
      </c>
      <c r="AF238">
        <v>4111.1528319999998</v>
      </c>
      <c r="AG238" s="9">
        <v>8.9999999999999993E-3</v>
      </c>
    </row>
    <row r="239" spans="1:33">
      <c r="A239" t="s">
        <v>204</v>
      </c>
      <c r="B239" t="s">
        <v>715</v>
      </c>
      <c r="C239" t="s">
        <v>714</v>
      </c>
      <c r="D239" t="s">
        <v>193</v>
      </c>
      <c r="F239">
        <v>301.93463100000002</v>
      </c>
      <c r="G239">
        <v>298.38326999999998</v>
      </c>
      <c r="H239">
        <v>299.271545</v>
      </c>
      <c r="I239">
        <v>301.51873799999998</v>
      </c>
      <c r="J239">
        <v>304.85089099999999</v>
      </c>
      <c r="K239">
        <v>308.55502300000001</v>
      </c>
      <c r="L239">
        <v>312.18029799999999</v>
      </c>
      <c r="M239">
        <v>315.649719</v>
      </c>
      <c r="N239">
        <v>319.09637500000002</v>
      </c>
      <c r="O239">
        <v>322.74539199999998</v>
      </c>
      <c r="P239">
        <v>326.61593599999998</v>
      </c>
      <c r="Q239">
        <v>330.41656499999999</v>
      </c>
      <c r="R239">
        <v>334.43652300000002</v>
      </c>
      <c r="S239">
        <v>338.42804000000001</v>
      </c>
      <c r="T239">
        <v>342.51989700000001</v>
      </c>
      <c r="U239">
        <v>346.55685399999999</v>
      </c>
      <c r="V239">
        <v>350.66433699999999</v>
      </c>
      <c r="W239">
        <v>354.769836</v>
      </c>
      <c r="X239">
        <v>358.72927900000002</v>
      </c>
      <c r="Y239">
        <v>362.77700800000002</v>
      </c>
      <c r="Z239">
        <v>366.86233499999997</v>
      </c>
      <c r="AA239">
        <v>370.94802900000002</v>
      </c>
      <c r="AB239">
        <v>375.197113</v>
      </c>
      <c r="AC239">
        <v>379.38452100000001</v>
      </c>
      <c r="AD239">
        <v>383.59240699999998</v>
      </c>
      <c r="AE239">
        <v>387.83801299999999</v>
      </c>
      <c r="AF239">
        <v>392.09158300000001</v>
      </c>
      <c r="AG239" s="9">
        <v>0.01</v>
      </c>
    </row>
    <row r="240" spans="1:33">
      <c r="A240" t="s">
        <v>713</v>
      </c>
      <c r="B240" t="s">
        <v>712</v>
      </c>
      <c r="C240" t="s">
        <v>711</v>
      </c>
      <c r="D240" t="s">
        <v>193</v>
      </c>
      <c r="F240">
        <v>200.25547800000001</v>
      </c>
      <c r="G240">
        <v>206.31205700000001</v>
      </c>
      <c r="H240">
        <v>213.24281300000001</v>
      </c>
      <c r="I240">
        <v>219.86404400000001</v>
      </c>
      <c r="J240">
        <v>226.42073099999999</v>
      </c>
      <c r="K240">
        <v>232.913467</v>
      </c>
      <c r="L240">
        <v>239.340912</v>
      </c>
      <c r="M240">
        <v>245.88914500000001</v>
      </c>
      <c r="N240">
        <v>252.29582199999999</v>
      </c>
      <c r="O240">
        <v>258.88757299999997</v>
      </c>
      <c r="P240">
        <v>265.49383499999999</v>
      </c>
      <c r="Q240">
        <v>272.09726000000001</v>
      </c>
      <c r="R240">
        <v>278.80023199999999</v>
      </c>
      <c r="S240">
        <v>285.50851399999999</v>
      </c>
      <c r="T240">
        <v>292.22985799999998</v>
      </c>
      <c r="U240">
        <v>299.04528800000003</v>
      </c>
      <c r="V240">
        <v>305.78128099999998</v>
      </c>
      <c r="W240">
        <v>312.38360599999999</v>
      </c>
      <c r="X240">
        <v>318.94003300000003</v>
      </c>
      <c r="Y240">
        <v>325.79489100000001</v>
      </c>
      <c r="Z240">
        <v>332.66461199999998</v>
      </c>
      <c r="AA240">
        <v>339.56817599999999</v>
      </c>
      <c r="AB240">
        <v>346.563446</v>
      </c>
      <c r="AC240">
        <v>353.472015</v>
      </c>
      <c r="AD240">
        <v>360.438873</v>
      </c>
      <c r="AE240">
        <v>367.55447400000003</v>
      </c>
      <c r="AF240">
        <v>374.74963400000001</v>
      </c>
      <c r="AG240" s="9">
        <v>2.4E-2</v>
      </c>
    </row>
    <row r="241" spans="1:33">
      <c r="A241" t="s">
        <v>710</v>
      </c>
      <c r="B241" t="s">
        <v>709</v>
      </c>
      <c r="C241" t="s">
        <v>708</v>
      </c>
      <c r="D241" t="s">
        <v>193</v>
      </c>
      <c r="F241">
        <v>3043.0048830000001</v>
      </c>
      <c r="G241">
        <v>3020.805664</v>
      </c>
      <c r="H241">
        <v>3057.405518</v>
      </c>
      <c r="I241">
        <v>3109.53125</v>
      </c>
      <c r="J241">
        <v>3161.561279</v>
      </c>
      <c r="K241">
        <v>3210.5981449999999</v>
      </c>
      <c r="L241">
        <v>3259.5766600000002</v>
      </c>
      <c r="M241">
        <v>3305.7126459999999</v>
      </c>
      <c r="N241">
        <v>3348.4140619999998</v>
      </c>
      <c r="O241">
        <v>3392.257568</v>
      </c>
      <c r="P241">
        <v>3434.8867190000001</v>
      </c>
      <c r="Q241">
        <v>3478.2294919999999</v>
      </c>
      <c r="R241">
        <v>3521.5908199999999</v>
      </c>
      <c r="S241">
        <v>3564.7382809999999</v>
      </c>
      <c r="T241">
        <v>3605.8786620000001</v>
      </c>
      <c r="U241">
        <v>3647.8090820000002</v>
      </c>
      <c r="V241">
        <v>3689.2788089999999</v>
      </c>
      <c r="W241">
        <v>3730.6933589999999</v>
      </c>
      <c r="X241">
        <v>3770.0378420000002</v>
      </c>
      <c r="Y241">
        <v>3811.586182</v>
      </c>
      <c r="Z241">
        <v>3852.8125</v>
      </c>
      <c r="AA241">
        <v>3893.5673830000001</v>
      </c>
      <c r="AB241">
        <v>3934.1342770000001</v>
      </c>
      <c r="AC241">
        <v>3974.3078609999998</v>
      </c>
      <c r="AD241">
        <v>4014.044922</v>
      </c>
      <c r="AE241">
        <v>4054.3715820000002</v>
      </c>
      <c r="AF241">
        <v>4094.8383789999998</v>
      </c>
      <c r="AG241" s="9">
        <v>1.0999999999999999E-2</v>
      </c>
    </row>
    <row r="242" spans="1:33">
      <c r="A242" t="s">
        <v>336</v>
      </c>
      <c r="B242" t="s">
        <v>707</v>
      </c>
      <c r="C242" t="s">
        <v>706</v>
      </c>
      <c r="D242" t="s">
        <v>193</v>
      </c>
      <c r="F242">
        <v>480.13494900000001</v>
      </c>
      <c r="G242">
        <v>456.26440400000001</v>
      </c>
      <c r="H242">
        <v>453.54144300000002</v>
      </c>
      <c r="I242">
        <v>454.43240400000002</v>
      </c>
      <c r="J242">
        <v>454.86541699999998</v>
      </c>
      <c r="K242">
        <v>454.86837800000001</v>
      </c>
      <c r="L242">
        <v>454.34204099999999</v>
      </c>
      <c r="M242">
        <v>453.21655299999998</v>
      </c>
      <c r="N242">
        <v>451.301849</v>
      </c>
      <c r="O242">
        <v>449.37066700000003</v>
      </c>
      <c r="P242">
        <v>447.239441</v>
      </c>
      <c r="Q242">
        <v>444.629211</v>
      </c>
      <c r="R242">
        <v>441.69595299999997</v>
      </c>
      <c r="S242">
        <v>438.49426299999999</v>
      </c>
      <c r="T242">
        <v>435.04016100000001</v>
      </c>
      <c r="U242">
        <v>431.479401</v>
      </c>
      <c r="V242">
        <v>427.79974399999998</v>
      </c>
      <c r="W242">
        <v>424.13861100000003</v>
      </c>
      <c r="X242">
        <v>419.77838100000002</v>
      </c>
      <c r="Y242">
        <v>415.70483400000001</v>
      </c>
      <c r="Z242">
        <v>411.95562699999999</v>
      </c>
      <c r="AA242">
        <v>408.33340500000003</v>
      </c>
      <c r="AB242">
        <v>404.91198700000001</v>
      </c>
      <c r="AC242">
        <v>401.60730000000001</v>
      </c>
      <c r="AD242">
        <v>398.39456200000001</v>
      </c>
      <c r="AE242">
        <v>395.29797400000001</v>
      </c>
      <c r="AF242">
        <v>392.39202899999998</v>
      </c>
      <c r="AG242" s="9">
        <v>-8.0000000000000002E-3</v>
      </c>
    </row>
    <row r="243" spans="1:33">
      <c r="A243" t="s">
        <v>337</v>
      </c>
      <c r="B243" t="s">
        <v>705</v>
      </c>
      <c r="C243" t="s">
        <v>704</v>
      </c>
      <c r="D243" t="s">
        <v>193</v>
      </c>
      <c r="F243">
        <v>382.79070999999999</v>
      </c>
      <c r="G243">
        <v>367.478973</v>
      </c>
      <c r="H243">
        <v>374.04580700000002</v>
      </c>
      <c r="I243">
        <v>382.21862800000002</v>
      </c>
      <c r="J243">
        <v>390.69689899999997</v>
      </c>
      <c r="K243">
        <v>399.03411899999998</v>
      </c>
      <c r="L243">
        <v>407.00344799999999</v>
      </c>
      <c r="M243">
        <v>415.03298999999998</v>
      </c>
      <c r="N243">
        <v>422.06829800000003</v>
      </c>
      <c r="O243">
        <v>429.66296399999999</v>
      </c>
      <c r="P243">
        <v>437.28402699999998</v>
      </c>
      <c r="Q243">
        <v>444.58117700000003</v>
      </c>
      <c r="R243">
        <v>451.76855499999999</v>
      </c>
      <c r="S243">
        <v>458.818939</v>
      </c>
      <c r="T243">
        <v>465.70883199999997</v>
      </c>
      <c r="U243">
        <v>472.61602800000003</v>
      </c>
      <c r="V243">
        <v>479.37429800000001</v>
      </c>
      <c r="W243">
        <v>486.20922899999999</v>
      </c>
      <c r="X243">
        <v>492.392426</v>
      </c>
      <c r="Y243">
        <v>499.10794099999998</v>
      </c>
      <c r="Z243">
        <v>505.92358400000001</v>
      </c>
      <c r="AA243">
        <v>512.34362799999997</v>
      </c>
      <c r="AB243">
        <v>518.73181199999999</v>
      </c>
      <c r="AC243">
        <v>525.14953600000001</v>
      </c>
      <c r="AD243">
        <v>531.59405500000003</v>
      </c>
      <c r="AE243">
        <v>538.12072799999999</v>
      </c>
      <c r="AF243">
        <v>544.63562000000002</v>
      </c>
      <c r="AG243" s="9">
        <v>1.4E-2</v>
      </c>
    </row>
    <row r="244" spans="1:33">
      <c r="A244" t="s">
        <v>338</v>
      </c>
      <c r="B244" t="s">
        <v>703</v>
      </c>
      <c r="C244" t="s">
        <v>702</v>
      </c>
      <c r="D244" t="s">
        <v>193</v>
      </c>
      <c r="F244">
        <v>300.27444500000001</v>
      </c>
      <c r="G244">
        <v>301.39428700000002</v>
      </c>
      <c r="H244">
        <v>311.22268700000001</v>
      </c>
      <c r="I244">
        <v>320.54577599999999</v>
      </c>
      <c r="J244">
        <v>329.50427200000001</v>
      </c>
      <c r="K244">
        <v>338.32525600000002</v>
      </c>
      <c r="L244">
        <v>347.14086900000001</v>
      </c>
      <c r="M244">
        <v>355.41204800000003</v>
      </c>
      <c r="N244">
        <v>362.48715199999998</v>
      </c>
      <c r="O244">
        <v>369.36651599999999</v>
      </c>
      <c r="P244">
        <v>376.03573599999999</v>
      </c>
      <c r="Q244">
        <v>382.38717700000001</v>
      </c>
      <c r="R244">
        <v>388.45660400000003</v>
      </c>
      <c r="S244">
        <v>394.05862400000001</v>
      </c>
      <c r="T244">
        <v>399.26763899999997</v>
      </c>
      <c r="U244">
        <v>403.894226</v>
      </c>
      <c r="V244">
        <v>408.55993699999999</v>
      </c>
      <c r="W244">
        <v>413.01812699999999</v>
      </c>
      <c r="X244">
        <v>417.22808800000001</v>
      </c>
      <c r="Y244">
        <v>420.56918300000001</v>
      </c>
      <c r="Z244">
        <v>423.33889799999997</v>
      </c>
      <c r="AA244">
        <v>424.89868200000001</v>
      </c>
      <c r="AB244">
        <v>425.86792000000003</v>
      </c>
      <c r="AC244">
        <v>426.08840900000001</v>
      </c>
      <c r="AD244">
        <v>426.33770800000002</v>
      </c>
      <c r="AE244">
        <v>426.611786</v>
      </c>
      <c r="AF244">
        <v>427.18164100000001</v>
      </c>
      <c r="AG244" s="9">
        <v>1.4E-2</v>
      </c>
    </row>
    <row r="245" spans="1:33">
      <c r="A245" t="s">
        <v>339</v>
      </c>
      <c r="B245" t="s">
        <v>701</v>
      </c>
      <c r="C245" t="s">
        <v>700</v>
      </c>
      <c r="D245" t="s">
        <v>193</v>
      </c>
      <c r="F245">
        <v>320.448395</v>
      </c>
      <c r="G245">
        <v>352.58590700000002</v>
      </c>
      <c r="H245">
        <v>385.32617199999999</v>
      </c>
      <c r="I245">
        <v>404.006775</v>
      </c>
      <c r="J245">
        <v>415.66113300000001</v>
      </c>
      <c r="K245">
        <v>419.37515300000001</v>
      </c>
      <c r="L245">
        <v>422.94793700000002</v>
      </c>
      <c r="M245">
        <v>426.56664999999998</v>
      </c>
      <c r="N245">
        <v>430.124146</v>
      </c>
      <c r="O245">
        <v>433.466095</v>
      </c>
      <c r="P245">
        <v>436.94744900000001</v>
      </c>
      <c r="Q245">
        <v>440.44592299999999</v>
      </c>
      <c r="R245">
        <v>443.85467499999999</v>
      </c>
      <c r="S245">
        <v>447.152649</v>
      </c>
      <c r="T245">
        <v>450.47842400000002</v>
      </c>
      <c r="U245">
        <v>453.73135400000001</v>
      </c>
      <c r="V245">
        <v>456.90475500000002</v>
      </c>
      <c r="W245">
        <v>460.536316</v>
      </c>
      <c r="X245">
        <v>464.31402600000001</v>
      </c>
      <c r="Y245">
        <v>467.895691</v>
      </c>
      <c r="Z245">
        <v>471.45575000000002</v>
      </c>
      <c r="AA245">
        <v>474.961884</v>
      </c>
      <c r="AB245">
        <v>478.59027099999997</v>
      </c>
      <c r="AC245">
        <v>482.36004600000001</v>
      </c>
      <c r="AD245">
        <v>486.05712899999997</v>
      </c>
      <c r="AE245">
        <v>489.58743299999998</v>
      </c>
      <c r="AF245">
        <v>493.038025</v>
      </c>
      <c r="AG245" s="9">
        <v>1.7000000000000001E-2</v>
      </c>
    </row>
    <row r="246" spans="1:33">
      <c r="A246" t="s">
        <v>699</v>
      </c>
      <c r="B246" t="s">
        <v>698</v>
      </c>
      <c r="C246" t="s">
        <v>697</v>
      </c>
      <c r="D246" t="s">
        <v>193</v>
      </c>
      <c r="F246">
        <v>91.721794000000003</v>
      </c>
      <c r="G246">
        <v>90.984200000000001</v>
      </c>
      <c r="H246">
        <v>91.279724000000002</v>
      </c>
      <c r="I246">
        <v>92.775475</v>
      </c>
      <c r="J246">
        <v>95.825744999999998</v>
      </c>
      <c r="K246">
        <v>97.860725000000002</v>
      </c>
      <c r="L246">
        <v>99.909362999999999</v>
      </c>
      <c r="M246">
        <v>101.938118</v>
      </c>
      <c r="N246">
        <v>103.935738</v>
      </c>
      <c r="O246">
        <v>106.085587</v>
      </c>
      <c r="P246">
        <v>108.32914700000001</v>
      </c>
      <c r="Q246">
        <v>110.633926</v>
      </c>
      <c r="R246">
        <v>113.053543</v>
      </c>
      <c r="S246">
        <v>115.512184</v>
      </c>
      <c r="T246">
        <v>118.030922</v>
      </c>
      <c r="U246">
        <v>120.61142</v>
      </c>
      <c r="V246">
        <v>123.227142</v>
      </c>
      <c r="W246">
        <v>125.853607</v>
      </c>
      <c r="X246">
        <v>128.47302199999999</v>
      </c>
      <c r="Y246">
        <v>131.21371500000001</v>
      </c>
      <c r="Z246">
        <v>134.027512</v>
      </c>
      <c r="AA246">
        <v>136.880707</v>
      </c>
      <c r="AB246">
        <v>139.771637</v>
      </c>
      <c r="AC246">
        <v>142.684631</v>
      </c>
      <c r="AD246">
        <v>145.63426200000001</v>
      </c>
      <c r="AE246">
        <v>148.630493</v>
      </c>
      <c r="AF246">
        <v>151.67013499999999</v>
      </c>
      <c r="AG246" s="9">
        <v>0.02</v>
      </c>
    </row>
    <row r="247" spans="1:33">
      <c r="A247" t="s">
        <v>206</v>
      </c>
      <c r="B247" t="s">
        <v>696</v>
      </c>
      <c r="C247" t="s">
        <v>695</v>
      </c>
      <c r="D247" t="s">
        <v>193</v>
      </c>
      <c r="F247">
        <v>1633.537476</v>
      </c>
      <c r="G247">
        <v>1653.295044</v>
      </c>
      <c r="H247">
        <v>1695.7026370000001</v>
      </c>
      <c r="I247">
        <v>1760.5928960000001</v>
      </c>
      <c r="J247">
        <v>1830.229004</v>
      </c>
      <c r="K247">
        <v>1902.3043210000001</v>
      </c>
      <c r="L247">
        <v>1976.2783199999999</v>
      </c>
      <c r="M247">
        <v>2051.4311520000001</v>
      </c>
      <c r="N247">
        <v>2127.6440429999998</v>
      </c>
      <c r="O247">
        <v>2203.2097170000002</v>
      </c>
      <c r="P247">
        <v>2280.1621089999999</v>
      </c>
      <c r="Q247">
        <v>2357.2368160000001</v>
      </c>
      <c r="R247">
        <v>2433.963135</v>
      </c>
      <c r="S247">
        <v>2510.7229000000002</v>
      </c>
      <c r="T247">
        <v>2588.2177729999999</v>
      </c>
      <c r="U247">
        <v>2666.186768</v>
      </c>
      <c r="V247">
        <v>2744.304932</v>
      </c>
      <c r="W247">
        <v>2822.4135740000002</v>
      </c>
      <c r="X247">
        <v>2900.5979000000002</v>
      </c>
      <c r="Y247">
        <v>2978.2729490000002</v>
      </c>
      <c r="Z247">
        <v>3056.2229000000002</v>
      </c>
      <c r="AA247">
        <v>3133.7583009999998</v>
      </c>
      <c r="AB247">
        <v>3210.9577640000002</v>
      </c>
      <c r="AC247">
        <v>3287.7365719999998</v>
      </c>
      <c r="AD247">
        <v>3364.3264159999999</v>
      </c>
      <c r="AE247">
        <v>3440.7729490000002</v>
      </c>
      <c r="AF247">
        <v>3516.6428219999998</v>
      </c>
      <c r="AG247" s="9">
        <v>0.03</v>
      </c>
    </row>
    <row r="248" spans="1:33">
      <c r="A248" t="s">
        <v>340</v>
      </c>
      <c r="B248" t="s">
        <v>694</v>
      </c>
      <c r="C248" t="s">
        <v>693</v>
      </c>
      <c r="D248" t="s">
        <v>193</v>
      </c>
      <c r="F248">
        <v>382.85974099999999</v>
      </c>
      <c r="G248">
        <v>394.98318499999999</v>
      </c>
      <c r="H248">
        <v>419.40997299999998</v>
      </c>
      <c r="I248">
        <v>448.65982100000002</v>
      </c>
      <c r="J248">
        <v>479.18173200000001</v>
      </c>
      <c r="K248">
        <v>510.86270100000002</v>
      </c>
      <c r="L248">
        <v>543.667419</v>
      </c>
      <c r="M248">
        <v>577.29711899999995</v>
      </c>
      <c r="N248">
        <v>611.03546100000005</v>
      </c>
      <c r="O248">
        <v>645.30810499999995</v>
      </c>
      <c r="P248">
        <v>679.72686799999997</v>
      </c>
      <c r="Q248">
        <v>714.11108400000001</v>
      </c>
      <c r="R248">
        <v>748.05841099999998</v>
      </c>
      <c r="S248">
        <v>781.97875999999997</v>
      </c>
      <c r="T248">
        <v>815.683716</v>
      </c>
      <c r="U248">
        <v>849.30200200000002</v>
      </c>
      <c r="V248">
        <v>883.08673099999999</v>
      </c>
      <c r="W248">
        <v>916.71710199999995</v>
      </c>
      <c r="X248">
        <v>950.02655000000004</v>
      </c>
      <c r="Y248">
        <v>983.30926499999998</v>
      </c>
      <c r="Z248">
        <v>1016.475647</v>
      </c>
      <c r="AA248">
        <v>1049.877686</v>
      </c>
      <c r="AB248">
        <v>1082.8088379999999</v>
      </c>
      <c r="AC248">
        <v>1115.4536129999999</v>
      </c>
      <c r="AD248">
        <v>1147.739014</v>
      </c>
      <c r="AE248">
        <v>1180.0836179999999</v>
      </c>
      <c r="AF248">
        <v>1212.037476</v>
      </c>
      <c r="AG248" s="9">
        <v>4.4999999999999998E-2</v>
      </c>
    </row>
    <row r="249" spans="1:33">
      <c r="A249" t="s">
        <v>692</v>
      </c>
      <c r="B249" t="s">
        <v>691</v>
      </c>
      <c r="C249" t="s">
        <v>690</v>
      </c>
      <c r="D249" t="s">
        <v>193</v>
      </c>
      <c r="F249">
        <v>1534.7301030000001</v>
      </c>
      <c r="G249">
        <v>1582.5083010000001</v>
      </c>
      <c r="H249">
        <v>1624.4848629999999</v>
      </c>
      <c r="I249">
        <v>1677.3763429999999</v>
      </c>
      <c r="J249">
        <v>1732.169189</v>
      </c>
      <c r="K249">
        <v>1787.8283690000001</v>
      </c>
      <c r="L249">
        <v>1843.147095</v>
      </c>
      <c r="M249">
        <v>1898.805908</v>
      </c>
      <c r="N249">
        <v>1954.644775</v>
      </c>
      <c r="O249">
        <v>2008.8138429999999</v>
      </c>
      <c r="P249">
        <v>2063.8891600000002</v>
      </c>
      <c r="Q249">
        <v>2118.9765619999998</v>
      </c>
      <c r="R249">
        <v>2173.6796880000002</v>
      </c>
      <c r="S249">
        <v>2228.0683589999999</v>
      </c>
      <c r="T249">
        <v>2282.3820799999999</v>
      </c>
      <c r="U249">
        <v>2337.336182</v>
      </c>
      <c r="V249">
        <v>2392.6115719999998</v>
      </c>
      <c r="W249">
        <v>2448.124268</v>
      </c>
      <c r="X249">
        <v>2503.8808589999999</v>
      </c>
      <c r="Y249">
        <v>2559.142578</v>
      </c>
      <c r="Z249">
        <v>2615.7634280000002</v>
      </c>
      <c r="AA249">
        <v>2672.7446289999998</v>
      </c>
      <c r="AB249">
        <v>2730.2973630000001</v>
      </c>
      <c r="AC249">
        <v>2787.7775879999999</v>
      </c>
      <c r="AD249">
        <v>2845.5749510000001</v>
      </c>
      <c r="AE249">
        <v>2904.2067870000001</v>
      </c>
      <c r="AF249">
        <v>2963.5561520000001</v>
      </c>
      <c r="AG249" s="9">
        <v>2.5999999999999999E-2</v>
      </c>
    </row>
    <row r="250" spans="1:33">
      <c r="A250" t="s">
        <v>341</v>
      </c>
      <c r="B250" t="s">
        <v>689</v>
      </c>
      <c r="C250" t="s">
        <v>688</v>
      </c>
      <c r="D250" t="s">
        <v>193</v>
      </c>
      <c r="F250">
        <v>1017.885254</v>
      </c>
      <c r="G250">
        <v>1032.709595</v>
      </c>
      <c r="H250">
        <v>1055.0009769999999</v>
      </c>
      <c r="I250">
        <v>1077.7132570000001</v>
      </c>
      <c r="J250">
        <v>1101.622803</v>
      </c>
      <c r="K250">
        <v>1127.4716800000001</v>
      </c>
      <c r="L250">
        <v>1154.7635499999999</v>
      </c>
      <c r="M250">
        <v>1183.653687</v>
      </c>
      <c r="N250">
        <v>1213.192505</v>
      </c>
      <c r="O250">
        <v>1243.857178</v>
      </c>
      <c r="P250">
        <v>1275.3701169999999</v>
      </c>
      <c r="Q250">
        <v>1307.638672</v>
      </c>
      <c r="R250">
        <v>1340.851318</v>
      </c>
      <c r="S250">
        <v>1375.0958250000001</v>
      </c>
      <c r="T250">
        <v>1410.1007079999999</v>
      </c>
      <c r="U250">
        <v>1446.1094969999999</v>
      </c>
      <c r="V250">
        <v>1482.9975589999999</v>
      </c>
      <c r="W250">
        <v>1520.5760499999999</v>
      </c>
      <c r="X250">
        <v>1558.618164</v>
      </c>
      <c r="Y250">
        <v>1597.580078</v>
      </c>
      <c r="Z250">
        <v>1637.361328</v>
      </c>
      <c r="AA250">
        <v>1678.0042719999999</v>
      </c>
      <c r="AB250">
        <v>1719.5527340000001</v>
      </c>
      <c r="AC250">
        <v>1762.1561280000001</v>
      </c>
      <c r="AD250">
        <v>1805.8258060000001</v>
      </c>
      <c r="AE250">
        <v>1850.6820070000001</v>
      </c>
      <c r="AF250">
        <v>1896.6141359999999</v>
      </c>
      <c r="AG250" s="9">
        <v>2.4E-2</v>
      </c>
    </row>
    <row r="251" spans="1:33">
      <c r="A251" t="s">
        <v>205</v>
      </c>
      <c r="B251" t="s">
        <v>687</v>
      </c>
      <c r="C251" t="s">
        <v>686</v>
      </c>
      <c r="D251" t="s">
        <v>193</v>
      </c>
      <c r="F251">
        <v>433.23007200000001</v>
      </c>
      <c r="G251">
        <v>442.14627100000001</v>
      </c>
      <c r="H251">
        <v>456.05169699999999</v>
      </c>
      <c r="I251">
        <v>472.374908</v>
      </c>
      <c r="J251">
        <v>488.92956500000003</v>
      </c>
      <c r="K251">
        <v>505.752319</v>
      </c>
      <c r="L251">
        <v>523.21630900000002</v>
      </c>
      <c r="M251">
        <v>541.22247300000004</v>
      </c>
      <c r="N251">
        <v>558.83667000000003</v>
      </c>
      <c r="O251">
        <v>577.11657700000001</v>
      </c>
      <c r="P251">
        <v>595.59503199999995</v>
      </c>
      <c r="Q251">
        <v>614.35790999999995</v>
      </c>
      <c r="R251">
        <v>633.45105000000001</v>
      </c>
      <c r="S251">
        <v>653.12744099999998</v>
      </c>
      <c r="T251">
        <v>672.73345900000004</v>
      </c>
      <c r="U251">
        <v>692.59851100000003</v>
      </c>
      <c r="V251">
        <v>712.77124000000003</v>
      </c>
      <c r="W251">
        <v>733.64538600000003</v>
      </c>
      <c r="X251">
        <v>754.20343000000003</v>
      </c>
      <c r="Y251">
        <v>775.41803000000004</v>
      </c>
      <c r="Z251">
        <v>796.45855700000004</v>
      </c>
      <c r="AA251">
        <v>817.77990699999998</v>
      </c>
      <c r="AB251">
        <v>839.61499000000003</v>
      </c>
      <c r="AC251">
        <v>861.89233400000001</v>
      </c>
      <c r="AD251">
        <v>884.27856399999996</v>
      </c>
      <c r="AE251">
        <v>906.96691899999996</v>
      </c>
      <c r="AF251">
        <v>929.97485400000005</v>
      </c>
      <c r="AG251" s="9">
        <v>0.03</v>
      </c>
    </row>
    <row r="252" spans="1:33">
      <c r="A252" t="s">
        <v>342</v>
      </c>
      <c r="B252" t="s">
        <v>685</v>
      </c>
      <c r="C252" t="s">
        <v>684</v>
      </c>
      <c r="D252" t="s">
        <v>193</v>
      </c>
      <c r="F252">
        <v>250.28619399999999</v>
      </c>
      <c r="G252">
        <v>246.748535</v>
      </c>
      <c r="H252">
        <v>250.055679</v>
      </c>
      <c r="I252">
        <v>253.68109100000001</v>
      </c>
      <c r="J252">
        <v>257.71285999999998</v>
      </c>
      <c r="K252">
        <v>261.70233200000001</v>
      </c>
      <c r="L252">
        <v>265.49908399999998</v>
      </c>
      <c r="M252">
        <v>268.90325899999999</v>
      </c>
      <c r="N252">
        <v>271.91006499999997</v>
      </c>
      <c r="O252">
        <v>275.108093</v>
      </c>
      <c r="P252">
        <v>278.13034099999999</v>
      </c>
      <c r="Q252">
        <v>280.99514799999997</v>
      </c>
      <c r="R252">
        <v>283.61840799999999</v>
      </c>
      <c r="S252">
        <v>286.036224</v>
      </c>
      <c r="T252">
        <v>288.17871100000002</v>
      </c>
      <c r="U252">
        <v>290.283051</v>
      </c>
      <c r="V252">
        <v>292.176422</v>
      </c>
      <c r="W252">
        <v>294.00067100000001</v>
      </c>
      <c r="X252">
        <v>295.25018299999999</v>
      </c>
      <c r="Y252">
        <v>296.62072799999999</v>
      </c>
      <c r="Z252">
        <v>297.88296500000001</v>
      </c>
      <c r="AA252">
        <v>299.08548000000002</v>
      </c>
      <c r="AB252">
        <v>299.976654</v>
      </c>
      <c r="AC252">
        <v>300.69168100000002</v>
      </c>
      <c r="AD252">
        <v>301.20129400000002</v>
      </c>
      <c r="AE252">
        <v>301.60485799999998</v>
      </c>
      <c r="AF252">
        <v>301.841431</v>
      </c>
      <c r="AG252" s="9">
        <v>7.0000000000000001E-3</v>
      </c>
    </row>
    <row r="253" spans="1:33">
      <c r="A253" t="s">
        <v>683</v>
      </c>
      <c r="B253" t="s">
        <v>682</v>
      </c>
      <c r="C253" t="s">
        <v>681</v>
      </c>
      <c r="D253" t="s">
        <v>193</v>
      </c>
      <c r="F253">
        <v>413.57473800000002</v>
      </c>
      <c r="G253">
        <v>412.119843</v>
      </c>
      <c r="H253">
        <v>420.148865</v>
      </c>
      <c r="I253">
        <v>430.77752700000002</v>
      </c>
      <c r="J253">
        <v>441.33071899999999</v>
      </c>
      <c r="K253">
        <v>451.65548699999999</v>
      </c>
      <c r="L253">
        <v>461.82101399999999</v>
      </c>
      <c r="M253">
        <v>471.43310500000001</v>
      </c>
      <c r="N253">
        <v>481.25732399999998</v>
      </c>
      <c r="O253">
        <v>491.61175500000002</v>
      </c>
      <c r="P253">
        <v>501.84027099999997</v>
      </c>
      <c r="Q253">
        <v>511.77435300000002</v>
      </c>
      <c r="R253">
        <v>521.77404799999999</v>
      </c>
      <c r="S253">
        <v>531.90332000000001</v>
      </c>
      <c r="T253">
        <v>541.90625</v>
      </c>
      <c r="U253">
        <v>552.23144500000001</v>
      </c>
      <c r="V253">
        <v>562.06292699999995</v>
      </c>
      <c r="W253">
        <v>571.939392</v>
      </c>
      <c r="X253">
        <v>581.38519299999996</v>
      </c>
      <c r="Y253">
        <v>591.56597899999997</v>
      </c>
      <c r="Z253">
        <v>601.65698199999997</v>
      </c>
      <c r="AA253">
        <v>611.80407700000001</v>
      </c>
      <c r="AB253">
        <v>621.759277</v>
      </c>
      <c r="AC253">
        <v>631.97729500000003</v>
      </c>
      <c r="AD253">
        <v>641.81866500000001</v>
      </c>
      <c r="AE253">
        <v>651.76568599999996</v>
      </c>
      <c r="AF253">
        <v>661.73315400000001</v>
      </c>
      <c r="AG253" s="9">
        <v>1.7999999999999999E-2</v>
      </c>
    </row>
    <row r="254" spans="1:33">
      <c r="A254" t="s">
        <v>111</v>
      </c>
      <c r="B254" t="s">
        <v>680</v>
      </c>
      <c r="C254" t="s">
        <v>679</v>
      </c>
      <c r="D254" t="s">
        <v>193</v>
      </c>
      <c r="F254">
        <v>14032.591796999999</v>
      </c>
      <c r="G254">
        <v>14098.357421999999</v>
      </c>
      <c r="H254">
        <v>14372.549805000001</v>
      </c>
      <c r="I254">
        <v>14707.560546999999</v>
      </c>
      <c r="J254">
        <v>15039.445312</v>
      </c>
      <c r="K254">
        <v>15370.28125</v>
      </c>
      <c r="L254">
        <v>15700.034180000001</v>
      </c>
      <c r="M254">
        <v>16020.746094</v>
      </c>
      <c r="N254">
        <v>16340.480469</v>
      </c>
      <c r="O254">
        <v>16663.804688</v>
      </c>
      <c r="P254">
        <v>16988.425781000002</v>
      </c>
      <c r="Q254">
        <v>17320.171875</v>
      </c>
      <c r="R254">
        <v>17654.246093999998</v>
      </c>
      <c r="S254">
        <v>17994.439452999999</v>
      </c>
      <c r="T254">
        <v>18335.617188</v>
      </c>
      <c r="U254">
        <v>18680.572265999999</v>
      </c>
      <c r="V254">
        <v>19025.193359000001</v>
      </c>
      <c r="W254">
        <v>19369.105468999998</v>
      </c>
      <c r="X254">
        <v>19713.183593999998</v>
      </c>
      <c r="Y254">
        <v>20058.177734000001</v>
      </c>
      <c r="Z254">
        <v>20399.681640999999</v>
      </c>
      <c r="AA254">
        <v>20739.107422000001</v>
      </c>
      <c r="AB254">
        <v>21076.601562</v>
      </c>
      <c r="AC254">
        <v>21421.511718999998</v>
      </c>
      <c r="AD254">
        <v>21769.630859000001</v>
      </c>
      <c r="AE254">
        <v>22116.25</v>
      </c>
      <c r="AF254">
        <v>22464.148438</v>
      </c>
      <c r="AG254" s="9">
        <v>1.7999999999999999E-2</v>
      </c>
    </row>
    <row r="255" spans="1:33">
      <c r="A255" t="s">
        <v>217</v>
      </c>
      <c r="B255" t="s">
        <v>676</v>
      </c>
      <c r="C255" t="s">
        <v>678</v>
      </c>
      <c r="D255" t="s">
        <v>677</v>
      </c>
      <c r="E255" t="s">
        <v>193</v>
      </c>
      <c r="F255">
        <v>22.401547999999998</v>
      </c>
      <c r="G255">
        <v>22.394031999999999</v>
      </c>
      <c r="H255">
        <v>22.387812</v>
      </c>
      <c r="I255">
        <v>22.382666</v>
      </c>
      <c r="J255">
        <v>22.378406999999999</v>
      </c>
      <c r="K255">
        <v>22.374884000000002</v>
      </c>
      <c r="L255">
        <v>22.371969</v>
      </c>
      <c r="M255">
        <v>22.369558000000001</v>
      </c>
      <c r="N255">
        <v>22.367563000000001</v>
      </c>
      <c r="O255">
        <v>22.365911000000001</v>
      </c>
      <c r="P255">
        <v>22.364546000000001</v>
      </c>
      <c r="Q255">
        <v>22.363416999999998</v>
      </c>
      <c r="R255">
        <v>22.362480000000001</v>
      </c>
      <c r="S255">
        <v>22.361708</v>
      </c>
      <c r="T255">
        <v>22.361066999999998</v>
      </c>
      <c r="U255">
        <v>22.360537999999998</v>
      </c>
      <c r="V255">
        <v>22.360099999999999</v>
      </c>
      <c r="W255">
        <v>22.359736999999999</v>
      </c>
      <c r="X255">
        <v>22.359438000000001</v>
      </c>
      <c r="Y255">
        <v>22.359190000000002</v>
      </c>
      <c r="Z255">
        <v>22.358984</v>
      </c>
      <c r="AA255">
        <v>22.358813999999999</v>
      </c>
      <c r="AB255">
        <v>22.358673</v>
      </c>
      <c r="AC255">
        <v>22.358557000000001</v>
      </c>
      <c r="AD255">
        <v>22.358460999999998</v>
      </c>
      <c r="AE255">
        <v>22.358381000000001</v>
      </c>
      <c r="AF255">
        <v>22.358315000000001</v>
      </c>
      <c r="AG255" s="9">
        <v>0</v>
      </c>
    </row>
    <row r="256" spans="1:33">
      <c r="A256" t="s">
        <v>218</v>
      </c>
      <c r="B256" t="s">
        <v>676</v>
      </c>
      <c r="C256" t="s">
        <v>675</v>
      </c>
      <c r="D256" t="s">
        <v>674</v>
      </c>
      <c r="E256" t="s">
        <v>193</v>
      </c>
      <c r="F256">
        <v>335.94638099999997</v>
      </c>
      <c r="G256">
        <v>339.76504499999999</v>
      </c>
      <c r="H256">
        <v>342.125092</v>
      </c>
      <c r="I256">
        <v>343.58023100000003</v>
      </c>
      <c r="J256">
        <v>344.23431399999998</v>
      </c>
      <c r="K256">
        <v>344.107056</v>
      </c>
      <c r="L256">
        <v>343.94381700000002</v>
      </c>
      <c r="M256">
        <v>344.29440299999999</v>
      </c>
      <c r="N256">
        <v>344.578217</v>
      </c>
      <c r="O256">
        <v>344.87469499999997</v>
      </c>
      <c r="P256">
        <v>345.11853000000002</v>
      </c>
      <c r="Q256">
        <v>345.30908199999999</v>
      </c>
      <c r="R256">
        <v>345.64752199999998</v>
      </c>
      <c r="S256">
        <v>346.09127799999999</v>
      </c>
      <c r="T256">
        <v>346.51937900000001</v>
      </c>
      <c r="U256">
        <v>346.93585200000001</v>
      </c>
      <c r="V256">
        <v>347.34112499999998</v>
      </c>
      <c r="W256">
        <v>347.736603</v>
      </c>
      <c r="X256">
        <v>348.12558000000001</v>
      </c>
      <c r="Y256">
        <v>348.51016199999998</v>
      </c>
      <c r="Z256">
        <v>348.89059400000002</v>
      </c>
      <c r="AA256">
        <v>349.26681500000001</v>
      </c>
      <c r="AB256">
        <v>349.64248700000002</v>
      </c>
      <c r="AC256">
        <v>350.01757800000001</v>
      </c>
      <c r="AD256">
        <v>350.39068600000002</v>
      </c>
      <c r="AE256">
        <v>350.76431300000002</v>
      </c>
      <c r="AF256">
        <v>351.13888500000002</v>
      </c>
      <c r="AG256" s="9">
        <v>2E-3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88501-9021-4E94-9889-FBB152FF3EB9}">
  <sheetPr>
    <tabColor theme="4" tint="0.39997558519241921"/>
  </sheetPr>
  <dimension ref="A1:AG309"/>
  <sheetViews>
    <sheetView workbookViewId="0"/>
  </sheetViews>
  <sheetFormatPr defaultRowHeight="14.25"/>
  <cols>
    <col min="1" max="1" width="25.265625" customWidth="1"/>
  </cols>
  <sheetData>
    <row r="1" spans="1:33">
      <c r="A1" t="s">
        <v>224</v>
      </c>
    </row>
    <row r="2" spans="1:33">
      <c r="A2" t="s">
        <v>1696</v>
      </c>
    </row>
    <row r="3" spans="1:33">
      <c r="A3" t="s">
        <v>1695</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144</v>
      </c>
    </row>
    <row r="7" spans="1:33">
      <c r="A7" t="s">
        <v>225</v>
      </c>
    </row>
    <row r="8" spans="1:33">
      <c r="A8" t="s">
        <v>162</v>
      </c>
    </row>
    <row r="9" spans="1:33">
      <c r="A9" t="s">
        <v>181</v>
      </c>
      <c r="B9" t="s">
        <v>1694</v>
      </c>
      <c r="C9" t="s">
        <v>1693</v>
      </c>
      <c r="D9" t="s">
        <v>194</v>
      </c>
      <c r="F9">
        <v>54.137805999999998</v>
      </c>
      <c r="G9">
        <v>54.071216999999997</v>
      </c>
      <c r="H9">
        <v>53.457313999999997</v>
      </c>
      <c r="I9">
        <v>52.647182000000001</v>
      </c>
      <c r="J9">
        <v>51.595882000000003</v>
      </c>
      <c r="K9">
        <v>50.530312000000002</v>
      </c>
      <c r="L9">
        <v>49.352173000000001</v>
      </c>
      <c r="M9">
        <v>47.958195000000003</v>
      </c>
      <c r="N9">
        <v>46.364254000000003</v>
      </c>
      <c r="O9">
        <v>44.630927999999997</v>
      </c>
      <c r="P9">
        <v>42.877257999999998</v>
      </c>
      <c r="Q9">
        <v>41.088706999999999</v>
      </c>
      <c r="R9">
        <v>39.341450000000002</v>
      </c>
      <c r="S9">
        <v>37.609543000000002</v>
      </c>
      <c r="T9">
        <v>35.849299999999999</v>
      </c>
      <c r="U9">
        <v>34.028595000000003</v>
      </c>
      <c r="V9">
        <v>32.296920999999998</v>
      </c>
      <c r="W9">
        <v>30.546603999999999</v>
      </c>
      <c r="X9">
        <v>28.828039</v>
      </c>
      <c r="Y9">
        <v>27.093805</v>
      </c>
      <c r="Z9">
        <v>25.4589</v>
      </c>
      <c r="AA9">
        <v>23.970109999999998</v>
      </c>
      <c r="AB9">
        <v>22.591919000000001</v>
      </c>
      <c r="AC9">
        <v>21.348120000000002</v>
      </c>
      <c r="AD9">
        <v>20.125426999999998</v>
      </c>
      <c r="AE9">
        <v>18.939999</v>
      </c>
      <c r="AF9">
        <v>17.824724</v>
      </c>
      <c r="AG9" s="9">
        <v>-4.2000000000000003E-2</v>
      </c>
    </row>
    <row r="10" spans="1:33">
      <c r="A10" t="s">
        <v>226</v>
      </c>
      <c r="B10" t="s">
        <v>1692</v>
      </c>
      <c r="C10" t="s">
        <v>1691</v>
      </c>
      <c r="D10" t="s">
        <v>194</v>
      </c>
      <c r="F10">
        <v>24.34918</v>
      </c>
      <c r="G10">
        <v>26.157592999999999</v>
      </c>
      <c r="H10">
        <v>27.731414999999998</v>
      </c>
      <c r="I10">
        <v>29.117968000000001</v>
      </c>
      <c r="J10">
        <v>30.147932000000001</v>
      </c>
      <c r="K10">
        <v>30.947813</v>
      </c>
      <c r="L10">
        <v>31.490299</v>
      </c>
      <c r="M10">
        <v>31.687159999999999</v>
      </c>
      <c r="N10">
        <v>31.595020000000002</v>
      </c>
      <c r="O10">
        <v>31.298421999999999</v>
      </c>
      <c r="P10">
        <v>30.888570999999999</v>
      </c>
      <c r="Q10">
        <v>30.361319000000002</v>
      </c>
      <c r="R10">
        <v>29.795849</v>
      </c>
      <c r="S10">
        <v>29.181716999999999</v>
      </c>
      <c r="T10">
        <v>28.457778999999999</v>
      </c>
      <c r="U10">
        <v>27.608362</v>
      </c>
      <c r="V10">
        <v>26.763168</v>
      </c>
      <c r="W10">
        <v>25.832671999999999</v>
      </c>
      <c r="X10">
        <v>24.834416999999998</v>
      </c>
      <c r="Y10">
        <v>23.746389000000001</v>
      </c>
      <c r="Z10">
        <v>22.699881000000001</v>
      </c>
      <c r="AA10">
        <v>21.744126999999999</v>
      </c>
      <c r="AB10">
        <v>20.840295999999999</v>
      </c>
      <c r="AC10">
        <v>20.011322</v>
      </c>
      <c r="AD10">
        <v>19.174472999999999</v>
      </c>
      <c r="AE10">
        <v>18.349557999999998</v>
      </c>
      <c r="AF10">
        <v>17.565284999999999</v>
      </c>
      <c r="AG10" s="9">
        <v>-1.2E-2</v>
      </c>
    </row>
    <row r="11" spans="1:33">
      <c r="A11" t="s">
        <v>184</v>
      </c>
      <c r="B11" t="s">
        <v>1690</v>
      </c>
      <c r="C11" t="s">
        <v>1689</v>
      </c>
      <c r="D11" t="s">
        <v>194</v>
      </c>
      <c r="F11">
        <v>7.2999999999999996E-4</v>
      </c>
      <c r="G11">
        <v>7.3099999999999999E-4</v>
      </c>
      <c r="H11">
        <v>7.3200000000000001E-4</v>
      </c>
      <c r="I11">
        <v>7.3499999999999998E-4</v>
      </c>
      <c r="J11">
        <v>7.4899999999999999E-4</v>
      </c>
      <c r="K11">
        <v>7.6800000000000002E-4</v>
      </c>
      <c r="L11">
        <v>7.8799999999999996E-4</v>
      </c>
      <c r="M11">
        <v>8.0999999999999996E-4</v>
      </c>
      <c r="N11">
        <v>8.3500000000000002E-4</v>
      </c>
      <c r="O11">
        <v>8.3000000000000001E-4</v>
      </c>
      <c r="P11">
        <v>8.1499999999999997E-4</v>
      </c>
      <c r="Q11">
        <v>8.1700000000000002E-4</v>
      </c>
      <c r="R11">
        <v>8.3000000000000001E-4</v>
      </c>
      <c r="S11">
        <v>8.4999999999999995E-4</v>
      </c>
      <c r="T11">
        <v>8.7500000000000002E-4</v>
      </c>
      <c r="U11">
        <v>9.0200000000000002E-4</v>
      </c>
      <c r="V11">
        <v>9.3000000000000005E-4</v>
      </c>
      <c r="W11">
        <v>9.5799999999999998E-4</v>
      </c>
      <c r="X11">
        <v>9.8299999999999993E-4</v>
      </c>
      <c r="Y11">
        <v>1.0070000000000001E-3</v>
      </c>
      <c r="Z11">
        <v>1.0280000000000001E-3</v>
      </c>
      <c r="AA11">
        <v>1.0510000000000001E-3</v>
      </c>
      <c r="AB11">
        <v>1.073E-3</v>
      </c>
      <c r="AC11">
        <v>1.0970000000000001E-3</v>
      </c>
      <c r="AD11">
        <v>1.119E-3</v>
      </c>
      <c r="AE11">
        <v>1.139E-3</v>
      </c>
      <c r="AF11">
        <v>1.158E-3</v>
      </c>
      <c r="AG11" s="9">
        <v>1.7999999999999999E-2</v>
      </c>
    </row>
    <row r="12" spans="1:33">
      <c r="A12" t="s">
        <v>187</v>
      </c>
      <c r="B12" t="s">
        <v>1688</v>
      </c>
      <c r="C12" t="s">
        <v>1687</v>
      </c>
      <c r="D12" t="s">
        <v>194</v>
      </c>
      <c r="F12">
        <v>7.9604999999999995E-2</v>
      </c>
      <c r="G12">
        <v>0.21027499999999999</v>
      </c>
      <c r="H12">
        <v>0.35547800000000002</v>
      </c>
      <c r="I12">
        <v>0.50833300000000003</v>
      </c>
      <c r="J12">
        <v>0.60356399999999999</v>
      </c>
      <c r="K12">
        <v>0.70265</v>
      </c>
      <c r="L12">
        <v>0.77752100000000002</v>
      </c>
      <c r="M12">
        <v>0.81933999999999996</v>
      </c>
      <c r="N12">
        <v>0.84735300000000002</v>
      </c>
      <c r="O12">
        <v>0.85540499999999997</v>
      </c>
      <c r="P12">
        <v>0.87202400000000002</v>
      </c>
      <c r="Q12">
        <v>0.90455399999999997</v>
      </c>
      <c r="R12">
        <v>0.94545400000000002</v>
      </c>
      <c r="S12">
        <v>0.99856599999999995</v>
      </c>
      <c r="T12">
        <v>1.076068</v>
      </c>
      <c r="U12">
        <v>1.161184</v>
      </c>
      <c r="V12">
        <v>1.2678579999999999</v>
      </c>
      <c r="W12">
        <v>1.4032100000000001</v>
      </c>
      <c r="X12">
        <v>1.557526</v>
      </c>
      <c r="Y12">
        <v>1.728326</v>
      </c>
      <c r="Z12">
        <v>1.898649</v>
      </c>
      <c r="AA12">
        <v>2.0823230000000001</v>
      </c>
      <c r="AB12">
        <v>2.2790659999999998</v>
      </c>
      <c r="AC12">
        <v>2.5033970000000001</v>
      </c>
      <c r="AD12">
        <v>2.7353589999999999</v>
      </c>
      <c r="AE12">
        <v>2.980953</v>
      </c>
      <c r="AF12">
        <v>3.2338290000000001</v>
      </c>
      <c r="AG12" s="9">
        <v>0.153</v>
      </c>
    </row>
    <row r="13" spans="1:33">
      <c r="A13" t="s">
        <v>227</v>
      </c>
      <c r="B13" t="s">
        <v>1686</v>
      </c>
      <c r="C13" t="s">
        <v>1685</v>
      </c>
      <c r="D13" t="s">
        <v>194</v>
      </c>
      <c r="F13">
        <v>3.2588729999999999</v>
      </c>
      <c r="G13">
        <v>2.9694029999999998</v>
      </c>
      <c r="H13">
        <v>2.670283</v>
      </c>
      <c r="I13">
        <v>2.3920520000000001</v>
      </c>
      <c r="J13">
        <v>2.1450879999999999</v>
      </c>
      <c r="K13">
        <v>1.9372720000000001</v>
      </c>
      <c r="L13">
        <v>1.7542489999999999</v>
      </c>
      <c r="M13">
        <v>1.591224</v>
      </c>
      <c r="N13">
        <v>1.443881</v>
      </c>
      <c r="O13">
        <v>1.3078000000000001</v>
      </c>
      <c r="P13">
        <v>1.183535</v>
      </c>
      <c r="Q13">
        <v>1.0700609999999999</v>
      </c>
      <c r="R13">
        <v>0.96449200000000002</v>
      </c>
      <c r="S13">
        <v>0.86558299999999999</v>
      </c>
      <c r="T13">
        <v>0.77333399999999997</v>
      </c>
      <c r="U13">
        <v>0.68865200000000004</v>
      </c>
      <c r="V13">
        <v>0.61294800000000005</v>
      </c>
      <c r="W13">
        <v>0.54637000000000002</v>
      </c>
      <c r="X13">
        <v>0.48824699999999999</v>
      </c>
      <c r="Y13">
        <v>0.43711</v>
      </c>
      <c r="Z13">
        <v>0.388071</v>
      </c>
      <c r="AA13">
        <v>0.34228599999999998</v>
      </c>
      <c r="AB13">
        <v>0.29872399999999999</v>
      </c>
      <c r="AC13">
        <v>0.26012600000000002</v>
      </c>
      <c r="AD13">
        <v>0.21887200000000001</v>
      </c>
      <c r="AE13">
        <v>0.17858399999999999</v>
      </c>
      <c r="AF13">
        <v>0.14052200000000001</v>
      </c>
      <c r="AG13" s="9">
        <v>-0.114</v>
      </c>
    </row>
    <row r="14" spans="1:33">
      <c r="A14" t="s">
        <v>228</v>
      </c>
      <c r="B14" t="s">
        <v>1684</v>
      </c>
      <c r="C14" t="s">
        <v>1683</v>
      </c>
      <c r="D14" t="s">
        <v>194</v>
      </c>
      <c r="F14">
        <v>8.7280999999999997E-2</v>
      </c>
      <c r="G14">
        <v>0.119507</v>
      </c>
      <c r="H14">
        <v>0.14918300000000001</v>
      </c>
      <c r="I14">
        <v>0.17560000000000001</v>
      </c>
      <c r="J14">
        <v>0.198771</v>
      </c>
      <c r="K14">
        <v>0.22067600000000001</v>
      </c>
      <c r="L14">
        <v>0.24584900000000001</v>
      </c>
      <c r="M14">
        <v>0.31488500000000003</v>
      </c>
      <c r="N14">
        <v>0.43936399999999998</v>
      </c>
      <c r="O14">
        <v>0.55638799999999999</v>
      </c>
      <c r="P14">
        <v>0.74443599999999999</v>
      </c>
      <c r="Q14">
        <v>1.0531710000000001</v>
      </c>
      <c r="R14">
        <v>1.4948330000000001</v>
      </c>
      <c r="S14">
        <v>2.0432519999999998</v>
      </c>
      <c r="T14">
        <v>2.7092320000000001</v>
      </c>
      <c r="U14">
        <v>3.4966200000000001</v>
      </c>
      <c r="V14">
        <v>4.4216449999999998</v>
      </c>
      <c r="W14">
        <v>5.5475440000000003</v>
      </c>
      <c r="X14">
        <v>6.8312460000000002</v>
      </c>
      <c r="Y14">
        <v>8.2411890000000003</v>
      </c>
      <c r="Z14">
        <v>9.6649480000000008</v>
      </c>
      <c r="AA14">
        <v>11.152545999999999</v>
      </c>
      <c r="AB14">
        <v>12.684813</v>
      </c>
      <c r="AC14">
        <v>14.333284000000001</v>
      </c>
      <c r="AD14">
        <v>16.026073</v>
      </c>
      <c r="AE14">
        <v>17.724495000000001</v>
      </c>
      <c r="AF14">
        <v>19.422892000000001</v>
      </c>
      <c r="AG14" s="9">
        <v>0.23100000000000001</v>
      </c>
    </row>
    <row r="15" spans="1:33">
      <c r="A15" t="s">
        <v>229</v>
      </c>
      <c r="B15" t="s">
        <v>1682</v>
      </c>
      <c r="C15" t="s">
        <v>1681</v>
      </c>
      <c r="D15" t="s">
        <v>194</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t="s">
        <v>110</v>
      </c>
    </row>
    <row r="16" spans="1:33">
      <c r="A16" t="s">
        <v>230</v>
      </c>
      <c r="B16" t="s">
        <v>1680</v>
      </c>
      <c r="C16" t="s">
        <v>1679</v>
      </c>
      <c r="D16" t="s">
        <v>194</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t="s">
        <v>110</v>
      </c>
    </row>
    <row r="17" spans="1:33">
      <c r="A17" t="s">
        <v>231</v>
      </c>
      <c r="B17" t="s">
        <v>1678</v>
      </c>
      <c r="C17" t="s">
        <v>1677</v>
      </c>
      <c r="D17" t="s">
        <v>194</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110</v>
      </c>
    </row>
    <row r="18" spans="1:33">
      <c r="A18" t="s">
        <v>574</v>
      </c>
      <c r="B18" t="s">
        <v>1676</v>
      </c>
      <c r="C18" t="s">
        <v>1675</v>
      </c>
      <c r="D18" t="s">
        <v>194</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110</v>
      </c>
    </row>
    <row r="19" spans="1:33">
      <c r="A19" t="s">
        <v>571</v>
      </c>
      <c r="B19" t="s">
        <v>1674</v>
      </c>
      <c r="C19" t="s">
        <v>1673</v>
      </c>
      <c r="D19" t="s">
        <v>194</v>
      </c>
      <c r="F19">
        <v>0</v>
      </c>
      <c r="G19">
        <v>0.109322</v>
      </c>
      <c r="H19">
        <v>0.28561399999999998</v>
      </c>
      <c r="I19">
        <v>0.52429300000000001</v>
      </c>
      <c r="J19">
        <v>1.3492900000000001</v>
      </c>
      <c r="K19">
        <v>2.8503099999999999</v>
      </c>
      <c r="L19">
        <v>5.0136310000000002</v>
      </c>
      <c r="M19">
        <v>7.7647050000000002</v>
      </c>
      <c r="N19">
        <v>11.073954000000001</v>
      </c>
      <c r="O19">
        <v>14.758941</v>
      </c>
      <c r="P19">
        <v>18.660900000000002</v>
      </c>
      <c r="Q19">
        <v>22.600832</v>
      </c>
      <c r="R19">
        <v>26.474253000000001</v>
      </c>
      <c r="S19">
        <v>30.237411000000002</v>
      </c>
      <c r="T19">
        <v>34.006458000000002</v>
      </c>
      <c r="U19">
        <v>37.792834999999997</v>
      </c>
      <c r="V19">
        <v>41.462817999999999</v>
      </c>
      <c r="W19">
        <v>44.911160000000002</v>
      </c>
      <c r="X19">
        <v>48.150188</v>
      </c>
      <c r="Y19">
        <v>51.148192999999999</v>
      </c>
      <c r="Z19">
        <v>53.948368000000002</v>
      </c>
      <c r="AA19">
        <v>56.632454000000003</v>
      </c>
      <c r="AB19">
        <v>59.163367999999998</v>
      </c>
      <c r="AC19">
        <v>61.704948000000002</v>
      </c>
      <c r="AD19">
        <v>64.027450999999999</v>
      </c>
      <c r="AE19">
        <v>66.138740999999996</v>
      </c>
      <c r="AF19">
        <v>68.037430000000001</v>
      </c>
      <c r="AG19" t="s">
        <v>110</v>
      </c>
    </row>
    <row r="20" spans="1:33">
      <c r="A20" t="s">
        <v>568</v>
      </c>
      <c r="B20" t="s">
        <v>1672</v>
      </c>
      <c r="C20" t="s">
        <v>1671</v>
      </c>
      <c r="D20" t="s">
        <v>194</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110</v>
      </c>
    </row>
    <row r="21" spans="1:33" s="40" customFormat="1">
      <c r="A21" s="40" t="s">
        <v>232</v>
      </c>
      <c r="B21" s="40" t="s">
        <v>1670</v>
      </c>
      <c r="C21" s="40" t="s">
        <v>1669</v>
      </c>
      <c r="D21" s="40" t="s">
        <v>194</v>
      </c>
      <c r="F21" s="40">
        <v>81.913414000000003</v>
      </c>
      <c r="G21" s="40">
        <v>83.637932000000006</v>
      </c>
      <c r="H21" s="40">
        <v>84.649970999999994</v>
      </c>
      <c r="I21" s="40">
        <v>85.366112000000001</v>
      </c>
      <c r="J21" s="40">
        <v>86.041008000000005</v>
      </c>
      <c r="K21" s="40">
        <v>87.189673999999997</v>
      </c>
      <c r="L21" s="40">
        <v>88.634345999999994</v>
      </c>
      <c r="M21" s="40">
        <v>90.136009000000001</v>
      </c>
      <c r="N21" s="40">
        <v>91.764342999999997</v>
      </c>
      <c r="O21" s="40">
        <v>93.408591999999999</v>
      </c>
      <c r="P21" s="40">
        <v>95.227249</v>
      </c>
      <c r="Q21" s="40">
        <v>97.079216000000002</v>
      </c>
      <c r="R21" s="40">
        <v>99.016814999999994</v>
      </c>
      <c r="S21" s="40">
        <v>100.936539</v>
      </c>
      <c r="T21" s="40">
        <v>102.872658</v>
      </c>
      <c r="U21" s="40">
        <v>104.776962</v>
      </c>
      <c r="V21" s="40">
        <v>106.826088</v>
      </c>
      <c r="W21" s="40">
        <v>108.78827699999999</v>
      </c>
      <c r="X21" s="40">
        <v>110.690437</v>
      </c>
      <c r="Y21" s="40">
        <v>112.395782</v>
      </c>
      <c r="Z21" s="40">
        <v>114.059608</v>
      </c>
      <c r="AA21" s="40">
        <v>115.924751</v>
      </c>
      <c r="AB21" s="40">
        <v>117.859016</v>
      </c>
      <c r="AC21" s="40">
        <v>120.16201</v>
      </c>
      <c r="AD21" s="40">
        <v>122.30836499999999</v>
      </c>
      <c r="AE21" s="40">
        <v>124.313187</v>
      </c>
      <c r="AF21" s="40">
        <v>126.225555</v>
      </c>
      <c r="AG21" s="41">
        <v>1.7000000000000001E-2</v>
      </c>
    </row>
    <row r="22" spans="1:33">
      <c r="A22" t="s">
        <v>163</v>
      </c>
    </row>
    <row r="23" spans="1:33">
      <c r="A23" t="s">
        <v>181</v>
      </c>
      <c r="B23" t="s">
        <v>1668</v>
      </c>
      <c r="C23" t="s">
        <v>1667</v>
      </c>
      <c r="D23" t="s">
        <v>194</v>
      </c>
      <c r="F23">
        <v>37.131771000000001</v>
      </c>
      <c r="G23">
        <v>36.594059000000001</v>
      </c>
      <c r="H23">
        <v>35.836998000000001</v>
      </c>
      <c r="I23">
        <v>35.128596999999999</v>
      </c>
      <c r="J23">
        <v>34.429993000000003</v>
      </c>
      <c r="K23">
        <v>33.848514999999999</v>
      </c>
      <c r="L23">
        <v>33.334881000000003</v>
      </c>
      <c r="M23">
        <v>32.813395999999997</v>
      </c>
      <c r="N23">
        <v>32.307029999999997</v>
      </c>
      <c r="O23">
        <v>31.735132</v>
      </c>
      <c r="P23">
        <v>31.138124000000001</v>
      </c>
      <c r="Q23">
        <v>30.495702999999999</v>
      </c>
      <c r="R23">
        <v>29.854996</v>
      </c>
      <c r="S23">
        <v>29.198588999999998</v>
      </c>
      <c r="T23">
        <v>28.521305000000002</v>
      </c>
      <c r="U23">
        <v>27.823361999999999</v>
      </c>
      <c r="V23">
        <v>27.163891</v>
      </c>
      <c r="W23">
        <v>26.519552000000001</v>
      </c>
      <c r="X23">
        <v>25.929789</v>
      </c>
      <c r="Y23">
        <v>25.381256</v>
      </c>
      <c r="Z23">
        <v>24.876940000000001</v>
      </c>
      <c r="AA23">
        <v>24.434802999999999</v>
      </c>
      <c r="AB23">
        <v>24.024281999999999</v>
      </c>
      <c r="AC23">
        <v>23.739571000000002</v>
      </c>
      <c r="AD23">
        <v>23.487732000000001</v>
      </c>
      <c r="AE23">
        <v>23.243437</v>
      </c>
      <c r="AF23">
        <v>22.989767000000001</v>
      </c>
      <c r="AG23" s="9">
        <v>-1.7999999999999999E-2</v>
      </c>
    </row>
    <row r="24" spans="1:33">
      <c r="A24" t="s">
        <v>226</v>
      </c>
      <c r="B24" t="s">
        <v>1666</v>
      </c>
      <c r="C24" t="s">
        <v>1665</v>
      </c>
      <c r="D24" t="s">
        <v>194</v>
      </c>
      <c r="F24">
        <v>24.710927999999999</v>
      </c>
      <c r="G24">
        <v>24.792711000000001</v>
      </c>
      <c r="H24">
        <v>24.766380000000002</v>
      </c>
      <c r="I24">
        <v>24.778901999999999</v>
      </c>
      <c r="J24">
        <v>24.779399999999999</v>
      </c>
      <c r="K24">
        <v>24.825973999999999</v>
      </c>
      <c r="L24">
        <v>24.892790000000002</v>
      </c>
      <c r="M24">
        <v>24.93458</v>
      </c>
      <c r="N24">
        <v>24.980650000000001</v>
      </c>
      <c r="O24">
        <v>24.957380000000001</v>
      </c>
      <c r="P24">
        <v>24.906849000000001</v>
      </c>
      <c r="Q24">
        <v>24.796883000000001</v>
      </c>
      <c r="R24">
        <v>24.652761000000002</v>
      </c>
      <c r="S24">
        <v>24.494171000000001</v>
      </c>
      <c r="T24">
        <v>24.287745999999999</v>
      </c>
      <c r="U24">
        <v>24.046125</v>
      </c>
      <c r="V24">
        <v>23.807701000000002</v>
      </c>
      <c r="W24">
        <v>23.569877999999999</v>
      </c>
      <c r="X24">
        <v>23.351219</v>
      </c>
      <c r="Y24">
        <v>23.130773999999999</v>
      </c>
      <c r="Z24">
        <v>22.915935999999999</v>
      </c>
      <c r="AA24">
        <v>22.730301000000001</v>
      </c>
      <c r="AB24">
        <v>22.550166999999998</v>
      </c>
      <c r="AC24">
        <v>22.463426999999999</v>
      </c>
      <c r="AD24">
        <v>22.392613999999998</v>
      </c>
      <c r="AE24">
        <v>22.314965999999998</v>
      </c>
      <c r="AF24">
        <v>22.208449999999999</v>
      </c>
      <c r="AG24" s="9">
        <v>-4.0000000000000001E-3</v>
      </c>
    </row>
    <row r="25" spans="1:33">
      <c r="A25" t="s">
        <v>184</v>
      </c>
      <c r="B25" t="s">
        <v>1664</v>
      </c>
      <c r="C25" t="s">
        <v>1663</v>
      </c>
      <c r="D25" t="s">
        <v>194</v>
      </c>
      <c r="F25">
        <v>2.5683000000000001E-2</v>
      </c>
      <c r="G25">
        <v>2.2918999999999998E-2</v>
      </c>
      <c r="H25">
        <v>2.0313999999999999E-2</v>
      </c>
      <c r="I25">
        <v>1.7925E-2</v>
      </c>
      <c r="J25">
        <v>1.5859000000000002E-2</v>
      </c>
      <c r="K25">
        <v>1.3155999999999999E-2</v>
      </c>
      <c r="L25">
        <v>1.1735000000000001E-2</v>
      </c>
      <c r="M25">
        <v>1.0444E-2</v>
      </c>
      <c r="N25">
        <v>9.3609999999999995E-3</v>
      </c>
      <c r="O25">
        <v>8.4089999999999998E-3</v>
      </c>
      <c r="P25">
        <v>7.3990000000000002E-3</v>
      </c>
      <c r="Q25">
        <v>6.6379999999999998E-3</v>
      </c>
      <c r="R25">
        <v>6.0309999999999999E-3</v>
      </c>
      <c r="S25">
        <v>5.5360000000000001E-3</v>
      </c>
      <c r="T25">
        <v>5.097E-3</v>
      </c>
      <c r="U25">
        <v>4.7149999999999996E-3</v>
      </c>
      <c r="V25">
        <v>4.4050000000000001E-3</v>
      </c>
      <c r="W25">
        <v>4.1209999999999997E-3</v>
      </c>
      <c r="X25">
        <v>3.8730000000000001E-3</v>
      </c>
      <c r="Y25">
        <v>3.6489999999999999E-3</v>
      </c>
      <c r="Z25">
        <v>3.4320000000000002E-3</v>
      </c>
      <c r="AA25">
        <v>3.297E-3</v>
      </c>
      <c r="AB25">
        <v>3.143E-3</v>
      </c>
      <c r="AC25">
        <v>3.0079999999999998E-3</v>
      </c>
      <c r="AD25">
        <v>2.6610000000000002E-3</v>
      </c>
      <c r="AE25">
        <v>2.1099999999999999E-3</v>
      </c>
      <c r="AF25">
        <v>1.676E-3</v>
      </c>
      <c r="AG25" s="9">
        <v>-0.1</v>
      </c>
    </row>
    <row r="26" spans="1:33">
      <c r="A26" t="s">
        <v>187</v>
      </c>
      <c r="B26" t="s">
        <v>1662</v>
      </c>
      <c r="C26" t="s">
        <v>1661</v>
      </c>
      <c r="D26" t="s">
        <v>194</v>
      </c>
      <c r="F26">
        <v>0.21660399999999999</v>
      </c>
      <c r="G26">
        <v>0.29153400000000002</v>
      </c>
      <c r="H26">
        <v>0.36267500000000003</v>
      </c>
      <c r="I26">
        <v>0.42705700000000002</v>
      </c>
      <c r="J26">
        <v>0.483323</v>
      </c>
      <c r="K26">
        <v>0.533188</v>
      </c>
      <c r="L26">
        <v>0.57804699999999998</v>
      </c>
      <c r="M26">
        <v>0.61812299999999998</v>
      </c>
      <c r="N26">
        <v>0.65573599999999999</v>
      </c>
      <c r="O26">
        <v>0.691272</v>
      </c>
      <c r="P26">
        <v>0.72470299999999999</v>
      </c>
      <c r="Q26">
        <v>0.75561</v>
      </c>
      <c r="R26">
        <v>0.78383000000000003</v>
      </c>
      <c r="S26">
        <v>0.81074299999999999</v>
      </c>
      <c r="T26">
        <v>0.83725300000000002</v>
      </c>
      <c r="U26">
        <v>0.86216999999999999</v>
      </c>
      <c r="V26">
        <v>0.885768</v>
      </c>
      <c r="W26">
        <v>0.90606100000000001</v>
      </c>
      <c r="X26">
        <v>0.92689299999999997</v>
      </c>
      <c r="Y26">
        <v>0.94793899999999998</v>
      </c>
      <c r="Z26">
        <v>0.96773900000000002</v>
      </c>
      <c r="AA26">
        <v>0.98745300000000003</v>
      </c>
      <c r="AB26">
        <v>1.006273</v>
      </c>
      <c r="AC26">
        <v>1.030934</v>
      </c>
      <c r="AD26">
        <v>1.0588070000000001</v>
      </c>
      <c r="AE26">
        <v>1.0924590000000001</v>
      </c>
      <c r="AF26">
        <v>1.1249199999999999</v>
      </c>
      <c r="AG26" s="9">
        <v>6.5000000000000002E-2</v>
      </c>
    </row>
    <row r="27" spans="1:33">
      <c r="A27" t="s">
        <v>227</v>
      </c>
      <c r="B27" t="s">
        <v>1660</v>
      </c>
      <c r="C27" t="s">
        <v>1659</v>
      </c>
      <c r="D27" t="s">
        <v>194</v>
      </c>
      <c r="F27">
        <v>0.56315499999999996</v>
      </c>
      <c r="G27">
        <v>0.50854999999999995</v>
      </c>
      <c r="H27">
        <v>0.45326300000000003</v>
      </c>
      <c r="I27">
        <v>0.40201100000000001</v>
      </c>
      <c r="J27">
        <v>0.35692600000000002</v>
      </c>
      <c r="K27">
        <v>0.320183</v>
      </c>
      <c r="L27">
        <v>0.28773399999999999</v>
      </c>
      <c r="M27">
        <v>0.25882300000000003</v>
      </c>
      <c r="N27">
        <v>0.233901</v>
      </c>
      <c r="O27">
        <v>0.21024899999999999</v>
      </c>
      <c r="P27">
        <v>0.1898</v>
      </c>
      <c r="Q27">
        <v>0.17246700000000001</v>
      </c>
      <c r="R27">
        <v>0.15728500000000001</v>
      </c>
      <c r="S27">
        <v>0.144478</v>
      </c>
      <c r="T27">
        <v>0.13336400000000001</v>
      </c>
      <c r="U27">
        <v>0.12360599999999999</v>
      </c>
      <c r="V27">
        <v>0.11543100000000001</v>
      </c>
      <c r="W27">
        <v>0.10784100000000001</v>
      </c>
      <c r="X27">
        <v>0.100605</v>
      </c>
      <c r="Y27">
        <v>9.3598000000000001E-2</v>
      </c>
      <c r="Z27">
        <v>8.6728E-2</v>
      </c>
      <c r="AA27">
        <v>7.9933000000000004E-2</v>
      </c>
      <c r="AB27">
        <v>7.2932999999999998E-2</v>
      </c>
      <c r="AC27">
        <v>6.5624000000000002E-2</v>
      </c>
      <c r="AD27">
        <v>5.7986999999999997E-2</v>
      </c>
      <c r="AE27">
        <v>5.0445999999999998E-2</v>
      </c>
      <c r="AF27">
        <v>4.2520000000000002E-2</v>
      </c>
      <c r="AG27" s="9">
        <v>-9.5000000000000001E-2</v>
      </c>
    </row>
    <row r="28" spans="1:33">
      <c r="A28" t="s">
        <v>228</v>
      </c>
      <c r="B28" t="s">
        <v>1658</v>
      </c>
      <c r="C28" t="s">
        <v>1657</v>
      </c>
      <c r="D28" t="s">
        <v>194</v>
      </c>
      <c r="F28">
        <v>2.1684999999999999E-2</v>
      </c>
      <c r="G28">
        <v>2.3281E-2</v>
      </c>
      <c r="H28">
        <v>2.4604000000000001E-2</v>
      </c>
      <c r="I28">
        <v>2.5850999999999999E-2</v>
      </c>
      <c r="J28">
        <v>2.6849999999999999E-2</v>
      </c>
      <c r="K28">
        <v>2.7718E-2</v>
      </c>
      <c r="L28">
        <v>2.8584999999999999E-2</v>
      </c>
      <c r="M28">
        <v>2.93E-2</v>
      </c>
      <c r="N28">
        <v>3.0084E-2</v>
      </c>
      <c r="O28">
        <v>3.0797999999999999E-2</v>
      </c>
      <c r="P28">
        <v>3.1477999999999999E-2</v>
      </c>
      <c r="Q28">
        <v>3.2091000000000001E-2</v>
      </c>
      <c r="R28">
        <v>3.2672E-2</v>
      </c>
      <c r="S28">
        <v>3.3252999999999998E-2</v>
      </c>
      <c r="T28">
        <v>3.3787999999999999E-2</v>
      </c>
      <c r="U28">
        <v>3.4255000000000001E-2</v>
      </c>
      <c r="V28">
        <v>3.4696999999999999E-2</v>
      </c>
      <c r="W28">
        <v>3.5131999999999997E-2</v>
      </c>
      <c r="X28">
        <v>3.5562999999999997E-2</v>
      </c>
      <c r="Y28">
        <v>3.5920000000000001E-2</v>
      </c>
      <c r="Z28">
        <v>3.6223999999999999E-2</v>
      </c>
      <c r="AA28">
        <v>3.6521999999999999E-2</v>
      </c>
      <c r="AB28">
        <v>3.6776999999999997E-2</v>
      </c>
      <c r="AC28">
        <v>3.7164000000000003E-2</v>
      </c>
      <c r="AD28">
        <v>3.7578E-2</v>
      </c>
      <c r="AE28">
        <v>3.7975000000000002E-2</v>
      </c>
      <c r="AF28">
        <v>3.8295000000000003E-2</v>
      </c>
      <c r="AG28" s="9">
        <v>2.1999999999999999E-2</v>
      </c>
    </row>
    <row r="29" spans="1:33">
      <c r="A29" t="s">
        <v>229</v>
      </c>
      <c r="B29" t="s">
        <v>1656</v>
      </c>
      <c r="C29" t="s">
        <v>1655</v>
      </c>
      <c r="D29" t="s">
        <v>194</v>
      </c>
      <c r="F29">
        <v>0</v>
      </c>
      <c r="G29">
        <v>0</v>
      </c>
      <c r="H29">
        <v>1.812E-3</v>
      </c>
      <c r="I29">
        <v>4.4209999999999996E-3</v>
      </c>
      <c r="J29">
        <v>8.4100000000000008E-3</v>
      </c>
      <c r="K29">
        <v>1.3413E-2</v>
      </c>
      <c r="L29">
        <v>1.8973E-2</v>
      </c>
      <c r="M29">
        <v>2.5016E-2</v>
      </c>
      <c r="N29">
        <v>3.1123999999999999E-2</v>
      </c>
      <c r="O29">
        <v>2.8725000000000001E-2</v>
      </c>
      <c r="P29">
        <v>2.6502000000000001E-2</v>
      </c>
      <c r="Q29">
        <v>2.4417999999999999E-2</v>
      </c>
      <c r="R29">
        <v>2.2536E-2</v>
      </c>
      <c r="S29">
        <v>2.0787E-2</v>
      </c>
      <c r="T29">
        <v>1.9154999999999998E-2</v>
      </c>
      <c r="U29">
        <v>1.7624999999999998E-2</v>
      </c>
      <c r="V29">
        <v>1.6230000000000001E-2</v>
      </c>
      <c r="W29">
        <v>1.4954E-2</v>
      </c>
      <c r="X29">
        <v>1.3782000000000001E-2</v>
      </c>
      <c r="Y29">
        <v>1.2718E-2</v>
      </c>
      <c r="Z29">
        <v>1.1752E-2</v>
      </c>
      <c r="AA29">
        <v>1.0893E-2</v>
      </c>
      <c r="AB29">
        <v>1.0121E-2</v>
      </c>
      <c r="AC29">
        <v>9.3299999999999998E-3</v>
      </c>
      <c r="AD29">
        <v>8.5830000000000004E-3</v>
      </c>
      <c r="AE29">
        <v>7.9159999999999994E-3</v>
      </c>
      <c r="AF29">
        <v>7.3150000000000003E-3</v>
      </c>
      <c r="AG29" t="s">
        <v>110</v>
      </c>
    </row>
    <row r="30" spans="1:33">
      <c r="A30" t="s">
        <v>230</v>
      </c>
      <c r="B30" t="s">
        <v>1654</v>
      </c>
      <c r="C30" t="s">
        <v>1653</v>
      </c>
      <c r="D30" t="s">
        <v>194</v>
      </c>
      <c r="F30">
        <v>0</v>
      </c>
      <c r="G30">
        <v>8.5570000000000004E-3</v>
      </c>
      <c r="H30">
        <v>1.7385999999999999E-2</v>
      </c>
      <c r="I30">
        <v>2.0511000000000001E-2</v>
      </c>
      <c r="J30">
        <v>1.9573E-2</v>
      </c>
      <c r="K30">
        <v>1.7939E-2</v>
      </c>
      <c r="L30">
        <v>1.6412E-2</v>
      </c>
      <c r="M30">
        <v>1.5066E-2</v>
      </c>
      <c r="N30">
        <v>1.3932999999999999E-2</v>
      </c>
      <c r="O30">
        <v>1.2857E-2</v>
      </c>
      <c r="P30">
        <v>1.1854999999999999E-2</v>
      </c>
      <c r="Q30">
        <v>1.0898E-2</v>
      </c>
      <c r="R30">
        <v>1.0045999999999999E-2</v>
      </c>
      <c r="S30">
        <v>9.2049999999999996E-3</v>
      </c>
      <c r="T30">
        <v>8.4309999999999993E-3</v>
      </c>
      <c r="U30">
        <v>7.7409999999999996E-3</v>
      </c>
      <c r="V30">
        <v>7.1500000000000001E-3</v>
      </c>
      <c r="W30">
        <v>6.6150000000000002E-3</v>
      </c>
      <c r="X30">
        <v>6.071E-3</v>
      </c>
      <c r="Y30">
        <v>5.5319999999999996E-3</v>
      </c>
      <c r="Z30">
        <v>5.0140000000000002E-3</v>
      </c>
      <c r="AA30">
        <v>4.6039999999999996E-3</v>
      </c>
      <c r="AB30">
        <v>4.2789999999999998E-3</v>
      </c>
      <c r="AC30">
        <v>4.006E-3</v>
      </c>
      <c r="AD30">
        <v>3.7469999999999999E-3</v>
      </c>
      <c r="AE30">
        <v>3.4919999999999999E-3</v>
      </c>
      <c r="AF30">
        <v>3.2469999999999999E-3</v>
      </c>
      <c r="AG30" t="s">
        <v>110</v>
      </c>
    </row>
    <row r="31" spans="1:33">
      <c r="A31" t="s">
        <v>231</v>
      </c>
      <c r="B31" t="s">
        <v>1652</v>
      </c>
      <c r="C31" t="s">
        <v>1651</v>
      </c>
      <c r="D31" t="s">
        <v>194</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t="s">
        <v>110</v>
      </c>
    </row>
    <row r="32" spans="1:33">
      <c r="A32" t="s">
        <v>574</v>
      </c>
      <c r="B32" t="s">
        <v>1650</v>
      </c>
      <c r="C32" t="s">
        <v>1649</v>
      </c>
      <c r="D32" t="s">
        <v>194</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110</v>
      </c>
    </row>
    <row r="33" spans="1:33">
      <c r="A33" t="s">
        <v>571</v>
      </c>
      <c r="B33" t="s">
        <v>1648</v>
      </c>
      <c r="C33" t="s">
        <v>1647</v>
      </c>
      <c r="D33" t="s">
        <v>194</v>
      </c>
      <c r="F33">
        <v>0</v>
      </c>
      <c r="G33">
        <v>6.4962000000000006E-2</v>
      </c>
      <c r="H33">
        <v>0.15284300000000001</v>
      </c>
      <c r="I33">
        <v>0.26397999999999999</v>
      </c>
      <c r="J33">
        <v>0.39148899999999998</v>
      </c>
      <c r="K33">
        <v>0.54012800000000005</v>
      </c>
      <c r="L33">
        <v>0.72535000000000005</v>
      </c>
      <c r="M33">
        <v>0.96550199999999997</v>
      </c>
      <c r="N33">
        <v>1.2885960000000001</v>
      </c>
      <c r="O33">
        <v>1.7231620000000001</v>
      </c>
      <c r="P33">
        <v>2.2904900000000001</v>
      </c>
      <c r="Q33">
        <v>2.9959259999999999</v>
      </c>
      <c r="R33">
        <v>3.8416109999999999</v>
      </c>
      <c r="S33">
        <v>4.8051320000000004</v>
      </c>
      <c r="T33">
        <v>5.8463799999999999</v>
      </c>
      <c r="U33">
        <v>6.9121439999999996</v>
      </c>
      <c r="V33">
        <v>7.9788759999999996</v>
      </c>
      <c r="W33">
        <v>9.0158009999999997</v>
      </c>
      <c r="X33">
        <v>10.012964</v>
      </c>
      <c r="Y33">
        <v>10.950036000000001</v>
      </c>
      <c r="Z33">
        <v>11.814178999999999</v>
      </c>
      <c r="AA33">
        <v>12.617074000000001</v>
      </c>
      <c r="AB33">
        <v>13.349224</v>
      </c>
      <c r="AC33">
        <v>14.081083</v>
      </c>
      <c r="AD33">
        <v>14.773883</v>
      </c>
      <c r="AE33">
        <v>15.412091</v>
      </c>
      <c r="AF33">
        <v>15.978241000000001</v>
      </c>
      <c r="AG33" t="s">
        <v>110</v>
      </c>
    </row>
    <row r="34" spans="1:33">
      <c r="A34" t="s">
        <v>568</v>
      </c>
      <c r="B34" t="s">
        <v>1646</v>
      </c>
      <c r="C34" t="s">
        <v>1645</v>
      </c>
      <c r="D34" t="s">
        <v>194</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110</v>
      </c>
    </row>
    <row r="35" spans="1:33" s="40" customFormat="1">
      <c r="A35" s="40" t="s">
        <v>233</v>
      </c>
      <c r="B35" s="40" t="s">
        <v>1644</v>
      </c>
      <c r="C35" s="40" t="s">
        <v>1643</v>
      </c>
      <c r="D35" s="40" t="s">
        <v>194</v>
      </c>
      <c r="F35" s="40">
        <v>62.669761999999999</v>
      </c>
      <c r="G35" s="40">
        <v>62.306469</v>
      </c>
      <c r="H35" s="40">
        <v>61.636169000000002</v>
      </c>
      <c r="I35" s="40">
        <v>61.069248000000002</v>
      </c>
      <c r="J35" s="40">
        <v>60.511715000000002</v>
      </c>
      <c r="K35" s="40">
        <v>60.140095000000002</v>
      </c>
      <c r="L35" s="40">
        <v>59.894455000000001</v>
      </c>
      <c r="M35" s="40">
        <v>59.670211999999999</v>
      </c>
      <c r="N35" s="40">
        <v>59.550327000000003</v>
      </c>
      <c r="O35" s="40">
        <v>59.398045000000003</v>
      </c>
      <c r="P35" s="40">
        <v>59.327106000000001</v>
      </c>
      <c r="Q35" s="40">
        <v>59.290576999999999</v>
      </c>
      <c r="R35" s="40">
        <v>59.361587999999998</v>
      </c>
      <c r="S35" s="40">
        <v>59.521720999999999</v>
      </c>
      <c r="T35" s="40">
        <v>59.692307</v>
      </c>
      <c r="U35" s="40">
        <v>59.831532000000003</v>
      </c>
      <c r="V35" s="40">
        <v>60.013888999999999</v>
      </c>
      <c r="W35" s="40">
        <v>60.179622999999999</v>
      </c>
      <c r="X35" s="40">
        <v>60.380524000000001</v>
      </c>
      <c r="Y35" s="40">
        <v>60.561053999999999</v>
      </c>
      <c r="Z35" s="40">
        <v>60.717669999999998</v>
      </c>
      <c r="AA35" s="40">
        <v>60.904583000000002</v>
      </c>
      <c r="AB35" s="40">
        <v>61.056731999999997</v>
      </c>
      <c r="AC35" s="40">
        <v>61.433689000000001</v>
      </c>
      <c r="AD35" s="40">
        <v>61.823250000000002</v>
      </c>
      <c r="AE35" s="40">
        <v>62.164485999999997</v>
      </c>
      <c r="AF35" s="40">
        <v>62.394100000000002</v>
      </c>
      <c r="AG35" s="41">
        <v>0</v>
      </c>
    </row>
    <row r="36" spans="1:33">
      <c r="A36" t="s">
        <v>234</v>
      </c>
    </row>
    <row r="37" spans="1:33">
      <c r="A37" t="s">
        <v>181</v>
      </c>
      <c r="B37" t="s">
        <v>1642</v>
      </c>
      <c r="C37" t="s">
        <v>1641</v>
      </c>
      <c r="D37" t="s">
        <v>194</v>
      </c>
      <c r="F37">
        <v>192.94982899999999</v>
      </c>
      <c r="G37">
        <v>197.59063699999999</v>
      </c>
      <c r="H37">
        <v>200.97595200000001</v>
      </c>
      <c r="I37">
        <v>204.19201699999999</v>
      </c>
      <c r="J37">
        <v>206.488708</v>
      </c>
      <c r="K37">
        <v>208.58886699999999</v>
      </c>
      <c r="L37">
        <v>210.49195900000001</v>
      </c>
      <c r="M37">
        <v>211.89570599999999</v>
      </c>
      <c r="N37">
        <v>213.206253</v>
      </c>
      <c r="O37">
        <v>214.241714</v>
      </c>
      <c r="P37">
        <v>215.399506</v>
      </c>
      <c r="Q37">
        <v>216.51177999999999</v>
      </c>
      <c r="R37">
        <v>217.892349</v>
      </c>
      <c r="S37">
        <v>219.42524700000001</v>
      </c>
      <c r="T37">
        <v>220.96220400000001</v>
      </c>
      <c r="U37">
        <v>222.213562</v>
      </c>
      <c r="V37">
        <v>223.48240699999999</v>
      </c>
      <c r="W37">
        <v>224.63845800000001</v>
      </c>
      <c r="X37">
        <v>225.79357899999999</v>
      </c>
      <c r="Y37">
        <v>226.73658800000001</v>
      </c>
      <c r="Z37">
        <v>227.47717299999999</v>
      </c>
      <c r="AA37">
        <v>228.256531</v>
      </c>
      <c r="AB37">
        <v>228.81037900000001</v>
      </c>
      <c r="AC37">
        <v>230.14291399999999</v>
      </c>
      <c r="AD37">
        <v>231.487762</v>
      </c>
      <c r="AE37">
        <v>232.64764400000001</v>
      </c>
      <c r="AF37">
        <v>233.4263</v>
      </c>
      <c r="AG37" s="9">
        <v>7.0000000000000001E-3</v>
      </c>
    </row>
    <row r="38" spans="1:33">
      <c r="A38" t="s">
        <v>226</v>
      </c>
      <c r="B38" t="s">
        <v>1640</v>
      </c>
      <c r="C38" t="s">
        <v>1639</v>
      </c>
      <c r="D38" t="s">
        <v>194</v>
      </c>
      <c r="F38">
        <v>0.17944199999999999</v>
      </c>
      <c r="G38">
        <v>0.15498799999999999</v>
      </c>
      <c r="H38">
        <v>0.13519600000000001</v>
      </c>
      <c r="I38">
        <v>0.119259</v>
      </c>
      <c r="J38">
        <v>0.106646</v>
      </c>
      <c r="K38">
        <v>9.7213999999999995E-2</v>
      </c>
      <c r="L38">
        <v>8.9940000000000006E-2</v>
      </c>
      <c r="M38">
        <v>8.3801E-2</v>
      </c>
      <c r="N38">
        <v>7.8592999999999996E-2</v>
      </c>
      <c r="O38">
        <v>7.3761999999999994E-2</v>
      </c>
      <c r="P38">
        <v>7.0135000000000003E-2</v>
      </c>
      <c r="Q38">
        <v>6.7147999999999999E-2</v>
      </c>
      <c r="R38">
        <v>6.4902000000000001E-2</v>
      </c>
      <c r="S38">
        <v>6.2685000000000005E-2</v>
      </c>
      <c r="T38">
        <v>6.0434000000000002E-2</v>
      </c>
      <c r="U38">
        <v>5.8535999999999998E-2</v>
      </c>
      <c r="V38">
        <v>5.7188000000000003E-2</v>
      </c>
      <c r="W38">
        <v>5.5987000000000002E-2</v>
      </c>
      <c r="X38">
        <v>5.4594999999999998E-2</v>
      </c>
      <c r="Y38">
        <v>5.3534999999999999E-2</v>
      </c>
      <c r="Z38">
        <v>5.2807E-2</v>
      </c>
      <c r="AA38">
        <v>5.2412E-2</v>
      </c>
      <c r="AB38">
        <v>5.2122000000000002E-2</v>
      </c>
      <c r="AC38">
        <v>5.2130000000000003E-2</v>
      </c>
      <c r="AD38">
        <v>5.2162E-2</v>
      </c>
      <c r="AE38">
        <v>5.2194999999999998E-2</v>
      </c>
      <c r="AF38">
        <v>5.2098999999999999E-2</v>
      </c>
      <c r="AG38" s="9">
        <v>-4.5999999999999999E-2</v>
      </c>
    </row>
    <row r="39" spans="1:33">
      <c r="A39" t="s">
        <v>184</v>
      </c>
      <c r="B39" t="s">
        <v>1638</v>
      </c>
      <c r="C39" t="s">
        <v>1637</v>
      </c>
      <c r="D39" t="s">
        <v>194</v>
      </c>
      <c r="F39">
        <v>4.7856000000000003E-2</v>
      </c>
      <c r="G39">
        <v>5.7736999999999997E-2</v>
      </c>
      <c r="H39">
        <v>6.6908999999999996E-2</v>
      </c>
      <c r="I39">
        <v>7.5483999999999996E-2</v>
      </c>
      <c r="J39">
        <v>8.2448999999999995E-2</v>
      </c>
      <c r="K39">
        <v>8.8404999999999997E-2</v>
      </c>
      <c r="L39">
        <v>9.3265000000000001E-2</v>
      </c>
      <c r="M39">
        <v>9.6863000000000005E-2</v>
      </c>
      <c r="N39">
        <v>9.9866999999999997E-2</v>
      </c>
      <c r="O39">
        <v>0.102191</v>
      </c>
      <c r="P39">
        <v>0.104356</v>
      </c>
      <c r="Q39">
        <v>0.105952</v>
      </c>
      <c r="R39">
        <v>0.10739799999999999</v>
      </c>
      <c r="S39">
        <v>0.108672</v>
      </c>
      <c r="T39">
        <v>0.109947</v>
      </c>
      <c r="U39">
        <v>0.111064</v>
      </c>
      <c r="V39">
        <v>0.11217199999999999</v>
      </c>
      <c r="W39">
        <v>0.11304699999999999</v>
      </c>
      <c r="X39">
        <v>0.113818</v>
      </c>
      <c r="Y39">
        <v>0.114437</v>
      </c>
      <c r="Z39">
        <v>0.114983</v>
      </c>
      <c r="AA39">
        <v>0.115591</v>
      </c>
      <c r="AB39">
        <v>0.11615499999999999</v>
      </c>
      <c r="AC39">
        <v>0.11715</v>
      </c>
      <c r="AD39">
        <v>0.118132</v>
      </c>
      <c r="AE39">
        <v>0.118927</v>
      </c>
      <c r="AF39">
        <v>0.119593</v>
      </c>
      <c r="AG39" s="9">
        <v>3.5999999999999997E-2</v>
      </c>
    </row>
    <row r="40" spans="1:33">
      <c r="A40" t="s">
        <v>187</v>
      </c>
      <c r="B40" t="s">
        <v>1636</v>
      </c>
      <c r="C40" t="s">
        <v>1635</v>
      </c>
      <c r="D40" t="s">
        <v>194</v>
      </c>
      <c r="F40">
        <v>2.1094580000000001</v>
      </c>
      <c r="G40">
        <v>2.214413</v>
      </c>
      <c r="H40">
        <v>2.3001610000000001</v>
      </c>
      <c r="I40">
        <v>2.3472629999999999</v>
      </c>
      <c r="J40">
        <v>2.3785280000000002</v>
      </c>
      <c r="K40">
        <v>2.4064909999999999</v>
      </c>
      <c r="L40">
        <v>2.4318550000000001</v>
      </c>
      <c r="M40">
        <v>2.4521289999999998</v>
      </c>
      <c r="N40">
        <v>2.4740410000000002</v>
      </c>
      <c r="O40">
        <v>2.4960559999999998</v>
      </c>
      <c r="P40">
        <v>2.521617</v>
      </c>
      <c r="Q40">
        <v>2.5483570000000002</v>
      </c>
      <c r="R40">
        <v>2.5778829999999999</v>
      </c>
      <c r="S40">
        <v>2.617191</v>
      </c>
      <c r="T40">
        <v>2.654404</v>
      </c>
      <c r="U40">
        <v>2.6962579999999998</v>
      </c>
      <c r="V40">
        <v>2.7533029999999998</v>
      </c>
      <c r="W40">
        <v>2.8257400000000001</v>
      </c>
      <c r="X40">
        <v>2.9015680000000001</v>
      </c>
      <c r="Y40">
        <v>2.9739230000000001</v>
      </c>
      <c r="Z40">
        <v>3.0567959999999998</v>
      </c>
      <c r="AA40">
        <v>3.1516289999999998</v>
      </c>
      <c r="AB40">
        <v>3.2652610000000002</v>
      </c>
      <c r="AC40">
        <v>3.4182450000000002</v>
      </c>
      <c r="AD40">
        <v>3.6164770000000002</v>
      </c>
      <c r="AE40">
        <v>3.8481260000000002</v>
      </c>
      <c r="AF40">
        <v>4.1315439999999999</v>
      </c>
      <c r="AG40" s="9">
        <v>2.5999999999999999E-2</v>
      </c>
    </row>
    <row r="41" spans="1:33">
      <c r="A41" t="s">
        <v>227</v>
      </c>
      <c r="B41" t="s">
        <v>1634</v>
      </c>
      <c r="C41" t="s">
        <v>1633</v>
      </c>
      <c r="D41" t="s">
        <v>194</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110</v>
      </c>
    </row>
    <row r="42" spans="1:33">
      <c r="A42" t="s">
        <v>228</v>
      </c>
      <c r="B42" t="s">
        <v>1632</v>
      </c>
      <c r="C42" t="s">
        <v>1631</v>
      </c>
      <c r="D42" t="s">
        <v>194</v>
      </c>
      <c r="F42">
        <v>0.18515499999999999</v>
      </c>
      <c r="G42">
        <v>0.24551999999999999</v>
      </c>
      <c r="H42">
        <v>0.30169099999999999</v>
      </c>
      <c r="I42">
        <v>0.35297400000000001</v>
      </c>
      <c r="J42">
        <v>0.39618599999999998</v>
      </c>
      <c r="K42">
        <v>0.43319400000000002</v>
      </c>
      <c r="L42">
        <v>0.46518399999999999</v>
      </c>
      <c r="M42">
        <v>0.49213899999999999</v>
      </c>
      <c r="N42">
        <v>0.51570899999999997</v>
      </c>
      <c r="O42">
        <v>0.53597600000000001</v>
      </c>
      <c r="P42">
        <v>0.55396900000000004</v>
      </c>
      <c r="Q42">
        <v>0.56943999999999995</v>
      </c>
      <c r="R42">
        <v>0.58362599999999998</v>
      </c>
      <c r="S42">
        <v>0.596418</v>
      </c>
      <c r="T42">
        <v>0.60785299999999998</v>
      </c>
      <c r="U42">
        <v>0.61746599999999996</v>
      </c>
      <c r="V42">
        <v>0.62655300000000003</v>
      </c>
      <c r="W42">
        <v>0.63464799999999999</v>
      </c>
      <c r="X42">
        <v>0.64217500000000005</v>
      </c>
      <c r="Y42">
        <v>0.64864299999999997</v>
      </c>
      <c r="Z42">
        <v>0.65428299999999995</v>
      </c>
      <c r="AA42">
        <v>0.66003299999999998</v>
      </c>
      <c r="AB42">
        <v>0.66523100000000002</v>
      </c>
      <c r="AC42">
        <v>0.67273099999999997</v>
      </c>
      <c r="AD42">
        <v>0.68039099999999997</v>
      </c>
      <c r="AE42">
        <v>0.68770299999999995</v>
      </c>
      <c r="AF42">
        <v>0.69397600000000004</v>
      </c>
      <c r="AG42" s="9">
        <v>5.1999999999999998E-2</v>
      </c>
    </row>
    <row r="43" spans="1:33">
      <c r="A43" t="s">
        <v>229</v>
      </c>
      <c r="B43" t="s">
        <v>1630</v>
      </c>
      <c r="C43" t="s">
        <v>1629</v>
      </c>
      <c r="D43" t="s">
        <v>194</v>
      </c>
      <c r="F43">
        <v>0</v>
      </c>
      <c r="G43">
        <v>0</v>
      </c>
      <c r="H43">
        <v>1.5969999999999999E-3</v>
      </c>
      <c r="I43">
        <v>4.424E-3</v>
      </c>
      <c r="J43">
        <v>7.4520000000000003E-3</v>
      </c>
      <c r="K43">
        <v>1.0940999999999999E-2</v>
      </c>
      <c r="L43">
        <v>1.4944000000000001E-2</v>
      </c>
      <c r="M43">
        <v>1.9642E-2</v>
      </c>
      <c r="N43">
        <v>2.5437999999999999E-2</v>
      </c>
      <c r="O43">
        <v>2.3895E-2</v>
      </c>
      <c r="P43">
        <v>2.2523999999999999E-2</v>
      </c>
      <c r="Q43">
        <v>2.1420999999999999E-2</v>
      </c>
      <c r="R43">
        <v>2.0462999999999999E-2</v>
      </c>
      <c r="S43">
        <v>1.9831000000000001E-2</v>
      </c>
      <c r="T43">
        <v>1.9446999999999999E-2</v>
      </c>
      <c r="U43">
        <v>1.9268E-2</v>
      </c>
      <c r="V43">
        <v>1.9012999999999999E-2</v>
      </c>
      <c r="W43">
        <v>1.8571000000000001E-2</v>
      </c>
      <c r="X43">
        <v>1.7878000000000002E-2</v>
      </c>
      <c r="Y43">
        <v>1.6910999999999999E-2</v>
      </c>
      <c r="Z43">
        <v>1.5798E-2</v>
      </c>
      <c r="AA43">
        <v>1.456E-2</v>
      </c>
      <c r="AB43">
        <v>1.3139E-2</v>
      </c>
      <c r="AC43">
        <v>1.1603E-2</v>
      </c>
      <c r="AD43">
        <v>1.0300999999999999E-2</v>
      </c>
      <c r="AE43">
        <v>9.221E-3</v>
      </c>
      <c r="AF43">
        <v>8.345E-3</v>
      </c>
      <c r="AG43" t="s">
        <v>110</v>
      </c>
    </row>
    <row r="44" spans="1:33">
      <c r="A44" t="s">
        <v>230</v>
      </c>
      <c r="B44" t="s">
        <v>1628</v>
      </c>
      <c r="C44" t="s">
        <v>1627</v>
      </c>
      <c r="D44" t="s">
        <v>194</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110</v>
      </c>
    </row>
    <row r="45" spans="1:33">
      <c r="A45" t="s">
        <v>231</v>
      </c>
      <c r="B45" t="s">
        <v>1626</v>
      </c>
      <c r="C45" t="s">
        <v>1625</v>
      </c>
      <c r="D45" t="s">
        <v>194</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110</v>
      </c>
    </row>
    <row r="46" spans="1:33">
      <c r="A46" t="s">
        <v>574</v>
      </c>
      <c r="B46" t="s">
        <v>1624</v>
      </c>
      <c r="C46" t="s">
        <v>1623</v>
      </c>
      <c r="D46" t="s">
        <v>194</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110</v>
      </c>
    </row>
    <row r="47" spans="1:33">
      <c r="A47" t="s">
        <v>571</v>
      </c>
      <c r="B47" t="s">
        <v>1622</v>
      </c>
      <c r="C47" t="s">
        <v>1621</v>
      </c>
      <c r="D47" t="s">
        <v>194</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110</v>
      </c>
    </row>
    <row r="48" spans="1:33">
      <c r="A48" t="s">
        <v>568</v>
      </c>
      <c r="B48" t="s">
        <v>1620</v>
      </c>
      <c r="C48" t="s">
        <v>1619</v>
      </c>
      <c r="D48" t="s">
        <v>194</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110</v>
      </c>
    </row>
    <row r="49" spans="1:33" s="58" customFormat="1">
      <c r="A49" s="58" t="s">
        <v>235</v>
      </c>
      <c r="B49" s="58" t="s">
        <v>1618</v>
      </c>
      <c r="C49" s="58" t="s">
        <v>1617</v>
      </c>
      <c r="D49" s="58" t="s">
        <v>194</v>
      </c>
      <c r="F49" s="58">
        <v>195.47178600000001</v>
      </c>
      <c r="G49" s="58">
        <v>200.263214</v>
      </c>
      <c r="H49" s="58">
        <v>203.781387</v>
      </c>
      <c r="I49" s="58">
        <v>207.091309</v>
      </c>
      <c r="J49" s="58">
        <v>209.459946</v>
      </c>
      <c r="K49" s="58">
        <v>211.624908</v>
      </c>
      <c r="L49" s="58">
        <v>213.58685299999999</v>
      </c>
      <c r="M49" s="58">
        <v>215.039703</v>
      </c>
      <c r="N49" s="58">
        <v>216.39988700000001</v>
      </c>
      <c r="O49" s="58">
        <v>217.47335799999999</v>
      </c>
      <c r="P49" s="58">
        <v>218.671783</v>
      </c>
      <c r="Q49" s="58">
        <v>219.823669</v>
      </c>
      <c r="R49" s="58">
        <v>221.246475</v>
      </c>
      <c r="S49" s="58">
        <v>222.829758</v>
      </c>
      <c r="T49" s="58">
        <v>224.413895</v>
      </c>
      <c r="U49" s="58">
        <v>225.715836</v>
      </c>
      <c r="V49" s="58">
        <v>227.05023199999999</v>
      </c>
      <c r="W49" s="58">
        <v>228.286179</v>
      </c>
      <c r="X49" s="58">
        <v>229.52342200000001</v>
      </c>
      <c r="Y49" s="58">
        <v>230.54377700000001</v>
      </c>
      <c r="Z49" s="58">
        <v>231.37148999999999</v>
      </c>
      <c r="AA49" s="58">
        <v>232.25056499999999</v>
      </c>
      <c r="AB49" s="58">
        <v>232.92233300000001</v>
      </c>
      <c r="AC49" s="58">
        <v>234.414322</v>
      </c>
      <c r="AD49" s="58">
        <v>235.96463</v>
      </c>
      <c r="AE49" s="58">
        <v>237.36372399999999</v>
      </c>
      <c r="AF49" s="58">
        <v>238.431488</v>
      </c>
      <c r="AG49" s="59">
        <v>8.0000000000000002E-3</v>
      </c>
    </row>
    <row r="50" spans="1:33">
      <c r="A50" t="s">
        <v>236</v>
      </c>
      <c r="B50" t="s">
        <v>1616</v>
      </c>
      <c r="C50" t="s">
        <v>1615</v>
      </c>
      <c r="D50" t="s">
        <v>194</v>
      </c>
      <c r="F50">
        <v>340.05352800000003</v>
      </c>
      <c r="G50">
        <v>346.20687900000001</v>
      </c>
      <c r="H50">
        <v>350.06643700000001</v>
      </c>
      <c r="I50">
        <v>353.524384</v>
      </c>
      <c r="J50">
        <v>356.01034499999997</v>
      </c>
      <c r="K50">
        <v>358.95349099999999</v>
      </c>
      <c r="L50">
        <v>362.113586</v>
      </c>
      <c r="M50">
        <v>364.84457400000002</v>
      </c>
      <c r="N50">
        <v>367.71246300000001</v>
      </c>
      <c r="O50">
        <v>370.27838100000002</v>
      </c>
      <c r="P50">
        <v>373.22351099999997</v>
      </c>
      <c r="Q50">
        <v>376.19232199999999</v>
      </c>
      <c r="R50">
        <v>379.62286399999999</v>
      </c>
      <c r="S50">
        <v>383.28610200000003</v>
      </c>
      <c r="T50">
        <v>386.97692899999998</v>
      </c>
      <c r="U50">
        <v>390.32254</v>
      </c>
      <c r="V50">
        <v>393.88848899999999</v>
      </c>
      <c r="W50">
        <v>397.25256300000001</v>
      </c>
      <c r="X50">
        <v>400.59161399999999</v>
      </c>
      <c r="Y50">
        <v>403.49899299999998</v>
      </c>
      <c r="Z50">
        <v>406.14782700000001</v>
      </c>
      <c r="AA50">
        <v>409.07757600000002</v>
      </c>
      <c r="AB50">
        <v>411.83511399999998</v>
      </c>
      <c r="AC50">
        <v>416.007904</v>
      </c>
      <c r="AD50">
        <v>420.09542800000003</v>
      </c>
      <c r="AE50">
        <v>423.83947799999999</v>
      </c>
      <c r="AF50">
        <v>427.049103</v>
      </c>
      <c r="AG50" s="9">
        <v>8.9999999999999993E-3</v>
      </c>
    </row>
    <row r="51" spans="1:33">
      <c r="A51" t="s">
        <v>237</v>
      </c>
    </row>
    <row r="52" spans="1:33">
      <c r="A52" t="s">
        <v>162</v>
      </c>
    </row>
    <row r="53" spans="1:33">
      <c r="A53" t="s">
        <v>181</v>
      </c>
      <c r="B53" t="s">
        <v>1614</v>
      </c>
      <c r="C53" t="s">
        <v>1613</v>
      </c>
      <c r="D53" t="s">
        <v>193</v>
      </c>
      <c r="F53">
        <v>539.32830799999999</v>
      </c>
      <c r="G53">
        <v>535.87744099999998</v>
      </c>
      <c r="H53">
        <v>526.47082499999999</v>
      </c>
      <c r="I53">
        <v>514.90979000000004</v>
      </c>
      <c r="J53">
        <v>500.66012599999999</v>
      </c>
      <c r="K53">
        <v>487.09197999999998</v>
      </c>
      <c r="L53">
        <v>472.83761600000003</v>
      </c>
      <c r="M53">
        <v>456.98330700000002</v>
      </c>
      <c r="N53">
        <v>439.54986600000001</v>
      </c>
      <c r="O53">
        <v>421.112213</v>
      </c>
      <c r="P53">
        <v>402.77359000000001</v>
      </c>
      <c r="Q53">
        <v>384.41812099999999</v>
      </c>
      <c r="R53">
        <v>366.71688799999998</v>
      </c>
      <c r="S53">
        <v>349.36556999999999</v>
      </c>
      <c r="T53">
        <v>331.83755500000001</v>
      </c>
      <c r="U53">
        <v>313.92739899999998</v>
      </c>
      <c r="V53">
        <v>297.00720200000001</v>
      </c>
      <c r="W53">
        <v>280.08450299999998</v>
      </c>
      <c r="X53">
        <v>263.625</v>
      </c>
      <c r="Y53">
        <v>247.19342</v>
      </c>
      <c r="Z53">
        <v>231.70181299999999</v>
      </c>
      <c r="AA53">
        <v>217.603363</v>
      </c>
      <c r="AB53">
        <v>204.607315</v>
      </c>
      <c r="AC53">
        <v>192.892731</v>
      </c>
      <c r="AD53">
        <v>181.41439800000001</v>
      </c>
      <c r="AE53">
        <v>170.285416</v>
      </c>
      <c r="AF53">
        <v>159.76902799999999</v>
      </c>
      <c r="AG53" s="9">
        <v>-4.5999999999999999E-2</v>
      </c>
    </row>
    <row r="54" spans="1:33">
      <c r="A54" t="s">
        <v>226</v>
      </c>
      <c r="B54" t="s">
        <v>1612</v>
      </c>
      <c r="C54" t="s">
        <v>1611</v>
      </c>
      <c r="D54" t="s">
        <v>193</v>
      </c>
      <c r="F54">
        <v>270.20654300000001</v>
      </c>
      <c r="G54">
        <v>286.74316399999998</v>
      </c>
      <c r="H54">
        <v>300.59240699999998</v>
      </c>
      <c r="I54">
        <v>312.42083700000001</v>
      </c>
      <c r="J54">
        <v>320.31881700000002</v>
      </c>
      <c r="K54">
        <v>326.26678500000003</v>
      </c>
      <c r="L54">
        <v>329.71170000000001</v>
      </c>
      <c r="M54">
        <v>329.802032</v>
      </c>
      <c r="N54">
        <v>327.10320999999999</v>
      </c>
      <c r="O54">
        <v>322.50714099999999</v>
      </c>
      <c r="P54">
        <v>316.945312</v>
      </c>
      <c r="Q54">
        <v>310.35699499999998</v>
      </c>
      <c r="R54">
        <v>303.54803500000003</v>
      </c>
      <c r="S54">
        <v>296.39196800000002</v>
      </c>
      <c r="T54">
        <v>288.21630900000002</v>
      </c>
      <c r="U54">
        <v>278.85684199999997</v>
      </c>
      <c r="V54">
        <v>269.63986199999999</v>
      </c>
      <c r="W54">
        <v>259.62844799999999</v>
      </c>
      <c r="X54">
        <v>249.007294</v>
      </c>
      <c r="Y54">
        <v>237.562637</v>
      </c>
      <c r="Z54">
        <v>226.576401</v>
      </c>
      <c r="AA54">
        <v>216.55032299999999</v>
      </c>
      <c r="AB54">
        <v>207.086716</v>
      </c>
      <c r="AC54">
        <v>198.388046</v>
      </c>
      <c r="AD54">
        <v>189.61007699999999</v>
      </c>
      <c r="AE54">
        <v>180.95361299999999</v>
      </c>
      <c r="AF54">
        <v>172.71246300000001</v>
      </c>
      <c r="AG54" s="9">
        <v>-1.7000000000000001E-2</v>
      </c>
    </row>
    <row r="55" spans="1:33">
      <c r="A55" t="s">
        <v>184</v>
      </c>
      <c r="B55" t="s">
        <v>1610</v>
      </c>
      <c r="C55" t="s">
        <v>1609</v>
      </c>
      <c r="D55" t="s">
        <v>193</v>
      </c>
      <c r="F55">
        <v>9.8759999999999994E-3</v>
      </c>
      <c r="G55">
        <v>9.6780000000000008E-3</v>
      </c>
      <c r="H55">
        <v>9.4769999999999993E-3</v>
      </c>
      <c r="I55">
        <v>9.3229999999999997E-3</v>
      </c>
      <c r="J55">
        <v>9.3380000000000008E-3</v>
      </c>
      <c r="K55">
        <v>9.4339999999999997E-3</v>
      </c>
      <c r="L55">
        <v>9.5499999999999995E-3</v>
      </c>
      <c r="M55">
        <v>9.6950000000000005E-3</v>
      </c>
      <c r="N55">
        <v>9.8689999999999993E-3</v>
      </c>
      <c r="O55">
        <v>9.639E-3</v>
      </c>
      <c r="P55">
        <v>9.2820000000000003E-3</v>
      </c>
      <c r="Q55">
        <v>9.1350000000000008E-3</v>
      </c>
      <c r="R55">
        <v>9.1500000000000001E-3</v>
      </c>
      <c r="S55">
        <v>9.2680000000000002E-3</v>
      </c>
      <c r="T55">
        <v>9.4549999999999999E-3</v>
      </c>
      <c r="U55">
        <v>9.6740000000000003E-3</v>
      </c>
      <c r="V55">
        <v>9.9190000000000007E-3</v>
      </c>
      <c r="W55">
        <v>1.0160000000000001E-2</v>
      </c>
      <c r="X55">
        <v>1.0387E-2</v>
      </c>
      <c r="Y55">
        <v>1.0591E-2</v>
      </c>
      <c r="Z55">
        <v>1.0782E-2</v>
      </c>
      <c r="AA55">
        <v>1.0982E-2</v>
      </c>
      <c r="AB55">
        <v>1.1176999999999999E-2</v>
      </c>
      <c r="AC55">
        <v>1.14E-2</v>
      </c>
      <c r="AD55">
        <v>1.1604E-2</v>
      </c>
      <c r="AE55">
        <v>1.1789000000000001E-2</v>
      </c>
      <c r="AF55">
        <v>1.1957000000000001E-2</v>
      </c>
      <c r="AG55" s="9">
        <v>7.0000000000000001E-3</v>
      </c>
    </row>
    <row r="56" spans="1:33">
      <c r="A56" t="s">
        <v>187</v>
      </c>
      <c r="B56" t="s">
        <v>1608</v>
      </c>
      <c r="C56" t="s">
        <v>1607</v>
      </c>
      <c r="D56" t="s">
        <v>193</v>
      </c>
      <c r="F56">
        <v>0.92232899999999995</v>
      </c>
      <c r="G56">
        <v>2.4081709999999998</v>
      </c>
      <c r="H56">
        <v>4.0482360000000002</v>
      </c>
      <c r="I56">
        <v>5.7588280000000003</v>
      </c>
      <c r="J56">
        <v>6.7716529999999997</v>
      </c>
      <c r="K56">
        <v>7.8335220000000003</v>
      </c>
      <c r="L56">
        <v>8.6189680000000006</v>
      </c>
      <c r="M56">
        <v>9.037191</v>
      </c>
      <c r="N56">
        <v>9.3006480000000007</v>
      </c>
      <c r="O56">
        <v>9.3489950000000004</v>
      </c>
      <c r="P56">
        <v>9.4854869999999991</v>
      </c>
      <c r="Q56">
        <v>9.7867789999999992</v>
      </c>
      <c r="R56">
        <v>10.174992</v>
      </c>
      <c r="S56">
        <v>10.690709</v>
      </c>
      <c r="T56">
        <v>11.461022</v>
      </c>
      <c r="U56">
        <v>12.313684</v>
      </c>
      <c r="V56">
        <v>13.393580999999999</v>
      </c>
      <c r="W56">
        <v>14.774547999999999</v>
      </c>
      <c r="X56">
        <v>16.355795000000001</v>
      </c>
      <c r="Y56">
        <v>18.112090999999999</v>
      </c>
      <c r="Z56">
        <v>19.866278000000001</v>
      </c>
      <c r="AA56">
        <v>21.762203</v>
      </c>
      <c r="AB56">
        <v>23.796016999999999</v>
      </c>
      <c r="AC56">
        <v>26.11871</v>
      </c>
      <c r="AD56">
        <v>28.521559</v>
      </c>
      <c r="AE56">
        <v>31.067458999999999</v>
      </c>
      <c r="AF56">
        <v>33.688952999999998</v>
      </c>
      <c r="AG56" s="9">
        <v>0.14799999999999999</v>
      </c>
    </row>
    <row r="57" spans="1:33">
      <c r="A57" t="s">
        <v>227</v>
      </c>
      <c r="B57" t="s">
        <v>1606</v>
      </c>
      <c r="C57" t="s">
        <v>1605</v>
      </c>
      <c r="D57" t="s">
        <v>193</v>
      </c>
      <c r="F57">
        <v>40.716315999999999</v>
      </c>
      <c r="G57">
        <v>37.109366999999999</v>
      </c>
      <c r="H57">
        <v>33.380229999999997</v>
      </c>
      <c r="I57">
        <v>29.907885</v>
      </c>
      <c r="J57">
        <v>26.824255000000001</v>
      </c>
      <c r="K57">
        <v>24.225940999999999</v>
      </c>
      <c r="L57">
        <v>21.93648</v>
      </c>
      <c r="M57">
        <v>19.895927</v>
      </c>
      <c r="N57">
        <v>18.051977000000001</v>
      </c>
      <c r="O57">
        <v>16.351952000000001</v>
      </c>
      <c r="P57">
        <v>14.802211</v>
      </c>
      <c r="Q57">
        <v>13.389184</v>
      </c>
      <c r="R57">
        <v>12.073988999999999</v>
      </c>
      <c r="S57">
        <v>10.838914000000001</v>
      </c>
      <c r="T57">
        <v>9.6831160000000001</v>
      </c>
      <c r="U57">
        <v>8.6211570000000002</v>
      </c>
      <c r="V57">
        <v>7.6712660000000001</v>
      </c>
      <c r="W57">
        <v>6.8364719999999997</v>
      </c>
      <c r="X57">
        <v>6.1080100000000002</v>
      </c>
      <c r="Y57">
        <v>5.4671849999999997</v>
      </c>
      <c r="Z57">
        <v>4.8528729999999998</v>
      </c>
      <c r="AA57">
        <v>4.2811690000000002</v>
      </c>
      <c r="AB57">
        <v>3.7411020000000001</v>
      </c>
      <c r="AC57">
        <v>3.2653530000000002</v>
      </c>
      <c r="AD57">
        <v>2.7555480000000001</v>
      </c>
      <c r="AE57">
        <v>2.2511809999999999</v>
      </c>
      <c r="AF57">
        <v>1.7685310000000001</v>
      </c>
      <c r="AG57" s="9">
        <v>-0.114</v>
      </c>
    </row>
    <row r="58" spans="1:33">
      <c r="A58" t="s">
        <v>228</v>
      </c>
      <c r="B58" t="s">
        <v>1604</v>
      </c>
      <c r="C58" t="s">
        <v>1603</v>
      </c>
      <c r="D58" t="s">
        <v>193</v>
      </c>
      <c r="F58">
        <v>0.29254200000000002</v>
      </c>
      <c r="G58">
        <v>0.39745999999999998</v>
      </c>
      <c r="H58">
        <v>0.494035</v>
      </c>
      <c r="I58">
        <v>0.57998000000000005</v>
      </c>
      <c r="J58">
        <v>0.65522100000000005</v>
      </c>
      <c r="K58">
        <v>0.72641299999999998</v>
      </c>
      <c r="L58">
        <v>0.80841700000000005</v>
      </c>
      <c r="M58">
        <v>1.033936</v>
      </c>
      <c r="N58">
        <v>1.440906</v>
      </c>
      <c r="O58">
        <v>1.823518</v>
      </c>
      <c r="P58">
        <v>2.43858</v>
      </c>
      <c r="Q58">
        <v>3.4486059999999998</v>
      </c>
      <c r="R58">
        <v>4.8937140000000001</v>
      </c>
      <c r="S58">
        <v>6.688231</v>
      </c>
      <c r="T58">
        <v>8.867578</v>
      </c>
      <c r="U58">
        <v>11.444328000000001</v>
      </c>
      <c r="V58">
        <v>14.47161</v>
      </c>
      <c r="W58">
        <v>18.156417999999999</v>
      </c>
      <c r="X58">
        <v>22.357728999999999</v>
      </c>
      <c r="Y58">
        <v>26.97221</v>
      </c>
      <c r="Z58">
        <v>31.631969000000002</v>
      </c>
      <c r="AA58">
        <v>36.500670999999997</v>
      </c>
      <c r="AB58">
        <v>41.514029999999998</v>
      </c>
      <c r="AC58">
        <v>46.904494999999997</v>
      </c>
      <c r="AD58">
        <v>52.434565999999997</v>
      </c>
      <c r="AE58">
        <v>57.970725999999999</v>
      </c>
      <c r="AF58">
        <v>63.491337000000001</v>
      </c>
      <c r="AG58" s="9">
        <v>0.23</v>
      </c>
    </row>
    <row r="59" spans="1:33">
      <c r="A59" t="s">
        <v>229</v>
      </c>
      <c r="B59" t="s">
        <v>1602</v>
      </c>
      <c r="C59" t="s">
        <v>1601</v>
      </c>
      <c r="D59" t="s">
        <v>193</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110</v>
      </c>
    </row>
    <row r="60" spans="1:33">
      <c r="A60" t="s">
        <v>230</v>
      </c>
      <c r="B60" t="s">
        <v>1600</v>
      </c>
      <c r="C60" t="s">
        <v>1599</v>
      </c>
      <c r="D60" t="s">
        <v>193</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110</v>
      </c>
    </row>
    <row r="61" spans="1:33">
      <c r="A61" t="s">
        <v>231</v>
      </c>
      <c r="B61" t="s">
        <v>1598</v>
      </c>
      <c r="C61" t="s">
        <v>1597</v>
      </c>
      <c r="D61" t="s">
        <v>193</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110</v>
      </c>
    </row>
    <row r="62" spans="1:33">
      <c r="A62" t="s">
        <v>574</v>
      </c>
      <c r="B62" t="s">
        <v>1596</v>
      </c>
      <c r="C62" t="s">
        <v>1595</v>
      </c>
      <c r="D62" t="s">
        <v>193</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110</v>
      </c>
    </row>
    <row r="63" spans="1:33">
      <c r="A63" t="s">
        <v>571</v>
      </c>
      <c r="B63" t="s">
        <v>1594</v>
      </c>
      <c r="C63" t="s">
        <v>1593</v>
      </c>
      <c r="D63" t="s">
        <v>193</v>
      </c>
      <c r="F63">
        <v>0</v>
      </c>
      <c r="G63">
        <v>0.95440199999999997</v>
      </c>
      <c r="H63">
        <v>2.4927169999999998</v>
      </c>
      <c r="I63">
        <v>4.5722139999999998</v>
      </c>
      <c r="J63">
        <v>11.711790000000001</v>
      </c>
      <c r="K63">
        <v>24.769062000000002</v>
      </c>
      <c r="L63">
        <v>43.507514999999998</v>
      </c>
      <c r="M63">
        <v>67.176765000000003</v>
      </c>
      <c r="N63">
        <v>95.398871999999997</v>
      </c>
      <c r="O63">
        <v>126.438271</v>
      </c>
      <c r="P63">
        <v>158.769058</v>
      </c>
      <c r="Q63">
        <v>191.04911799999999</v>
      </c>
      <c r="R63">
        <v>222.48751799999999</v>
      </c>
      <c r="S63">
        <v>252.82922400000001</v>
      </c>
      <c r="T63">
        <v>283.12927200000001</v>
      </c>
      <c r="U63">
        <v>313.562836</v>
      </c>
      <c r="V63">
        <v>343.07336400000003</v>
      </c>
      <c r="W63">
        <v>370.79885899999999</v>
      </c>
      <c r="X63">
        <v>396.84454299999999</v>
      </c>
      <c r="Y63">
        <v>420.95086700000002</v>
      </c>
      <c r="Z63">
        <v>443.47396900000001</v>
      </c>
      <c r="AA63">
        <v>465.08380099999999</v>
      </c>
      <c r="AB63">
        <v>485.47805799999998</v>
      </c>
      <c r="AC63">
        <v>505.99935900000003</v>
      </c>
      <c r="AD63">
        <v>524.76403800000003</v>
      </c>
      <c r="AE63">
        <v>541.83367899999996</v>
      </c>
      <c r="AF63">
        <v>557.18951400000003</v>
      </c>
      <c r="AG63" t="s">
        <v>110</v>
      </c>
    </row>
    <row r="64" spans="1:33">
      <c r="A64" t="s">
        <v>568</v>
      </c>
      <c r="B64" t="s">
        <v>1592</v>
      </c>
      <c r="C64" t="s">
        <v>1591</v>
      </c>
      <c r="D64" t="s">
        <v>193</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t="s">
        <v>110</v>
      </c>
    </row>
    <row r="65" spans="1:33">
      <c r="A65" t="s">
        <v>232</v>
      </c>
      <c r="B65" t="s">
        <v>1590</v>
      </c>
      <c r="C65" t="s">
        <v>1589</v>
      </c>
      <c r="D65" t="s">
        <v>193</v>
      </c>
      <c r="F65">
        <v>851.47570800000005</v>
      </c>
      <c r="G65">
        <v>863.49969499999997</v>
      </c>
      <c r="H65">
        <v>867.48779300000001</v>
      </c>
      <c r="I65">
        <v>868.15893600000004</v>
      </c>
      <c r="J65">
        <v>866.95111099999997</v>
      </c>
      <c r="K65">
        <v>870.92315699999995</v>
      </c>
      <c r="L65">
        <v>877.43029799999999</v>
      </c>
      <c r="M65">
        <v>883.93908699999997</v>
      </c>
      <c r="N65">
        <v>890.85497999999995</v>
      </c>
      <c r="O65">
        <v>897.59155299999998</v>
      </c>
      <c r="P65">
        <v>905.22363299999995</v>
      </c>
      <c r="Q65">
        <v>912.45806900000002</v>
      </c>
      <c r="R65">
        <v>919.90423599999997</v>
      </c>
      <c r="S65">
        <v>926.81359899999995</v>
      </c>
      <c r="T65">
        <v>933.20452899999998</v>
      </c>
      <c r="U65">
        <v>938.73590100000001</v>
      </c>
      <c r="V65">
        <v>945.26709000000005</v>
      </c>
      <c r="W65">
        <v>950.28949</v>
      </c>
      <c r="X65">
        <v>954.308899</v>
      </c>
      <c r="Y65">
        <v>956.26916500000004</v>
      </c>
      <c r="Z65">
        <v>958.11425799999995</v>
      </c>
      <c r="AA65">
        <v>961.79260299999999</v>
      </c>
      <c r="AB65">
        <v>966.23419200000001</v>
      </c>
      <c r="AC65">
        <v>973.58013900000003</v>
      </c>
      <c r="AD65">
        <v>979.51165800000001</v>
      </c>
      <c r="AE65">
        <v>984.37377900000001</v>
      </c>
      <c r="AF65">
        <v>988.63177499999995</v>
      </c>
      <c r="AG65" s="9">
        <v>6.0000000000000001E-3</v>
      </c>
    </row>
    <row r="66" spans="1:33">
      <c r="A66" t="s">
        <v>163</v>
      </c>
    </row>
    <row r="67" spans="1:33">
      <c r="A67" t="s">
        <v>181</v>
      </c>
      <c r="B67" t="s">
        <v>1588</v>
      </c>
      <c r="C67" t="s">
        <v>1587</v>
      </c>
      <c r="D67" t="s">
        <v>193</v>
      </c>
      <c r="F67">
        <v>572.37652600000001</v>
      </c>
      <c r="G67">
        <v>558.80456500000003</v>
      </c>
      <c r="H67">
        <v>541.12286400000005</v>
      </c>
      <c r="I67">
        <v>523.78063999999995</v>
      </c>
      <c r="J67">
        <v>506.713165</v>
      </c>
      <c r="K67">
        <v>491.63479599999999</v>
      </c>
      <c r="L67">
        <v>477.74710099999999</v>
      </c>
      <c r="M67">
        <v>464.060181</v>
      </c>
      <c r="N67">
        <v>450.953217</v>
      </c>
      <c r="O67">
        <v>437.35858200000001</v>
      </c>
      <c r="P67">
        <v>423.99996900000002</v>
      </c>
      <c r="Q67">
        <v>410.70755000000003</v>
      </c>
      <c r="R67">
        <v>398.23928799999999</v>
      </c>
      <c r="S67">
        <v>386.23608400000001</v>
      </c>
      <c r="T67">
        <v>374.49648999999999</v>
      </c>
      <c r="U67">
        <v>362.95611600000001</v>
      </c>
      <c r="V67">
        <v>352.30072000000001</v>
      </c>
      <c r="W67">
        <v>342.16351300000002</v>
      </c>
      <c r="X67">
        <v>333.05093399999998</v>
      </c>
      <c r="Y67">
        <v>324.80343599999998</v>
      </c>
      <c r="Z67">
        <v>317.37185699999998</v>
      </c>
      <c r="AA67">
        <v>310.901184</v>
      </c>
      <c r="AB67">
        <v>304.93978900000002</v>
      </c>
      <c r="AC67">
        <v>300.66876200000002</v>
      </c>
      <c r="AD67">
        <v>296.874573</v>
      </c>
      <c r="AE67">
        <v>293.21627799999999</v>
      </c>
      <c r="AF67">
        <v>289.48172</v>
      </c>
      <c r="AG67" s="9">
        <v>-2.5999999999999999E-2</v>
      </c>
    </row>
    <row r="68" spans="1:33">
      <c r="A68" t="s">
        <v>226</v>
      </c>
      <c r="B68" t="s">
        <v>1586</v>
      </c>
      <c r="C68" t="s">
        <v>1585</v>
      </c>
      <c r="D68" t="s">
        <v>193</v>
      </c>
      <c r="F68">
        <v>359.68539399999997</v>
      </c>
      <c r="G68">
        <v>360.30960099999999</v>
      </c>
      <c r="H68">
        <v>358.48315400000001</v>
      </c>
      <c r="I68">
        <v>356.47775300000001</v>
      </c>
      <c r="J68">
        <v>353.87088</v>
      </c>
      <c r="K68">
        <v>351.62857100000002</v>
      </c>
      <c r="L68">
        <v>349.46173099999999</v>
      </c>
      <c r="M68">
        <v>346.85674999999998</v>
      </c>
      <c r="N68">
        <v>344.34634399999999</v>
      </c>
      <c r="O68">
        <v>341.01715100000001</v>
      </c>
      <c r="P68">
        <v>337.59548999999998</v>
      </c>
      <c r="Q68">
        <v>333.75140399999998</v>
      </c>
      <c r="R68">
        <v>329.916473</v>
      </c>
      <c r="S68">
        <v>326.27279700000003</v>
      </c>
      <c r="T68">
        <v>322.26357999999999</v>
      </c>
      <c r="U68">
        <v>318.03363000000002</v>
      </c>
      <c r="V68">
        <v>314.02862499999998</v>
      </c>
      <c r="W68">
        <v>310.18368500000003</v>
      </c>
      <c r="X68">
        <v>306.739441</v>
      </c>
      <c r="Y68">
        <v>303.39968900000002</v>
      </c>
      <c r="Z68">
        <v>300.22131300000001</v>
      </c>
      <c r="AA68">
        <v>297.467285</v>
      </c>
      <c r="AB68">
        <v>294.79830900000002</v>
      </c>
      <c r="AC68">
        <v>293.383667</v>
      </c>
      <c r="AD68">
        <v>292.20773300000002</v>
      </c>
      <c r="AE68">
        <v>290.96585099999999</v>
      </c>
      <c r="AF68">
        <v>289.34399400000001</v>
      </c>
      <c r="AG68" s="9">
        <v>-8.0000000000000002E-3</v>
      </c>
    </row>
    <row r="69" spans="1:33">
      <c r="A69" t="s">
        <v>184</v>
      </c>
      <c r="B69" t="s">
        <v>1584</v>
      </c>
      <c r="C69" t="s">
        <v>1583</v>
      </c>
      <c r="D69" t="s">
        <v>193</v>
      </c>
      <c r="F69">
        <v>0.47085199999999999</v>
      </c>
      <c r="G69">
        <v>0.41935099999999997</v>
      </c>
      <c r="H69">
        <v>0.37104700000000002</v>
      </c>
      <c r="I69">
        <v>0.32684800000000003</v>
      </c>
      <c r="J69">
        <v>0.28870000000000001</v>
      </c>
      <c r="K69">
        <v>0.238845</v>
      </c>
      <c r="L69">
        <v>0.21263199999999999</v>
      </c>
      <c r="M69">
        <v>0.188775</v>
      </c>
      <c r="N69">
        <v>0.168763</v>
      </c>
      <c r="O69">
        <v>0.15124199999999999</v>
      </c>
      <c r="P69">
        <v>0.13289300000000001</v>
      </c>
      <c r="Q69">
        <v>0.11908299999999999</v>
      </c>
      <c r="R69">
        <v>0.107998</v>
      </c>
      <c r="S69">
        <v>9.8922999999999997E-2</v>
      </c>
      <c r="T69">
        <v>9.0830999999999995E-2</v>
      </c>
      <c r="U69">
        <v>8.3752999999999994E-2</v>
      </c>
      <c r="V69">
        <v>7.8001000000000001E-2</v>
      </c>
      <c r="W69">
        <v>7.2731000000000004E-2</v>
      </c>
      <c r="X69">
        <v>6.8098000000000006E-2</v>
      </c>
      <c r="Y69">
        <v>6.3923999999999995E-2</v>
      </c>
      <c r="Z69">
        <v>5.9880999999999997E-2</v>
      </c>
      <c r="AA69">
        <v>5.7341000000000003E-2</v>
      </c>
      <c r="AB69">
        <v>5.4455000000000003E-2</v>
      </c>
      <c r="AC69">
        <v>5.1909999999999998E-2</v>
      </c>
      <c r="AD69">
        <v>4.5478999999999999E-2</v>
      </c>
      <c r="AE69">
        <v>3.5347999999999997E-2</v>
      </c>
      <c r="AF69">
        <v>2.7369999999999998E-2</v>
      </c>
      <c r="AG69" s="9">
        <v>-0.104</v>
      </c>
    </row>
    <row r="70" spans="1:33">
      <c r="A70" t="s">
        <v>187</v>
      </c>
      <c r="B70" t="s">
        <v>1582</v>
      </c>
      <c r="C70" t="s">
        <v>1581</v>
      </c>
      <c r="D70" t="s">
        <v>193</v>
      </c>
      <c r="F70">
        <v>3.8930639999999999</v>
      </c>
      <c r="G70">
        <v>5.1351810000000002</v>
      </c>
      <c r="H70">
        <v>6.2655669999999999</v>
      </c>
      <c r="I70">
        <v>7.246683</v>
      </c>
      <c r="J70">
        <v>8.0653629999999996</v>
      </c>
      <c r="K70">
        <v>8.758089</v>
      </c>
      <c r="L70">
        <v>9.3531890000000004</v>
      </c>
      <c r="M70">
        <v>9.8592479999999991</v>
      </c>
      <c r="N70">
        <v>10.31508</v>
      </c>
      <c r="O70">
        <v>10.730149000000001</v>
      </c>
      <c r="P70">
        <v>11.108435999999999</v>
      </c>
      <c r="Q70">
        <v>11.447547</v>
      </c>
      <c r="R70">
        <v>11.750847</v>
      </c>
      <c r="S70">
        <v>12.036473000000001</v>
      </c>
      <c r="T70">
        <v>12.319575</v>
      </c>
      <c r="U70">
        <v>12.586885000000001</v>
      </c>
      <c r="V70">
        <v>12.844605</v>
      </c>
      <c r="W70">
        <v>13.062322999999999</v>
      </c>
      <c r="X70">
        <v>13.289071</v>
      </c>
      <c r="Y70">
        <v>13.52201</v>
      </c>
      <c r="Z70">
        <v>13.743242</v>
      </c>
      <c r="AA70">
        <v>13.97</v>
      </c>
      <c r="AB70">
        <v>14.187524</v>
      </c>
      <c r="AC70">
        <v>14.488526999999999</v>
      </c>
      <c r="AD70">
        <v>14.832860999999999</v>
      </c>
      <c r="AE70">
        <v>15.254797999999999</v>
      </c>
      <c r="AF70">
        <v>15.66183</v>
      </c>
      <c r="AG70" s="9">
        <v>5.5E-2</v>
      </c>
    </row>
    <row r="71" spans="1:33">
      <c r="A71" t="s">
        <v>227</v>
      </c>
      <c r="B71" t="s">
        <v>1580</v>
      </c>
      <c r="C71" t="s">
        <v>1579</v>
      </c>
      <c r="D71" t="s">
        <v>193</v>
      </c>
      <c r="F71">
        <v>9.0335409999999996</v>
      </c>
      <c r="G71">
        <v>8.1573930000000008</v>
      </c>
      <c r="H71">
        <v>7.269139</v>
      </c>
      <c r="I71">
        <v>6.4449149999999999</v>
      </c>
      <c r="J71">
        <v>5.7201279999999999</v>
      </c>
      <c r="K71">
        <v>5.1299650000000003</v>
      </c>
      <c r="L71">
        <v>4.6090689999999999</v>
      </c>
      <c r="M71">
        <v>4.1451770000000003</v>
      </c>
      <c r="N71">
        <v>3.7455750000000001</v>
      </c>
      <c r="O71">
        <v>3.3678439999999998</v>
      </c>
      <c r="P71">
        <v>3.0418370000000001</v>
      </c>
      <c r="Q71">
        <v>2.7652130000000001</v>
      </c>
      <c r="R71">
        <v>2.5227219999999999</v>
      </c>
      <c r="S71">
        <v>2.3180540000000001</v>
      </c>
      <c r="T71">
        <v>2.140215</v>
      </c>
      <c r="U71">
        <v>1.9839070000000001</v>
      </c>
      <c r="V71">
        <v>1.8526009999999999</v>
      </c>
      <c r="W71">
        <v>1.7306029999999999</v>
      </c>
      <c r="X71">
        <v>1.61426</v>
      </c>
      <c r="Y71">
        <v>1.5015909999999999</v>
      </c>
      <c r="Z71">
        <v>1.3909229999999999</v>
      </c>
      <c r="AA71">
        <v>1.2808109999999999</v>
      </c>
      <c r="AB71">
        <v>1.1661630000000001</v>
      </c>
      <c r="AC71">
        <v>1.0466299999999999</v>
      </c>
      <c r="AD71">
        <v>0.92224600000000001</v>
      </c>
      <c r="AE71">
        <v>0.80049199999999998</v>
      </c>
      <c r="AF71">
        <v>0.67332499999999995</v>
      </c>
      <c r="AG71" s="9">
        <v>-9.5000000000000001E-2</v>
      </c>
    </row>
    <row r="72" spans="1:33">
      <c r="A72" t="s">
        <v>228</v>
      </c>
      <c r="B72" t="s">
        <v>1578</v>
      </c>
      <c r="C72" t="s">
        <v>1577</v>
      </c>
      <c r="D72" t="s">
        <v>193</v>
      </c>
      <c r="F72">
        <v>0.124458</v>
      </c>
      <c r="G72">
        <v>0.13747599999999999</v>
      </c>
      <c r="H72">
        <v>0.148559</v>
      </c>
      <c r="I72">
        <v>0.15875900000000001</v>
      </c>
      <c r="J72">
        <v>0.16692299999999999</v>
      </c>
      <c r="K72">
        <v>0.17386299999999999</v>
      </c>
      <c r="L72">
        <v>0.18042900000000001</v>
      </c>
      <c r="M72">
        <v>0.18590899999999999</v>
      </c>
      <c r="N72">
        <v>0.191583</v>
      </c>
      <c r="O72">
        <v>0.19669300000000001</v>
      </c>
      <c r="P72">
        <v>0.20150699999999999</v>
      </c>
      <c r="Q72">
        <v>0.20583699999999999</v>
      </c>
      <c r="R72">
        <v>0.20995</v>
      </c>
      <c r="S72">
        <v>0.21395600000000001</v>
      </c>
      <c r="T72">
        <v>0.21765999999999999</v>
      </c>
      <c r="U72">
        <v>0.22089800000000001</v>
      </c>
      <c r="V72">
        <v>0.22397800000000001</v>
      </c>
      <c r="W72">
        <v>0.226935</v>
      </c>
      <c r="X72">
        <v>0.22981099999999999</v>
      </c>
      <c r="Y72">
        <v>0.23222400000000001</v>
      </c>
      <c r="Z72">
        <v>0.23428499999999999</v>
      </c>
      <c r="AA72">
        <v>0.236315</v>
      </c>
      <c r="AB72">
        <v>0.23807500000000001</v>
      </c>
      <c r="AC72">
        <v>0.240677</v>
      </c>
      <c r="AD72">
        <v>0.243424</v>
      </c>
      <c r="AE72">
        <v>0.246055</v>
      </c>
      <c r="AF72">
        <v>0.2482</v>
      </c>
      <c r="AG72" s="9">
        <v>2.7E-2</v>
      </c>
    </row>
    <row r="73" spans="1:33">
      <c r="A73" t="s">
        <v>229</v>
      </c>
      <c r="B73" t="s">
        <v>1576</v>
      </c>
      <c r="C73" t="s">
        <v>1575</v>
      </c>
      <c r="D73" t="s">
        <v>193</v>
      </c>
      <c r="F73">
        <v>0</v>
      </c>
      <c r="G73">
        <v>0</v>
      </c>
      <c r="H73">
        <v>2.5073000000000002E-2</v>
      </c>
      <c r="I73">
        <v>6.0426000000000001E-2</v>
      </c>
      <c r="J73">
        <v>0.113721</v>
      </c>
      <c r="K73">
        <v>0.179671</v>
      </c>
      <c r="L73">
        <v>0.25176300000000001</v>
      </c>
      <c r="M73">
        <v>0.32860099999999998</v>
      </c>
      <c r="N73">
        <v>0.404474</v>
      </c>
      <c r="O73">
        <v>0.37326100000000001</v>
      </c>
      <c r="P73">
        <v>0.34434900000000002</v>
      </c>
      <c r="Q73">
        <v>0.31725999999999999</v>
      </c>
      <c r="R73">
        <v>0.29278799999999999</v>
      </c>
      <c r="S73">
        <v>0.27005200000000001</v>
      </c>
      <c r="T73">
        <v>0.24882099999999999</v>
      </c>
      <c r="U73">
        <v>0.22892100000000001</v>
      </c>
      <c r="V73">
        <v>0.210812</v>
      </c>
      <c r="W73">
        <v>0.19425799999999999</v>
      </c>
      <c r="X73">
        <v>0.179063</v>
      </c>
      <c r="Y73">
        <v>0.16525899999999999</v>
      </c>
      <c r="Z73">
        <v>0.152697</v>
      </c>
      <c r="AA73">
        <v>0.141516</v>
      </c>
      <c r="AB73">
        <v>0.131435</v>
      </c>
      <c r="AC73">
        <v>0.121158</v>
      </c>
      <c r="AD73">
        <v>0.11146499999999999</v>
      </c>
      <c r="AE73">
        <v>0.10281899999999999</v>
      </c>
      <c r="AF73">
        <v>9.5043000000000002E-2</v>
      </c>
      <c r="AG73" t="s">
        <v>110</v>
      </c>
    </row>
    <row r="74" spans="1:33">
      <c r="A74" t="s">
        <v>230</v>
      </c>
      <c r="B74" t="s">
        <v>1574</v>
      </c>
      <c r="C74" t="s">
        <v>1573</v>
      </c>
      <c r="D74" t="s">
        <v>193</v>
      </c>
      <c r="F74">
        <v>0</v>
      </c>
      <c r="G74">
        <v>0.115331</v>
      </c>
      <c r="H74">
        <v>0.231573</v>
      </c>
      <c r="I74">
        <v>0.27211000000000002</v>
      </c>
      <c r="J74">
        <v>0.25937199999999999</v>
      </c>
      <c r="K74">
        <v>0.23771500000000001</v>
      </c>
      <c r="L74">
        <v>0.21748300000000001</v>
      </c>
      <c r="M74">
        <v>0.19966</v>
      </c>
      <c r="N74">
        <v>0.18464700000000001</v>
      </c>
      <c r="O74">
        <v>0.17038800000000001</v>
      </c>
      <c r="P74">
        <v>0.157113</v>
      </c>
      <c r="Q74">
        <v>0.144426</v>
      </c>
      <c r="R74">
        <v>0.133132</v>
      </c>
      <c r="S74">
        <v>0.12199</v>
      </c>
      <c r="T74">
        <v>0.11172899999999999</v>
      </c>
      <c r="U74">
        <v>0.10259</v>
      </c>
      <c r="V74">
        <v>9.4766000000000003E-2</v>
      </c>
      <c r="W74">
        <v>8.7656999999999999E-2</v>
      </c>
      <c r="X74">
        <v>8.0437999999999996E-2</v>
      </c>
      <c r="Y74">
        <v>7.3296E-2</v>
      </c>
      <c r="Z74">
        <v>6.6423999999999997E-2</v>
      </c>
      <c r="AA74">
        <v>6.1006999999999999E-2</v>
      </c>
      <c r="AB74">
        <v>5.67E-2</v>
      </c>
      <c r="AC74">
        <v>5.3085E-2</v>
      </c>
      <c r="AD74">
        <v>4.9660999999999997E-2</v>
      </c>
      <c r="AE74">
        <v>4.6268999999999998E-2</v>
      </c>
      <c r="AF74">
        <v>4.3032000000000001E-2</v>
      </c>
      <c r="AG74" t="s">
        <v>110</v>
      </c>
    </row>
    <row r="75" spans="1:33">
      <c r="A75" t="s">
        <v>231</v>
      </c>
      <c r="B75" t="s">
        <v>1572</v>
      </c>
      <c r="C75" t="s">
        <v>1571</v>
      </c>
      <c r="D75" t="s">
        <v>193</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t="s">
        <v>110</v>
      </c>
    </row>
    <row r="76" spans="1:33">
      <c r="A76" t="s">
        <v>574</v>
      </c>
      <c r="B76" t="s">
        <v>1570</v>
      </c>
      <c r="C76" t="s">
        <v>1569</v>
      </c>
      <c r="D76" t="s">
        <v>193</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110</v>
      </c>
    </row>
    <row r="77" spans="1:33">
      <c r="A77" t="s">
        <v>571</v>
      </c>
      <c r="B77" t="s">
        <v>1568</v>
      </c>
      <c r="C77" t="s">
        <v>1567</v>
      </c>
      <c r="D77" t="s">
        <v>193</v>
      </c>
      <c r="F77">
        <v>0</v>
      </c>
      <c r="G77">
        <v>0.82384199999999996</v>
      </c>
      <c r="H77">
        <v>1.9341729999999999</v>
      </c>
      <c r="I77">
        <v>3.335515</v>
      </c>
      <c r="J77">
        <v>4.9386640000000002</v>
      </c>
      <c r="K77">
        <v>6.8005509999999996</v>
      </c>
      <c r="L77">
        <v>9.1020889999999994</v>
      </c>
      <c r="M77">
        <v>12.05625</v>
      </c>
      <c r="N77">
        <v>16.004729999999999</v>
      </c>
      <c r="O77">
        <v>21.257300999999998</v>
      </c>
      <c r="P77">
        <v>28.049462999999999</v>
      </c>
      <c r="Q77">
        <v>36.463977999999997</v>
      </c>
      <c r="R77">
        <v>46.535229000000001</v>
      </c>
      <c r="S77">
        <v>57.997871000000004</v>
      </c>
      <c r="T77">
        <v>70.372337000000002</v>
      </c>
      <c r="U77">
        <v>83.024604999999994</v>
      </c>
      <c r="V77">
        <v>95.680374</v>
      </c>
      <c r="W77">
        <v>107.98371899999999</v>
      </c>
      <c r="X77">
        <v>119.816109</v>
      </c>
      <c r="Y77">
        <v>130.934631</v>
      </c>
      <c r="Z77">
        <v>141.18704199999999</v>
      </c>
      <c r="AA77">
        <v>150.71357699999999</v>
      </c>
      <c r="AB77">
        <v>159.40013099999999</v>
      </c>
      <c r="AC77">
        <v>168.087479</v>
      </c>
      <c r="AD77">
        <v>176.31300400000001</v>
      </c>
      <c r="AE77">
        <v>183.890884</v>
      </c>
      <c r="AF77">
        <v>190.61299099999999</v>
      </c>
      <c r="AG77" t="s">
        <v>110</v>
      </c>
    </row>
    <row r="78" spans="1:33">
      <c r="A78" t="s">
        <v>568</v>
      </c>
      <c r="B78" t="s">
        <v>1566</v>
      </c>
      <c r="C78" t="s">
        <v>1565</v>
      </c>
      <c r="D78" t="s">
        <v>193</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t="s">
        <v>110</v>
      </c>
    </row>
    <row r="79" spans="1:33">
      <c r="A79" t="s">
        <v>233</v>
      </c>
      <c r="B79" t="s">
        <v>1564</v>
      </c>
      <c r="C79" t="s">
        <v>1563</v>
      </c>
      <c r="D79" t="s">
        <v>193</v>
      </c>
      <c r="F79">
        <v>945.583618</v>
      </c>
      <c r="G79">
        <v>933.902649</v>
      </c>
      <c r="H79">
        <v>915.85144000000003</v>
      </c>
      <c r="I79">
        <v>898.10369900000001</v>
      </c>
      <c r="J79">
        <v>880.13720699999999</v>
      </c>
      <c r="K79">
        <v>864.78234899999995</v>
      </c>
      <c r="L79">
        <v>851.13555899999994</v>
      </c>
      <c r="M79">
        <v>837.88061500000003</v>
      </c>
      <c r="N79">
        <v>826.31481900000006</v>
      </c>
      <c r="O79">
        <v>814.62268100000006</v>
      </c>
      <c r="P79">
        <v>804.63085899999999</v>
      </c>
      <c r="Q79">
        <v>795.92236300000002</v>
      </c>
      <c r="R79">
        <v>789.70843500000001</v>
      </c>
      <c r="S79">
        <v>785.566284</v>
      </c>
      <c r="T79">
        <v>782.26110800000004</v>
      </c>
      <c r="U79">
        <v>779.22161900000003</v>
      </c>
      <c r="V79">
        <v>777.314392</v>
      </c>
      <c r="W79">
        <v>775.70519999999999</v>
      </c>
      <c r="X79">
        <v>775.06707800000004</v>
      </c>
      <c r="Y79">
        <v>774.69598399999995</v>
      </c>
      <c r="Z79">
        <v>774.42779499999995</v>
      </c>
      <c r="AA79">
        <v>774.82928500000003</v>
      </c>
      <c r="AB79">
        <v>774.97283900000002</v>
      </c>
      <c r="AC79">
        <v>778.14209000000005</v>
      </c>
      <c r="AD79">
        <v>781.60040300000003</v>
      </c>
      <c r="AE79">
        <v>784.55853300000001</v>
      </c>
      <c r="AF79">
        <v>786.18713400000001</v>
      </c>
      <c r="AG79" s="9">
        <v>-7.0000000000000001E-3</v>
      </c>
    </row>
    <row r="80" spans="1:33">
      <c r="A80" t="s">
        <v>234</v>
      </c>
    </row>
    <row r="81" spans="1:33">
      <c r="A81" t="s">
        <v>181</v>
      </c>
      <c r="B81" t="s">
        <v>1562</v>
      </c>
      <c r="C81" t="s">
        <v>1561</v>
      </c>
      <c r="D81" t="s">
        <v>193</v>
      </c>
      <c r="F81">
        <v>4150.3491210000002</v>
      </c>
      <c r="G81">
        <v>4200.8354490000002</v>
      </c>
      <c r="H81">
        <v>4216.7382809999999</v>
      </c>
      <c r="I81">
        <v>4222.3842770000001</v>
      </c>
      <c r="J81">
        <v>4207.3222660000001</v>
      </c>
      <c r="K81">
        <v>4188.4086909999996</v>
      </c>
      <c r="L81">
        <v>4166.4912109999996</v>
      </c>
      <c r="M81">
        <v>4136.4614259999998</v>
      </c>
      <c r="N81">
        <v>4106.701172</v>
      </c>
      <c r="O81">
        <v>4073.8461910000001</v>
      </c>
      <c r="P81">
        <v>4046.6755370000001</v>
      </c>
      <c r="Q81">
        <v>4022.7158199999999</v>
      </c>
      <c r="R81">
        <v>4007.9099120000001</v>
      </c>
      <c r="S81">
        <v>3999.3498540000001</v>
      </c>
      <c r="T81">
        <v>3993.8400879999999</v>
      </c>
      <c r="U81">
        <v>3985.8237300000001</v>
      </c>
      <c r="V81">
        <v>3980.5234380000002</v>
      </c>
      <c r="W81">
        <v>3976.482422</v>
      </c>
      <c r="X81">
        <v>3975.83374</v>
      </c>
      <c r="Y81">
        <v>3974.7204590000001</v>
      </c>
      <c r="Z81">
        <v>3972.9650879999999</v>
      </c>
      <c r="AA81">
        <v>3974.0261230000001</v>
      </c>
      <c r="AB81">
        <v>3972.735596</v>
      </c>
      <c r="AC81">
        <v>3986.054443</v>
      </c>
      <c r="AD81">
        <v>4000.4877929999998</v>
      </c>
      <c r="AE81">
        <v>4012.3010250000002</v>
      </c>
      <c r="AF81">
        <v>4018.320068</v>
      </c>
      <c r="AG81" s="9">
        <v>-1E-3</v>
      </c>
    </row>
    <row r="82" spans="1:33">
      <c r="A82" t="s">
        <v>226</v>
      </c>
      <c r="B82" t="s">
        <v>1560</v>
      </c>
      <c r="C82" t="s">
        <v>1559</v>
      </c>
      <c r="D82" t="s">
        <v>193</v>
      </c>
      <c r="F82">
        <v>4.4349259999999999</v>
      </c>
      <c r="G82">
        <v>3.817758</v>
      </c>
      <c r="H82">
        <v>3.316071</v>
      </c>
      <c r="I82">
        <v>2.9103439999999998</v>
      </c>
      <c r="J82">
        <v>2.588219</v>
      </c>
      <c r="K82">
        <v>2.3451490000000002</v>
      </c>
      <c r="L82">
        <v>2.1555719999999998</v>
      </c>
      <c r="M82">
        <v>1.9943740000000001</v>
      </c>
      <c r="N82">
        <v>1.8554980000000001</v>
      </c>
      <c r="O82">
        <v>1.7244470000000001</v>
      </c>
      <c r="P82">
        <v>1.6221479999999999</v>
      </c>
      <c r="Q82">
        <v>1.5351790000000001</v>
      </c>
      <c r="R82">
        <v>1.466385</v>
      </c>
      <c r="S82">
        <v>1.398488</v>
      </c>
      <c r="T82">
        <v>1.330443</v>
      </c>
      <c r="U82">
        <v>1.2710809999999999</v>
      </c>
      <c r="V82">
        <v>1.225886</v>
      </c>
      <c r="W82">
        <v>1.1849799999999999</v>
      </c>
      <c r="X82">
        <v>1.1403030000000001</v>
      </c>
      <c r="Y82">
        <v>1.1049929999999999</v>
      </c>
      <c r="Z82">
        <v>1.0789299999999999</v>
      </c>
      <c r="AA82">
        <v>1.0615270000000001</v>
      </c>
      <c r="AB82">
        <v>1.0475140000000001</v>
      </c>
      <c r="AC82">
        <v>1.040597</v>
      </c>
      <c r="AD82">
        <v>1.034845</v>
      </c>
      <c r="AE82">
        <v>1.029752</v>
      </c>
      <c r="AF82">
        <v>1.022197</v>
      </c>
      <c r="AG82" s="9">
        <v>-5.5E-2</v>
      </c>
    </row>
    <row r="83" spans="1:33">
      <c r="A83" t="s">
        <v>184</v>
      </c>
      <c r="B83" t="s">
        <v>1558</v>
      </c>
      <c r="C83" t="s">
        <v>1557</v>
      </c>
      <c r="D83" t="s">
        <v>193</v>
      </c>
      <c r="F83">
        <v>1.1561319999999999</v>
      </c>
      <c r="G83">
        <v>1.374889</v>
      </c>
      <c r="H83">
        <v>1.574821</v>
      </c>
      <c r="I83">
        <v>1.759158</v>
      </c>
      <c r="J83">
        <v>1.904928</v>
      </c>
      <c r="K83">
        <v>2.026071</v>
      </c>
      <c r="L83">
        <v>2.1195029999999999</v>
      </c>
      <c r="M83">
        <v>2.1808689999999999</v>
      </c>
      <c r="N83">
        <v>2.2254740000000002</v>
      </c>
      <c r="O83">
        <v>2.2515000000000001</v>
      </c>
      <c r="P83">
        <v>2.2717139999999998</v>
      </c>
      <c r="Q83">
        <v>2.2773460000000001</v>
      </c>
      <c r="R83">
        <v>2.2784260000000001</v>
      </c>
      <c r="S83">
        <v>2.2754490000000001</v>
      </c>
      <c r="T83">
        <v>2.2735300000000001</v>
      </c>
      <c r="U83">
        <v>2.2699210000000001</v>
      </c>
      <c r="V83">
        <v>2.268214</v>
      </c>
      <c r="W83">
        <v>2.2635719999999999</v>
      </c>
      <c r="X83">
        <v>2.2589600000000001</v>
      </c>
      <c r="Y83">
        <v>2.2537240000000001</v>
      </c>
      <c r="Z83">
        <v>2.2496350000000001</v>
      </c>
      <c r="AA83">
        <v>2.2491400000000001</v>
      </c>
      <c r="AB83">
        <v>2.2497500000000001</v>
      </c>
      <c r="AC83">
        <v>2.2599909999999999</v>
      </c>
      <c r="AD83">
        <v>2.2705250000000001</v>
      </c>
      <c r="AE83">
        <v>2.2775180000000002</v>
      </c>
      <c r="AF83">
        <v>2.2828889999999999</v>
      </c>
      <c r="AG83" s="9">
        <v>2.7E-2</v>
      </c>
    </row>
    <row r="84" spans="1:33">
      <c r="A84" t="s">
        <v>187</v>
      </c>
      <c r="B84" t="s">
        <v>1556</v>
      </c>
      <c r="C84" t="s">
        <v>1555</v>
      </c>
      <c r="D84" t="s">
        <v>193</v>
      </c>
      <c r="F84">
        <v>50.291285999999999</v>
      </c>
      <c r="G84">
        <v>52.723258999999999</v>
      </c>
      <c r="H84">
        <v>54.526027999999997</v>
      </c>
      <c r="I84">
        <v>55.344116</v>
      </c>
      <c r="J84">
        <v>55.688533999999997</v>
      </c>
      <c r="K84">
        <v>55.878203999999997</v>
      </c>
      <c r="L84">
        <v>55.951027000000003</v>
      </c>
      <c r="M84">
        <v>55.872238000000003</v>
      </c>
      <c r="N84">
        <v>55.809218999999999</v>
      </c>
      <c r="O84">
        <v>55.741230000000002</v>
      </c>
      <c r="P84">
        <v>55.755974000000002</v>
      </c>
      <c r="Q84">
        <v>55.805816999999998</v>
      </c>
      <c r="R84">
        <v>55.951450000000001</v>
      </c>
      <c r="S84">
        <v>56.315952000000003</v>
      </c>
      <c r="T84">
        <v>56.670273000000002</v>
      </c>
      <c r="U84">
        <v>57.133186000000002</v>
      </c>
      <c r="V84">
        <v>57.910736</v>
      </c>
      <c r="W84">
        <v>59.007088000000003</v>
      </c>
      <c r="X84">
        <v>60.194412</v>
      </c>
      <c r="Y84">
        <v>61.343024999999997</v>
      </c>
      <c r="Z84">
        <v>62.705348999999998</v>
      </c>
      <c r="AA84">
        <v>64.327826999999999</v>
      </c>
      <c r="AB84">
        <v>66.300811999999993</v>
      </c>
      <c r="AC84">
        <v>69.019630000000006</v>
      </c>
      <c r="AD84">
        <v>72.545906000000002</v>
      </c>
      <c r="AE84">
        <v>76.672927999999999</v>
      </c>
      <c r="AF84">
        <v>81.713440000000006</v>
      </c>
      <c r="AG84" s="9">
        <v>1.9E-2</v>
      </c>
    </row>
    <row r="85" spans="1:33">
      <c r="A85" t="s">
        <v>227</v>
      </c>
      <c r="B85" t="s">
        <v>1554</v>
      </c>
      <c r="C85" t="s">
        <v>1553</v>
      </c>
      <c r="D85" t="s">
        <v>193</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t="s">
        <v>110</v>
      </c>
    </row>
    <row r="86" spans="1:33">
      <c r="A86" t="s">
        <v>228</v>
      </c>
      <c r="B86" t="s">
        <v>1552</v>
      </c>
      <c r="C86" t="s">
        <v>1551</v>
      </c>
      <c r="D86" t="s">
        <v>193</v>
      </c>
      <c r="F86">
        <v>1.835842</v>
      </c>
      <c r="G86">
        <v>2.4526810000000001</v>
      </c>
      <c r="H86">
        <v>3.0207929999999998</v>
      </c>
      <c r="I86">
        <v>3.5318879999999999</v>
      </c>
      <c r="J86">
        <v>3.9540489999999999</v>
      </c>
      <c r="K86">
        <v>4.3047269999999997</v>
      </c>
      <c r="L86">
        <v>4.5975380000000001</v>
      </c>
      <c r="M86">
        <v>4.8346179999999999</v>
      </c>
      <c r="N86">
        <v>5.0316390000000002</v>
      </c>
      <c r="O86">
        <v>5.1899280000000001</v>
      </c>
      <c r="P86">
        <v>5.3246770000000003</v>
      </c>
      <c r="Q86">
        <v>5.4344979999999996</v>
      </c>
      <c r="R86">
        <v>5.5320679999999998</v>
      </c>
      <c r="S86">
        <v>5.6165799999999999</v>
      </c>
      <c r="T86">
        <v>5.6888759999999996</v>
      </c>
      <c r="U86">
        <v>5.7453709999999996</v>
      </c>
      <c r="V86">
        <v>5.7989449999999998</v>
      </c>
      <c r="W86">
        <v>5.846025</v>
      </c>
      <c r="X86">
        <v>5.8912269999999998</v>
      </c>
      <c r="Y86">
        <v>5.930237</v>
      </c>
      <c r="Z86">
        <v>5.9651719999999999</v>
      </c>
      <c r="AA86">
        <v>6.0043030000000002</v>
      </c>
      <c r="AB86">
        <v>6.041099</v>
      </c>
      <c r="AC86">
        <v>6.100841</v>
      </c>
      <c r="AD86">
        <v>6.1635619999999998</v>
      </c>
      <c r="AE86">
        <v>6.2244010000000003</v>
      </c>
      <c r="AF86">
        <v>6.2765719999999998</v>
      </c>
      <c r="AG86" s="9">
        <v>4.8000000000000001E-2</v>
      </c>
    </row>
    <row r="87" spans="1:33">
      <c r="A87" t="s">
        <v>229</v>
      </c>
      <c r="B87" t="s">
        <v>1550</v>
      </c>
      <c r="C87" t="s">
        <v>1549</v>
      </c>
      <c r="D87" t="s">
        <v>193</v>
      </c>
      <c r="F87">
        <v>0</v>
      </c>
      <c r="G87">
        <v>0</v>
      </c>
      <c r="H87">
        <v>2.4901E-2</v>
      </c>
      <c r="I87">
        <v>6.8081000000000003E-2</v>
      </c>
      <c r="J87">
        <v>0.113634</v>
      </c>
      <c r="K87">
        <v>0.165435</v>
      </c>
      <c r="L87">
        <v>0.223909</v>
      </c>
      <c r="M87">
        <v>0.291244</v>
      </c>
      <c r="N87">
        <v>0.37263299999999999</v>
      </c>
      <c r="O87">
        <v>0.35006199999999998</v>
      </c>
      <c r="P87">
        <v>0.33010299999999998</v>
      </c>
      <c r="Q87">
        <v>0.314085</v>
      </c>
      <c r="R87">
        <v>0.30023300000000003</v>
      </c>
      <c r="S87">
        <v>0.29104400000000002</v>
      </c>
      <c r="T87">
        <v>0.28536400000000001</v>
      </c>
      <c r="U87">
        <v>0.28249800000000003</v>
      </c>
      <c r="V87">
        <v>0.278528</v>
      </c>
      <c r="W87">
        <v>0.27172800000000003</v>
      </c>
      <c r="X87">
        <v>0.261187</v>
      </c>
      <c r="Y87">
        <v>0.246643</v>
      </c>
      <c r="Z87">
        <v>0.23005400000000001</v>
      </c>
      <c r="AA87">
        <v>0.21174999999999999</v>
      </c>
      <c r="AB87">
        <v>0.19095899999999999</v>
      </c>
      <c r="AC87">
        <v>0.16870399999999999</v>
      </c>
      <c r="AD87">
        <v>0.14982000000000001</v>
      </c>
      <c r="AE87">
        <v>0.13414200000000001</v>
      </c>
      <c r="AF87">
        <v>0.121348</v>
      </c>
      <c r="AG87" t="s">
        <v>110</v>
      </c>
    </row>
    <row r="88" spans="1:33">
      <c r="A88" t="s">
        <v>230</v>
      </c>
      <c r="B88" t="s">
        <v>1548</v>
      </c>
      <c r="C88" t="s">
        <v>1547</v>
      </c>
      <c r="D88" t="s">
        <v>193</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110</v>
      </c>
    </row>
    <row r="89" spans="1:33">
      <c r="A89" t="s">
        <v>231</v>
      </c>
      <c r="B89" t="s">
        <v>1546</v>
      </c>
      <c r="C89" t="s">
        <v>1545</v>
      </c>
      <c r="D89" t="s">
        <v>193</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110</v>
      </c>
    </row>
    <row r="90" spans="1:33">
      <c r="A90" t="s">
        <v>574</v>
      </c>
      <c r="B90" t="s">
        <v>1544</v>
      </c>
      <c r="C90" t="s">
        <v>1543</v>
      </c>
      <c r="D90" t="s">
        <v>193</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t="s">
        <v>110</v>
      </c>
    </row>
    <row r="91" spans="1:33">
      <c r="A91" t="s">
        <v>571</v>
      </c>
      <c r="B91" t="s">
        <v>1542</v>
      </c>
      <c r="C91" t="s">
        <v>1541</v>
      </c>
      <c r="D91" t="s">
        <v>193</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t="s">
        <v>110</v>
      </c>
    </row>
    <row r="92" spans="1:33">
      <c r="A92" t="s">
        <v>568</v>
      </c>
      <c r="B92" t="s">
        <v>1540</v>
      </c>
      <c r="C92" t="s">
        <v>1539</v>
      </c>
      <c r="D92" t="s">
        <v>193</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t="s">
        <v>110</v>
      </c>
    </row>
    <row r="93" spans="1:33">
      <c r="A93" t="s">
        <v>235</v>
      </c>
      <c r="B93" t="s">
        <v>1538</v>
      </c>
      <c r="C93" t="s">
        <v>1537</v>
      </c>
      <c r="D93" t="s">
        <v>193</v>
      </c>
      <c r="F93">
        <v>4208.0673829999996</v>
      </c>
      <c r="G93">
        <v>4261.2026370000003</v>
      </c>
      <c r="H93">
        <v>4279.1987300000001</v>
      </c>
      <c r="I93">
        <v>4285.9965819999998</v>
      </c>
      <c r="J93">
        <v>4271.5712890000004</v>
      </c>
      <c r="K93">
        <v>4253.1284180000002</v>
      </c>
      <c r="L93">
        <v>4231.5385740000002</v>
      </c>
      <c r="M93">
        <v>4201.6323240000002</v>
      </c>
      <c r="N93">
        <v>4171.9951170000004</v>
      </c>
      <c r="O93">
        <v>4139.1025390000004</v>
      </c>
      <c r="P93">
        <v>4111.9794920000004</v>
      </c>
      <c r="Q93">
        <v>4088.0834960000002</v>
      </c>
      <c r="R93">
        <v>4073.4372560000002</v>
      </c>
      <c r="S93">
        <v>4065.2475589999999</v>
      </c>
      <c r="T93">
        <v>4060.0888669999999</v>
      </c>
      <c r="U93">
        <v>4052.5258789999998</v>
      </c>
      <c r="V93">
        <v>4048.0051269999999</v>
      </c>
      <c r="W93">
        <v>4045.056885</v>
      </c>
      <c r="X93">
        <v>4045.580078</v>
      </c>
      <c r="Y93">
        <v>4045.5986330000001</v>
      </c>
      <c r="Z93">
        <v>4045.1948240000002</v>
      </c>
      <c r="AA93">
        <v>4047.8803710000002</v>
      </c>
      <c r="AB93">
        <v>4048.5656739999999</v>
      </c>
      <c r="AC93">
        <v>4064.6430660000001</v>
      </c>
      <c r="AD93">
        <v>4082.6523440000001</v>
      </c>
      <c r="AE93">
        <v>4098.6396480000003</v>
      </c>
      <c r="AF93">
        <v>4109.7368159999996</v>
      </c>
      <c r="AG93" s="9">
        <v>-1E-3</v>
      </c>
    </row>
    <row r="94" spans="1:33">
      <c r="A94" t="s">
        <v>162</v>
      </c>
      <c r="B94" t="s">
        <v>238</v>
      </c>
      <c r="C94" t="s">
        <v>257</v>
      </c>
    </row>
    <row r="95" spans="1:33">
      <c r="A95" t="s">
        <v>181</v>
      </c>
      <c r="B95" t="s">
        <v>1536</v>
      </c>
      <c r="C95" t="s">
        <v>1535</v>
      </c>
      <c r="D95" t="s">
        <v>193</v>
      </c>
      <c r="F95">
        <v>5262.0537109999996</v>
      </c>
      <c r="G95">
        <v>5295.517578</v>
      </c>
      <c r="H95">
        <v>5284.3320309999999</v>
      </c>
      <c r="I95">
        <v>5261.0747069999998</v>
      </c>
      <c r="J95">
        <v>5214.6953119999998</v>
      </c>
      <c r="K95">
        <v>5167.1357420000004</v>
      </c>
      <c r="L95">
        <v>5117.076172</v>
      </c>
      <c r="M95">
        <v>5057.5048829999996</v>
      </c>
      <c r="N95">
        <v>4997.2041019999997</v>
      </c>
      <c r="O95">
        <v>4932.3168949999999</v>
      </c>
      <c r="P95">
        <v>4873.4492190000001</v>
      </c>
      <c r="Q95">
        <v>4817.8413090000004</v>
      </c>
      <c r="R95">
        <v>4772.8662109999996</v>
      </c>
      <c r="S95">
        <v>4734.9516599999997</v>
      </c>
      <c r="T95">
        <v>4700.1743159999996</v>
      </c>
      <c r="U95">
        <v>4662.7070309999999</v>
      </c>
      <c r="V95">
        <v>4629.8315430000002</v>
      </c>
      <c r="W95">
        <v>4598.7304690000001</v>
      </c>
      <c r="X95">
        <v>4572.5097660000001</v>
      </c>
      <c r="Y95">
        <v>4546.7172849999997</v>
      </c>
      <c r="Z95">
        <v>4522.0385740000002</v>
      </c>
      <c r="AA95">
        <v>4502.5307620000003</v>
      </c>
      <c r="AB95">
        <v>4482.2827150000003</v>
      </c>
      <c r="AC95">
        <v>4479.6157229999999</v>
      </c>
      <c r="AD95">
        <v>4478.7768550000001</v>
      </c>
      <c r="AE95">
        <v>4475.8027339999999</v>
      </c>
      <c r="AF95">
        <v>4467.5708009999998</v>
      </c>
      <c r="AG95" s="9">
        <v>-6.0000000000000001E-3</v>
      </c>
    </row>
    <row r="96" spans="1:33">
      <c r="A96" t="s">
        <v>226</v>
      </c>
      <c r="B96" t="s">
        <v>1534</v>
      </c>
      <c r="C96" t="s">
        <v>1533</v>
      </c>
      <c r="D96" t="s">
        <v>193</v>
      </c>
      <c r="F96">
        <v>634.32690400000001</v>
      </c>
      <c r="G96">
        <v>650.87048300000004</v>
      </c>
      <c r="H96">
        <v>662.39166299999999</v>
      </c>
      <c r="I96">
        <v>671.808899</v>
      </c>
      <c r="J96">
        <v>676.77789299999995</v>
      </c>
      <c r="K96">
        <v>680.24054000000001</v>
      </c>
      <c r="L96">
        <v>681.32904099999996</v>
      </c>
      <c r="M96">
        <v>678.65319799999997</v>
      </c>
      <c r="N96">
        <v>673.30505400000004</v>
      </c>
      <c r="O96">
        <v>665.24871800000005</v>
      </c>
      <c r="P96">
        <v>656.16290300000003</v>
      </c>
      <c r="Q96">
        <v>645.64355499999999</v>
      </c>
      <c r="R96">
        <v>634.93084699999997</v>
      </c>
      <c r="S96">
        <v>624.06329300000004</v>
      </c>
      <c r="T96">
        <v>611.81030299999998</v>
      </c>
      <c r="U96">
        <v>598.16156000000001</v>
      </c>
      <c r="V96">
        <v>584.89434800000004</v>
      </c>
      <c r="W96">
        <v>570.99713099999997</v>
      </c>
      <c r="X96">
        <v>556.887024</v>
      </c>
      <c r="Y96">
        <v>542.06732199999999</v>
      </c>
      <c r="Z96">
        <v>527.87664800000005</v>
      </c>
      <c r="AA96">
        <v>515.07910200000003</v>
      </c>
      <c r="AB96">
        <v>502.932526</v>
      </c>
      <c r="AC96">
        <v>492.81231700000001</v>
      </c>
      <c r="AD96">
        <v>482.85266100000001</v>
      </c>
      <c r="AE96">
        <v>472.94921900000003</v>
      </c>
      <c r="AF96">
        <v>463.078644</v>
      </c>
      <c r="AG96" s="9">
        <v>-1.2E-2</v>
      </c>
    </row>
    <row r="97" spans="1:33">
      <c r="A97" t="s">
        <v>184</v>
      </c>
      <c r="B97" t="s">
        <v>1532</v>
      </c>
      <c r="C97" t="s">
        <v>1531</v>
      </c>
      <c r="D97" t="s">
        <v>193</v>
      </c>
      <c r="F97">
        <v>1.63686</v>
      </c>
      <c r="G97">
        <v>1.8039179999999999</v>
      </c>
      <c r="H97">
        <v>1.9553450000000001</v>
      </c>
      <c r="I97">
        <v>2.095329</v>
      </c>
      <c r="J97">
        <v>2.202966</v>
      </c>
      <c r="K97">
        <v>2.2743500000000001</v>
      </c>
      <c r="L97">
        <v>2.341685</v>
      </c>
      <c r="M97">
        <v>2.3793389999999999</v>
      </c>
      <c r="N97">
        <v>2.4041060000000001</v>
      </c>
      <c r="O97">
        <v>2.4123800000000002</v>
      </c>
      <c r="P97">
        <v>2.4138890000000002</v>
      </c>
      <c r="Q97">
        <v>2.405564</v>
      </c>
      <c r="R97">
        <v>2.3955739999999999</v>
      </c>
      <c r="S97">
        <v>2.3836390000000001</v>
      </c>
      <c r="T97">
        <v>2.3738160000000001</v>
      </c>
      <c r="U97">
        <v>2.3633479999999998</v>
      </c>
      <c r="V97">
        <v>2.356134</v>
      </c>
      <c r="W97">
        <v>2.346463</v>
      </c>
      <c r="X97">
        <v>2.3374450000000002</v>
      </c>
      <c r="Y97">
        <v>2.3282379999999998</v>
      </c>
      <c r="Z97">
        <v>2.3202970000000001</v>
      </c>
      <c r="AA97">
        <v>2.3174630000000001</v>
      </c>
      <c r="AB97">
        <v>2.3153820000000001</v>
      </c>
      <c r="AC97">
        <v>2.3233009999999998</v>
      </c>
      <c r="AD97">
        <v>2.327607</v>
      </c>
      <c r="AE97">
        <v>2.3246549999999999</v>
      </c>
      <c r="AF97">
        <v>2.3222160000000001</v>
      </c>
      <c r="AG97" s="9">
        <v>1.4E-2</v>
      </c>
    </row>
    <row r="98" spans="1:33">
      <c r="A98" t="s">
        <v>187</v>
      </c>
      <c r="B98" t="s">
        <v>1530</v>
      </c>
      <c r="C98" t="s">
        <v>1529</v>
      </c>
      <c r="D98" t="s">
        <v>193</v>
      </c>
      <c r="F98">
        <v>55.106678000000002</v>
      </c>
      <c r="G98">
        <v>60.266609000000003</v>
      </c>
      <c r="H98">
        <v>64.839827999999997</v>
      </c>
      <c r="I98">
        <v>68.349625000000003</v>
      </c>
      <c r="J98">
        <v>70.525550999999993</v>
      </c>
      <c r="K98">
        <v>72.469818000000004</v>
      </c>
      <c r="L98">
        <v>73.923186999999999</v>
      </c>
      <c r="M98">
        <v>74.768676999999997</v>
      </c>
      <c r="N98">
        <v>75.424942000000001</v>
      </c>
      <c r="O98">
        <v>75.820374000000001</v>
      </c>
      <c r="P98">
        <v>76.349898999999994</v>
      </c>
      <c r="Q98">
        <v>77.040145999999993</v>
      </c>
      <c r="R98">
        <v>77.877289000000005</v>
      </c>
      <c r="S98">
        <v>79.043137000000002</v>
      </c>
      <c r="T98">
        <v>80.450867000000002</v>
      </c>
      <c r="U98">
        <v>82.033752000000007</v>
      </c>
      <c r="V98">
        <v>84.148926000000003</v>
      </c>
      <c r="W98">
        <v>86.843956000000006</v>
      </c>
      <c r="X98">
        <v>89.839279000000005</v>
      </c>
      <c r="Y98">
        <v>92.977126999999996</v>
      </c>
      <c r="Z98">
        <v>96.314864999999998</v>
      </c>
      <c r="AA98">
        <v>100.060028</v>
      </c>
      <c r="AB98">
        <v>104.28434799999999</v>
      </c>
      <c r="AC98">
        <v>109.626869</v>
      </c>
      <c r="AD98">
        <v>115.90033</v>
      </c>
      <c r="AE98">
        <v>122.995186</v>
      </c>
      <c r="AF98">
        <v>131.064224</v>
      </c>
      <c r="AG98" s="9">
        <v>3.4000000000000002E-2</v>
      </c>
    </row>
    <row r="99" spans="1:33">
      <c r="A99" t="s">
        <v>227</v>
      </c>
      <c r="B99" t="s">
        <v>1528</v>
      </c>
      <c r="C99" t="s">
        <v>1527</v>
      </c>
      <c r="D99" t="s">
        <v>193</v>
      </c>
      <c r="F99">
        <v>49.749854999999997</v>
      </c>
      <c r="G99">
        <v>45.266762</v>
      </c>
      <c r="H99">
        <v>40.649368000000003</v>
      </c>
      <c r="I99">
        <v>36.352798</v>
      </c>
      <c r="J99">
        <v>32.544384000000001</v>
      </c>
      <c r="K99">
        <v>29.355906000000001</v>
      </c>
      <c r="L99">
        <v>26.545546999999999</v>
      </c>
      <c r="M99">
        <v>24.041105000000002</v>
      </c>
      <c r="N99">
        <v>21.797552</v>
      </c>
      <c r="O99">
        <v>19.719795000000001</v>
      </c>
      <c r="P99">
        <v>17.844048000000001</v>
      </c>
      <c r="Q99">
        <v>16.154398</v>
      </c>
      <c r="R99">
        <v>14.596711000000001</v>
      </c>
      <c r="S99">
        <v>13.156967</v>
      </c>
      <c r="T99">
        <v>11.823331</v>
      </c>
      <c r="U99">
        <v>10.605062999999999</v>
      </c>
      <c r="V99">
        <v>9.5238669999999992</v>
      </c>
      <c r="W99">
        <v>8.5670750000000009</v>
      </c>
      <c r="X99">
        <v>7.72227</v>
      </c>
      <c r="Y99">
        <v>6.9687770000000002</v>
      </c>
      <c r="Z99">
        <v>6.2437959999999997</v>
      </c>
      <c r="AA99">
        <v>5.5619810000000003</v>
      </c>
      <c r="AB99">
        <v>4.9072649999999998</v>
      </c>
      <c r="AC99">
        <v>4.3119829999999997</v>
      </c>
      <c r="AD99">
        <v>3.677794</v>
      </c>
      <c r="AE99">
        <v>3.0516730000000001</v>
      </c>
      <c r="AF99">
        <v>2.441856</v>
      </c>
      <c r="AG99" s="9">
        <v>-0.109</v>
      </c>
    </row>
    <row r="100" spans="1:33">
      <c r="A100" t="s">
        <v>228</v>
      </c>
      <c r="B100" t="s">
        <v>1526</v>
      </c>
      <c r="C100" t="s">
        <v>1525</v>
      </c>
      <c r="D100" t="s">
        <v>193</v>
      </c>
      <c r="F100">
        <v>2.2528419999999998</v>
      </c>
      <c r="G100">
        <v>2.9876170000000002</v>
      </c>
      <c r="H100">
        <v>3.663386</v>
      </c>
      <c r="I100">
        <v>4.270626</v>
      </c>
      <c r="J100">
        <v>4.7761940000000003</v>
      </c>
      <c r="K100">
        <v>5.2050029999999996</v>
      </c>
      <c r="L100">
        <v>5.5863839999999998</v>
      </c>
      <c r="M100">
        <v>6.0544630000000002</v>
      </c>
      <c r="N100">
        <v>6.6641269999999997</v>
      </c>
      <c r="O100">
        <v>7.2101389999999999</v>
      </c>
      <c r="P100">
        <v>7.9647639999999997</v>
      </c>
      <c r="Q100">
        <v>9.0889410000000002</v>
      </c>
      <c r="R100">
        <v>10.635733</v>
      </c>
      <c r="S100">
        <v>12.518767</v>
      </c>
      <c r="T100">
        <v>14.774114000000001</v>
      </c>
      <c r="U100">
        <v>17.410596999999999</v>
      </c>
      <c r="V100">
        <v>20.494534000000002</v>
      </c>
      <c r="W100">
        <v>24.229378000000001</v>
      </c>
      <c r="X100">
        <v>28.478767000000001</v>
      </c>
      <c r="Y100">
        <v>33.13467</v>
      </c>
      <c r="Z100">
        <v>37.831429</v>
      </c>
      <c r="AA100">
        <v>42.741287</v>
      </c>
      <c r="AB100">
        <v>47.793205</v>
      </c>
      <c r="AC100">
        <v>53.246014000000002</v>
      </c>
      <c r="AD100">
        <v>58.841552999999998</v>
      </c>
      <c r="AE100">
        <v>64.441185000000004</v>
      </c>
      <c r="AF100">
        <v>70.016105999999994</v>
      </c>
      <c r="AG100" s="9">
        <v>0.14099999999999999</v>
      </c>
    </row>
    <row r="101" spans="1:33">
      <c r="A101" t="s">
        <v>229</v>
      </c>
      <c r="B101" t="s">
        <v>1524</v>
      </c>
      <c r="C101" t="s">
        <v>1523</v>
      </c>
      <c r="D101" t="s">
        <v>193</v>
      </c>
      <c r="F101">
        <v>0</v>
      </c>
      <c r="G101">
        <v>0</v>
      </c>
      <c r="H101">
        <v>4.9972999999999997E-2</v>
      </c>
      <c r="I101">
        <v>0.12850700000000001</v>
      </c>
      <c r="J101">
        <v>0.227355</v>
      </c>
      <c r="K101">
        <v>0.34510600000000002</v>
      </c>
      <c r="L101">
        <v>0.47567100000000001</v>
      </c>
      <c r="M101">
        <v>0.61984499999999998</v>
      </c>
      <c r="N101">
        <v>0.77710699999999999</v>
      </c>
      <c r="O101">
        <v>0.72332300000000005</v>
      </c>
      <c r="P101">
        <v>0.67445299999999997</v>
      </c>
      <c r="Q101">
        <v>0.63134599999999996</v>
      </c>
      <c r="R101">
        <v>0.59302100000000002</v>
      </c>
      <c r="S101">
        <v>0.56109699999999996</v>
      </c>
      <c r="T101">
        <v>0.53418500000000002</v>
      </c>
      <c r="U101">
        <v>0.51141899999999996</v>
      </c>
      <c r="V101">
        <v>0.48934100000000003</v>
      </c>
      <c r="W101">
        <v>0.46598600000000001</v>
      </c>
      <c r="X101">
        <v>0.44024999999999997</v>
      </c>
      <c r="Y101">
        <v>0.41190199999999999</v>
      </c>
      <c r="Z101">
        <v>0.38275100000000001</v>
      </c>
      <c r="AA101">
        <v>0.35326600000000002</v>
      </c>
      <c r="AB101">
        <v>0.32239400000000001</v>
      </c>
      <c r="AC101">
        <v>0.28986200000000001</v>
      </c>
      <c r="AD101">
        <v>0.26128499999999999</v>
      </c>
      <c r="AE101">
        <v>0.236961</v>
      </c>
      <c r="AF101">
        <v>0.216391</v>
      </c>
      <c r="AG101" t="s">
        <v>110</v>
      </c>
    </row>
    <row r="102" spans="1:33">
      <c r="A102" t="s">
        <v>230</v>
      </c>
      <c r="B102" t="s">
        <v>1522</v>
      </c>
      <c r="C102" t="s">
        <v>1521</v>
      </c>
      <c r="D102" t="s">
        <v>193</v>
      </c>
      <c r="F102">
        <v>0</v>
      </c>
      <c r="G102">
        <v>0.115331</v>
      </c>
      <c r="H102">
        <v>0.231573</v>
      </c>
      <c r="I102">
        <v>0.27211000000000002</v>
      </c>
      <c r="J102">
        <v>0.25937199999999999</v>
      </c>
      <c r="K102">
        <v>0.23771500000000001</v>
      </c>
      <c r="L102">
        <v>0.21748300000000001</v>
      </c>
      <c r="M102">
        <v>0.19966</v>
      </c>
      <c r="N102">
        <v>0.18464700000000001</v>
      </c>
      <c r="O102">
        <v>0.17038800000000001</v>
      </c>
      <c r="P102">
        <v>0.157113</v>
      </c>
      <c r="Q102">
        <v>0.144426</v>
      </c>
      <c r="R102">
        <v>0.133132</v>
      </c>
      <c r="S102">
        <v>0.12199</v>
      </c>
      <c r="T102">
        <v>0.11172899999999999</v>
      </c>
      <c r="U102">
        <v>0.10259</v>
      </c>
      <c r="V102">
        <v>9.4766000000000003E-2</v>
      </c>
      <c r="W102">
        <v>8.7656999999999999E-2</v>
      </c>
      <c r="X102">
        <v>8.0437999999999996E-2</v>
      </c>
      <c r="Y102">
        <v>7.3296E-2</v>
      </c>
      <c r="Z102">
        <v>6.6423999999999997E-2</v>
      </c>
      <c r="AA102">
        <v>6.1006999999999999E-2</v>
      </c>
      <c r="AB102">
        <v>5.67E-2</v>
      </c>
      <c r="AC102">
        <v>5.3085E-2</v>
      </c>
      <c r="AD102">
        <v>4.9660999999999997E-2</v>
      </c>
      <c r="AE102">
        <v>4.6268999999999998E-2</v>
      </c>
      <c r="AF102">
        <v>4.3032000000000001E-2</v>
      </c>
      <c r="AG102" t="s">
        <v>110</v>
      </c>
    </row>
    <row r="103" spans="1:33">
      <c r="A103" t="s">
        <v>231</v>
      </c>
      <c r="B103" t="s">
        <v>1520</v>
      </c>
      <c r="C103" t="s">
        <v>1519</v>
      </c>
      <c r="D103" t="s">
        <v>193</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t="s">
        <v>110</v>
      </c>
    </row>
    <row r="104" spans="1:33">
      <c r="A104" t="s">
        <v>574</v>
      </c>
      <c r="B104" t="s">
        <v>1518</v>
      </c>
      <c r="C104" t="s">
        <v>1517</v>
      </c>
      <c r="D104" t="s">
        <v>193</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t="s">
        <v>110</v>
      </c>
    </row>
    <row r="105" spans="1:33">
      <c r="A105" t="s">
        <v>571</v>
      </c>
      <c r="B105" t="s">
        <v>1516</v>
      </c>
      <c r="C105" t="s">
        <v>1515</v>
      </c>
      <c r="D105" t="s">
        <v>193</v>
      </c>
      <c r="F105">
        <v>0</v>
      </c>
      <c r="G105">
        <v>1.7782450000000001</v>
      </c>
      <c r="H105">
        <v>4.4268890000000001</v>
      </c>
      <c r="I105">
        <v>7.9077299999999999</v>
      </c>
      <c r="J105">
        <v>16.650454</v>
      </c>
      <c r="K105">
        <v>31.569614000000001</v>
      </c>
      <c r="L105">
        <v>52.609603999999997</v>
      </c>
      <c r="M105">
        <v>79.233017000000004</v>
      </c>
      <c r="N105">
        <v>111.403603</v>
      </c>
      <c r="O105">
        <v>147.695572</v>
      </c>
      <c r="P105">
        <v>186.81852699999999</v>
      </c>
      <c r="Q105">
        <v>227.513092</v>
      </c>
      <c r="R105">
        <v>269.02273600000001</v>
      </c>
      <c r="S105">
        <v>310.82708700000001</v>
      </c>
      <c r="T105">
        <v>353.50161700000001</v>
      </c>
      <c r="U105">
        <v>396.58743299999998</v>
      </c>
      <c r="V105">
        <v>438.75372299999998</v>
      </c>
      <c r="W105">
        <v>478.78259300000002</v>
      </c>
      <c r="X105">
        <v>516.66064500000005</v>
      </c>
      <c r="Y105">
        <v>551.88549799999998</v>
      </c>
      <c r="Z105">
        <v>584.66101100000003</v>
      </c>
      <c r="AA105">
        <v>615.79736300000002</v>
      </c>
      <c r="AB105">
        <v>644.87817399999994</v>
      </c>
      <c r="AC105">
        <v>674.08685300000002</v>
      </c>
      <c r="AD105">
        <v>701.07702600000005</v>
      </c>
      <c r="AE105">
        <v>725.72454800000003</v>
      </c>
      <c r="AF105">
        <v>747.80249000000003</v>
      </c>
      <c r="AG105" t="s">
        <v>110</v>
      </c>
    </row>
    <row r="106" spans="1:33">
      <c r="A106" t="s">
        <v>568</v>
      </c>
      <c r="B106" t="s">
        <v>1514</v>
      </c>
      <c r="C106" t="s">
        <v>1513</v>
      </c>
      <c r="D106" t="s">
        <v>193</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t="s">
        <v>110</v>
      </c>
    </row>
    <row r="107" spans="1:33">
      <c r="A107" t="s">
        <v>140</v>
      </c>
      <c r="B107" t="s">
        <v>1512</v>
      </c>
      <c r="C107" t="s">
        <v>1511</v>
      </c>
      <c r="D107" t="s">
        <v>193</v>
      </c>
      <c r="F107">
        <v>6005.1274409999996</v>
      </c>
      <c r="G107">
        <v>6058.6044920000004</v>
      </c>
      <c r="H107">
        <v>6062.5385740000002</v>
      </c>
      <c r="I107">
        <v>6052.2592770000001</v>
      </c>
      <c r="J107">
        <v>6018.6591799999997</v>
      </c>
      <c r="K107">
        <v>5988.8334960000002</v>
      </c>
      <c r="L107">
        <v>5960.1040039999998</v>
      </c>
      <c r="M107">
        <v>5923.4521480000003</v>
      </c>
      <c r="N107">
        <v>5889.1645509999998</v>
      </c>
      <c r="O107">
        <v>5851.3164059999999</v>
      </c>
      <c r="P107">
        <v>5821.8344729999999</v>
      </c>
      <c r="Q107">
        <v>5796.4619140000004</v>
      </c>
      <c r="R107">
        <v>5783.0546880000002</v>
      </c>
      <c r="S107">
        <v>5777.6264650000003</v>
      </c>
      <c r="T107">
        <v>5775.5551759999998</v>
      </c>
      <c r="U107">
        <v>5770.4799800000001</v>
      </c>
      <c r="V107">
        <v>5770.5864259999998</v>
      </c>
      <c r="W107">
        <v>5771.0493159999996</v>
      </c>
      <c r="X107">
        <v>5774.9580079999996</v>
      </c>
      <c r="Y107">
        <v>5776.5678710000002</v>
      </c>
      <c r="Z107">
        <v>5777.7348629999997</v>
      </c>
      <c r="AA107">
        <v>5784.5034180000002</v>
      </c>
      <c r="AB107">
        <v>5789.7714839999999</v>
      </c>
      <c r="AC107">
        <v>5816.3671880000002</v>
      </c>
      <c r="AD107">
        <v>5843.7641599999997</v>
      </c>
      <c r="AE107">
        <v>5867.5698240000002</v>
      </c>
      <c r="AF107">
        <v>5884.5581050000001</v>
      </c>
      <c r="AG107" s="9">
        <v>-1E-3</v>
      </c>
    </row>
    <row r="108" spans="1:33">
      <c r="A108" t="s">
        <v>239</v>
      </c>
    </row>
    <row r="109" spans="1:33">
      <c r="A109" t="s">
        <v>162</v>
      </c>
    </row>
    <row r="110" spans="1:33">
      <c r="A110" t="s">
        <v>181</v>
      </c>
      <c r="B110" t="s">
        <v>1510</v>
      </c>
      <c r="C110" t="s">
        <v>1509</v>
      </c>
      <c r="D110" t="s">
        <v>258</v>
      </c>
      <c r="F110">
        <v>13.922707000000001</v>
      </c>
      <c r="G110">
        <v>13.995139999999999</v>
      </c>
      <c r="H110">
        <v>14.083459</v>
      </c>
      <c r="I110">
        <v>14.181444000000001</v>
      </c>
      <c r="J110">
        <v>14.293834</v>
      </c>
      <c r="K110">
        <v>14.38857</v>
      </c>
      <c r="L110">
        <v>14.476728</v>
      </c>
      <c r="M110">
        <v>14.555897</v>
      </c>
      <c r="N110">
        <v>14.630239</v>
      </c>
      <c r="O110">
        <v>14.699897999999999</v>
      </c>
      <c r="P110">
        <v>14.765326</v>
      </c>
      <c r="Q110">
        <v>14.825015</v>
      </c>
      <c r="R110">
        <v>14.879754999999999</v>
      </c>
      <c r="S110">
        <v>14.931191999999999</v>
      </c>
      <c r="T110">
        <v>14.984135999999999</v>
      </c>
      <c r="U110">
        <v>15.034584000000001</v>
      </c>
      <c r="V110">
        <v>15.082407999999999</v>
      </c>
      <c r="W110">
        <v>15.126908</v>
      </c>
      <c r="X110">
        <v>15.167199</v>
      </c>
      <c r="Y110">
        <v>15.202306999999999</v>
      </c>
      <c r="Z110">
        <v>15.240062</v>
      </c>
      <c r="AA110">
        <v>15.278491000000001</v>
      </c>
      <c r="AB110">
        <v>15.314698</v>
      </c>
      <c r="AC110">
        <v>15.350427</v>
      </c>
      <c r="AD110">
        <v>15.386863</v>
      </c>
      <c r="AE110">
        <v>15.426907999999999</v>
      </c>
      <c r="AF110">
        <v>15.474148</v>
      </c>
      <c r="AG110" s="9">
        <v>4.0000000000000001E-3</v>
      </c>
    </row>
    <row r="111" spans="1:33">
      <c r="A111" t="s">
        <v>226</v>
      </c>
      <c r="B111" t="s">
        <v>1508</v>
      </c>
      <c r="C111" t="s">
        <v>1507</v>
      </c>
      <c r="D111" t="s">
        <v>259</v>
      </c>
      <c r="F111">
        <v>11.270543999999999</v>
      </c>
      <c r="G111">
        <v>11.409352999999999</v>
      </c>
      <c r="H111">
        <v>11.538529</v>
      </c>
      <c r="I111">
        <v>11.656753</v>
      </c>
      <c r="J111">
        <v>11.771490999999999</v>
      </c>
      <c r="K111">
        <v>11.863529</v>
      </c>
      <c r="L111">
        <v>11.945356</v>
      </c>
      <c r="M111">
        <v>12.01674</v>
      </c>
      <c r="N111">
        <v>12.080651</v>
      </c>
      <c r="O111">
        <v>12.137786999999999</v>
      </c>
      <c r="P111">
        <v>12.189059</v>
      </c>
      <c r="Q111">
        <v>12.235332</v>
      </c>
      <c r="R111">
        <v>12.2768</v>
      </c>
      <c r="S111">
        <v>12.314057999999999</v>
      </c>
      <c r="T111">
        <v>12.349204</v>
      </c>
      <c r="U111">
        <v>12.382721</v>
      </c>
      <c r="V111">
        <v>12.413944000000001</v>
      </c>
      <c r="W111">
        <v>12.444386</v>
      </c>
      <c r="X111">
        <v>12.473788000000001</v>
      </c>
      <c r="Y111">
        <v>12.501901</v>
      </c>
      <c r="Z111">
        <v>12.530419999999999</v>
      </c>
      <c r="AA111">
        <v>12.558555999999999</v>
      </c>
      <c r="AB111">
        <v>12.586591</v>
      </c>
      <c r="AC111">
        <v>12.615855</v>
      </c>
      <c r="AD111">
        <v>12.647904</v>
      </c>
      <c r="AE111">
        <v>12.682796</v>
      </c>
      <c r="AF111">
        <v>12.720029</v>
      </c>
      <c r="AG111" s="9">
        <v>5.0000000000000001E-3</v>
      </c>
    </row>
    <row r="112" spans="1:33">
      <c r="A112" t="s">
        <v>184</v>
      </c>
      <c r="B112" t="s">
        <v>1506</v>
      </c>
      <c r="C112" t="s">
        <v>1505</v>
      </c>
      <c r="D112" t="s">
        <v>259</v>
      </c>
      <c r="F112">
        <v>9.2423020000000005</v>
      </c>
      <c r="G112">
        <v>9.4532989999999995</v>
      </c>
      <c r="H112">
        <v>9.6632979999999993</v>
      </c>
      <c r="I112">
        <v>9.8595740000000003</v>
      </c>
      <c r="J112">
        <v>10.033324</v>
      </c>
      <c r="K112">
        <v>10.184858</v>
      </c>
      <c r="L112">
        <v>10.326045000000001</v>
      </c>
      <c r="M112">
        <v>10.45519</v>
      </c>
      <c r="N112">
        <v>10.576914</v>
      </c>
      <c r="O112">
        <v>10.765653</v>
      </c>
      <c r="P112">
        <v>10.988288000000001</v>
      </c>
      <c r="Q112">
        <v>11.18052</v>
      </c>
      <c r="R112">
        <v>11.338896</v>
      </c>
      <c r="S112">
        <v>11.467409999999999</v>
      </c>
      <c r="T112">
        <v>11.571596</v>
      </c>
      <c r="U112">
        <v>11.657355000000001</v>
      </c>
      <c r="V112">
        <v>11.728928</v>
      </c>
      <c r="W112">
        <v>11.789823999999999</v>
      </c>
      <c r="X112">
        <v>11.842496000000001</v>
      </c>
      <c r="Y112">
        <v>11.888781</v>
      </c>
      <c r="Z112">
        <v>11.930044000000001</v>
      </c>
      <c r="AA112">
        <v>11.967499</v>
      </c>
      <c r="AB112">
        <v>12.001614999999999</v>
      </c>
      <c r="AC112">
        <v>12.032393000000001</v>
      </c>
      <c r="AD112">
        <v>12.060304</v>
      </c>
      <c r="AE112">
        <v>12.085634000000001</v>
      </c>
      <c r="AF112">
        <v>12.108743</v>
      </c>
      <c r="AG112" s="9">
        <v>0.01</v>
      </c>
    </row>
    <row r="113" spans="1:33">
      <c r="A113" t="s">
        <v>187</v>
      </c>
      <c r="B113" t="s">
        <v>1504</v>
      </c>
      <c r="C113" t="s">
        <v>1503</v>
      </c>
      <c r="D113" t="s">
        <v>259</v>
      </c>
      <c r="F113">
        <v>10.79466</v>
      </c>
      <c r="G113">
        <v>10.920845</v>
      </c>
      <c r="H113">
        <v>10.982545999999999</v>
      </c>
      <c r="I113">
        <v>11.040056</v>
      </c>
      <c r="J113">
        <v>11.1477</v>
      </c>
      <c r="K113">
        <v>11.218605</v>
      </c>
      <c r="L113">
        <v>11.282717</v>
      </c>
      <c r="M113">
        <v>11.33933</v>
      </c>
      <c r="N113">
        <v>11.394833</v>
      </c>
      <c r="O113">
        <v>11.443618000000001</v>
      </c>
      <c r="P113">
        <v>11.49808</v>
      </c>
      <c r="Q113">
        <v>11.559828</v>
      </c>
      <c r="R113">
        <v>11.62152</v>
      </c>
      <c r="S113">
        <v>11.682252</v>
      </c>
      <c r="T113">
        <v>11.742834</v>
      </c>
      <c r="U113">
        <v>11.794235</v>
      </c>
      <c r="V113">
        <v>11.839415000000001</v>
      </c>
      <c r="W113">
        <v>11.878601</v>
      </c>
      <c r="X113">
        <v>11.910233</v>
      </c>
      <c r="Y113">
        <v>11.934759</v>
      </c>
      <c r="Z113">
        <v>11.953211</v>
      </c>
      <c r="AA113">
        <v>11.967457</v>
      </c>
      <c r="AB113">
        <v>11.978687000000001</v>
      </c>
      <c r="AC113">
        <v>11.987667999999999</v>
      </c>
      <c r="AD113">
        <v>11.994937999999999</v>
      </c>
      <c r="AE113">
        <v>12.000684</v>
      </c>
      <c r="AF113">
        <v>12.005663</v>
      </c>
      <c r="AG113" s="9">
        <v>4.0000000000000001E-3</v>
      </c>
    </row>
    <row r="114" spans="1:33">
      <c r="A114" t="s">
        <v>227</v>
      </c>
      <c r="B114" t="s">
        <v>1502</v>
      </c>
      <c r="C114" t="s">
        <v>1501</v>
      </c>
      <c r="D114" t="s">
        <v>259</v>
      </c>
      <c r="F114">
        <v>10.010496</v>
      </c>
      <c r="G114">
        <v>10.00788</v>
      </c>
      <c r="H114">
        <v>10.005171000000001</v>
      </c>
      <c r="I114">
        <v>10.003261999999999</v>
      </c>
      <c r="J114">
        <v>10.001704999999999</v>
      </c>
      <c r="K114">
        <v>10.001531</v>
      </c>
      <c r="L114">
        <v>10.001868999999999</v>
      </c>
      <c r="M114">
        <v>10.002848999999999</v>
      </c>
      <c r="N114">
        <v>10.00376</v>
      </c>
      <c r="O114">
        <v>10.002958</v>
      </c>
      <c r="P114">
        <v>10.000252</v>
      </c>
      <c r="Q114">
        <v>9.9956479999999992</v>
      </c>
      <c r="R114">
        <v>9.9909009999999991</v>
      </c>
      <c r="S114">
        <v>9.9880270000000007</v>
      </c>
      <c r="T114">
        <v>9.9886970000000002</v>
      </c>
      <c r="U114">
        <v>9.9905819999999999</v>
      </c>
      <c r="V114">
        <v>9.9933890000000005</v>
      </c>
      <c r="W114">
        <v>9.9956650000000007</v>
      </c>
      <c r="X114">
        <v>9.9976199999999995</v>
      </c>
      <c r="Y114">
        <v>9.9996279999999995</v>
      </c>
      <c r="Z114">
        <v>10.001576</v>
      </c>
      <c r="AA114">
        <v>9.9996310000000008</v>
      </c>
      <c r="AB114">
        <v>9.9868240000000004</v>
      </c>
      <c r="AC114">
        <v>9.9634610000000006</v>
      </c>
      <c r="AD114">
        <v>9.9343210000000006</v>
      </c>
      <c r="AE114">
        <v>9.9217340000000007</v>
      </c>
      <c r="AF114">
        <v>9.9377790000000008</v>
      </c>
      <c r="AG114" s="9">
        <v>0</v>
      </c>
    </row>
    <row r="115" spans="1:33">
      <c r="A115" t="s">
        <v>228</v>
      </c>
      <c r="B115" t="s">
        <v>1500</v>
      </c>
      <c r="C115" t="s">
        <v>1499</v>
      </c>
      <c r="D115" t="s">
        <v>258</v>
      </c>
      <c r="F115">
        <v>41.381866000000002</v>
      </c>
      <c r="G115">
        <v>41.703876000000001</v>
      </c>
      <c r="H115">
        <v>41.883159999999997</v>
      </c>
      <c r="I115">
        <v>41.993983999999998</v>
      </c>
      <c r="J115">
        <v>42.076790000000003</v>
      </c>
      <c r="K115">
        <v>42.135531999999998</v>
      </c>
      <c r="L115">
        <v>42.180328000000003</v>
      </c>
      <c r="M115">
        <v>42.241095999999999</v>
      </c>
      <c r="N115">
        <v>42.292721</v>
      </c>
      <c r="O115">
        <v>42.319889000000003</v>
      </c>
      <c r="P115">
        <v>42.341545000000004</v>
      </c>
      <c r="Q115">
        <v>42.357627999999998</v>
      </c>
      <c r="R115">
        <v>42.367283</v>
      </c>
      <c r="S115">
        <v>42.372826000000003</v>
      </c>
      <c r="T115">
        <v>42.375796999999999</v>
      </c>
      <c r="U115">
        <v>42.377429999999997</v>
      </c>
      <c r="V115">
        <v>42.378261999999999</v>
      </c>
      <c r="W115">
        <v>42.378647000000001</v>
      </c>
      <c r="X115">
        <v>42.378807000000002</v>
      </c>
      <c r="Y115">
        <v>42.378898999999997</v>
      </c>
      <c r="Z115">
        <v>42.378914000000002</v>
      </c>
      <c r="AA115">
        <v>42.378886999999999</v>
      </c>
      <c r="AB115">
        <v>42.380459000000002</v>
      </c>
      <c r="AC115">
        <v>42.38456</v>
      </c>
      <c r="AD115">
        <v>42.392181000000001</v>
      </c>
      <c r="AE115">
        <v>42.407435999999997</v>
      </c>
      <c r="AF115">
        <v>42.430264000000001</v>
      </c>
      <c r="AG115" s="9">
        <v>1E-3</v>
      </c>
    </row>
    <row r="116" spans="1:33">
      <c r="A116" t="s">
        <v>229</v>
      </c>
      <c r="B116" t="s">
        <v>1498</v>
      </c>
      <c r="C116" t="s">
        <v>1497</v>
      </c>
      <c r="D116" t="s">
        <v>258</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110</v>
      </c>
    </row>
    <row r="117" spans="1:33">
      <c r="A117" t="s">
        <v>230</v>
      </c>
      <c r="B117" t="s">
        <v>1496</v>
      </c>
      <c r="C117" t="s">
        <v>1495</v>
      </c>
      <c r="D117" t="s">
        <v>259</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110</v>
      </c>
    </row>
    <row r="118" spans="1:33">
      <c r="A118" t="s">
        <v>231</v>
      </c>
      <c r="B118" t="s">
        <v>1494</v>
      </c>
      <c r="C118" t="s">
        <v>1493</v>
      </c>
      <c r="D118" t="s">
        <v>258</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110</v>
      </c>
    </row>
    <row r="119" spans="1:33">
      <c r="A119" t="s">
        <v>574</v>
      </c>
      <c r="B119" t="s">
        <v>1492</v>
      </c>
      <c r="C119" t="s">
        <v>1491</v>
      </c>
      <c r="D119" t="s">
        <v>258</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110</v>
      </c>
    </row>
    <row r="120" spans="1:33">
      <c r="A120" t="s">
        <v>571</v>
      </c>
      <c r="B120" t="s">
        <v>1490</v>
      </c>
      <c r="C120" t="s">
        <v>1489</v>
      </c>
      <c r="D120" t="s">
        <v>259</v>
      </c>
      <c r="F120">
        <v>0</v>
      </c>
      <c r="G120">
        <v>14.326266</v>
      </c>
      <c r="H120">
        <v>14.330572999999999</v>
      </c>
      <c r="I120">
        <v>14.341824000000001</v>
      </c>
      <c r="J120">
        <v>14.40915</v>
      </c>
      <c r="K120">
        <v>14.392595999999999</v>
      </c>
      <c r="L120">
        <v>14.412682999999999</v>
      </c>
      <c r="M120">
        <v>14.456479</v>
      </c>
      <c r="N120">
        <v>14.518309</v>
      </c>
      <c r="O120">
        <v>14.599339000000001</v>
      </c>
      <c r="P120">
        <v>14.700199</v>
      </c>
      <c r="Q120">
        <v>14.795714</v>
      </c>
      <c r="R120">
        <v>14.882458</v>
      </c>
      <c r="S120">
        <v>14.958017999999999</v>
      </c>
      <c r="T120">
        <v>15.022192</v>
      </c>
      <c r="U120">
        <v>15.074443</v>
      </c>
      <c r="V120">
        <v>15.115707</v>
      </c>
      <c r="W120">
        <v>15.148602</v>
      </c>
      <c r="X120">
        <v>15.175196</v>
      </c>
      <c r="Y120">
        <v>15.196916</v>
      </c>
      <c r="Z120">
        <v>15.214817999999999</v>
      </c>
      <c r="AA120">
        <v>15.229673</v>
      </c>
      <c r="AB120">
        <v>15.241925</v>
      </c>
      <c r="AC120">
        <v>15.251994</v>
      </c>
      <c r="AD120">
        <v>15.260142</v>
      </c>
      <c r="AE120">
        <v>15.266747000000001</v>
      </c>
      <c r="AF120">
        <v>15.272197999999999</v>
      </c>
      <c r="AG120" t="s">
        <v>110</v>
      </c>
    </row>
    <row r="121" spans="1:33">
      <c r="A121" t="s">
        <v>568</v>
      </c>
      <c r="B121" t="s">
        <v>1488</v>
      </c>
      <c r="C121" t="s">
        <v>1487</v>
      </c>
      <c r="D121" t="s">
        <v>258</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t="s">
        <v>110</v>
      </c>
    </row>
    <row r="122" spans="1:33">
      <c r="A122" t="s">
        <v>240</v>
      </c>
      <c r="B122" t="s">
        <v>1486</v>
      </c>
      <c r="C122" t="s">
        <v>1485</v>
      </c>
      <c r="F122">
        <v>12.831079000000001</v>
      </c>
      <c r="G122">
        <v>12.901629</v>
      </c>
      <c r="H122">
        <v>12.979244</v>
      </c>
      <c r="I122">
        <v>13.060256000000001</v>
      </c>
      <c r="J122">
        <v>13.160561</v>
      </c>
      <c r="K122">
        <v>13.250387</v>
      </c>
      <c r="L122">
        <v>13.341866</v>
      </c>
      <c r="M122">
        <v>13.437830999999999</v>
      </c>
      <c r="N122">
        <v>13.541937000000001</v>
      </c>
      <c r="O122">
        <v>13.647505000000001</v>
      </c>
      <c r="P122">
        <v>13.762563</v>
      </c>
      <c r="Q122">
        <v>13.886763</v>
      </c>
      <c r="R122">
        <v>14.018940000000001</v>
      </c>
      <c r="S122">
        <v>14.155526999999999</v>
      </c>
      <c r="T122">
        <v>14.300395</v>
      </c>
      <c r="U122">
        <v>14.452030000000001</v>
      </c>
      <c r="V122">
        <v>14.607469</v>
      </c>
      <c r="W122">
        <v>14.773649000000001</v>
      </c>
      <c r="X122">
        <v>14.947186</v>
      </c>
      <c r="Y122">
        <v>15.126486999999999</v>
      </c>
      <c r="Z122">
        <v>15.302503</v>
      </c>
      <c r="AA122">
        <v>15.47659</v>
      </c>
      <c r="AB122">
        <v>15.647549</v>
      </c>
      <c r="AC122">
        <v>15.819523999999999</v>
      </c>
      <c r="AD122">
        <v>15.992418000000001</v>
      </c>
      <c r="AE122">
        <v>16.163097</v>
      </c>
      <c r="AF122">
        <v>16.331121</v>
      </c>
      <c r="AG122" s="9">
        <v>8.9999999999999993E-3</v>
      </c>
    </row>
    <row r="123" spans="1:33">
      <c r="A123" t="s">
        <v>163</v>
      </c>
    </row>
    <row r="124" spans="1:33">
      <c r="A124" t="s">
        <v>181</v>
      </c>
      <c r="B124" t="s">
        <v>1484</v>
      </c>
      <c r="C124" t="s">
        <v>1483</v>
      </c>
      <c r="D124" t="s">
        <v>258</v>
      </c>
      <c r="F124">
        <v>8.9978890000000007</v>
      </c>
      <c r="G124">
        <v>9.0829520000000006</v>
      </c>
      <c r="H124">
        <v>9.1856989999999996</v>
      </c>
      <c r="I124">
        <v>9.302251</v>
      </c>
      <c r="J124">
        <v>9.4243500000000004</v>
      </c>
      <c r="K124">
        <v>9.5493419999999993</v>
      </c>
      <c r="L124">
        <v>9.6778139999999997</v>
      </c>
      <c r="M124">
        <v>9.8073920000000001</v>
      </c>
      <c r="N124">
        <v>9.9367000000000001</v>
      </c>
      <c r="O124">
        <v>10.064192</v>
      </c>
      <c r="P124">
        <v>10.185987000000001</v>
      </c>
      <c r="Q124">
        <v>10.298703</v>
      </c>
      <c r="R124">
        <v>10.397989000000001</v>
      </c>
      <c r="S124">
        <v>10.485415</v>
      </c>
      <c r="T124">
        <v>10.563262</v>
      </c>
      <c r="U124">
        <v>10.632419000000001</v>
      </c>
      <c r="V124">
        <v>10.694361000000001</v>
      </c>
      <c r="W124">
        <v>10.750007999999999</v>
      </c>
      <c r="X124">
        <v>10.79853</v>
      </c>
      <c r="Y124">
        <v>10.838488</v>
      </c>
      <c r="Z124">
        <v>10.87189</v>
      </c>
      <c r="AA124">
        <v>10.900912</v>
      </c>
      <c r="AB124">
        <v>10.927300000000001</v>
      </c>
      <c r="AC124">
        <v>10.951186</v>
      </c>
      <c r="AD124">
        <v>10.973481</v>
      </c>
      <c r="AE124">
        <v>10.994838</v>
      </c>
      <c r="AF124">
        <v>11.015133000000001</v>
      </c>
      <c r="AG124" s="9">
        <v>8.0000000000000002E-3</v>
      </c>
    </row>
    <row r="125" spans="1:33">
      <c r="A125" t="s">
        <v>226</v>
      </c>
      <c r="B125" t="s">
        <v>1482</v>
      </c>
      <c r="C125" t="s">
        <v>1481</v>
      </c>
      <c r="D125" t="s">
        <v>259</v>
      </c>
      <c r="F125">
        <v>8.592568</v>
      </c>
      <c r="G125">
        <v>8.606071</v>
      </c>
      <c r="H125">
        <v>8.6407279999999993</v>
      </c>
      <c r="I125">
        <v>8.6937289999999994</v>
      </c>
      <c r="J125">
        <v>8.7579480000000007</v>
      </c>
      <c r="K125">
        <v>8.8303630000000002</v>
      </c>
      <c r="L125">
        <v>8.9090279999999993</v>
      </c>
      <c r="M125">
        <v>8.9910139999999998</v>
      </c>
      <c r="N125">
        <v>9.0732940000000006</v>
      </c>
      <c r="O125">
        <v>9.1533490000000004</v>
      </c>
      <c r="P125">
        <v>9.2273899999999998</v>
      </c>
      <c r="Q125">
        <v>9.2924640000000007</v>
      </c>
      <c r="R125">
        <v>9.3458290000000002</v>
      </c>
      <c r="S125">
        <v>9.3894179999999992</v>
      </c>
      <c r="T125">
        <v>9.426107</v>
      </c>
      <c r="U125">
        <v>9.4564690000000002</v>
      </c>
      <c r="V125">
        <v>9.4821089999999995</v>
      </c>
      <c r="W125">
        <v>9.5037509999999994</v>
      </c>
      <c r="X125">
        <v>9.5213079999999994</v>
      </c>
      <c r="Y125">
        <v>9.5352370000000004</v>
      </c>
      <c r="Z125">
        <v>9.5466929999999994</v>
      </c>
      <c r="AA125">
        <v>9.5570179999999993</v>
      </c>
      <c r="AB125">
        <v>9.5671199999999992</v>
      </c>
      <c r="AC125">
        <v>9.5762730000000005</v>
      </c>
      <c r="AD125">
        <v>9.5845059999999993</v>
      </c>
      <c r="AE125">
        <v>9.5920339999999999</v>
      </c>
      <c r="AF125">
        <v>9.5997579999999996</v>
      </c>
      <c r="AG125" s="9">
        <v>4.0000000000000001E-3</v>
      </c>
    </row>
    <row r="126" spans="1:33">
      <c r="A126" t="s">
        <v>184</v>
      </c>
      <c r="B126" t="s">
        <v>1480</v>
      </c>
      <c r="C126" t="s">
        <v>1479</v>
      </c>
      <c r="D126" t="s">
        <v>259</v>
      </c>
      <c r="F126">
        <v>6.8220650000000003</v>
      </c>
      <c r="G126">
        <v>6.8356219999999999</v>
      </c>
      <c r="H126">
        <v>6.8474570000000003</v>
      </c>
      <c r="I126">
        <v>6.8590809999999998</v>
      </c>
      <c r="J126">
        <v>6.8706709999999998</v>
      </c>
      <c r="K126">
        <v>6.8888879999999997</v>
      </c>
      <c r="L126">
        <v>6.9028039999999997</v>
      </c>
      <c r="M126">
        <v>6.9194360000000001</v>
      </c>
      <c r="N126">
        <v>6.9374929999999999</v>
      </c>
      <c r="O126">
        <v>6.9537370000000003</v>
      </c>
      <c r="P126">
        <v>6.9632969999999998</v>
      </c>
      <c r="Q126">
        <v>6.9714309999999999</v>
      </c>
      <c r="R126">
        <v>6.9840410000000004</v>
      </c>
      <c r="S126">
        <v>6.9995570000000003</v>
      </c>
      <c r="T126">
        <v>7.0186469999999996</v>
      </c>
      <c r="U126">
        <v>7.0403880000000001</v>
      </c>
      <c r="V126">
        <v>7.0628229999999999</v>
      </c>
      <c r="W126">
        <v>7.0873840000000001</v>
      </c>
      <c r="X126">
        <v>7.1132809999999997</v>
      </c>
      <c r="Y126">
        <v>7.1400220000000001</v>
      </c>
      <c r="Z126">
        <v>7.1690750000000003</v>
      </c>
      <c r="AA126">
        <v>7.192005</v>
      </c>
      <c r="AB126">
        <v>7.2187939999999999</v>
      </c>
      <c r="AC126">
        <v>7.2469020000000004</v>
      </c>
      <c r="AD126">
        <v>7.3173399999999997</v>
      </c>
      <c r="AE126">
        <v>7.4649669999999997</v>
      </c>
      <c r="AF126">
        <v>7.6597530000000003</v>
      </c>
      <c r="AG126" s="9">
        <v>4.0000000000000001E-3</v>
      </c>
    </row>
    <row r="127" spans="1:33">
      <c r="A127" t="s">
        <v>187</v>
      </c>
      <c r="B127" t="s">
        <v>1478</v>
      </c>
      <c r="C127" t="s">
        <v>1477</v>
      </c>
      <c r="D127" t="s">
        <v>259</v>
      </c>
      <c r="F127">
        <v>6.9587450000000004</v>
      </c>
      <c r="G127">
        <v>7.1005240000000001</v>
      </c>
      <c r="H127">
        <v>7.2395759999999996</v>
      </c>
      <c r="I127">
        <v>7.3705959999999999</v>
      </c>
      <c r="J127">
        <v>7.4949719999999997</v>
      </c>
      <c r="K127">
        <v>7.6142539999999999</v>
      </c>
      <c r="L127">
        <v>7.7296529999999999</v>
      </c>
      <c r="M127">
        <v>7.8412980000000001</v>
      </c>
      <c r="N127">
        <v>7.9508369999999999</v>
      </c>
      <c r="O127">
        <v>8.0574860000000008</v>
      </c>
      <c r="P127">
        <v>8.1595089999999999</v>
      </c>
      <c r="Q127">
        <v>8.2554759999999998</v>
      </c>
      <c r="R127">
        <v>8.3427430000000005</v>
      </c>
      <c r="S127">
        <v>8.4244380000000003</v>
      </c>
      <c r="T127">
        <v>8.4999819999999993</v>
      </c>
      <c r="U127">
        <v>8.5670479999999998</v>
      </c>
      <c r="V127">
        <v>8.6249350000000007</v>
      </c>
      <c r="W127">
        <v>8.6754809999999996</v>
      </c>
      <c r="X127">
        <v>8.7235139999999998</v>
      </c>
      <c r="Y127">
        <v>8.7679089999999995</v>
      </c>
      <c r="Z127">
        <v>8.8069520000000008</v>
      </c>
      <c r="AA127">
        <v>8.8404869999999995</v>
      </c>
      <c r="AB127">
        <v>8.8708639999999992</v>
      </c>
      <c r="AC127">
        <v>8.8994520000000001</v>
      </c>
      <c r="AD127">
        <v>8.9278849999999998</v>
      </c>
      <c r="AE127">
        <v>8.9568460000000005</v>
      </c>
      <c r="AF127">
        <v>8.9833010000000009</v>
      </c>
      <c r="AG127" s="9">
        <v>0.01</v>
      </c>
    </row>
    <row r="128" spans="1:33">
      <c r="A128" t="s">
        <v>227</v>
      </c>
      <c r="B128" t="s">
        <v>1476</v>
      </c>
      <c r="C128" t="s">
        <v>1475</v>
      </c>
      <c r="D128" t="s">
        <v>260</v>
      </c>
      <c r="F128">
        <v>7.796983</v>
      </c>
      <c r="G128">
        <v>7.7971940000000002</v>
      </c>
      <c r="H128">
        <v>7.7987250000000001</v>
      </c>
      <c r="I128">
        <v>7.801488</v>
      </c>
      <c r="J128">
        <v>7.8042069999999999</v>
      </c>
      <c r="K128">
        <v>7.8062139999999998</v>
      </c>
      <c r="L128">
        <v>7.8079090000000004</v>
      </c>
      <c r="M128">
        <v>7.8093599999999999</v>
      </c>
      <c r="N128">
        <v>7.8103420000000003</v>
      </c>
      <c r="O128">
        <v>7.8079689999999999</v>
      </c>
      <c r="P128">
        <v>7.8039969999999999</v>
      </c>
      <c r="Q128">
        <v>7.8007169999999997</v>
      </c>
      <c r="R128">
        <v>7.797841</v>
      </c>
      <c r="S128">
        <v>7.7953469999999996</v>
      </c>
      <c r="T128">
        <v>7.7935889999999999</v>
      </c>
      <c r="U128">
        <v>7.7924810000000004</v>
      </c>
      <c r="V128">
        <v>7.7928889999999997</v>
      </c>
      <c r="W128">
        <v>7.7937029999999998</v>
      </c>
      <c r="X128">
        <v>7.79474</v>
      </c>
      <c r="Y128">
        <v>7.7960089999999997</v>
      </c>
      <c r="Z128">
        <v>7.7985680000000004</v>
      </c>
      <c r="AA128">
        <v>7.8054160000000001</v>
      </c>
      <c r="AB128">
        <v>7.8220879999999999</v>
      </c>
      <c r="AC128">
        <v>7.8419610000000004</v>
      </c>
      <c r="AD128">
        <v>7.8639159999999997</v>
      </c>
      <c r="AE128">
        <v>7.8818760000000001</v>
      </c>
      <c r="AF128">
        <v>7.8981960000000004</v>
      </c>
      <c r="AG128" s="9">
        <v>0</v>
      </c>
    </row>
    <row r="129" spans="1:33">
      <c r="A129" t="s">
        <v>228</v>
      </c>
      <c r="B129" t="s">
        <v>1474</v>
      </c>
      <c r="C129" t="s">
        <v>1473</v>
      </c>
      <c r="D129" t="s">
        <v>259</v>
      </c>
      <c r="F129">
        <v>24.166793999999999</v>
      </c>
      <c r="G129">
        <v>23.488609</v>
      </c>
      <c r="H129">
        <v>22.970822999999999</v>
      </c>
      <c r="I129">
        <v>22.584382999999999</v>
      </c>
      <c r="J129">
        <v>22.309833999999999</v>
      </c>
      <c r="K129">
        <v>22.112442000000001</v>
      </c>
      <c r="L129">
        <v>21.974169</v>
      </c>
      <c r="M129">
        <v>21.859919000000001</v>
      </c>
      <c r="N129">
        <v>21.779983999999999</v>
      </c>
      <c r="O129">
        <v>21.717737</v>
      </c>
      <c r="P129">
        <v>21.666831999999999</v>
      </c>
      <c r="Q129">
        <v>21.623701000000001</v>
      </c>
      <c r="R129">
        <v>21.584246</v>
      </c>
      <c r="S129">
        <v>21.556746</v>
      </c>
      <c r="T129">
        <v>21.530912000000001</v>
      </c>
      <c r="U129">
        <v>21.508230000000001</v>
      </c>
      <c r="V129">
        <v>21.486397</v>
      </c>
      <c r="W129">
        <v>21.472149000000002</v>
      </c>
      <c r="X129">
        <v>21.463833000000001</v>
      </c>
      <c r="Y129">
        <v>21.454124</v>
      </c>
      <c r="Z129">
        <v>21.444941</v>
      </c>
      <c r="AA129">
        <v>21.435572000000001</v>
      </c>
      <c r="AB129">
        <v>21.425909000000001</v>
      </c>
      <c r="AC129">
        <v>21.417406</v>
      </c>
      <c r="AD129">
        <v>21.411480000000001</v>
      </c>
      <c r="AE129">
        <v>21.406433</v>
      </c>
      <c r="AF129">
        <v>21.400034000000002</v>
      </c>
      <c r="AG129" s="9">
        <v>-5.0000000000000001E-3</v>
      </c>
    </row>
    <row r="130" spans="1:33">
      <c r="A130" t="s">
        <v>229</v>
      </c>
      <c r="B130" t="s">
        <v>1472</v>
      </c>
      <c r="C130" t="s">
        <v>1471</v>
      </c>
      <c r="D130" t="s">
        <v>259</v>
      </c>
      <c r="F130">
        <v>0</v>
      </c>
      <c r="G130">
        <v>0</v>
      </c>
      <c r="H130">
        <v>10.021416</v>
      </c>
      <c r="I130">
        <v>10.148141000000001</v>
      </c>
      <c r="J130">
        <v>10.257020000000001</v>
      </c>
      <c r="K130">
        <v>10.35416</v>
      </c>
      <c r="L130">
        <v>10.452347</v>
      </c>
      <c r="M130">
        <v>10.558968</v>
      </c>
      <c r="N130">
        <v>10.672829</v>
      </c>
      <c r="O130">
        <v>10.673995</v>
      </c>
      <c r="P130">
        <v>10.674879000000001</v>
      </c>
      <c r="Q130">
        <v>10.674975999999999</v>
      </c>
      <c r="R130">
        <v>10.675637</v>
      </c>
      <c r="S130">
        <v>10.676446</v>
      </c>
      <c r="T130">
        <v>10.677424999999999</v>
      </c>
      <c r="U130">
        <v>10.678618</v>
      </c>
      <c r="V130">
        <v>10.678158</v>
      </c>
      <c r="W130">
        <v>10.677065000000001</v>
      </c>
      <c r="X130">
        <v>10.675454999999999</v>
      </c>
      <c r="Y130">
        <v>10.674443</v>
      </c>
      <c r="Z130">
        <v>10.674431999999999</v>
      </c>
      <c r="AA130">
        <v>10.676520999999999</v>
      </c>
      <c r="AB130">
        <v>10.680699000000001</v>
      </c>
      <c r="AC130">
        <v>10.681051</v>
      </c>
      <c r="AD130">
        <v>10.679695000000001</v>
      </c>
      <c r="AE130">
        <v>10.677787</v>
      </c>
      <c r="AF130">
        <v>10.675386</v>
      </c>
      <c r="AG130" t="s">
        <v>110</v>
      </c>
    </row>
    <row r="131" spans="1:33">
      <c r="A131" t="s">
        <v>230</v>
      </c>
      <c r="B131" t="s">
        <v>1470</v>
      </c>
      <c r="C131" t="s">
        <v>1469</v>
      </c>
      <c r="D131" t="s">
        <v>259</v>
      </c>
      <c r="F131">
        <v>0</v>
      </c>
      <c r="G131">
        <v>9.2793500000000009</v>
      </c>
      <c r="H131">
        <v>9.3903090000000002</v>
      </c>
      <c r="I131">
        <v>9.4275889999999993</v>
      </c>
      <c r="J131">
        <v>9.4380749999999995</v>
      </c>
      <c r="K131">
        <v>9.4384440000000005</v>
      </c>
      <c r="L131">
        <v>9.4383389999999991</v>
      </c>
      <c r="M131">
        <v>9.4377980000000008</v>
      </c>
      <c r="N131">
        <v>9.4372070000000008</v>
      </c>
      <c r="O131">
        <v>9.4371589999999994</v>
      </c>
      <c r="P131">
        <v>9.4370309999999993</v>
      </c>
      <c r="Q131">
        <v>9.4372480000000003</v>
      </c>
      <c r="R131">
        <v>9.4374789999999997</v>
      </c>
      <c r="S131">
        <v>9.4374090000000006</v>
      </c>
      <c r="T131">
        <v>9.4373679999999993</v>
      </c>
      <c r="U131">
        <v>9.4368029999999994</v>
      </c>
      <c r="V131">
        <v>9.4368730000000003</v>
      </c>
      <c r="W131">
        <v>9.4382909999999995</v>
      </c>
      <c r="X131">
        <v>9.4389240000000001</v>
      </c>
      <c r="Y131">
        <v>9.4395220000000002</v>
      </c>
      <c r="Z131">
        <v>9.4401240000000008</v>
      </c>
      <c r="AA131">
        <v>9.4384189999999997</v>
      </c>
      <c r="AB131">
        <v>9.4378630000000001</v>
      </c>
      <c r="AC131">
        <v>9.4376599999999993</v>
      </c>
      <c r="AD131">
        <v>9.4378349999999998</v>
      </c>
      <c r="AE131">
        <v>9.4380550000000003</v>
      </c>
      <c r="AF131">
        <v>9.4382800000000007</v>
      </c>
      <c r="AG131" t="s">
        <v>110</v>
      </c>
    </row>
    <row r="132" spans="1:33">
      <c r="A132" t="s">
        <v>231</v>
      </c>
      <c r="B132" t="s">
        <v>1468</v>
      </c>
      <c r="C132" t="s">
        <v>1467</v>
      </c>
      <c r="D132" t="s">
        <v>259</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t="s">
        <v>110</v>
      </c>
    </row>
    <row r="133" spans="1:33">
      <c r="A133" t="s">
        <v>574</v>
      </c>
      <c r="B133" t="s">
        <v>1466</v>
      </c>
      <c r="C133" t="s">
        <v>1465</v>
      </c>
      <c r="D133" t="s">
        <v>258</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t="s">
        <v>110</v>
      </c>
    </row>
    <row r="134" spans="1:33">
      <c r="A134" t="s">
        <v>571</v>
      </c>
      <c r="B134" t="s">
        <v>1464</v>
      </c>
      <c r="C134" t="s">
        <v>1463</v>
      </c>
      <c r="D134" t="s">
        <v>259</v>
      </c>
      <c r="F134">
        <v>0</v>
      </c>
      <c r="G134">
        <v>9.8621339999999993</v>
      </c>
      <c r="H134">
        <v>9.8833859999999998</v>
      </c>
      <c r="I134">
        <v>9.8984020000000008</v>
      </c>
      <c r="J134">
        <v>9.914415</v>
      </c>
      <c r="K134">
        <v>9.9336549999999999</v>
      </c>
      <c r="L134">
        <v>9.9669659999999993</v>
      </c>
      <c r="M134">
        <v>10.016080000000001</v>
      </c>
      <c r="N134">
        <v>10.069900000000001</v>
      </c>
      <c r="O134">
        <v>10.138522999999999</v>
      </c>
      <c r="P134">
        <v>10.213169000000001</v>
      </c>
      <c r="Q134">
        <v>10.27599</v>
      </c>
      <c r="R134">
        <v>10.324953000000001</v>
      </c>
      <c r="S134">
        <v>10.362147</v>
      </c>
      <c r="T134">
        <v>10.390623</v>
      </c>
      <c r="U134">
        <v>10.412682999999999</v>
      </c>
      <c r="V134">
        <v>10.429790000000001</v>
      </c>
      <c r="W134">
        <v>10.442456999999999</v>
      </c>
      <c r="X134">
        <v>10.452116999999999</v>
      </c>
      <c r="Y134">
        <v>10.459664</v>
      </c>
      <c r="Z134">
        <v>10.465630000000001</v>
      </c>
      <c r="AA134">
        <v>10.470389000000001</v>
      </c>
      <c r="AB134">
        <v>10.474275</v>
      </c>
      <c r="AC134">
        <v>10.47749</v>
      </c>
      <c r="AD134">
        <v>10.480141</v>
      </c>
      <c r="AE134">
        <v>10.482335000000001</v>
      </c>
      <c r="AF134">
        <v>10.484144000000001</v>
      </c>
      <c r="AG134" t="s">
        <v>110</v>
      </c>
    </row>
    <row r="135" spans="1:33">
      <c r="A135" t="s">
        <v>568</v>
      </c>
      <c r="B135" t="s">
        <v>1462</v>
      </c>
      <c r="C135" t="s">
        <v>1461</v>
      </c>
      <c r="D135" t="s">
        <v>258</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t="s">
        <v>110</v>
      </c>
    </row>
    <row r="136" spans="1:33">
      <c r="A136" t="s">
        <v>241</v>
      </c>
      <c r="B136" t="s">
        <v>1460</v>
      </c>
      <c r="C136" t="s">
        <v>1459</v>
      </c>
      <c r="F136">
        <v>8.8135969999999997</v>
      </c>
      <c r="G136">
        <v>8.8656690000000005</v>
      </c>
      <c r="H136">
        <v>8.9361870000000003</v>
      </c>
      <c r="I136">
        <v>9.0218129999999999</v>
      </c>
      <c r="J136">
        <v>9.1149059999999995</v>
      </c>
      <c r="K136">
        <v>9.2129379999999994</v>
      </c>
      <c r="L136">
        <v>9.3155249999999992</v>
      </c>
      <c r="M136">
        <v>9.4202680000000001</v>
      </c>
      <c r="N136">
        <v>9.5250190000000003</v>
      </c>
      <c r="O136">
        <v>9.6281189999999999</v>
      </c>
      <c r="P136">
        <v>9.7260120000000008</v>
      </c>
      <c r="Q136">
        <v>9.8152310000000007</v>
      </c>
      <c r="R136">
        <v>9.8922919999999994</v>
      </c>
      <c r="S136">
        <v>9.9582700000000006</v>
      </c>
      <c r="T136">
        <v>10.015612000000001</v>
      </c>
      <c r="U136">
        <v>10.064689</v>
      </c>
      <c r="V136">
        <v>10.107037</v>
      </c>
      <c r="W136">
        <v>10.143312</v>
      </c>
      <c r="X136">
        <v>10.173615</v>
      </c>
      <c r="Y136">
        <v>10.198003</v>
      </c>
      <c r="Z136">
        <v>10.217998</v>
      </c>
      <c r="AA136">
        <v>10.235155000000001</v>
      </c>
      <c r="AB136">
        <v>10.250697000000001</v>
      </c>
      <c r="AC136">
        <v>10.264521999999999</v>
      </c>
      <c r="AD136">
        <v>10.276980999999999</v>
      </c>
      <c r="AE136">
        <v>10.288339000000001</v>
      </c>
      <c r="AF136">
        <v>10.299118999999999</v>
      </c>
      <c r="AG136" s="9">
        <v>6.0000000000000001E-3</v>
      </c>
    </row>
    <row r="137" spans="1:33">
      <c r="A137" t="s">
        <v>234</v>
      </c>
    </row>
    <row r="138" spans="1:33">
      <c r="A138" t="s">
        <v>181</v>
      </c>
      <c r="B138" t="s">
        <v>1458</v>
      </c>
      <c r="C138" t="s">
        <v>1457</v>
      </c>
      <c r="D138" t="s">
        <v>258</v>
      </c>
      <c r="F138">
        <v>6.4481590000000004</v>
      </c>
      <c r="G138">
        <v>6.5237150000000002</v>
      </c>
      <c r="H138">
        <v>6.610277</v>
      </c>
      <c r="I138">
        <v>6.7069049999999999</v>
      </c>
      <c r="J138">
        <v>6.8064679999999997</v>
      </c>
      <c r="K138">
        <v>6.9066099999999997</v>
      </c>
      <c r="L138">
        <v>7.0061400000000003</v>
      </c>
      <c r="M138">
        <v>7.1038860000000001</v>
      </c>
      <c r="N138">
        <v>7.1993840000000002</v>
      </c>
      <c r="O138">
        <v>7.2923330000000002</v>
      </c>
      <c r="P138">
        <v>7.3804069999999999</v>
      </c>
      <c r="Q138">
        <v>7.4618279999999997</v>
      </c>
      <c r="R138">
        <v>7.5358000000000001</v>
      </c>
      <c r="S138">
        <v>7.6030470000000001</v>
      </c>
      <c r="T138">
        <v>7.664059</v>
      </c>
      <c r="U138">
        <v>7.7193630000000004</v>
      </c>
      <c r="V138">
        <v>7.769641</v>
      </c>
      <c r="W138">
        <v>7.8135589999999997</v>
      </c>
      <c r="X138">
        <v>7.8512329999999997</v>
      </c>
      <c r="Y138">
        <v>7.8831619999999996</v>
      </c>
      <c r="Z138">
        <v>7.910139</v>
      </c>
      <c r="AA138">
        <v>7.9335370000000003</v>
      </c>
      <c r="AB138">
        <v>7.9543119999999998</v>
      </c>
      <c r="AC138">
        <v>7.9732010000000004</v>
      </c>
      <c r="AD138">
        <v>7.990386</v>
      </c>
      <c r="AE138">
        <v>8.0064489999999999</v>
      </c>
      <c r="AF138">
        <v>8.0207669999999993</v>
      </c>
      <c r="AG138" s="9">
        <v>8.0000000000000002E-3</v>
      </c>
    </row>
    <row r="139" spans="1:33">
      <c r="A139" t="s">
        <v>226</v>
      </c>
      <c r="B139" t="s">
        <v>1456</v>
      </c>
      <c r="C139" t="s">
        <v>1455</v>
      </c>
      <c r="D139" t="s">
        <v>259</v>
      </c>
      <c r="F139">
        <v>5.0604979999999999</v>
      </c>
      <c r="G139">
        <v>5.0774359999999996</v>
      </c>
      <c r="H139">
        <v>5.0991439999999999</v>
      </c>
      <c r="I139">
        <v>5.1250900000000001</v>
      </c>
      <c r="J139">
        <v>5.1534420000000001</v>
      </c>
      <c r="K139">
        <v>5.1845939999999997</v>
      </c>
      <c r="L139">
        <v>5.2184819999999998</v>
      </c>
      <c r="M139">
        <v>5.2552859999999999</v>
      </c>
      <c r="N139">
        <v>5.2975779999999997</v>
      </c>
      <c r="O139">
        <v>5.3497630000000003</v>
      </c>
      <c r="P139">
        <v>5.4074600000000004</v>
      </c>
      <c r="Q139">
        <v>5.4704280000000001</v>
      </c>
      <c r="R139">
        <v>5.5354279999999996</v>
      </c>
      <c r="S139">
        <v>5.6057940000000004</v>
      </c>
      <c r="T139">
        <v>5.680758</v>
      </c>
      <c r="U139">
        <v>5.7590899999999996</v>
      </c>
      <c r="V139">
        <v>5.8335530000000002</v>
      </c>
      <c r="W139">
        <v>5.9079370000000004</v>
      </c>
      <c r="X139">
        <v>5.9863949999999999</v>
      </c>
      <c r="Y139">
        <v>6.0574680000000001</v>
      </c>
      <c r="Z139">
        <v>6.1193</v>
      </c>
      <c r="AA139">
        <v>6.1728969999999999</v>
      </c>
      <c r="AB139">
        <v>6.2207470000000002</v>
      </c>
      <c r="AC139">
        <v>6.2629130000000002</v>
      </c>
      <c r="AD139">
        <v>6.3015109999999996</v>
      </c>
      <c r="AE139">
        <v>6.3367149999999999</v>
      </c>
      <c r="AF139">
        <v>6.3716860000000004</v>
      </c>
      <c r="AG139" s="9">
        <v>8.9999999999999993E-3</v>
      </c>
    </row>
    <row r="140" spans="1:33">
      <c r="A140" t="s">
        <v>184</v>
      </c>
      <c r="B140" t="s">
        <v>1454</v>
      </c>
      <c r="C140" t="s">
        <v>1453</v>
      </c>
      <c r="D140" t="s">
        <v>259</v>
      </c>
      <c r="F140">
        <v>5.1770810000000003</v>
      </c>
      <c r="G140">
        <v>5.2519499999999999</v>
      </c>
      <c r="H140">
        <v>5.3134009999999998</v>
      </c>
      <c r="I140">
        <v>5.3660629999999996</v>
      </c>
      <c r="J140">
        <v>5.4125629999999996</v>
      </c>
      <c r="K140">
        <v>5.4564050000000002</v>
      </c>
      <c r="L140">
        <v>5.5025110000000002</v>
      </c>
      <c r="M140">
        <v>5.553839</v>
      </c>
      <c r="N140">
        <v>5.6110850000000001</v>
      </c>
      <c r="O140">
        <v>5.6749489999999998</v>
      </c>
      <c r="P140">
        <v>5.7430880000000002</v>
      </c>
      <c r="Q140">
        <v>5.815677</v>
      </c>
      <c r="R140">
        <v>5.8909649999999996</v>
      </c>
      <c r="S140">
        <v>5.9667110000000001</v>
      </c>
      <c r="T140">
        <v>6.0391219999999999</v>
      </c>
      <c r="U140">
        <v>6.1066419999999999</v>
      </c>
      <c r="V140">
        <v>6.168126</v>
      </c>
      <c r="W140">
        <v>6.2248260000000002</v>
      </c>
      <c r="X140">
        <v>6.2762650000000004</v>
      </c>
      <c r="Y140">
        <v>6.3219269999999996</v>
      </c>
      <c r="Z140">
        <v>6.3612109999999999</v>
      </c>
      <c r="AA140">
        <v>6.3945879999999997</v>
      </c>
      <c r="AB140">
        <v>6.4228620000000003</v>
      </c>
      <c r="AC140">
        <v>6.4477200000000003</v>
      </c>
      <c r="AD140">
        <v>6.471025</v>
      </c>
      <c r="AE140">
        <v>6.4940899999999999</v>
      </c>
      <c r="AF140">
        <v>6.5145</v>
      </c>
      <c r="AG140" s="9">
        <v>8.9999999999999993E-3</v>
      </c>
    </row>
    <row r="141" spans="1:33">
      <c r="A141" t="s">
        <v>187</v>
      </c>
      <c r="B141" t="s">
        <v>1452</v>
      </c>
      <c r="C141" t="s">
        <v>1451</v>
      </c>
      <c r="D141" t="s">
        <v>258</v>
      </c>
      <c r="F141">
        <v>5.8177469999999998</v>
      </c>
      <c r="G141">
        <v>5.8252810000000004</v>
      </c>
      <c r="H141">
        <v>5.8505969999999996</v>
      </c>
      <c r="I141">
        <v>5.8820009999999998</v>
      </c>
      <c r="J141">
        <v>5.923349</v>
      </c>
      <c r="K141">
        <v>5.9725099999999998</v>
      </c>
      <c r="L141">
        <v>6.0274619999999999</v>
      </c>
      <c r="M141">
        <v>6.0861039999999997</v>
      </c>
      <c r="N141">
        <v>6.1471739999999997</v>
      </c>
      <c r="O141">
        <v>6.2090630000000004</v>
      </c>
      <c r="P141">
        <v>6.2704079999999998</v>
      </c>
      <c r="Q141">
        <v>6.3303279999999997</v>
      </c>
      <c r="R141">
        <v>6.3855779999999998</v>
      </c>
      <c r="S141">
        <v>6.4388249999999996</v>
      </c>
      <c r="T141">
        <v>6.4865199999999996</v>
      </c>
      <c r="U141">
        <v>6.5314629999999996</v>
      </c>
      <c r="V141">
        <v>6.5754039999999998</v>
      </c>
      <c r="W141">
        <v>6.6179860000000001</v>
      </c>
      <c r="X141">
        <v>6.6568529999999999</v>
      </c>
      <c r="Y141">
        <v>6.6910489999999996</v>
      </c>
      <c r="Z141">
        <v>6.7246829999999997</v>
      </c>
      <c r="AA141">
        <v>6.7557660000000004</v>
      </c>
      <c r="AB141">
        <v>6.7887440000000003</v>
      </c>
      <c r="AC141">
        <v>6.8248379999999997</v>
      </c>
      <c r="AD141">
        <v>6.8676399999999997</v>
      </c>
      <c r="AE141">
        <v>6.9122810000000001</v>
      </c>
      <c r="AF141">
        <v>6.9615030000000004</v>
      </c>
      <c r="AG141" s="9">
        <v>7.0000000000000001E-3</v>
      </c>
    </row>
    <row r="142" spans="1:33">
      <c r="A142" t="s">
        <v>227</v>
      </c>
      <c r="B142" t="s">
        <v>1450</v>
      </c>
      <c r="C142" t="s">
        <v>1449</v>
      </c>
      <c r="D142" t="s">
        <v>259</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t="s">
        <v>110</v>
      </c>
    </row>
    <row r="143" spans="1:33">
      <c r="A143" t="s">
        <v>228</v>
      </c>
      <c r="B143" t="s">
        <v>1448</v>
      </c>
      <c r="C143" t="s">
        <v>1447</v>
      </c>
      <c r="D143" t="s">
        <v>258</v>
      </c>
      <c r="F143">
        <v>13.988659</v>
      </c>
      <c r="G143">
        <v>13.883277</v>
      </c>
      <c r="H143">
        <v>13.850619999999999</v>
      </c>
      <c r="I143">
        <v>13.859565999999999</v>
      </c>
      <c r="J143">
        <v>13.895028999999999</v>
      </c>
      <c r="K143">
        <v>13.954997000000001</v>
      </c>
      <c r="L143">
        <v>14.030798000000001</v>
      </c>
      <c r="M143">
        <v>14.115463999999999</v>
      </c>
      <c r="N143">
        <v>14.211738</v>
      </c>
      <c r="O143">
        <v>14.318835999999999</v>
      </c>
      <c r="P143">
        <v>14.423564000000001</v>
      </c>
      <c r="Q143">
        <v>14.524480000000001</v>
      </c>
      <c r="R143">
        <v>14.620310999999999</v>
      </c>
      <c r="S143">
        <v>14.710813999999999</v>
      </c>
      <c r="T143">
        <v>14.79519</v>
      </c>
      <c r="U143">
        <v>14.872324000000001</v>
      </c>
      <c r="V143">
        <v>14.941452999999999</v>
      </c>
      <c r="W143">
        <v>15.002162</v>
      </c>
      <c r="X143">
        <v>15.054307</v>
      </c>
      <c r="Y143">
        <v>15.098464999999999</v>
      </c>
      <c r="Z143">
        <v>15.13503</v>
      </c>
      <c r="AA143">
        <v>15.16474</v>
      </c>
      <c r="AB143">
        <v>15.188535</v>
      </c>
      <c r="AC143">
        <v>15.207722</v>
      </c>
      <c r="AD143">
        <v>15.223267</v>
      </c>
      <c r="AE143">
        <v>15.235799</v>
      </c>
      <c r="AF143">
        <v>15.245944</v>
      </c>
      <c r="AG143" s="9">
        <v>3.0000000000000001E-3</v>
      </c>
    </row>
    <row r="144" spans="1:33">
      <c r="A144" t="s">
        <v>229</v>
      </c>
      <c r="B144" t="s">
        <v>1446</v>
      </c>
      <c r="C144" t="s">
        <v>1445</v>
      </c>
      <c r="D144" t="s">
        <v>258</v>
      </c>
      <c r="F144">
        <v>0</v>
      </c>
      <c r="G144">
        <v>0</v>
      </c>
      <c r="H144">
        <v>8.8917629999999992</v>
      </c>
      <c r="I144">
        <v>9.0109379999999994</v>
      </c>
      <c r="J144">
        <v>9.0930579999999992</v>
      </c>
      <c r="K144">
        <v>9.1704240000000006</v>
      </c>
      <c r="L144">
        <v>9.2546510000000008</v>
      </c>
      <c r="M144">
        <v>9.3515370000000004</v>
      </c>
      <c r="N144">
        <v>9.4650669999999995</v>
      </c>
      <c r="O144">
        <v>9.4638760000000008</v>
      </c>
      <c r="P144">
        <v>9.4589940000000006</v>
      </c>
      <c r="Q144">
        <v>9.4530069999999995</v>
      </c>
      <c r="R144">
        <v>9.4444230000000005</v>
      </c>
      <c r="S144">
        <v>9.438231</v>
      </c>
      <c r="T144">
        <v>9.4353920000000002</v>
      </c>
      <c r="U144">
        <v>9.4374330000000004</v>
      </c>
      <c r="V144">
        <v>9.4385729999999999</v>
      </c>
      <c r="W144">
        <v>9.443244</v>
      </c>
      <c r="X144">
        <v>9.4517179999999996</v>
      </c>
      <c r="Y144">
        <v>9.4627800000000004</v>
      </c>
      <c r="Z144">
        <v>9.4740059999999993</v>
      </c>
      <c r="AA144">
        <v>9.4837299999999995</v>
      </c>
      <c r="AB144">
        <v>9.4882910000000003</v>
      </c>
      <c r="AC144">
        <v>9.4838109999999993</v>
      </c>
      <c r="AD144">
        <v>9.4798200000000001</v>
      </c>
      <c r="AE144">
        <v>9.4780770000000008</v>
      </c>
      <c r="AF144">
        <v>9.4804750000000002</v>
      </c>
      <c r="AG144" t="s">
        <v>110</v>
      </c>
    </row>
    <row r="145" spans="1:33">
      <c r="A145" t="s">
        <v>230</v>
      </c>
      <c r="B145" t="s">
        <v>1444</v>
      </c>
      <c r="C145" t="s">
        <v>1443</v>
      </c>
      <c r="D145" t="s">
        <v>259</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t="s">
        <v>110</v>
      </c>
    </row>
    <row r="146" spans="1:33">
      <c r="A146" t="s">
        <v>231</v>
      </c>
      <c r="B146" t="s">
        <v>1442</v>
      </c>
      <c r="C146" t="s">
        <v>1441</v>
      </c>
      <c r="D146" t="s">
        <v>258</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t="s">
        <v>110</v>
      </c>
    </row>
    <row r="147" spans="1:33">
      <c r="A147" t="s">
        <v>574</v>
      </c>
      <c r="B147" t="s">
        <v>1440</v>
      </c>
      <c r="C147" t="s">
        <v>1439</v>
      </c>
      <c r="D147" t="s">
        <v>258</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t="s">
        <v>110</v>
      </c>
    </row>
    <row r="148" spans="1:33">
      <c r="A148" t="s">
        <v>571</v>
      </c>
      <c r="B148" t="s">
        <v>1438</v>
      </c>
      <c r="C148" t="s">
        <v>1437</v>
      </c>
      <c r="D148" t="s">
        <v>259</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t="s">
        <v>110</v>
      </c>
    </row>
    <row r="149" spans="1:33">
      <c r="A149" t="s">
        <v>568</v>
      </c>
      <c r="B149" t="s">
        <v>1436</v>
      </c>
      <c r="C149" t="s">
        <v>1435</v>
      </c>
      <c r="D149" t="s">
        <v>258</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t="s">
        <v>110</v>
      </c>
    </row>
    <row r="150" spans="1:33">
      <c r="A150" t="s">
        <v>242</v>
      </c>
      <c r="B150" t="s">
        <v>1434</v>
      </c>
      <c r="C150" t="s">
        <v>1433</v>
      </c>
      <c r="F150">
        <v>6.4419060000000004</v>
      </c>
      <c r="G150">
        <v>6.517417</v>
      </c>
      <c r="H150">
        <v>6.6038949999999996</v>
      </c>
      <c r="I150">
        <v>6.7003839999999997</v>
      </c>
      <c r="J150">
        <v>6.799779</v>
      </c>
      <c r="K150">
        <v>6.8997419999999998</v>
      </c>
      <c r="L150">
        <v>6.9991070000000004</v>
      </c>
      <c r="M150">
        <v>7.096711</v>
      </c>
      <c r="N150">
        <v>7.1920929999999998</v>
      </c>
      <c r="O150">
        <v>7.2848660000000001</v>
      </c>
      <c r="P150">
        <v>7.3727790000000004</v>
      </c>
      <c r="Q150">
        <v>7.4540790000000001</v>
      </c>
      <c r="R150">
        <v>7.527946</v>
      </c>
      <c r="S150">
        <v>7.5950939999999996</v>
      </c>
      <c r="T150">
        <v>7.6560100000000002</v>
      </c>
      <c r="U150">
        <v>7.7111929999999997</v>
      </c>
      <c r="V150">
        <v>7.761298</v>
      </c>
      <c r="W150">
        <v>7.8050090000000001</v>
      </c>
      <c r="X150">
        <v>7.8424889999999996</v>
      </c>
      <c r="Y150">
        <v>7.8742320000000001</v>
      </c>
      <c r="Z150">
        <v>7.901008</v>
      </c>
      <c r="AA150">
        <v>7.9241510000000002</v>
      </c>
      <c r="AB150">
        <v>7.9446289999999999</v>
      </c>
      <c r="AC150">
        <v>7.9631720000000001</v>
      </c>
      <c r="AD150">
        <v>7.9799680000000004</v>
      </c>
      <c r="AE150">
        <v>7.9955740000000004</v>
      </c>
      <c r="AF150">
        <v>8.0093580000000006</v>
      </c>
      <c r="AG150" s="9">
        <v>8.0000000000000002E-3</v>
      </c>
    </row>
    <row r="151" spans="1:33">
      <c r="A151" t="s">
        <v>243</v>
      </c>
      <c r="B151" t="s">
        <v>1432</v>
      </c>
      <c r="C151" t="s">
        <v>1431</v>
      </c>
      <c r="F151">
        <v>7.7570209999999999</v>
      </c>
      <c r="G151">
        <v>7.8260290000000001</v>
      </c>
      <c r="H151">
        <v>7.9062919999999997</v>
      </c>
      <c r="I151">
        <v>7.9960300000000002</v>
      </c>
      <c r="J151">
        <v>8.0947870000000002</v>
      </c>
      <c r="K151">
        <v>8.1991739999999993</v>
      </c>
      <c r="L151">
        <v>8.3074709999999996</v>
      </c>
      <c r="M151">
        <v>8.4176070000000003</v>
      </c>
      <c r="N151">
        <v>8.5283189999999998</v>
      </c>
      <c r="O151">
        <v>8.6380090000000003</v>
      </c>
      <c r="P151">
        <v>8.7450670000000006</v>
      </c>
      <c r="Q151">
        <v>8.8470680000000002</v>
      </c>
      <c r="R151">
        <v>8.9420520000000003</v>
      </c>
      <c r="S151">
        <v>9.0299519999999998</v>
      </c>
      <c r="T151">
        <v>9.1127310000000001</v>
      </c>
      <c r="U151">
        <v>9.1914829999999998</v>
      </c>
      <c r="V151">
        <v>9.2668909999999993</v>
      </c>
      <c r="W151">
        <v>9.3372069999999994</v>
      </c>
      <c r="X151">
        <v>9.4020569999999992</v>
      </c>
      <c r="Y151">
        <v>9.4613689999999995</v>
      </c>
      <c r="Z151">
        <v>9.5162099999999992</v>
      </c>
      <c r="AA151">
        <v>9.5691070000000007</v>
      </c>
      <c r="AB151">
        <v>9.6208849999999995</v>
      </c>
      <c r="AC151">
        <v>9.6705679999999994</v>
      </c>
      <c r="AD151">
        <v>9.7169779999999992</v>
      </c>
      <c r="AE151">
        <v>9.7613669999999999</v>
      </c>
      <c r="AF151">
        <v>9.8045439999999999</v>
      </c>
      <c r="AG151" s="9">
        <v>8.9999999999999993E-3</v>
      </c>
    </row>
    <row r="152" spans="1:33">
      <c r="A152" t="s">
        <v>244</v>
      </c>
    </row>
    <row r="153" spans="1:33">
      <c r="A153" t="s">
        <v>162</v>
      </c>
    </row>
    <row r="154" spans="1:33">
      <c r="A154" t="s">
        <v>181</v>
      </c>
      <c r="B154" t="s">
        <v>1430</v>
      </c>
      <c r="C154" t="s">
        <v>1429</v>
      </c>
      <c r="D154" t="s">
        <v>222</v>
      </c>
      <c r="F154">
        <v>3.3905850000000002</v>
      </c>
      <c r="G154">
        <v>3.486351</v>
      </c>
      <c r="H154">
        <v>3.5834139999999999</v>
      </c>
      <c r="I154">
        <v>3.6768480000000001</v>
      </c>
      <c r="J154">
        <v>3.7508810000000001</v>
      </c>
      <c r="K154">
        <v>3.8030469999999998</v>
      </c>
      <c r="L154">
        <v>3.834028</v>
      </c>
      <c r="M154">
        <v>3.8420770000000002</v>
      </c>
      <c r="N154">
        <v>3.8310469999999999</v>
      </c>
      <c r="O154">
        <v>3.8013629999999998</v>
      </c>
      <c r="P154">
        <v>3.7583890000000002</v>
      </c>
      <c r="Q154">
        <v>3.7012700000000001</v>
      </c>
      <c r="R154">
        <v>3.6357650000000001</v>
      </c>
      <c r="S154">
        <v>3.5635560000000002</v>
      </c>
      <c r="T154">
        <v>3.482507</v>
      </c>
      <c r="U154">
        <v>3.3883709999999998</v>
      </c>
      <c r="V154">
        <v>3.2845849999999999</v>
      </c>
      <c r="W154">
        <v>3.1761979999999999</v>
      </c>
      <c r="X154">
        <v>3.0619679999999998</v>
      </c>
      <c r="Y154">
        <v>2.9523220000000001</v>
      </c>
      <c r="Z154">
        <v>2.8473959999999998</v>
      </c>
      <c r="AA154">
        <v>2.7389570000000001</v>
      </c>
      <c r="AB154">
        <v>2.6264699999999999</v>
      </c>
      <c r="AC154">
        <v>2.51606</v>
      </c>
      <c r="AD154">
        <v>2.4064749999999999</v>
      </c>
      <c r="AE154">
        <v>2.2915329999999998</v>
      </c>
      <c r="AF154">
        <v>2.1755209999999998</v>
      </c>
      <c r="AG154" s="9">
        <v>-1.7000000000000001E-2</v>
      </c>
    </row>
    <row r="155" spans="1:33">
      <c r="A155" t="s">
        <v>226</v>
      </c>
      <c r="B155" t="s">
        <v>1428</v>
      </c>
      <c r="C155" t="s">
        <v>1427</v>
      </c>
      <c r="D155" t="s">
        <v>222</v>
      </c>
      <c r="F155">
        <v>1.4982899999999999</v>
      </c>
      <c r="G155">
        <v>1.5895760000000001</v>
      </c>
      <c r="H155">
        <v>1.693641</v>
      </c>
      <c r="I155">
        <v>1.804721</v>
      </c>
      <c r="J155">
        <v>1.9074690000000001</v>
      </c>
      <c r="K155">
        <v>1.997787</v>
      </c>
      <c r="L155">
        <v>2.0758009999999998</v>
      </c>
      <c r="M155">
        <v>2.1368490000000002</v>
      </c>
      <c r="N155">
        <v>2.1833619999999998</v>
      </c>
      <c r="O155">
        <v>2.2201759999999999</v>
      </c>
      <c r="P155">
        <v>2.2482600000000001</v>
      </c>
      <c r="Q155">
        <v>2.265781</v>
      </c>
      <c r="R155">
        <v>2.2771539999999999</v>
      </c>
      <c r="S155">
        <v>2.2832889999999999</v>
      </c>
      <c r="T155">
        <v>2.2795169999999998</v>
      </c>
      <c r="U155">
        <v>2.2650090000000001</v>
      </c>
      <c r="V155">
        <v>2.2445900000000001</v>
      </c>
      <c r="W155">
        <v>2.218207</v>
      </c>
      <c r="X155">
        <v>2.1835680000000002</v>
      </c>
      <c r="Y155">
        <v>2.143459</v>
      </c>
      <c r="Z155">
        <v>2.1011060000000001</v>
      </c>
      <c r="AA155">
        <v>2.056289</v>
      </c>
      <c r="AB155">
        <v>2.0091060000000001</v>
      </c>
      <c r="AC155">
        <v>1.960016</v>
      </c>
      <c r="AD155">
        <v>1.908291</v>
      </c>
      <c r="AE155">
        <v>1.853021</v>
      </c>
      <c r="AF155">
        <v>1.796217</v>
      </c>
      <c r="AG155" s="9">
        <v>7.0000000000000001E-3</v>
      </c>
    </row>
    <row r="156" spans="1:33">
      <c r="A156" t="s">
        <v>184</v>
      </c>
      <c r="B156" t="s">
        <v>1426</v>
      </c>
      <c r="C156" t="s">
        <v>1425</v>
      </c>
      <c r="D156" t="s">
        <v>222</v>
      </c>
      <c r="F156">
        <v>1.06E-4</v>
      </c>
      <c r="G156">
        <v>1.03E-4</v>
      </c>
      <c r="H156">
        <v>1E-4</v>
      </c>
      <c r="I156">
        <v>9.7E-5</v>
      </c>
      <c r="J156">
        <v>9.5000000000000005E-5</v>
      </c>
      <c r="K156">
        <v>9.2999999999999997E-5</v>
      </c>
      <c r="L156">
        <v>9.2E-5</v>
      </c>
      <c r="M156">
        <v>9.1000000000000003E-5</v>
      </c>
      <c r="N156">
        <v>9.0000000000000006E-5</v>
      </c>
      <c r="O156">
        <v>9.0000000000000006E-5</v>
      </c>
      <c r="P156">
        <v>8.2000000000000001E-5</v>
      </c>
      <c r="Q156">
        <v>7.1000000000000005E-5</v>
      </c>
      <c r="R156">
        <v>6.4999999999999994E-5</v>
      </c>
      <c r="S156">
        <v>6.0999999999999999E-5</v>
      </c>
      <c r="T156">
        <v>6.0000000000000002E-5</v>
      </c>
      <c r="U156">
        <v>6.0000000000000002E-5</v>
      </c>
      <c r="V156">
        <v>6.0000000000000002E-5</v>
      </c>
      <c r="W156">
        <v>6.2000000000000003E-5</v>
      </c>
      <c r="X156">
        <v>6.3999999999999997E-5</v>
      </c>
      <c r="Y156">
        <v>6.6000000000000005E-5</v>
      </c>
      <c r="Z156">
        <v>6.7999999999999999E-5</v>
      </c>
      <c r="AA156">
        <v>6.9999999999999994E-5</v>
      </c>
      <c r="AB156">
        <v>7.2000000000000002E-5</v>
      </c>
      <c r="AC156">
        <v>7.4999999999999993E-5</v>
      </c>
      <c r="AD156">
        <v>7.7000000000000001E-5</v>
      </c>
      <c r="AE156">
        <v>7.8999999999999996E-5</v>
      </c>
      <c r="AF156">
        <v>8.1000000000000004E-5</v>
      </c>
      <c r="AG156" s="9">
        <v>-1.0999999999999999E-2</v>
      </c>
    </row>
    <row r="157" spans="1:33">
      <c r="A157" t="s">
        <v>187</v>
      </c>
      <c r="B157" t="s">
        <v>1424</v>
      </c>
      <c r="C157" t="s">
        <v>1423</v>
      </c>
      <c r="D157" t="s">
        <v>222</v>
      </c>
      <c r="F157">
        <v>2.6129999999999999E-3</v>
      </c>
      <c r="G157">
        <v>5.9820000000000003E-3</v>
      </c>
      <c r="H157">
        <v>9.7140000000000004E-3</v>
      </c>
      <c r="I157">
        <v>1.3611E-2</v>
      </c>
      <c r="J157">
        <v>1.6615000000000001E-2</v>
      </c>
      <c r="K157">
        <v>1.9800000000000002E-2</v>
      </c>
      <c r="L157">
        <v>2.2692E-2</v>
      </c>
      <c r="M157">
        <v>2.5092E-2</v>
      </c>
      <c r="N157">
        <v>2.7334000000000001E-2</v>
      </c>
      <c r="O157">
        <v>2.9357000000000001E-2</v>
      </c>
      <c r="P157">
        <v>3.1753000000000003E-2</v>
      </c>
      <c r="Q157">
        <v>3.4562000000000002E-2</v>
      </c>
      <c r="R157">
        <v>3.7726999999999997E-2</v>
      </c>
      <c r="S157">
        <v>4.1474999999999998E-2</v>
      </c>
      <c r="T157">
        <v>4.6141000000000001E-2</v>
      </c>
      <c r="U157">
        <v>5.135E-2</v>
      </c>
      <c r="V157">
        <v>5.7452000000000003E-2</v>
      </c>
      <c r="W157">
        <v>6.4610000000000001E-2</v>
      </c>
      <c r="X157">
        <v>7.2647000000000003E-2</v>
      </c>
      <c r="Y157">
        <v>8.1342999999999999E-2</v>
      </c>
      <c r="Z157">
        <v>9.06E-2</v>
      </c>
      <c r="AA157">
        <v>0.10058300000000001</v>
      </c>
      <c r="AB157">
        <v>0.11129600000000001</v>
      </c>
      <c r="AC157">
        <v>0.122808</v>
      </c>
      <c r="AD157">
        <v>0.134797</v>
      </c>
      <c r="AE157">
        <v>0.14738200000000001</v>
      </c>
      <c r="AF157">
        <v>0.16040199999999999</v>
      </c>
      <c r="AG157" s="9">
        <v>0.17199999999999999</v>
      </c>
    </row>
    <row r="158" spans="1:33">
      <c r="A158" t="s">
        <v>227</v>
      </c>
      <c r="B158" t="s">
        <v>1422</v>
      </c>
      <c r="C158" t="s">
        <v>1421</v>
      </c>
      <c r="D158" t="s">
        <v>222</v>
      </c>
      <c r="F158">
        <v>0.21093400000000001</v>
      </c>
      <c r="G158">
        <v>0.20787800000000001</v>
      </c>
      <c r="H158">
        <v>0.20425199999999999</v>
      </c>
      <c r="I158">
        <v>0.199938</v>
      </c>
      <c r="J158">
        <v>0.194773</v>
      </c>
      <c r="K158">
        <v>0.18897900000000001</v>
      </c>
      <c r="L158">
        <v>0.182667</v>
      </c>
      <c r="M158">
        <v>0.17594399999999999</v>
      </c>
      <c r="N158">
        <v>0.16902500000000001</v>
      </c>
      <c r="O158">
        <v>0.161879</v>
      </c>
      <c r="P158">
        <v>0.15459100000000001</v>
      </c>
      <c r="Q158">
        <v>0.147121</v>
      </c>
      <c r="R158">
        <v>0.139652</v>
      </c>
      <c r="S158">
        <v>0.132075</v>
      </c>
      <c r="T158">
        <v>0.12452299999999999</v>
      </c>
      <c r="U158">
        <v>0.117046</v>
      </c>
      <c r="V158">
        <v>0.109762</v>
      </c>
      <c r="W158">
        <v>0.102717</v>
      </c>
      <c r="X158">
        <v>9.6032000000000006E-2</v>
      </c>
      <c r="Y158">
        <v>8.9762999999999996E-2</v>
      </c>
      <c r="Z158">
        <v>8.3586999999999995E-2</v>
      </c>
      <c r="AA158">
        <v>7.6545000000000002E-2</v>
      </c>
      <c r="AB158">
        <v>6.9138000000000005E-2</v>
      </c>
      <c r="AC158">
        <v>6.1460000000000001E-2</v>
      </c>
      <c r="AD158">
        <v>5.4272000000000001E-2</v>
      </c>
      <c r="AE158">
        <v>4.5946000000000001E-2</v>
      </c>
      <c r="AF158">
        <v>3.7659999999999999E-2</v>
      </c>
      <c r="AG158" s="9">
        <v>-6.4000000000000001E-2</v>
      </c>
    </row>
    <row r="159" spans="1:33">
      <c r="A159" t="s">
        <v>228</v>
      </c>
      <c r="B159" t="s">
        <v>1420</v>
      </c>
      <c r="C159" t="s">
        <v>1419</v>
      </c>
      <c r="D159" t="s">
        <v>222</v>
      </c>
      <c r="F159">
        <v>3.3530000000000001E-3</v>
      </c>
      <c r="G159">
        <v>4.712E-3</v>
      </c>
      <c r="H159">
        <v>6.1380000000000002E-3</v>
      </c>
      <c r="I159">
        <v>7.5929999999999999E-3</v>
      </c>
      <c r="J159">
        <v>9.0279999999999996E-3</v>
      </c>
      <c r="K159">
        <v>1.0449999999999999E-2</v>
      </c>
      <c r="L159">
        <v>1.2096000000000001E-2</v>
      </c>
      <c r="M159">
        <v>1.6115999999999998E-2</v>
      </c>
      <c r="N159">
        <v>2.3144000000000001E-2</v>
      </c>
      <c r="O159">
        <v>3.0137000000000001E-2</v>
      </c>
      <c r="P159">
        <v>4.1231999999999998E-2</v>
      </c>
      <c r="Q159">
        <v>5.9050999999999999E-2</v>
      </c>
      <c r="R159">
        <v>8.4289000000000003E-2</v>
      </c>
      <c r="S159">
        <v>0.11565400000000001</v>
      </c>
      <c r="T159">
        <v>0.153889</v>
      </c>
      <c r="U159">
        <v>0.199877</v>
      </c>
      <c r="V159">
        <v>0.25327300000000003</v>
      </c>
      <c r="W159">
        <v>0.31786300000000001</v>
      </c>
      <c r="X159">
        <v>0.39220500000000003</v>
      </c>
      <c r="Y159">
        <v>0.475219</v>
      </c>
      <c r="Z159">
        <v>0.56319900000000001</v>
      </c>
      <c r="AA159">
        <v>0.65591299999999997</v>
      </c>
      <c r="AB159">
        <v>0.75208399999999997</v>
      </c>
      <c r="AC159">
        <v>0.85373900000000003</v>
      </c>
      <c r="AD159">
        <v>0.95974700000000002</v>
      </c>
      <c r="AE159">
        <v>1.069048</v>
      </c>
      <c r="AF159">
        <v>1.181</v>
      </c>
      <c r="AG159" s="9">
        <v>0.253</v>
      </c>
    </row>
    <row r="160" spans="1:33">
      <c r="A160" t="s">
        <v>229</v>
      </c>
      <c r="B160" t="s">
        <v>1418</v>
      </c>
      <c r="C160" t="s">
        <v>1417</v>
      </c>
      <c r="D160" t="s">
        <v>222</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t="s">
        <v>110</v>
      </c>
    </row>
    <row r="161" spans="1:33">
      <c r="A161" t="s">
        <v>230</v>
      </c>
      <c r="B161" t="s">
        <v>1416</v>
      </c>
      <c r="C161" t="s">
        <v>1415</v>
      </c>
      <c r="D161" t="s">
        <v>222</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t="s">
        <v>110</v>
      </c>
    </row>
    <row r="162" spans="1:33">
      <c r="A162" t="s">
        <v>231</v>
      </c>
      <c r="B162" t="s">
        <v>1414</v>
      </c>
      <c r="C162" t="s">
        <v>1413</v>
      </c>
      <c r="D162" t="s">
        <v>222</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t="s">
        <v>110</v>
      </c>
    </row>
    <row r="163" spans="1:33">
      <c r="A163" t="s">
        <v>574</v>
      </c>
      <c r="B163" t="s">
        <v>1412</v>
      </c>
      <c r="C163" t="s">
        <v>1411</v>
      </c>
      <c r="D163" t="s">
        <v>222</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t="s">
        <v>110</v>
      </c>
    </row>
    <row r="164" spans="1:33">
      <c r="A164" t="s">
        <v>571</v>
      </c>
      <c r="B164" t="s">
        <v>1410</v>
      </c>
      <c r="C164" t="s">
        <v>1409</v>
      </c>
      <c r="D164" t="s">
        <v>222</v>
      </c>
      <c r="F164">
        <v>0</v>
      </c>
      <c r="G164">
        <v>2.0379999999999999E-3</v>
      </c>
      <c r="H164">
        <v>5.3639999999999998E-3</v>
      </c>
      <c r="I164">
        <v>1.0276E-2</v>
      </c>
      <c r="J164">
        <v>3.6535999999999999E-2</v>
      </c>
      <c r="K164">
        <v>9.0727000000000002E-2</v>
      </c>
      <c r="L164">
        <v>0.174703</v>
      </c>
      <c r="M164">
        <v>0.28721799999999997</v>
      </c>
      <c r="N164">
        <v>0.42857600000000001</v>
      </c>
      <c r="O164">
        <v>0.59094800000000003</v>
      </c>
      <c r="P164">
        <v>0.77014400000000005</v>
      </c>
      <c r="Q164">
        <v>0.96182400000000001</v>
      </c>
      <c r="R164">
        <v>1.160407</v>
      </c>
      <c r="S164">
        <v>1.36402</v>
      </c>
      <c r="T164">
        <v>1.5784469999999999</v>
      </c>
      <c r="U164">
        <v>1.805226</v>
      </c>
      <c r="V164">
        <v>2.0337710000000002</v>
      </c>
      <c r="W164">
        <v>2.2612679999999998</v>
      </c>
      <c r="X164">
        <v>2.488102</v>
      </c>
      <c r="Y164">
        <v>2.7142050000000002</v>
      </c>
      <c r="Z164">
        <v>2.9380959999999998</v>
      </c>
      <c r="AA164">
        <v>3.1570019999999999</v>
      </c>
      <c r="AB164">
        <v>3.3707229999999999</v>
      </c>
      <c r="AC164">
        <v>3.578576</v>
      </c>
      <c r="AD164">
        <v>3.7794880000000002</v>
      </c>
      <c r="AE164">
        <v>3.9730300000000001</v>
      </c>
      <c r="AF164">
        <v>4.1586670000000003</v>
      </c>
      <c r="AG164" t="s">
        <v>110</v>
      </c>
    </row>
    <row r="165" spans="1:33">
      <c r="A165" t="s">
        <v>568</v>
      </c>
      <c r="B165" t="s">
        <v>1408</v>
      </c>
      <c r="C165" t="s">
        <v>1407</v>
      </c>
      <c r="D165" t="s">
        <v>222</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t="s">
        <v>110</v>
      </c>
    </row>
    <row r="166" spans="1:33">
      <c r="A166" t="s">
        <v>232</v>
      </c>
      <c r="B166" t="s">
        <v>1406</v>
      </c>
      <c r="C166" t="s">
        <v>1405</v>
      </c>
      <c r="D166" t="s">
        <v>222</v>
      </c>
      <c r="F166">
        <v>5.1058789999999998</v>
      </c>
      <c r="G166">
        <v>5.29664</v>
      </c>
      <c r="H166">
        <v>5.5026190000000001</v>
      </c>
      <c r="I166">
        <v>5.7130809999999999</v>
      </c>
      <c r="J166">
        <v>5.9153969999999996</v>
      </c>
      <c r="K166">
        <v>6.110881</v>
      </c>
      <c r="L166">
        <v>6.302073</v>
      </c>
      <c r="M166">
        <v>6.4833819999999998</v>
      </c>
      <c r="N166">
        <v>6.6625709999999998</v>
      </c>
      <c r="O166">
        <v>6.8339429999999997</v>
      </c>
      <c r="P166">
        <v>7.0044469999999999</v>
      </c>
      <c r="Q166">
        <v>7.1696759999999999</v>
      </c>
      <c r="R166">
        <v>7.3350530000000003</v>
      </c>
      <c r="S166">
        <v>7.500127</v>
      </c>
      <c r="T166">
        <v>7.6650790000000004</v>
      </c>
      <c r="U166">
        <v>7.8269320000000002</v>
      </c>
      <c r="V166">
        <v>7.9834909999999999</v>
      </c>
      <c r="W166">
        <v>8.1409230000000008</v>
      </c>
      <c r="X166">
        <v>8.2945799999999998</v>
      </c>
      <c r="Y166">
        <v>8.4563760000000006</v>
      </c>
      <c r="Z166">
        <v>8.6240450000000006</v>
      </c>
      <c r="AA166">
        <v>8.7853530000000006</v>
      </c>
      <c r="AB166">
        <v>8.9388819999999996</v>
      </c>
      <c r="AC166">
        <v>9.092746</v>
      </c>
      <c r="AD166">
        <v>9.24315</v>
      </c>
      <c r="AE166">
        <v>9.3800469999999994</v>
      </c>
      <c r="AF166">
        <v>9.5095489999999998</v>
      </c>
      <c r="AG166" s="9">
        <v>2.4E-2</v>
      </c>
    </row>
    <row r="167" spans="1:33">
      <c r="A167" t="s">
        <v>163</v>
      </c>
    </row>
    <row r="168" spans="1:33">
      <c r="A168" t="s">
        <v>181</v>
      </c>
      <c r="B168" t="s">
        <v>1404</v>
      </c>
      <c r="C168" t="s">
        <v>1403</v>
      </c>
      <c r="D168" t="s">
        <v>222</v>
      </c>
      <c r="F168">
        <v>2.3430569999999999</v>
      </c>
      <c r="G168">
        <v>2.3601730000000001</v>
      </c>
      <c r="H168">
        <v>2.383213</v>
      </c>
      <c r="I168">
        <v>2.4088270000000001</v>
      </c>
      <c r="J168">
        <v>2.4287920000000001</v>
      </c>
      <c r="K168">
        <v>2.438984</v>
      </c>
      <c r="L168">
        <v>2.4438149999999998</v>
      </c>
      <c r="M168">
        <v>2.4413939999999998</v>
      </c>
      <c r="N168">
        <v>2.4343599999999999</v>
      </c>
      <c r="O168">
        <v>2.418981</v>
      </c>
      <c r="P168">
        <v>2.3954230000000001</v>
      </c>
      <c r="Q168">
        <v>2.3676149999999998</v>
      </c>
      <c r="R168">
        <v>2.3380269999999999</v>
      </c>
      <c r="S168">
        <v>2.3065199999999999</v>
      </c>
      <c r="T168">
        <v>2.2718259999999999</v>
      </c>
      <c r="U168">
        <v>2.2329409999999998</v>
      </c>
      <c r="V168">
        <v>2.1898680000000001</v>
      </c>
      <c r="W168">
        <v>2.1439339999999998</v>
      </c>
      <c r="X168">
        <v>2.0985369999999999</v>
      </c>
      <c r="Y168">
        <v>2.059526</v>
      </c>
      <c r="Z168">
        <v>2.0253060000000001</v>
      </c>
      <c r="AA168">
        <v>1.9918910000000001</v>
      </c>
      <c r="AB168">
        <v>1.9569749999999999</v>
      </c>
      <c r="AC168">
        <v>1.9238310000000001</v>
      </c>
      <c r="AD168">
        <v>1.892142</v>
      </c>
      <c r="AE168">
        <v>1.859585</v>
      </c>
      <c r="AF168">
        <v>1.825566</v>
      </c>
      <c r="AG168" s="9">
        <v>-0.01</v>
      </c>
    </row>
    <row r="169" spans="1:33">
      <c r="A169" t="s">
        <v>226</v>
      </c>
      <c r="B169" t="s">
        <v>1402</v>
      </c>
      <c r="C169" t="s">
        <v>1401</v>
      </c>
      <c r="D169" t="s">
        <v>222</v>
      </c>
      <c r="F169">
        <v>1.585955</v>
      </c>
      <c r="G169">
        <v>1.6031569999999999</v>
      </c>
      <c r="H169">
        <v>1.6305590000000001</v>
      </c>
      <c r="I169">
        <v>1.665565</v>
      </c>
      <c r="J169">
        <v>1.6999679999999999</v>
      </c>
      <c r="K169">
        <v>1.7294670000000001</v>
      </c>
      <c r="L169">
        <v>1.756974</v>
      </c>
      <c r="M169">
        <v>1.779245</v>
      </c>
      <c r="N169">
        <v>1.8013349999999999</v>
      </c>
      <c r="O169">
        <v>1.81704</v>
      </c>
      <c r="P169">
        <v>1.8287150000000001</v>
      </c>
      <c r="Q169">
        <v>1.838938</v>
      </c>
      <c r="R169">
        <v>1.8455870000000001</v>
      </c>
      <c r="S169">
        <v>1.8517380000000001</v>
      </c>
      <c r="T169">
        <v>1.852997</v>
      </c>
      <c r="U169">
        <v>1.8526800000000001</v>
      </c>
      <c r="V169">
        <v>1.8467750000000001</v>
      </c>
      <c r="W169">
        <v>1.8396710000000001</v>
      </c>
      <c r="X169">
        <v>1.8324419999999999</v>
      </c>
      <c r="Y169">
        <v>1.8273280000000001</v>
      </c>
      <c r="Z169">
        <v>1.8227979999999999</v>
      </c>
      <c r="AA169">
        <v>1.815434</v>
      </c>
      <c r="AB169">
        <v>1.805024</v>
      </c>
      <c r="AC169">
        <v>1.7930740000000001</v>
      </c>
      <c r="AD169">
        <v>1.7802450000000001</v>
      </c>
      <c r="AE169">
        <v>1.7660819999999999</v>
      </c>
      <c r="AF169">
        <v>1.7487239999999999</v>
      </c>
      <c r="AG169" s="9">
        <v>4.0000000000000001E-3</v>
      </c>
    </row>
    <row r="170" spans="1:33">
      <c r="A170" t="s">
        <v>184</v>
      </c>
      <c r="B170" t="s">
        <v>1400</v>
      </c>
      <c r="C170" t="s">
        <v>1399</v>
      </c>
      <c r="D170" t="s">
        <v>222</v>
      </c>
      <c r="F170">
        <v>2.1900000000000001E-3</v>
      </c>
      <c r="G170">
        <v>2.039E-3</v>
      </c>
      <c r="H170">
        <v>1.923E-3</v>
      </c>
      <c r="I170">
        <v>1.818E-3</v>
      </c>
      <c r="J170">
        <v>1.725E-3</v>
      </c>
      <c r="K170">
        <v>1.531E-3</v>
      </c>
      <c r="L170">
        <v>1.441E-3</v>
      </c>
      <c r="M170">
        <v>1.346E-3</v>
      </c>
      <c r="N170">
        <v>1.2639999999999999E-3</v>
      </c>
      <c r="O170">
        <v>1.2030000000000001E-3</v>
      </c>
      <c r="P170">
        <v>1.1180000000000001E-3</v>
      </c>
      <c r="Q170">
        <v>1.0169999999999999E-3</v>
      </c>
      <c r="R170">
        <v>9.3400000000000004E-4</v>
      </c>
      <c r="S170">
        <v>8.6700000000000004E-4</v>
      </c>
      <c r="T170">
        <v>8.0699999999999999E-4</v>
      </c>
      <c r="U170">
        <v>7.5299999999999998E-4</v>
      </c>
      <c r="V170">
        <v>7.0799999999999997E-4</v>
      </c>
      <c r="W170">
        <v>6.6399999999999999E-4</v>
      </c>
      <c r="X170">
        <v>6.2299999999999996E-4</v>
      </c>
      <c r="Y170">
        <v>5.8500000000000002E-4</v>
      </c>
      <c r="Z170">
        <v>5.4699999999999996E-4</v>
      </c>
      <c r="AA170">
        <v>5.2099999999999998E-4</v>
      </c>
      <c r="AB170">
        <v>4.9200000000000003E-4</v>
      </c>
      <c r="AC170">
        <v>4.6500000000000003E-4</v>
      </c>
      <c r="AD170">
        <v>4.4000000000000002E-4</v>
      </c>
      <c r="AE170">
        <v>3.3799999999999998E-4</v>
      </c>
      <c r="AF170">
        <v>2.5099999999999998E-4</v>
      </c>
      <c r="AG170" s="9">
        <v>-0.08</v>
      </c>
    </row>
    <row r="171" spans="1:33">
      <c r="A171" t="s">
        <v>187</v>
      </c>
      <c r="B171" t="s">
        <v>1398</v>
      </c>
      <c r="C171" t="s">
        <v>1397</v>
      </c>
      <c r="D171" t="s">
        <v>222</v>
      </c>
      <c r="F171">
        <v>8.0219999999999996E-3</v>
      </c>
      <c r="G171">
        <v>1.0805E-2</v>
      </c>
      <c r="H171">
        <v>1.3792E-2</v>
      </c>
      <c r="I171">
        <v>1.6891E-2</v>
      </c>
      <c r="J171">
        <v>1.9911999999999999E-2</v>
      </c>
      <c r="K171">
        <v>2.2794999999999999E-2</v>
      </c>
      <c r="L171">
        <v>2.5595E-2</v>
      </c>
      <c r="M171">
        <v>2.8303999999999999E-2</v>
      </c>
      <c r="N171">
        <v>3.0956000000000001E-2</v>
      </c>
      <c r="O171">
        <v>3.3620999999999998E-2</v>
      </c>
      <c r="P171">
        <v>3.6246E-2</v>
      </c>
      <c r="Q171">
        <v>3.8836000000000002E-2</v>
      </c>
      <c r="R171">
        <v>4.1377999999999998E-2</v>
      </c>
      <c r="S171">
        <v>4.3868999999999998E-2</v>
      </c>
      <c r="T171">
        <v>4.6358000000000003E-2</v>
      </c>
      <c r="U171">
        <v>4.8814999999999997E-2</v>
      </c>
      <c r="V171">
        <v>5.1213000000000002E-2</v>
      </c>
      <c r="W171">
        <v>5.3511000000000003E-2</v>
      </c>
      <c r="X171">
        <v>5.5780999999999997E-2</v>
      </c>
      <c r="Y171">
        <v>5.7986000000000003E-2</v>
      </c>
      <c r="Z171">
        <v>6.0061999999999997E-2</v>
      </c>
      <c r="AA171">
        <v>6.2019999999999999E-2</v>
      </c>
      <c r="AB171">
        <v>6.3844999999999999E-2</v>
      </c>
      <c r="AC171">
        <v>6.5603999999999996E-2</v>
      </c>
      <c r="AD171">
        <v>6.7313999999999999E-2</v>
      </c>
      <c r="AE171">
        <v>6.9006999999999999E-2</v>
      </c>
      <c r="AF171">
        <v>7.059E-2</v>
      </c>
      <c r="AG171" s="9">
        <v>8.6999999999999994E-2</v>
      </c>
    </row>
    <row r="172" spans="1:33">
      <c r="A172" t="s">
        <v>227</v>
      </c>
      <c r="B172" t="s">
        <v>1396</v>
      </c>
      <c r="C172" t="s">
        <v>1395</v>
      </c>
      <c r="D172" t="s">
        <v>222</v>
      </c>
      <c r="F172">
        <v>3.0175E-2</v>
      </c>
      <c r="G172">
        <v>2.9818000000000001E-2</v>
      </c>
      <c r="H172">
        <v>2.9425E-2</v>
      </c>
      <c r="I172">
        <v>2.8955999999999999E-2</v>
      </c>
      <c r="J172">
        <v>2.8405E-2</v>
      </c>
      <c r="K172">
        <v>2.7910999999999998E-2</v>
      </c>
      <c r="L172">
        <v>2.7310000000000001E-2</v>
      </c>
      <c r="M172">
        <v>2.6641000000000001E-2</v>
      </c>
      <c r="N172">
        <v>2.5982000000000002E-2</v>
      </c>
      <c r="O172">
        <v>2.5176E-2</v>
      </c>
      <c r="P172">
        <v>2.4344999999999999E-2</v>
      </c>
      <c r="Q172">
        <v>2.3564000000000002E-2</v>
      </c>
      <c r="R172">
        <v>2.2744E-2</v>
      </c>
      <c r="S172">
        <v>2.1894E-2</v>
      </c>
      <c r="T172">
        <v>2.1017999999999998E-2</v>
      </c>
      <c r="U172">
        <v>2.0091999999999999E-2</v>
      </c>
      <c r="V172">
        <v>1.9136E-2</v>
      </c>
      <c r="W172">
        <v>1.8169999999999999E-2</v>
      </c>
      <c r="X172">
        <v>1.7172E-2</v>
      </c>
      <c r="Y172">
        <v>1.6177E-2</v>
      </c>
      <c r="Z172">
        <v>1.5131E-2</v>
      </c>
      <c r="AA172">
        <v>1.4052E-2</v>
      </c>
      <c r="AB172">
        <v>1.2877E-2</v>
      </c>
      <c r="AC172">
        <v>1.1648E-2</v>
      </c>
      <c r="AD172">
        <v>1.0281E-2</v>
      </c>
      <c r="AE172">
        <v>8.9499999999999996E-3</v>
      </c>
      <c r="AF172">
        <v>7.6639999999999998E-3</v>
      </c>
      <c r="AG172" s="9">
        <v>-5.0999999999999997E-2</v>
      </c>
    </row>
    <row r="173" spans="1:33">
      <c r="A173" t="s">
        <v>228</v>
      </c>
      <c r="B173" t="s">
        <v>1394</v>
      </c>
      <c r="C173" t="s">
        <v>1393</v>
      </c>
      <c r="D173" t="s">
        <v>222</v>
      </c>
      <c r="F173">
        <v>8.1800000000000004E-4</v>
      </c>
      <c r="G173">
        <v>9.2199999999999997E-4</v>
      </c>
      <c r="H173">
        <v>1.0300000000000001E-3</v>
      </c>
      <c r="I173">
        <v>1.145E-3</v>
      </c>
      <c r="J173">
        <v>1.2539999999999999E-3</v>
      </c>
      <c r="K173">
        <v>1.353E-3</v>
      </c>
      <c r="L173">
        <v>1.4519999999999999E-3</v>
      </c>
      <c r="M173">
        <v>1.5399999999999999E-3</v>
      </c>
      <c r="N173">
        <v>1.6329999999999999E-3</v>
      </c>
      <c r="O173">
        <v>1.725E-3</v>
      </c>
      <c r="P173">
        <v>1.815E-3</v>
      </c>
      <c r="Q173">
        <v>1.9009999999999999E-3</v>
      </c>
      <c r="R173">
        <v>1.9840000000000001E-3</v>
      </c>
      <c r="S173">
        <v>2.0669999999999998E-3</v>
      </c>
      <c r="T173">
        <v>2.1459999999999999E-3</v>
      </c>
      <c r="U173">
        <v>2.2209999999999999E-3</v>
      </c>
      <c r="V173">
        <v>2.2910000000000001E-3</v>
      </c>
      <c r="W173">
        <v>2.3570000000000002E-3</v>
      </c>
      <c r="X173">
        <v>2.4199999999999998E-3</v>
      </c>
      <c r="Y173">
        <v>2.4789999999999999E-3</v>
      </c>
      <c r="Z173">
        <v>2.5300000000000001E-3</v>
      </c>
      <c r="AA173">
        <v>2.5769999999999999E-3</v>
      </c>
      <c r="AB173">
        <v>2.6159999999999998E-3</v>
      </c>
      <c r="AC173">
        <v>2.6519999999999998E-3</v>
      </c>
      <c r="AD173">
        <v>2.6909999999999998E-3</v>
      </c>
      <c r="AE173">
        <v>2.7290000000000001E-3</v>
      </c>
      <c r="AF173">
        <v>2.761E-3</v>
      </c>
      <c r="AG173" s="9">
        <v>4.8000000000000001E-2</v>
      </c>
    </row>
    <row r="174" spans="1:33">
      <c r="A174" t="s">
        <v>229</v>
      </c>
      <c r="B174" t="s">
        <v>1392</v>
      </c>
      <c r="C174" t="s">
        <v>1391</v>
      </c>
      <c r="D174" t="s">
        <v>222</v>
      </c>
      <c r="F174">
        <v>0</v>
      </c>
      <c r="G174">
        <v>0</v>
      </c>
      <c r="H174">
        <v>1.22E-4</v>
      </c>
      <c r="I174">
        <v>3.1500000000000001E-4</v>
      </c>
      <c r="J174">
        <v>6.2699999999999995E-4</v>
      </c>
      <c r="K174">
        <v>1.0369999999999999E-3</v>
      </c>
      <c r="L174">
        <v>1.516E-3</v>
      </c>
      <c r="M174">
        <v>2.0600000000000002E-3</v>
      </c>
      <c r="N174">
        <v>2.637E-3</v>
      </c>
      <c r="O174">
        <v>2.6210000000000001E-3</v>
      </c>
      <c r="P174">
        <v>2.601E-3</v>
      </c>
      <c r="Q174">
        <v>2.578E-3</v>
      </c>
      <c r="R174">
        <v>2.5579999999999999E-3</v>
      </c>
      <c r="S174">
        <v>2.5379999999999999E-3</v>
      </c>
      <c r="T174">
        <v>2.5170000000000001E-3</v>
      </c>
      <c r="U174">
        <v>2.4940000000000001E-3</v>
      </c>
      <c r="V174">
        <v>2.4729999999999999E-3</v>
      </c>
      <c r="W174">
        <v>2.4559999999999998E-3</v>
      </c>
      <c r="X174">
        <v>2.441E-3</v>
      </c>
      <c r="Y174">
        <v>2.4320000000000001E-3</v>
      </c>
      <c r="Z174">
        <v>2.4260000000000002E-3</v>
      </c>
      <c r="AA174">
        <v>2.421E-3</v>
      </c>
      <c r="AB174">
        <v>2.4139999999999999E-3</v>
      </c>
      <c r="AC174">
        <v>2.3779999999999999E-3</v>
      </c>
      <c r="AD174">
        <v>2.3280000000000002E-3</v>
      </c>
      <c r="AE174">
        <v>2.2699999999999999E-3</v>
      </c>
      <c r="AF174">
        <v>2.2000000000000001E-3</v>
      </c>
      <c r="AG174" t="s">
        <v>110</v>
      </c>
    </row>
    <row r="175" spans="1:33">
      <c r="A175" t="s">
        <v>230</v>
      </c>
      <c r="B175" t="s">
        <v>1390</v>
      </c>
      <c r="C175" t="s">
        <v>1389</v>
      </c>
      <c r="D175" t="s">
        <v>222</v>
      </c>
      <c r="F175">
        <v>0</v>
      </c>
      <c r="G175">
        <v>5.62E-4</v>
      </c>
      <c r="H175">
        <v>1.2110000000000001E-3</v>
      </c>
      <c r="I175">
        <v>1.542E-3</v>
      </c>
      <c r="J175">
        <v>1.609E-3</v>
      </c>
      <c r="K175">
        <v>1.609E-3</v>
      </c>
      <c r="L175">
        <v>1.598E-3</v>
      </c>
      <c r="M175">
        <v>1.588E-3</v>
      </c>
      <c r="N175">
        <v>1.586E-3</v>
      </c>
      <c r="O175">
        <v>1.5809999999999999E-3</v>
      </c>
      <c r="P175">
        <v>1.572E-3</v>
      </c>
      <c r="Q175">
        <v>1.5590000000000001E-3</v>
      </c>
      <c r="R175">
        <v>1.5499999999999999E-3</v>
      </c>
      <c r="S175">
        <v>1.5319999999999999E-3</v>
      </c>
      <c r="T175">
        <v>1.5139999999999999E-3</v>
      </c>
      <c r="U175">
        <v>1.5020000000000001E-3</v>
      </c>
      <c r="V175">
        <v>1.4970000000000001E-3</v>
      </c>
      <c r="W175">
        <v>1.493E-3</v>
      </c>
      <c r="X175">
        <v>1.477E-3</v>
      </c>
      <c r="Y175">
        <v>1.454E-3</v>
      </c>
      <c r="Z175">
        <v>1.4220000000000001E-3</v>
      </c>
      <c r="AA175">
        <v>1.387E-3</v>
      </c>
      <c r="AB175">
        <v>1.3420000000000001E-3</v>
      </c>
      <c r="AC175">
        <v>1.289E-3</v>
      </c>
      <c r="AD175">
        <v>1.232E-3</v>
      </c>
      <c r="AE175">
        <v>1.17E-3</v>
      </c>
      <c r="AF175">
        <v>1.1050000000000001E-3</v>
      </c>
      <c r="AG175" t="s">
        <v>110</v>
      </c>
    </row>
    <row r="176" spans="1:33">
      <c r="A176" t="s">
        <v>231</v>
      </c>
      <c r="B176" t="s">
        <v>1388</v>
      </c>
      <c r="C176" t="s">
        <v>1387</v>
      </c>
      <c r="D176" t="s">
        <v>222</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t="s">
        <v>110</v>
      </c>
    </row>
    <row r="177" spans="1:33">
      <c r="A177" t="s">
        <v>574</v>
      </c>
      <c r="B177" t="s">
        <v>1386</v>
      </c>
      <c r="C177" t="s">
        <v>1385</v>
      </c>
      <c r="D177" t="s">
        <v>222</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t="s">
        <v>110</v>
      </c>
    </row>
    <row r="178" spans="1:33">
      <c r="A178" t="s">
        <v>571</v>
      </c>
      <c r="B178" t="s">
        <v>1384</v>
      </c>
      <c r="C178" t="s">
        <v>1383</v>
      </c>
      <c r="D178" t="s">
        <v>222</v>
      </c>
      <c r="F178">
        <v>0</v>
      </c>
      <c r="G178">
        <v>1.714E-3</v>
      </c>
      <c r="H178">
        <v>4.0610000000000004E-3</v>
      </c>
      <c r="I178">
        <v>7.2750000000000002E-3</v>
      </c>
      <c r="J178">
        <v>1.1434E-2</v>
      </c>
      <c r="K178">
        <v>1.6846E-2</v>
      </c>
      <c r="L178">
        <v>2.4177000000000001E-2</v>
      </c>
      <c r="M178">
        <v>3.4250000000000003E-2</v>
      </c>
      <c r="N178">
        <v>4.8252999999999997E-2</v>
      </c>
      <c r="O178">
        <v>6.7613000000000006E-2</v>
      </c>
      <c r="P178">
        <v>9.3364000000000003E-2</v>
      </c>
      <c r="Q178">
        <v>0.12609000000000001</v>
      </c>
      <c r="R178">
        <v>0.16609399999999999</v>
      </c>
      <c r="S178">
        <v>0.212897</v>
      </c>
      <c r="T178">
        <v>0.26521899999999998</v>
      </c>
      <c r="U178">
        <v>0.32117800000000002</v>
      </c>
      <c r="V178">
        <v>0.37935200000000002</v>
      </c>
      <c r="W178">
        <v>0.43880200000000003</v>
      </c>
      <c r="X178">
        <v>0.49908999999999998</v>
      </c>
      <c r="Y178">
        <v>0.55974599999999997</v>
      </c>
      <c r="Z178">
        <v>0.61965000000000003</v>
      </c>
      <c r="AA178">
        <v>0.67806999999999995</v>
      </c>
      <c r="AB178">
        <v>0.73476300000000005</v>
      </c>
      <c r="AC178">
        <v>0.79071899999999995</v>
      </c>
      <c r="AD178">
        <v>0.84615200000000002</v>
      </c>
      <c r="AE178">
        <v>0.90025699999999997</v>
      </c>
      <c r="AF178">
        <v>0.95221999999999996</v>
      </c>
      <c r="AG178" t="s">
        <v>110</v>
      </c>
    </row>
    <row r="179" spans="1:33">
      <c r="A179" t="s">
        <v>568</v>
      </c>
      <c r="B179" t="s">
        <v>1382</v>
      </c>
      <c r="C179" t="s">
        <v>1381</v>
      </c>
      <c r="D179" t="s">
        <v>222</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t="s">
        <v>110</v>
      </c>
    </row>
    <row r="180" spans="1:33">
      <c r="A180" t="s">
        <v>233</v>
      </c>
      <c r="B180" t="s">
        <v>1380</v>
      </c>
      <c r="C180" t="s">
        <v>1379</v>
      </c>
      <c r="D180" t="s">
        <v>222</v>
      </c>
      <c r="F180">
        <v>3.970215</v>
      </c>
      <c r="G180">
        <v>4.0091910000000004</v>
      </c>
      <c r="H180">
        <v>4.0653360000000003</v>
      </c>
      <c r="I180">
        <v>4.1323340000000002</v>
      </c>
      <c r="J180">
        <v>4.1937249999999997</v>
      </c>
      <c r="K180">
        <v>4.2415349999999998</v>
      </c>
      <c r="L180">
        <v>4.2838779999999996</v>
      </c>
      <c r="M180">
        <v>4.3163669999999996</v>
      </c>
      <c r="N180">
        <v>4.348007</v>
      </c>
      <c r="O180">
        <v>4.369561</v>
      </c>
      <c r="P180">
        <v>4.3852000000000002</v>
      </c>
      <c r="Q180">
        <v>4.4020970000000004</v>
      </c>
      <c r="R180">
        <v>4.4208569999999998</v>
      </c>
      <c r="S180">
        <v>4.4439219999999997</v>
      </c>
      <c r="T180">
        <v>4.4644000000000004</v>
      </c>
      <c r="U180">
        <v>4.4826800000000002</v>
      </c>
      <c r="V180">
        <v>4.4933120000000004</v>
      </c>
      <c r="W180">
        <v>4.5010579999999996</v>
      </c>
      <c r="X180">
        <v>4.5099869999999997</v>
      </c>
      <c r="Y180">
        <v>4.527717</v>
      </c>
      <c r="Z180">
        <v>4.5498729999999998</v>
      </c>
      <c r="AA180">
        <v>4.5683740000000004</v>
      </c>
      <c r="AB180">
        <v>4.5803440000000002</v>
      </c>
      <c r="AC180">
        <v>4.5916600000000001</v>
      </c>
      <c r="AD180">
        <v>4.6028260000000003</v>
      </c>
      <c r="AE180">
        <v>4.6103870000000002</v>
      </c>
      <c r="AF180">
        <v>4.6110850000000001</v>
      </c>
      <c r="AG180" s="9">
        <v>6.0000000000000001E-3</v>
      </c>
    </row>
    <row r="181" spans="1:33">
      <c r="A181" t="s">
        <v>234</v>
      </c>
    </row>
    <row r="182" spans="1:33">
      <c r="A182" t="s">
        <v>181</v>
      </c>
      <c r="B182" t="s">
        <v>1378</v>
      </c>
      <c r="C182" t="s">
        <v>1377</v>
      </c>
      <c r="D182" t="s">
        <v>222</v>
      </c>
      <c r="F182">
        <v>5.4532230000000004</v>
      </c>
      <c r="G182">
        <v>5.54474</v>
      </c>
      <c r="H182">
        <v>5.6681350000000004</v>
      </c>
      <c r="I182">
        <v>5.8111879999999996</v>
      </c>
      <c r="J182">
        <v>5.9438380000000004</v>
      </c>
      <c r="K182">
        <v>6.0549759999999999</v>
      </c>
      <c r="L182">
        <v>6.1551280000000004</v>
      </c>
      <c r="M182">
        <v>6.2453989999999999</v>
      </c>
      <c r="N182">
        <v>6.3268560000000003</v>
      </c>
      <c r="O182">
        <v>6.4006259999999999</v>
      </c>
      <c r="P182">
        <v>6.4616090000000002</v>
      </c>
      <c r="Q182">
        <v>6.5220029999999998</v>
      </c>
      <c r="R182">
        <v>6.5889709999999999</v>
      </c>
      <c r="S182">
        <v>6.6581659999999996</v>
      </c>
      <c r="T182">
        <v>6.7268949999999998</v>
      </c>
      <c r="U182">
        <v>6.785615</v>
      </c>
      <c r="V182">
        <v>6.8349149999999996</v>
      </c>
      <c r="W182">
        <v>6.8703469999999998</v>
      </c>
      <c r="X182">
        <v>6.9170680000000004</v>
      </c>
      <c r="Y182">
        <v>6.9704490000000003</v>
      </c>
      <c r="Z182">
        <v>7.0275299999999996</v>
      </c>
      <c r="AA182">
        <v>7.0818209999999997</v>
      </c>
      <c r="AB182">
        <v>7.1251420000000003</v>
      </c>
      <c r="AC182">
        <v>7.1636379999999997</v>
      </c>
      <c r="AD182">
        <v>7.1999880000000003</v>
      </c>
      <c r="AE182">
        <v>7.227563</v>
      </c>
      <c r="AF182">
        <v>7.2418500000000003</v>
      </c>
      <c r="AG182" s="9">
        <v>1.0999999999999999E-2</v>
      </c>
    </row>
    <row r="183" spans="1:33">
      <c r="A183" t="s">
        <v>226</v>
      </c>
      <c r="B183" t="s">
        <v>1376</v>
      </c>
      <c r="C183" t="s">
        <v>1375</v>
      </c>
      <c r="D183" t="s">
        <v>222</v>
      </c>
      <c r="F183">
        <v>3.8136000000000003E-2</v>
      </c>
      <c r="G183">
        <v>3.1983999999999999E-2</v>
      </c>
      <c r="H183">
        <v>2.7276000000000002E-2</v>
      </c>
      <c r="I183">
        <v>2.3623000000000002E-2</v>
      </c>
      <c r="J183">
        <v>2.0743000000000001E-2</v>
      </c>
      <c r="K183">
        <v>1.8360999999999999E-2</v>
      </c>
      <c r="L183">
        <v>1.6451E-2</v>
      </c>
      <c r="M183">
        <v>1.4766E-2</v>
      </c>
      <c r="N183">
        <v>1.3356E-2</v>
      </c>
      <c r="O183">
        <v>1.2163999999999999E-2</v>
      </c>
      <c r="P183">
        <v>1.123E-2</v>
      </c>
      <c r="Q183">
        <v>1.0534E-2</v>
      </c>
      <c r="R183">
        <v>9.9780000000000008E-3</v>
      </c>
      <c r="S183">
        <v>9.5230000000000002E-3</v>
      </c>
      <c r="T183">
        <v>9.1430000000000001E-3</v>
      </c>
      <c r="U183">
        <v>8.8090000000000009E-3</v>
      </c>
      <c r="V183">
        <v>8.4720000000000004E-3</v>
      </c>
      <c r="W183">
        <v>8.2249999999999997E-3</v>
      </c>
      <c r="X183">
        <v>7.9209999999999992E-3</v>
      </c>
      <c r="Y183">
        <v>7.6280000000000002E-3</v>
      </c>
      <c r="Z183">
        <v>7.4219999999999998E-3</v>
      </c>
      <c r="AA183">
        <v>7.2960000000000004E-3</v>
      </c>
      <c r="AB183">
        <v>7.2110000000000004E-3</v>
      </c>
      <c r="AC183">
        <v>7.1520000000000004E-3</v>
      </c>
      <c r="AD183">
        <v>7.1180000000000002E-3</v>
      </c>
      <c r="AE183">
        <v>7.0850000000000002E-3</v>
      </c>
      <c r="AF183">
        <v>7.051E-3</v>
      </c>
      <c r="AG183" s="9">
        <v>-6.3E-2</v>
      </c>
    </row>
    <row r="184" spans="1:33">
      <c r="A184" t="s">
        <v>184</v>
      </c>
      <c r="B184" t="s">
        <v>1374</v>
      </c>
      <c r="C184" t="s">
        <v>1373</v>
      </c>
      <c r="D184" t="s">
        <v>222</v>
      </c>
      <c r="F184">
        <v>3.0569999999999998E-3</v>
      </c>
      <c r="G184">
        <v>3.0070000000000001E-3</v>
      </c>
      <c r="H184">
        <v>3.0309999999999998E-3</v>
      </c>
      <c r="I184">
        <v>3.107E-3</v>
      </c>
      <c r="J184">
        <v>3.1909999999999998E-3</v>
      </c>
      <c r="K184">
        <v>3.241E-3</v>
      </c>
      <c r="L184">
        <v>3.297E-3</v>
      </c>
      <c r="M184">
        <v>3.3300000000000001E-3</v>
      </c>
      <c r="N184">
        <v>3.346E-3</v>
      </c>
      <c r="O184">
        <v>3.3730000000000001E-3</v>
      </c>
      <c r="P184">
        <v>3.4280000000000001E-3</v>
      </c>
      <c r="Q184">
        <v>3.4710000000000001E-3</v>
      </c>
      <c r="R184">
        <v>3.5140000000000002E-3</v>
      </c>
      <c r="S184">
        <v>3.5530000000000002E-3</v>
      </c>
      <c r="T184">
        <v>3.6020000000000002E-3</v>
      </c>
      <c r="U184">
        <v>3.6579999999999998E-3</v>
      </c>
      <c r="V184">
        <v>3.715E-3</v>
      </c>
      <c r="W184">
        <v>3.7629999999999999E-3</v>
      </c>
      <c r="X184">
        <v>3.8070000000000001E-3</v>
      </c>
      <c r="Y184">
        <v>3.8449999999999999E-3</v>
      </c>
      <c r="Z184">
        <v>3.8839999999999999E-3</v>
      </c>
      <c r="AA184">
        <v>3.9179999999999996E-3</v>
      </c>
      <c r="AB184">
        <v>3.9500000000000004E-3</v>
      </c>
      <c r="AC184">
        <v>3.98E-3</v>
      </c>
      <c r="AD184">
        <v>4.0140000000000002E-3</v>
      </c>
      <c r="AE184">
        <v>4.0249999999999999E-3</v>
      </c>
      <c r="AF184">
        <v>4.0070000000000001E-3</v>
      </c>
      <c r="AG184" s="9">
        <v>0.01</v>
      </c>
    </row>
    <row r="185" spans="1:33">
      <c r="A185" t="s">
        <v>187</v>
      </c>
      <c r="B185" t="s">
        <v>1372</v>
      </c>
      <c r="C185" t="s">
        <v>1371</v>
      </c>
      <c r="D185" t="s">
        <v>222</v>
      </c>
      <c r="F185">
        <v>5.7391999999999999E-2</v>
      </c>
      <c r="G185">
        <v>6.1581999999999998E-2</v>
      </c>
      <c r="H185">
        <v>6.6053000000000001E-2</v>
      </c>
      <c r="I185">
        <v>7.0393999999999998E-2</v>
      </c>
      <c r="J185">
        <v>7.4439000000000005E-2</v>
      </c>
      <c r="K185">
        <v>7.8131999999999993E-2</v>
      </c>
      <c r="L185">
        <v>8.1558000000000005E-2</v>
      </c>
      <c r="M185">
        <v>8.4717000000000001E-2</v>
      </c>
      <c r="N185">
        <v>8.7696999999999997E-2</v>
      </c>
      <c r="O185">
        <v>9.0575000000000003E-2</v>
      </c>
      <c r="P185">
        <v>9.3313999999999994E-2</v>
      </c>
      <c r="Q185">
        <v>9.5942E-2</v>
      </c>
      <c r="R185">
        <v>9.8466999999999999E-2</v>
      </c>
      <c r="S185">
        <v>0.10101300000000001</v>
      </c>
      <c r="T185">
        <v>0.103474</v>
      </c>
      <c r="U185">
        <v>0.10592500000000001</v>
      </c>
      <c r="V185">
        <v>0.108441</v>
      </c>
      <c r="W185">
        <v>0.11104899999999999</v>
      </c>
      <c r="X185">
        <v>0.11365</v>
      </c>
      <c r="Y185">
        <v>0.11616600000000001</v>
      </c>
      <c r="Z185">
        <v>0.118715</v>
      </c>
      <c r="AA185">
        <v>0.12114999999999999</v>
      </c>
      <c r="AB185">
        <v>0.12349</v>
      </c>
      <c r="AC185">
        <v>0.12600500000000001</v>
      </c>
      <c r="AD185">
        <v>0.12883</v>
      </c>
      <c r="AE185">
        <v>0.13184399999999999</v>
      </c>
      <c r="AF185">
        <v>0.13523499999999999</v>
      </c>
      <c r="AG185" s="9">
        <v>3.4000000000000002E-2</v>
      </c>
    </row>
    <row r="186" spans="1:33">
      <c r="A186" t="s">
        <v>227</v>
      </c>
      <c r="B186" t="s">
        <v>1370</v>
      </c>
      <c r="C186" t="s">
        <v>1369</v>
      </c>
      <c r="D186" t="s">
        <v>222</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t="s">
        <v>110</v>
      </c>
    </row>
    <row r="187" spans="1:33">
      <c r="A187" t="s">
        <v>228</v>
      </c>
      <c r="B187" t="s">
        <v>1368</v>
      </c>
      <c r="C187" t="s">
        <v>1367</v>
      </c>
      <c r="D187" t="s">
        <v>222</v>
      </c>
      <c r="F187">
        <v>2.114E-3</v>
      </c>
      <c r="G187">
        <v>2.921E-3</v>
      </c>
      <c r="H187">
        <v>3.8010000000000001E-3</v>
      </c>
      <c r="I187">
        <v>4.7330000000000002E-3</v>
      </c>
      <c r="J187">
        <v>5.6499999999999996E-3</v>
      </c>
      <c r="K187">
        <v>6.5319999999999996E-3</v>
      </c>
      <c r="L187">
        <v>7.3819999999999997E-3</v>
      </c>
      <c r="M187">
        <v>8.1930000000000006E-3</v>
      </c>
      <c r="N187">
        <v>8.9680000000000003E-3</v>
      </c>
      <c r="O187">
        <v>9.7109999999999991E-3</v>
      </c>
      <c r="P187">
        <v>1.0414E-2</v>
      </c>
      <c r="Q187">
        <v>1.1073E-2</v>
      </c>
      <c r="R187">
        <v>1.1696E-2</v>
      </c>
      <c r="S187">
        <v>1.2281E-2</v>
      </c>
      <c r="T187">
        <v>1.2834E-2</v>
      </c>
      <c r="U187">
        <v>1.3354E-2</v>
      </c>
      <c r="V187">
        <v>1.3842E-2</v>
      </c>
      <c r="W187">
        <v>1.4302E-2</v>
      </c>
      <c r="X187">
        <v>1.4742E-2</v>
      </c>
      <c r="Y187">
        <v>1.5167E-2</v>
      </c>
      <c r="Z187">
        <v>1.5570000000000001E-2</v>
      </c>
      <c r="AA187">
        <v>1.5951E-2</v>
      </c>
      <c r="AB187">
        <v>1.6309000000000001E-2</v>
      </c>
      <c r="AC187">
        <v>1.6659E-2</v>
      </c>
      <c r="AD187">
        <v>1.7006E-2</v>
      </c>
      <c r="AE187">
        <v>1.7343000000000001E-2</v>
      </c>
      <c r="AF187">
        <v>1.7661E-2</v>
      </c>
      <c r="AG187" s="9">
        <v>8.5000000000000006E-2</v>
      </c>
    </row>
    <row r="188" spans="1:33">
      <c r="A188" t="s">
        <v>229</v>
      </c>
      <c r="B188" t="s">
        <v>1366</v>
      </c>
      <c r="C188" t="s">
        <v>1365</v>
      </c>
      <c r="D188" t="s">
        <v>222</v>
      </c>
      <c r="F188">
        <v>0</v>
      </c>
      <c r="G188">
        <v>0</v>
      </c>
      <c r="H188">
        <v>1.22E-4</v>
      </c>
      <c r="I188">
        <v>3.5199999999999999E-4</v>
      </c>
      <c r="J188">
        <v>6.2E-4</v>
      </c>
      <c r="K188">
        <v>9.41E-4</v>
      </c>
      <c r="L188">
        <v>1.3209999999999999E-3</v>
      </c>
      <c r="M188">
        <v>1.7750000000000001E-3</v>
      </c>
      <c r="N188">
        <v>2.336E-3</v>
      </c>
      <c r="O188">
        <v>2.3189999999999999E-3</v>
      </c>
      <c r="P188">
        <v>2.313E-3</v>
      </c>
      <c r="Q188">
        <v>2.33E-3</v>
      </c>
      <c r="R188">
        <v>2.3609999999999998E-3</v>
      </c>
      <c r="S188">
        <v>2.4290000000000002E-3</v>
      </c>
      <c r="T188">
        <v>2.5279999999999999E-3</v>
      </c>
      <c r="U188">
        <v>2.6589999999999999E-3</v>
      </c>
      <c r="V188">
        <v>2.7859999999999998E-3</v>
      </c>
      <c r="W188">
        <v>2.8890000000000001E-3</v>
      </c>
      <c r="X188">
        <v>2.9499999999999999E-3</v>
      </c>
      <c r="Y188">
        <v>2.9640000000000001E-3</v>
      </c>
      <c r="Z188">
        <v>2.9450000000000001E-3</v>
      </c>
      <c r="AA188">
        <v>2.8879999999999999E-3</v>
      </c>
      <c r="AB188">
        <v>2.7810000000000001E-3</v>
      </c>
      <c r="AC188">
        <v>2.6259999999999999E-3</v>
      </c>
      <c r="AD188">
        <v>2.4940000000000001E-3</v>
      </c>
      <c r="AE188">
        <v>2.3879999999999999E-3</v>
      </c>
      <c r="AF188">
        <v>2.3059999999999999E-3</v>
      </c>
      <c r="AG188" t="s">
        <v>110</v>
      </c>
    </row>
    <row r="189" spans="1:33">
      <c r="A189" t="s">
        <v>230</v>
      </c>
      <c r="B189" t="s">
        <v>1364</v>
      </c>
      <c r="C189" t="s">
        <v>1363</v>
      </c>
      <c r="D189" t="s">
        <v>222</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t="s">
        <v>110</v>
      </c>
    </row>
    <row r="190" spans="1:33">
      <c r="A190" t="s">
        <v>231</v>
      </c>
      <c r="B190" t="s">
        <v>1362</v>
      </c>
      <c r="C190" t="s">
        <v>1361</v>
      </c>
      <c r="D190" t="s">
        <v>222</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t="s">
        <v>110</v>
      </c>
    </row>
    <row r="191" spans="1:33">
      <c r="A191" t="s">
        <v>574</v>
      </c>
      <c r="B191" t="s">
        <v>1360</v>
      </c>
      <c r="C191" t="s">
        <v>1359</v>
      </c>
      <c r="D191" t="s">
        <v>222</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v>0</v>
      </c>
      <c r="AF191">
        <v>0</v>
      </c>
      <c r="AG191" t="s">
        <v>110</v>
      </c>
    </row>
    <row r="192" spans="1:33">
      <c r="A192" t="s">
        <v>571</v>
      </c>
      <c r="B192" t="s">
        <v>1358</v>
      </c>
      <c r="C192" t="s">
        <v>1357</v>
      </c>
      <c r="D192" t="s">
        <v>222</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v>0</v>
      </c>
      <c r="AF192">
        <v>0</v>
      </c>
      <c r="AG192" t="s">
        <v>110</v>
      </c>
    </row>
    <row r="193" spans="1:33">
      <c r="A193" t="s">
        <v>568</v>
      </c>
      <c r="B193" t="s">
        <v>1356</v>
      </c>
      <c r="C193" t="s">
        <v>1355</v>
      </c>
      <c r="D193" t="s">
        <v>222</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0</v>
      </c>
      <c r="AF193">
        <v>0</v>
      </c>
      <c r="AG193" t="s">
        <v>110</v>
      </c>
    </row>
    <row r="194" spans="1:33">
      <c r="A194" t="s">
        <v>235</v>
      </c>
      <c r="B194" t="s">
        <v>1354</v>
      </c>
      <c r="C194" t="s">
        <v>1353</v>
      </c>
      <c r="D194" t="s">
        <v>222</v>
      </c>
      <c r="F194">
        <v>5.5539240000000003</v>
      </c>
      <c r="G194">
        <v>5.6442329999999998</v>
      </c>
      <c r="H194">
        <v>5.7684139999999999</v>
      </c>
      <c r="I194">
        <v>5.9133979999999999</v>
      </c>
      <c r="J194">
        <v>6.0484790000000004</v>
      </c>
      <c r="K194">
        <v>6.1621829999999997</v>
      </c>
      <c r="L194">
        <v>6.2651370000000002</v>
      </c>
      <c r="M194">
        <v>6.3581779999999997</v>
      </c>
      <c r="N194">
        <v>6.4425569999999999</v>
      </c>
      <c r="O194">
        <v>6.5187679999999997</v>
      </c>
      <c r="P194">
        <v>6.5823070000000001</v>
      </c>
      <c r="Q194">
        <v>6.6453530000000001</v>
      </c>
      <c r="R194">
        <v>6.7149859999999997</v>
      </c>
      <c r="S194">
        <v>6.7869659999999996</v>
      </c>
      <c r="T194">
        <v>6.8584779999999999</v>
      </c>
      <c r="U194">
        <v>6.9200189999999999</v>
      </c>
      <c r="V194">
        <v>6.9721710000000003</v>
      </c>
      <c r="W194">
        <v>7.01058</v>
      </c>
      <c r="X194">
        <v>7.0601390000000004</v>
      </c>
      <c r="Y194">
        <v>7.1162190000000001</v>
      </c>
      <c r="Z194">
        <v>7.1760700000000002</v>
      </c>
      <c r="AA194">
        <v>7.2330199999999998</v>
      </c>
      <c r="AB194">
        <v>7.2788839999999997</v>
      </c>
      <c r="AC194">
        <v>7.3200570000000003</v>
      </c>
      <c r="AD194">
        <v>7.3594530000000002</v>
      </c>
      <c r="AE194">
        <v>7.390244</v>
      </c>
      <c r="AF194">
        <v>7.408112</v>
      </c>
      <c r="AG194" s="9">
        <v>1.0999999999999999E-2</v>
      </c>
    </row>
    <row r="195" spans="1:33">
      <c r="A195" t="s">
        <v>245</v>
      </c>
      <c r="B195" t="s">
        <v>1352</v>
      </c>
      <c r="C195" t="s">
        <v>1351</v>
      </c>
      <c r="D195" t="s">
        <v>222</v>
      </c>
      <c r="F195">
        <v>14.630017</v>
      </c>
      <c r="G195">
        <v>14.950063999999999</v>
      </c>
      <c r="H195">
        <v>15.336373999999999</v>
      </c>
      <c r="I195">
        <v>15.758817000000001</v>
      </c>
      <c r="J195">
        <v>16.157616000000001</v>
      </c>
      <c r="K195">
        <v>16.514610000000001</v>
      </c>
      <c r="L195">
        <v>16.851102999999998</v>
      </c>
      <c r="M195">
        <v>17.157919</v>
      </c>
      <c r="N195">
        <v>17.453142</v>
      </c>
      <c r="O195">
        <v>17.722261</v>
      </c>
      <c r="P195">
        <v>17.971948999999999</v>
      </c>
      <c r="Q195">
        <v>18.217116999999998</v>
      </c>
      <c r="R195">
        <v>18.470904999999998</v>
      </c>
      <c r="S195">
        <v>18.730982000000001</v>
      </c>
      <c r="T195">
        <v>18.987928</v>
      </c>
      <c r="U195">
        <v>19.229583999999999</v>
      </c>
      <c r="V195">
        <v>19.448927000000001</v>
      </c>
      <c r="W195">
        <v>19.6525</v>
      </c>
      <c r="X195">
        <v>19.864656</v>
      </c>
      <c r="Y195">
        <v>20.100263999999999</v>
      </c>
      <c r="Z195">
        <v>20.349910999999999</v>
      </c>
      <c r="AA195">
        <v>20.586701999999999</v>
      </c>
      <c r="AB195">
        <v>20.79805</v>
      </c>
      <c r="AC195">
        <v>21.004408000000002</v>
      </c>
      <c r="AD195">
        <v>21.205359999999999</v>
      </c>
      <c r="AE195">
        <v>21.380649999999999</v>
      </c>
      <c r="AF195">
        <v>21.528708000000002</v>
      </c>
      <c r="AG195" s="9">
        <v>1.4999999999999999E-2</v>
      </c>
    </row>
    <row r="196" spans="1:33">
      <c r="A196" t="s">
        <v>145</v>
      </c>
    </row>
    <row r="197" spans="1:33">
      <c r="A197" t="s">
        <v>239</v>
      </c>
    </row>
    <row r="198" spans="1:33">
      <c r="A198" t="s">
        <v>162</v>
      </c>
    </row>
    <row r="199" spans="1:33">
      <c r="A199" t="s">
        <v>181</v>
      </c>
      <c r="B199" t="s">
        <v>1350</v>
      </c>
      <c r="C199" t="s">
        <v>1349</v>
      </c>
      <c r="D199" t="s">
        <v>258</v>
      </c>
      <c r="F199">
        <v>14.400703999999999</v>
      </c>
      <c r="G199">
        <v>14.660596</v>
      </c>
      <c r="H199">
        <v>14.909394000000001</v>
      </c>
      <c r="I199">
        <v>15.148808000000001</v>
      </c>
      <c r="J199">
        <v>15.587316</v>
      </c>
      <c r="K199">
        <v>15.569564</v>
      </c>
      <c r="L199">
        <v>15.706894999999999</v>
      </c>
      <c r="M199">
        <v>15.808894</v>
      </c>
      <c r="N199">
        <v>15.874243</v>
      </c>
      <c r="O199">
        <v>15.908842999999999</v>
      </c>
      <c r="P199">
        <v>15.928421</v>
      </c>
      <c r="Q199">
        <v>15.940676</v>
      </c>
      <c r="R199">
        <v>15.931882999999999</v>
      </c>
      <c r="S199">
        <v>15.918108999999999</v>
      </c>
      <c r="T199">
        <v>15.923935</v>
      </c>
      <c r="U199">
        <v>15.946382</v>
      </c>
      <c r="V199">
        <v>15.949452000000001</v>
      </c>
      <c r="W199">
        <v>15.974583000000001</v>
      </c>
      <c r="X199">
        <v>16.011904000000001</v>
      </c>
      <c r="Y199">
        <v>16.067564000000001</v>
      </c>
      <c r="Z199">
        <v>16.092542999999999</v>
      </c>
      <c r="AA199">
        <v>16.10285</v>
      </c>
      <c r="AB199">
        <v>16.070187000000001</v>
      </c>
      <c r="AC199">
        <v>16.117353000000001</v>
      </c>
      <c r="AD199">
        <v>16.17164</v>
      </c>
      <c r="AE199">
        <v>16.204170000000001</v>
      </c>
      <c r="AF199">
        <v>16.214468</v>
      </c>
      <c r="AG199" s="9">
        <v>5.0000000000000001E-3</v>
      </c>
    </row>
    <row r="200" spans="1:33">
      <c r="A200" t="s">
        <v>226</v>
      </c>
      <c r="B200" t="s">
        <v>1348</v>
      </c>
      <c r="C200" t="s">
        <v>1347</v>
      </c>
      <c r="D200" t="s">
        <v>259</v>
      </c>
      <c r="F200">
        <v>12.031425</v>
      </c>
      <c r="G200">
        <v>12.120165999999999</v>
      </c>
      <c r="H200">
        <v>12.218216999999999</v>
      </c>
      <c r="I200">
        <v>12.314306</v>
      </c>
      <c r="J200">
        <v>12.519958000000001</v>
      </c>
      <c r="K200">
        <v>12.526904</v>
      </c>
      <c r="L200">
        <v>12.614868</v>
      </c>
      <c r="M200">
        <v>12.696854999999999</v>
      </c>
      <c r="N200">
        <v>12.776363</v>
      </c>
      <c r="O200">
        <v>12.810620999999999</v>
      </c>
      <c r="P200">
        <v>12.829993999999999</v>
      </c>
      <c r="Q200">
        <v>12.839169999999999</v>
      </c>
      <c r="R200">
        <v>12.820976</v>
      </c>
      <c r="S200">
        <v>12.785634999999999</v>
      </c>
      <c r="T200">
        <v>12.802814</v>
      </c>
      <c r="U200">
        <v>12.846814</v>
      </c>
      <c r="V200">
        <v>12.852778000000001</v>
      </c>
      <c r="W200">
        <v>12.900325</v>
      </c>
      <c r="X200">
        <v>12.970843</v>
      </c>
      <c r="Y200">
        <v>13.073732</v>
      </c>
      <c r="Z200">
        <v>13.11858</v>
      </c>
      <c r="AA200">
        <v>13.137976999999999</v>
      </c>
      <c r="AB200">
        <v>13.165692999999999</v>
      </c>
      <c r="AC200">
        <v>13.248922</v>
      </c>
      <c r="AD200">
        <v>13.34107</v>
      </c>
      <c r="AE200">
        <v>13.395440000000001</v>
      </c>
      <c r="AF200">
        <v>13.397116</v>
      </c>
      <c r="AG200" s="9">
        <v>4.0000000000000001E-3</v>
      </c>
    </row>
    <row r="201" spans="1:33">
      <c r="A201" t="s">
        <v>184</v>
      </c>
      <c r="B201" t="s">
        <v>1346</v>
      </c>
      <c r="C201" t="s">
        <v>1345</v>
      </c>
      <c r="D201" t="s">
        <v>259</v>
      </c>
      <c r="F201">
        <v>11.1304</v>
      </c>
      <c r="G201">
        <v>11.18446</v>
      </c>
      <c r="H201">
        <v>11.218819999999999</v>
      </c>
      <c r="I201">
        <v>11.255887</v>
      </c>
      <c r="J201">
        <v>11.412219</v>
      </c>
      <c r="K201">
        <v>11.400475999999999</v>
      </c>
      <c r="L201">
        <v>11.479112000000001</v>
      </c>
      <c r="M201">
        <v>11.570024</v>
      </c>
      <c r="N201">
        <v>11.661617</v>
      </c>
      <c r="O201">
        <v>11.750628000000001</v>
      </c>
      <c r="P201">
        <v>11.847393</v>
      </c>
      <c r="Q201">
        <v>11.933859</v>
      </c>
      <c r="R201">
        <v>12.002807000000001</v>
      </c>
      <c r="S201">
        <v>12.054949000000001</v>
      </c>
      <c r="T201">
        <v>12.095764000000001</v>
      </c>
      <c r="U201">
        <v>12.138782000000001</v>
      </c>
      <c r="V201">
        <v>12.178782</v>
      </c>
      <c r="W201">
        <v>12.217374</v>
      </c>
      <c r="X201">
        <v>12.250284000000001</v>
      </c>
      <c r="Y201">
        <v>12.276258</v>
      </c>
      <c r="Z201">
        <v>12.298315000000001</v>
      </c>
      <c r="AA201">
        <v>12.314526000000001</v>
      </c>
      <c r="AB201">
        <v>12.324564000000001</v>
      </c>
      <c r="AC201">
        <v>12.324909</v>
      </c>
      <c r="AD201">
        <v>12.324966999999999</v>
      </c>
      <c r="AE201">
        <v>12.326323</v>
      </c>
      <c r="AF201">
        <v>12.328670000000001</v>
      </c>
      <c r="AG201" s="9">
        <v>4.0000000000000001E-3</v>
      </c>
    </row>
    <row r="202" spans="1:33">
      <c r="A202" t="s">
        <v>187</v>
      </c>
      <c r="B202" t="s">
        <v>1344</v>
      </c>
      <c r="C202" t="s">
        <v>1343</v>
      </c>
      <c r="D202" t="s">
        <v>259</v>
      </c>
      <c r="F202">
        <v>10.947818</v>
      </c>
      <c r="G202">
        <v>10.990493000000001</v>
      </c>
      <c r="H202">
        <v>11.056637</v>
      </c>
      <c r="I202">
        <v>11.142770000000001</v>
      </c>
      <c r="J202">
        <v>11.533828</v>
      </c>
      <c r="K202">
        <v>11.485296999999999</v>
      </c>
      <c r="L202">
        <v>11.616588999999999</v>
      </c>
      <c r="M202">
        <v>11.763449</v>
      </c>
      <c r="N202">
        <v>11.902488999999999</v>
      </c>
      <c r="O202">
        <v>12.032113000000001</v>
      </c>
      <c r="P202">
        <v>12.096603999999999</v>
      </c>
      <c r="Q202">
        <v>12.130247000000001</v>
      </c>
      <c r="R202">
        <v>12.148973</v>
      </c>
      <c r="S202">
        <v>12.149476</v>
      </c>
      <c r="T202">
        <v>12.133198999999999</v>
      </c>
      <c r="U202">
        <v>12.114938</v>
      </c>
      <c r="V202">
        <v>12.096787000000001</v>
      </c>
      <c r="W202">
        <v>12.080774999999999</v>
      </c>
      <c r="X202">
        <v>12.068275999999999</v>
      </c>
      <c r="Y202">
        <v>12.056754</v>
      </c>
      <c r="Z202">
        <v>12.050371</v>
      </c>
      <c r="AA202">
        <v>12.042301</v>
      </c>
      <c r="AB202">
        <v>12.03565</v>
      </c>
      <c r="AC202">
        <v>12.029597000000001</v>
      </c>
      <c r="AD202">
        <v>12.026527</v>
      </c>
      <c r="AE202">
        <v>12.023883</v>
      </c>
      <c r="AF202">
        <v>12.026020000000001</v>
      </c>
      <c r="AG202" s="9">
        <v>4.0000000000000001E-3</v>
      </c>
    </row>
    <row r="203" spans="1:33">
      <c r="A203" t="s">
        <v>227</v>
      </c>
      <c r="B203" t="s">
        <v>1342</v>
      </c>
      <c r="C203" t="s">
        <v>1341</v>
      </c>
      <c r="D203" t="s">
        <v>259</v>
      </c>
      <c r="F203">
        <v>11.410875000000001</v>
      </c>
      <c r="G203">
        <v>11.497379</v>
      </c>
      <c r="H203">
        <v>11.591085</v>
      </c>
      <c r="I203">
        <v>11.68336</v>
      </c>
      <c r="J203">
        <v>11.866866999999999</v>
      </c>
      <c r="K203">
        <v>11.851042</v>
      </c>
      <c r="L203">
        <v>11.905309000000001</v>
      </c>
      <c r="M203">
        <v>11.944247000000001</v>
      </c>
      <c r="N203">
        <v>11.971857</v>
      </c>
      <c r="O203">
        <v>11.984635000000001</v>
      </c>
      <c r="P203">
        <v>11.987278</v>
      </c>
      <c r="Q203">
        <v>11.987494</v>
      </c>
      <c r="R203">
        <v>11.984787000000001</v>
      </c>
      <c r="S203">
        <v>11.975884000000001</v>
      </c>
      <c r="T203">
        <v>11.981134000000001</v>
      </c>
      <c r="U203">
        <v>11.985151</v>
      </c>
      <c r="V203">
        <v>11.989549</v>
      </c>
      <c r="W203">
        <v>11.995281</v>
      </c>
      <c r="X203">
        <v>12.000392</v>
      </c>
      <c r="Y203">
        <v>12.00244</v>
      </c>
      <c r="Z203">
        <v>12.002852000000001</v>
      </c>
      <c r="AA203">
        <v>12.003465</v>
      </c>
      <c r="AB203">
        <v>12.005936</v>
      </c>
      <c r="AC203">
        <v>12.007431</v>
      </c>
      <c r="AD203">
        <v>12.006736999999999</v>
      </c>
      <c r="AE203">
        <v>12.007421000000001</v>
      </c>
      <c r="AF203">
        <v>12.009321</v>
      </c>
      <c r="AG203" s="9">
        <v>2E-3</v>
      </c>
    </row>
    <row r="204" spans="1:33">
      <c r="A204" t="s">
        <v>228</v>
      </c>
      <c r="B204" t="s">
        <v>1340</v>
      </c>
      <c r="C204" t="s">
        <v>1339</v>
      </c>
      <c r="D204" t="s">
        <v>258</v>
      </c>
      <c r="F204">
        <v>42.360385999999998</v>
      </c>
      <c r="G204">
        <v>42.360390000000002</v>
      </c>
      <c r="H204">
        <v>42.360385999999998</v>
      </c>
      <c r="I204">
        <v>42.360385999999998</v>
      </c>
      <c r="J204">
        <v>42.416671999999998</v>
      </c>
      <c r="K204">
        <v>42.410789000000001</v>
      </c>
      <c r="L204">
        <v>42.405189999999997</v>
      </c>
      <c r="M204">
        <v>42.400252999999999</v>
      </c>
      <c r="N204">
        <v>42.396197999999998</v>
      </c>
      <c r="O204">
        <v>42.392837999999998</v>
      </c>
      <c r="P204">
        <v>42.389648000000001</v>
      </c>
      <c r="Q204">
        <v>42.387165000000003</v>
      </c>
      <c r="R204">
        <v>42.385235000000002</v>
      </c>
      <c r="S204">
        <v>42.383716999999997</v>
      </c>
      <c r="T204">
        <v>42.382415999999999</v>
      </c>
      <c r="U204">
        <v>42.381301999999998</v>
      </c>
      <c r="V204">
        <v>42.380360000000003</v>
      </c>
      <c r="W204">
        <v>42.379612000000002</v>
      </c>
      <c r="X204">
        <v>42.379097000000002</v>
      </c>
      <c r="Y204">
        <v>42.378754000000001</v>
      </c>
      <c r="Z204">
        <v>42.378543999999998</v>
      </c>
      <c r="AA204">
        <v>42.378436999999998</v>
      </c>
      <c r="AB204">
        <v>42.387768000000001</v>
      </c>
      <c r="AC204">
        <v>42.405109000000003</v>
      </c>
      <c r="AD204">
        <v>42.432685999999997</v>
      </c>
      <c r="AE204">
        <v>42.494225</v>
      </c>
      <c r="AF204">
        <v>42.567383</v>
      </c>
      <c r="AG204" s="9">
        <v>0</v>
      </c>
    </row>
    <row r="205" spans="1:33">
      <c r="A205" t="s">
        <v>229</v>
      </c>
      <c r="B205" t="s">
        <v>1338</v>
      </c>
      <c r="C205" t="s">
        <v>1337</v>
      </c>
      <c r="D205" t="s">
        <v>258</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t="s">
        <v>110</v>
      </c>
    </row>
    <row r="206" spans="1:33">
      <c r="A206" t="s">
        <v>230</v>
      </c>
      <c r="B206" t="s">
        <v>1336</v>
      </c>
      <c r="C206" t="s">
        <v>1335</v>
      </c>
      <c r="D206" t="s">
        <v>259</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v>0</v>
      </c>
      <c r="AF206">
        <v>0</v>
      </c>
      <c r="AG206" t="s">
        <v>110</v>
      </c>
    </row>
    <row r="207" spans="1:33">
      <c r="A207" t="s">
        <v>231</v>
      </c>
      <c r="B207" t="s">
        <v>1334</v>
      </c>
      <c r="C207" t="s">
        <v>1333</v>
      </c>
      <c r="D207" t="s">
        <v>258</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v>0</v>
      </c>
      <c r="AF207">
        <v>0</v>
      </c>
      <c r="AG207" t="s">
        <v>110</v>
      </c>
    </row>
    <row r="208" spans="1:33">
      <c r="A208" t="s">
        <v>574</v>
      </c>
      <c r="B208" t="s">
        <v>1332</v>
      </c>
      <c r="C208" t="s">
        <v>1331</v>
      </c>
      <c r="D208" t="s">
        <v>258</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t="s">
        <v>110</v>
      </c>
    </row>
    <row r="209" spans="1:33">
      <c r="A209" t="s">
        <v>571</v>
      </c>
      <c r="B209" t="s">
        <v>1330</v>
      </c>
      <c r="C209" t="s">
        <v>1329</v>
      </c>
      <c r="D209" t="s">
        <v>259</v>
      </c>
      <c r="F209">
        <v>0</v>
      </c>
      <c r="G209">
        <v>14.326266</v>
      </c>
      <c r="H209">
        <v>14.333030000000001</v>
      </c>
      <c r="I209">
        <v>14.353346999999999</v>
      </c>
      <c r="J209">
        <v>14.447293999999999</v>
      </c>
      <c r="K209">
        <v>14.378346000000001</v>
      </c>
      <c r="L209">
        <v>14.436540000000001</v>
      </c>
      <c r="M209">
        <v>14.524727</v>
      </c>
      <c r="N209">
        <v>14.638783</v>
      </c>
      <c r="O209">
        <v>14.794591</v>
      </c>
      <c r="P209">
        <v>14.996159</v>
      </c>
      <c r="Q209">
        <v>15.127234</v>
      </c>
      <c r="R209">
        <v>15.234635000000001</v>
      </c>
      <c r="S209">
        <v>15.307149000000001</v>
      </c>
      <c r="T209">
        <v>15.344830999999999</v>
      </c>
      <c r="U209">
        <v>15.355515</v>
      </c>
      <c r="V209">
        <v>15.359513</v>
      </c>
      <c r="W209">
        <v>15.360636</v>
      </c>
      <c r="X209">
        <v>15.358568</v>
      </c>
      <c r="Y209">
        <v>15.354512</v>
      </c>
      <c r="Z209">
        <v>15.350286000000001</v>
      </c>
      <c r="AA209">
        <v>15.346555</v>
      </c>
      <c r="AB209">
        <v>15.341411000000001</v>
      </c>
      <c r="AC209">
        <v>15.336034</v>
      </c>
      <c r="AD209">
        <v>15.330036</v>
      </c>
      <c r="AE209">
        <v>15.324598</v>
      </c>
      <c r="AF209">
        <v>15.319876000000001</v>
      </c>
      <c r="AG209" t="s">
        <v>110</v>
      </c>
    </row>
    <row r="210" spans="1:33">
      <c r="A210" t="s">
        <v>568</v>
      </c>
      <c r="B210" t="s">
        <v>1328</v>
      </c>
      <c r="C210" t="s">
        <v>1327</v>
      </c>
      <c r="D210" t="s">
        <v>258</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t="s">
        <v>110</v>
      </c>
    </row>
    <row r="211" spans="1:33">
      <c r="A211" t="s">
        <v>240</v>
      </c>
      <c r="B211" t="s">
        <v>1326</v>
      </c>
      <c r="C211" t="s">
        <v>1325</v>
      </c>
      <c r="F211">
        <v>13.24691</v>
      </c>
      <c r="G211">
        <v>13.387729</v>
      </c>
      <c r="H211">
        <v>13.526486</v>
      </c>
      <c r="I211">
        <v>13.658398</v>
      </c>
      <c r="J211">
        <v>13.988308</v>
      </c>
      <c r="K211">
        <v>13.992438999999999</v>
      </c>
      <c r="L211">
        <v>14.126111999999999</v>
      </c>
      <c r="M211">
        <v>14.305666</v>
      </c>
      <c r="N211">
        <v>14.499096</v>
      </c>
      <c r="O211">
        <v>14.622809999999999</v>
      </c>
      <c r="P211">
        <v>14.85224</v>
      </c>
      <c r="Q211">
        <v>15.099515999999999</v>
      </c>
      <c r="R211">
        <v>15.341229999999999</v>
      </c>
      <c r="S211">
        <v>15.5327</v>
      </c>
      <c r="T211">
        <v>15.755352999999999</v>
      </c>
      <c r="U211">
        <v>15.990437</v>
      </c>
      <c r="V211">
        <v>16.206022000000001</v>
      </c>
      <c r="W211">
        <v>16.530912000000001</v>
      </c>
      <c r="X211">
        <v>16.825386000000002</v>
      </c>
      <c r="Y211">
        <v>17.108689999999999</v>
      </c>
      <c r="Z211">
        <v>17.222024999999999</v>
      </c>
      <c r="AA211">
        <v>17.366146000000001</v>
      </c>
      <c r="AB211">
        <v>17.496670000000002</v>
      </c>
      <c r="AC211">
        <v>17.688658</v>
      </c>
      <c r="AD211">
        <v>17.867958000000002</v>
      </c>
      <c r="AE211">
        <v>17.986695999999998</v>
      </c>
      <c r="AF211">
        <v>18.089565</v>
      </c>
      <c r="AG211" s="9">
        <v>1.2E-2</v>
      </c>
    </row>
    <row r="212" spans="1:33">
      <c r="A212" t="s">
        <v>163</v>
      </c>
    </row>
    <row r="213" spans="1:33">
      <c r="A213" t="s">
        <v>181</v>
      </c>
      <c r="B213" t="s">
        <v>1324</v>
      </c>
      <c r="C213" t="s">
        <v>1323</v>
      </c>
      <c r="D213" t="s">
        <v>258</v>
      </c>
      <c r="F213">
        <v>9.7849989999999991</v>
      </c>
      <c r="G213">
        <v>10.026484999999999</v>
      </c>
      <c r="H213">
        <v>10.297043</v>
      </c>
      <c r="I213">
        <v>10.544124</v>
      </c>
      <c r="J213">
        <v>10.791912999999999</v>
      </c>
      <c r="K213">
        <v>11.033872000000001</v>
      </c>
      <c r="L213">
        <v>11.261635</v>
      </c>
      <c r="M213">
        <v>11.455491</v>
      </c>
      <c r="N213">
        <v>11.601601</v>
      </c>
      <c r="O213">
        <v>11.682551</v>
      </c>
      <c r="P213">
        <v>11.723087</v>
      </c>
      <c r="Q213">
        <v>11.713308</v>
      </c>
      <c r="R213">
        <v>11.615100999999999</v>
      </c>
      <c r="S213">
        <v>11.513228</v>
      </c>
      <c r="T213">
        <v>11.43233</v>
      </c>
      <c r="U213">
        <v>11.366671999999999</v>
      </c>
      <c r="V213">
        <v>11.317329000000001</v>
      </c>
      <c r="W213">
        <v>11.281013</v>
      </c>
      <c r="X213">
        <v>11.255193999999999</v>
      </c>
      <c r="Y213">
        <v>11.238102</v>
      </c>
      <c r="Z213">
        <v>11.227041</v>
      </c>
      <c r="AA213">
        <v>11.220007000000001</v>
      </c>
      <c r="AB213">
        <v>11.215096000000001</v>
      </c>
      <c r="AC213">
        <v>11.211975000000001</v>
      </c>
      <c r="AD213">
        <v>11.209434999999999</v>
      </c>
      <c r="AE213">
        <v>11.207504</v>
      </c>
      <c r="AF213">
        <v>11.206441999999999</v>
      </c>
      <c r="AG213" s="9">
        <v>5.0000000000000001E-3</v>
      </c>
    </row>
    <row r="214" spans="1:33">
      <c r="A214" t="s">
        <v>226</v>
      </c>
      <c r="B214" t="s">
        <v>1322</v>
      </c>
      <c r="C214" t="s">
        <v>1321</v>
      </c>
      <c r="D214" t="s">
        <v>259</v>
      </c>
      <c r="F214">
        <v>8.4680619999999998</v>
      </c>
      <c r="G214">
        <v>8.6707540000000005</v>
      </c>
      <c r="H214">
        <v>8.8990670000000005</v>
      </c>
      <c r="I214">
        <v>9.1109399999999994</v>
      </c>
      <c r="J214">
        <v>9.3181930000000008</v>
      </c>
      <c r="K214">
        <v>9.5216189999999994</v>
      </c>
      <c r="L214">
        <v>9.7092709999999993</v>
      </c>
      <c r="M214">
        <v>9.8688789999999997</v>
      </c>
      <c r="N214">
        <v>9.989236</v>
      </c>
      <c r="O214">
        <v>10.056124000000001</v>
      </c>
      <c r="P214">
        <v>10.090163</v>
      </c>
      <c r="Q214">
        <v>10.084135</v>
      </c>
      <c r="R214">
        <v>10.00173</v>
      </c>
      <c r="S214">
        <v>9.9210449999999994</v>
      </c>
      <c r="T214">
        <v>9.849278</v>
      </c>
      <c r="U214">
        <v>9.7908279999999994</v>
      </c>
      <c r="V214">
        <v>9.7466910000000002</v>
      </c>
      <c r="W214">
        <v>9.7147670000000002</v>
      </c>
      <c r="X214">
        <v>9.6919889999999995</v>
      </c>
      <c r="Y214">
        <v>9.6765349999999994</v>
      </c>
      <c r="Z214">
        <v>9.6673709999999993</v>
      </c>
      <c r="AA214">
        <v>9.6616359999999997</v>
      </c>
      <c r="AB214">
        <v>9.6577310000000001</v>
      </c>
      <c r="AC214">
        <v>9.6552410000000002</v>
      </c>
      <c r="AD214">
        <v>9.653378</v>
      </c>
      <c r="AE214">
        <v>9.6519560000000002</v>
      </c>
      <c r="AF214">
        <v>9.6513120000000008</v>
      </c>
      <c r="AG214" s="9">
        <v>5.0000000000000001E-3</v>
      </c>
    </row>
    <row r="215" spans="1:33">
      <c r="A215" t="s">
        <v>184</v>
      </c>
      <c r="B215" t="s">
        <v>1320</v>
      </c>
      <c r="C215" t="s">
        <v>1319</v>
      </c>
      <c r="D215" t="s">
        <v>259</v>
      </c>
      <c r="F215">
        <v>7.468928</v>
      </c>
      <c r="G215">
        <v>7.6975340000000001</v>
      </c>
      <c r="H215">
        <v>7.835801</v>
      </c>
      <c r="I215">
        <v>7.9895449999999997</v>
      </c>
      <c r="J215">
        <v>8.1724920000000001</v>
      </c>
      <c r="K215">
        <v>8.3751320000000007</v>
      </c>
      <c r="L215">
        <v>8.5944050000000001</v>
      </c>
      <c r="M215">
        <v>8.8283649999999998</v>
      </c>
      <c r="N215">
        <v>9.0630760000000006</v>
      </c>
      <c r="O215">
        <v>9.2916950000000007</v>
      </c>
      <c r="P215">
        <v>9.4915249999999993</v>
      </c>
      <c r="Q215">
        <v>9.6633849999999999</v>
      </c>
      <c r="R215">
        <v>9.8078500000000002</v>
      </c>
      <c r="S215">
        <v>9.9150539999999996</v>
      </c>
      <c r="T215">
        <v>9.9733809999999998</v>
      </c>
      <c r="U215">
        <v>10.013802</v>
      </c>
      <c r="V215">
        <v>10.013801000000001</v>
      </c>
      <c r="W215">
        <v>10.013802</v>
      </c>
      <c r="X215">
        <v>10.013802</v>
      </c>
      <c r="Y215">
        <v>10.013801000000001</v>
      </c>
      <c r="Z215">
        <v>10.013802</v>
      </c>
      <c r="AA215">
        <v>10.013802</v>
      </c>
      <c r="AB215">
        <v>10.013802</v>
      </c>
      <c r="AC215">
        <v>10.013802</v>
      </c>
      <c r="AD215">
        <v>10.017586</v>
      </c>
      <c r="AE215">
        <v>10.022081</v>
      </c>
      <c r="AF215">
        <v>10.025565</v>
      </c>
      <c r="AG215" s="9">
        <v>1.0999999999999999E-2</v>
      </c>
    </row>
    <row r="216" spans="1:33">
      <c r="A216" t="s">
        <v>187</v>
      </c>
      <c r="B216" t="s">
        <v>1318</v>
      </c>
      <c r="C216" t="s">
        <v>1317</v>
      </c>
      <c r="D216" t="s">
        <v>259</v>
      </c>
      <c r="F216">
        <v>7.2163789999999999</v>
      </c>
      <c r="G216">
        <v>7.416461</v>
      </c>
      <c r="H216">
        <v>7.6319780000000002</v>
      </c>
      <c r="I216">
        <v>7.825393</v>
      </c>
      <c r="J216">
        <v>8.0266669999999998</v>
      </c>
      <c r="K216">
        <v>8.235671</v>
      </c>
      <c r="L216">
        <v>8.4316169999999993</v>
      </c>
      <c r="M216">
        <v>8.6047229999999999</v>
      </c>
      <c r="N216">
        <v>8.7581489999999995</v>
      </c>
      <c r="O216">
        <v>8.8879529999999995</v>
      </c>
      <c r="P216">
        <v>8.9932660000000002</v>
      </c>
      <c r="Q216">
        <v>9.0730699999999995</v>
      </c>
      <c r="R216">
        <v>9.1100340000000006</v>
      </c>
      <c r="S216">
        <v>9.1353430000000007</v>
      </c>
      <c r="T216">
        <v>9.155996</v>
      </c>
      <c r="U216">
        <v>9.1489290000000008</v>
      </c>
      <c r="V216">
        <v>9.1335929999999994</v>
      </c>
      <c r="W216">
        <v>9.1254559999999998</v>
      </c>
      <c r="X216">
        <v>9.1447719999999997</v>
      </c>
      <c r="Y216">
        <v>9.1544419999999995</v>
      </c>
      <c r="Z216">
        <v>9.1553930000000001</v>
      </c>
      <c r="AA216">
        <v>9.1520589999999995</v>
      </c>
      <c r="AB216">
        <v>9.1620259999999991</v>
      </c>
      <c r="AC216">
        <v>9.1698070000000005</v>
      </c>
      <c r="AD216">
        <v>9.1916449999999994</v>
      </c>
      <c r="AE216">
        <v>9.2168109999999999</v>
      </c>
      <c r="AF216">
        <v>9.2265280000000001</v>
      </c>
      <c r="AG216" s="9">
        <v>8.9999999999999993E-3</v>
      </c>
    </row>
    <row r="217" spans="1:33">
      <c r="A217" t="s">
        <v>227</v>
      </c>
      <c r="B217" t="s">
        <v>1316</v>
      </c>
      <c r="C217" t="s">
        <v>1315</v>
      </c>
      <c r="D217" t="s">
        <v>260</v>
      </c>
      <c r="F217">
        <v>8.0342880000000001</v>
      </c>
      <c r="G217">
        <v>8.2322190000000006</v>
      </c>
      <c r="H217">
        <v>8.4505730000000003</v>
      </c>
      <c r="I217">
        <v>8.6575150000000001</v>
      </c>
      <c r="J217">
        <v>8.8608019999999996</v>
      </c>
      <c r="K217">
        <v>9.0625509999999991</v>
      </c>
      <c r="L217">
        <v>9.2542179999999998</v>
      </c>
      <c r="M217">
        <v>9.4266679999999994</v>
      </c>
      <c r="N217">
        <v>9.5723140000000004</v>
      </c>
      <c r="O217">
        <v>9.6850860000000001</v>
      </c>
      <c r="P217">
        <v>9.7758880000000001</v>
      </c>
      <c r="Q217">
        <v>9.8407579999999992</v>
      </c>
      <c r="R217">
        <v>9.8381159999999994</v>
      </c>
      <c r="S217">
        <v>9.8358609999999995</v>
      </c>
      <c r="T217">
        <v>9.8339459999999992</v>
      </c>
      <c r="U217">
        <v>9.8322900000000004</v>
      </c>
      <c r="V217">
        <v>9.8308420000000005</v>
      </c>
      <c r="W217">
        <v>9.8295639999999995</v>
      </c>
      <c r="X217">
        <v>9.8284210000000005</v>
      </c>
      <c r="Y217">
        <v>9.8273869999999999</v>
      </c>
      <c r="Z217">
        <v>9.8272980000000008</v>
      </c>
      <c r="AA217">
        <v>9.8272980000000008</v>
      </c>
      <c r="AB217">
        <v>9.8272980000000008</v>
      </c>
      <c r="AC217">
        <v>9.8272980000000008</v>
      </c>
      <c r="AD217">
        <v>9.8272980000000008</v>
      </c>
      <c r="AE217">
        <v>9.827299</v>
      </c>
      <c r="AF217">
        <v>9.8272980000000008</v>
      </c>
      <c r="AG217" s="9">
        <v>8.0000000000000002E-3</v>
      </c>
    </row>
    <row r="218" spans="1:33">
      <c r="A218" t="s">
        <v>228</v>
      </c>
      <c r="B218" t="s">
        <v>1314</v>
      </c>
      <c r="C218" t="s">
        <v>1313</v>
      </c>
      <c r="D218" t="s">
        <v>259</v>
      </c>
      <c r="F218">
        <v>20.468603000000002</v>
      </c>
      <c r="G218">
        <v>20.532591</v>
      </c>
      <c r="H218">
        <v>20.616028</v>
      </c>
      <c r="I218">
        <v>20.719861999999999</v>
      </c>
      <c r="J218">
        <v>20.841422999999999</v>
      </c>
      <c r="K218">
        <v>20.971781</v>
      </c>
      <c r="L218">
        <v>21.093063000000001</v>
      </c>
      <c r="M218">
        <v>21.147656999999999</v>
      </c>
      <c r="N218">
        <v>21.195461000000002</v>
      </c>
      <c r="O218">
        <v>21.235396999999999</v>
      </c>
      <c r="P218">
        <v>21.265718</v>
      </c>
      <c r="Q218">
        <v>21.284417999999999</v>
      </c>
      <c r="R218">
        <v>21.296794999999999</v>
      </c>
      <c r="S218">
        <v>21.296386999999999</v>
      </c>
      <c r="T218">
        <v>21.296099000000002</v>
      </c>
      <c r="U218">
        <v>21.295897</v>
      </c>
      <c r="V218">
        <v>21.295755</v>
      </c>
      <c r="W218">
        <v>21.295658</v>
      </c>
      <c r="X218">
        <v>21.295591000000002</v>
      </c>
      <c r="Y218">
        <v>21.295546000000002</v>
      </c>
      <c r="Z218">
        <v>21.295513</v>
      </c>
      <c r="AA218">
        <v>21.295490000000001</v>
      </c>
      <c r="AB218">
        <v>21.295477000000002</v>
      </c>
      <c r="AC218">
        <v>21.295466999999999</v>
      </c>
      <c r="AD218">
        <v>21.295462000000001</v>
      </c>
      <c r="AE218">
        <v>21.295456000000001</v>
      </c>
      <c r="AF218">
        <v>21.295452000000001</v>
      </c>
      <c r="AG218" s="9">
        <v>2E-3</v>
      </c>
    </row>
    <row r="219" spans="1:33">
      <c r="A219" t="s">
        <v>229</v>
      </c>
      <c r="B219" t="s">
        <v>1312</v>
      </c>
      <c r="C219" t="s">
        <v>1311</v>
      </c>
      <c r="D219" t="s">
        <v>259</v>
      </c>
      <c r="F219">
        <v>0</v>
      </c>
      <c r="G219">
        <v>0</v>
      </c>
      <c r="H219">
        <v>10.021416</v>
      </c>
      <c r="I219">
        <v>10.224057</v>
      </c>
      <c r="J219">
        <v>10.358897000000001</v>
      </c>
      <c r="K219">
        <v>10.486587999999999</v>
      </c>
      <c r="L219">
        <v>10.638026</v>
      </c>
      <c r="M219">
        <v>10.812464</v>
      </c>
      <c r="N219">
        <v>11.011009</v>
      </c>
      <c r="O219">
        <v>11.011009</v>
      </c>
      <c r="P219">
        <v>11.011009</v>
      </c>
      <c r="Q219">
        <v>11.011009</v>
      </c>
      <c r="R219">
        <v>11.011009</v>
      </c>
      <c r="S219">
        <v>11.011009</v>
      </c>
      <c r="T219">
        <v>11.011009</v>
      </c>
      <c r="U219">
        <v>11.011009</v>
      </c>
      <c r="V219">
        <v>11.011009</v>
      </c>
      <c r="W219">
        <v>11.011009</v>
      </c>
      <c r="X219">
        <v>11.011009</v>
      </c>
      <c r="Y219">
        <v>11.011009</v>
      </c>
      <c r="Z219">
        <v>11.011009</v>
      </c>
      <c r="AA219">
        <v>11.011009</v>
      </c>
      <c r="AB219">
        <v>11.011009</v>
      </c>
      <c r="AC219">
        <v>11.011009</v>
      </c>
      <c r="AD219">
        <v>11.011009</v>
      </c>
      <c r="AE219">
        <v>11.011009</v>
      </c>
      <c r="AF219">
        <v>11.011009</v>
      </c>
      <c r="AG219" t="s">
        <v>110</v>
      </c>
    </row>
    <row r="220" spans="1:33">
      <c r="A220" t="s">
        <v>230</v>
      </c>
      <c r="B220" t="s">
        <v>1310</v>
      </c>
      <c r="C220" t="s">
        <v>1309</v>
      </c>
      <c r="D220" t="s">
        <v>259</v>
      </c>
      <c r="F220">
        <v>0</v>
      </c>
      <c r="G220">
        <v>9.2793500000000009</v>
      </c>
      <c r="H220">
        <v>9.4812709999999996</v>
      </c>
      <c r="I220">
        <v>9.5533289999999997</v>
      </c>
      <c r="J220">
        <v>9.6466309999999993</v>
      </c>
      <c r="K220">
        <v>9.6466309999999993</v>
      </c>
      <c r="L220">
        <v>9.6466309999999993</v>
      </c>
      <c r="M220">
        <v>9.6466309999999993</v>
      </c>
      <c r="N220">
        <v>9.6466309999999993</v>
      </c>
      <c r="O220">
        <v>9.6466309999999993</v>
      </c>
      <c r="P220">
        <v>9.6466309999999993</v>
      </c>
      <c r="Q220">
        <v>9.6466309999999993</v>
      </c>
      <c r="R220">
        <v>9.6466309999999993</v>
      </c>
      <c r="S220">
        <v>9.6466309999999993</v>
      </c>
      <c r="T220">
        <v>9.6466309999999993</v>
      </c>
      <c r="U220">
        <v>9.6466309999999993</v>
      </c>
      <c r="V220">
        <v>9.6466309999999993</v>
      </c>
      <c r="W220">
        <v>9.6466309999999993</v>
      </c>
      <c r="X220">
        <v>9.6466309999999993</v>
      </c>
      <c r="Y220">
        <v>9.6466309999999993</v>
      </c>
      <c r="Z220">
        <v>9.6466309999999993</v>
      </c>
      <c r="AA220">
        <v>9.6466309999999993</v>
      </c>
      <c r="AB220">
        <v>9.6466309999999993</v>
      </c>
      <c r="AC220">
        <v>9.6466309999999993</v>
      </c>
      <c r="AD220">
        <v>9.6466309999999993</v>
      </c>
      <c r="AE220">
        <v>9.6466309999999993</v>
      </c>
      <c r="AF220">
        <v>9.6466309999999993</v>
      </c>
      <c r="AG220" t="s">
        <v>110</v>
      </c>
    </row>
    <row r="221" spans="1:33">
      <c r="A221" t="s">
        <v>231</v>
      </c>
      <c r="B221" t="s">
        <v>1308</v>
      </c>
      <c r="C221" t="s">
        <v>1307</v>
      </c>
      <c r="D221" t="s">
        <v>259</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t="s">
        <v>110</v>
      </c>
    </row>
    <row r="222" spans="1:33">
      <c r="A222" t="s">
        <v>574</v>
      </c>
      <c r="B222" t="s">
        <v>1306</v>
      </c>
      <c r="C222" t="s">
        <v>1305</v>
      </c>
      <c r="D222" t="s">
        <v>258</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t="s">
        <v>110</v>
      </c>
    </row>
    <row r="223" spans="1:33">
      <c r="A223" t="s">
        <v>571</v>
      </c>
      <c r="B223" t="s">
        <v>1304</v>
      </c>
      <c r="C223" t="s">
        <v>1303</v>
      </c>
      <c r="D223" t="s">
        <v>259</v>
      </c>
      <c r="F223">
        <v>0</v>
      </c>
      <c r="G223">
        <v>9.8621339999999993</v>
      </c>
      <c r="H223">
        <v>9.8967150000000004</v>
      </c>
      <c r="I223">
        <v>9.9150019999999994</v>
      </c>
      <c r="J223">
        <v>9.9396450000000005</v>
      </c>
      <c r="K223">
        <v>9.9715810000000005</v>
      </c>
      <c r="L223">
        <v>10.039865000000001</v>
      </c>
      <c r="M223">
        <v>10.128325</v>
      </c>
      <c r="N223">
        <v>10.193020000000001</v>
      </c>
      <c r="O223">
        <v>10.295206</v>
      </c>
      <c r="P223">
        <v>10.388249999999999</v>
      </c>
      <c r="Q223">
        <v>10.430880999999999</v>
      </c>
      <c r="R223">
        <v>10.45384</v>
      </c>
      <c r="S223">
        <v>10.468995</v>
      </c>
      <c r="T223">
        <v>10.481465999999999</v>
      </c>
      <c r="U223">
        <v>10.491256999999999</v>
      </c>
      <c r="V223">
        <v>10.497921</v>
      </c>
      <c r="W223">
        <v>10.497920000000001</v>
      </c>
      <c r="X223">
        <v>10.497921</v>
      </c>
      <c r="Y223">
        <v>10.497921</v>
      </c>
      <c r="Z223">
        <v>10.497921</v>
      </c>
      <c r="AA223">
        <v>10.497921</v>
      </c>
      <c r="AB223">
        <v>10.497921</v>
      </c>
      <c r="AC223">
        <v>10.497921</v>
      </c>
      <c r="AD223">
        <v>10.497921</v>
      </c>
      <c r="AE223">
        <v>10.497921</v>
      </c>
      <c r="AF223">
        <v>10.497921</v>
      </c>
      <c r="AG223" t="s">
        <v>110</v>
      </c>
    </row>
    <row r="224" spans="1:33">
      <c r="A224" t="s">
        <v>568</v>
      </c>
      <c r="B224" t="s">
        <v>1302</v>
      </c>
      <c r="C224" t="s">
        <v>1301</v>
      </c>
      <c r="D224" t="s">
        <v>258</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t="s">
        <v>110</v>
      </c>
    </row>
    <row r="225" spans="1:33">
      <c r="A225" t="s">
        <v>241</v>
      </c>
      <c r="B225" t="s">
        <v>1300</v>
      </c>
      <c r="C225" t="s">
        <v>1299</v>
      </c>
      <c r="F225">
        <v>9.1279810000000001</v>
      </c>
      <c r="G225">
        <v>9.3468029999999995</v>
      </c>
      <c r="H225">
        <v>9.5876459999999994</v>
      </c>
      <c r="I225">
        <v>9.8079889999999992</v>
      </c>
      <c r="J225">
        <v>10.023955000000001</v>
      </c>
      <c r="K225">
        <v>10.233446000000001</v>
      </c>
      <c r="L225">
        <v>10.426334000000001</v>
      </c>
      <c r="M225">
        <v>10.585993999999999</v>
      </c>
      <c r="N225">
        <v>10.698321999999999</v>
      </c>
      <c r="O225">
        <v>10.756053</v>
      </c>
      <c r="P225">
        <v>10.781209</v>
      </c>
      <c r="Q225">
        <v>10.763572999999999</v>
      </c>
      <c r="R225">
        <v>10.683064</v>
      </c>
      <c r="S225">
        <v>10.608274</v>
      </c>
      <c r="T225">
        <v>10.550203</v>
      </c>
      <c r="U225">
        <v>10.505644999999999</v>
      </c>
      <c r="V225">
        <v>10.473542999999999</v>
      </c>
      <c r="W225">
        <v>10.449609000000001</v>
      </c>
      <c r="X225">
        <v>10.432373</v>
      </c>
      <c r="Y225">
        <v>10.420355000000001</v>
      </c>
      <c r="Z225">
        <v>10.412753</v>
      </c>
      <c r="AA225">
        <v>10.407598</v>
      </c>
      <c r="AB225">
        <v>10.404016</v>
      </c>
      <c r="AC225">
        <v>10.400836</v>
      </c>
      <c r="AD225">
        <v>10.39828</v>
      </c>
      <c r="AE225">
        <v>10.395341999999999</v>
      </c>
      <c r="AF225">
        <v>10.393948</v>
      </c>
      <c r="AG225" s="9">
        <v>5.0000000000000001E-3</v>
      </c>
    </row>
    <row r="226" spans="1:33">
      <c r="A226" t="s">
        <v>234</v>
      </c>
    </row>
    <row r="227" spans="1:33">
      <c r="A227" t="s">
        <v>181</v>
      </c>
      <c r="B227" t="s">
        <v>1298</v>
      </c>
      <c r="C227" t="s">
        <v>1297</v>
      </c>
      <c r="D227" t="s">
        <v>258</v>
      </c>
      <c r="F227">
        <v>6.8624530000000004</v>
      </c>
      <c r="G227">
        <v>7.0176189999999998</v>
      </c>
      <c r="H227">
        <v>7.1843830000000004</v>
      </c>
      <c r="I227">
        <v>7.3522480000000003</v>
      </c>
      <c r="J227">
        <v>7.5117200000000004</v>
      </c>
      <c r="K227">
        <v>7.6655379999999997</v>
      </c>
      <c r="L227">
        <v>7.7929139999999997</v>
      </c>
      <c r="M227">
        <v>7.9047320000000001</v>
      </c>
      <c r="N227">
        <v>7.9926409999999999</v>
      </c>
      <c r="O227">
        <v>8.0601009999999995</v>
      </c>
      <c r="P227">
        <v>8.1108750000000001</v>
      </c>
      <c r="Q227">
        <v>8.1426850000000002</v>
      </c>
      <c r="R227">
        <v>8.1450519999999997</v>
      </c>
      <c r="S227">
        <v>8.1467080000000003</v>
      </c>
      <c r="T227">
        <v>8.1442990000000002</v>
      </c>
      <c r="U227">
        <v>8.1463560000000008</v>
      </c>
      <c r="V227">
        <v>8.1463929999999998</v>
      </c>
      <c r="W227">
        <v>8.1463429999999999</v>
      </c>
      <c r="X227">
        <v>8.1464379999999998</v>
      </c>
      <c r="Y227">
        <v>8.1440920000000006</v>
      </c>
      <c r="Z227">
        <v>8.1438550000000003</v>
      </c>
      <c r="AA227">
        <v>8.1438740000000003</v>
      </c>
      <c r="AB227">
        <v>8.1432500000000001</v>
      </c>
      <c r="AC227">
        <v>8.1429019999999994</v>
      </c>
      <c r="AD227">
        <v>8.1380999999999997</v>
      </c>
      <c r="AE227">
        <v>8.1375489999999999</v>
      </c>
      <c r="AF227">
        <v>8.1374619999999993</v>
      </c>
      <c r="AG227" s="9">
        <v>7.0000000000000001E-3</v>
      </c>
    </row>
    <row r="228" spans="1:33">
      <c r="A228" t="s">
        <v>226</v>
      </c>
      <c r="B228" t="s">
        <v>1296</v>
      </c>
      <c r="C228" t="s">
        <v>1295</v>
      </c>
      <c r="D228" t="s">
        <v>259</v>
      </c>
      <c r="F228">
        <v>5.5283899999999999</v>
      </c>
      <c r="G228">
        <v>5.6677540000000004</v>
      </c>
      <c r="H228">
        <v>5.8193339999999996</v>
      </c>
      <c r="I228">
        <v>5.9614390000000004</v>
      </c>
      <c r="J228">
        <v>6.0965199999999999</v>
      </c>
      <c r="K228">
        <v>6.2297969999999996</v>
      </c>
      <c r="L228">
        <v>6.3555460000000004</v>
      </c>
      <c r="M228">
        <v>6.4679209999999996</v>
      </c>
      <c r="N228">
        <v>6.5620820000000002</v>
      </c>
      <c r="O228">
        <v>6.6345039999999997</v>
      </c>
      <c r="P228">
        <v>6.6923459999999997</v>
      </c>
      <c r="Q228">
        <v>6.7331079999999996</v>
      </c>
      <c r="R228">
        <v>6.7294159999999996</v>
      </c>
      <c r="S228">
        <v>6.7262579999999996</v>
      </c>
      <c r="T228">
        <v>6.723573</v>
      </c>
      <c r="U228">
        <v>6.7212490000000003</v>
      </c>
      <c r="V228">
        <v>6.7192170000000004</v>
      </c>
      <c r="W228">
        <v>6.7174230000000001</v>
      </c>
      <c r="X228">
        <v>6.7158129999999998</v>
      </c>
      <c r="Y228">
        <v>6.7143459999999999</v>
      </c>
      <c r="Z228">
        <v>6.7129890000000003</v>
      </c>
      <c r="AA228">
        <v>6.7117690000000003</v>
      </c>
      <c r="AB228">
        <v>6.7106870000000001</v>
      </c>
      <c r="AC228">
        <v>6.7097610000000003</v>
      </c>
      <c r="AD228">
        <v>6.7089619999999996</v>
      </c>
      <c r="AE228">
        <v>6.7082750000000004</v>
      </c>
      <c r="AF228">
        <v>6.7077359999999997</v>
      </c>
      <c r="AG228" s="9">
        <v>7.0000000000000001E-3</v>
      </c>
    </row>
    <row r="229" spans="1:33">
      <c r="A229" t="s">
        <v>184</v>
      </c>
      <c r="B229" t="s">
        <v>1294</v>
      </c>
      <c r="C229" t="s">
        <v>1293</v>
      </c>
      <c r="D229" t="s">
        <v>259</v>
      </c>
      <c r="F229">
        <v>5.4372439999999997</v>
      </c>
      <c r="G229">
        <v>5.5245800000000003</v>
      </c>
      <c r="H229">
        <v>5.5677580000000004</v>
      </c>
      <c r="I229">
        <v>5.6220689999999998</v>
      </c>
      <c r="J229">
        <v>5.6845129999999999</v>
      </c>
      <c r="K229">
        <v>5.7616360000000002</v>
      </c>
      <c r="L229">
        <v>5.8562839999999996</v>
      </c>
      <c r="M229">
        <v>5.9682110000000002</v>
      </c>
      <c r="N229">
        <v>6.0886110000000002</v>
      </c>
      <c r="O229">
        <v>6.2060690000000003</v>
      </c>
      <c r="P229">
        <v>6.3273029999999997</v>
      </c>
      <c r="Q229">
        <v>6.4255699999999996</v>
      </c>
      <c r="R229">
        <v>6.5132250000000003</v>
      </c>
      <c r="S229">
        <v>6.5731999999999999</v>
      </c>
      <c r="T229">
        <v>6.6169479999999998</v>
      </c>
      <c r="U229">
        <v>6.6467029999999996</v>
      </c>
      <c r="V229">
        <v>6.659745</v>
      </c>
      <c r="W229">
        <v>6.6698519999999997</v>
      </c>
      <c r="X229">
        <v>6.6757249999999999</v>
      </c>
      <c r="Y229">
        <v>6.675643</v>
      </c>
      <c r="Z229">
        <v>6.6756099999999998</v>
      </c>
      <c r="AA229">
        <v>6.6746559999999997</v>
      </c>
      <c r="AB229">
        <v>6.6771929999999999</v>
      </c>
      <c r="AC229">
        <v>6.6810499999999999</v>
      </c>
      <c r="AD229">
        <v>6.6854810000000002</v>
      </c>
      <c r="AE229">
        <v>6.6909190000000001</v>
      </c>
      <c r="AF229">
        <v>6.6984519999999996</v>
      </c>
      <c r="AG229" s="9">
        <v>8.0000000000000002E-3</v>
      </c>
    </row>
    <row r="230" spans="1:33">
      <c r="A230" t="s">
        <v>187</v>
      </c>
      <c r="B230" t="s">
        <v>1292</v>
      </c>
      <c r="C230" t="s">
        <v>1291</v>
      </c>
      <c r="D230" t="s">
        <v>258</v>
      </c>
      <c r="F230">
        <v>5.6899410000000001</v>
      </c>
      <c r="G230">
        <v>5.8690319999999998</v>
      </c>
      <c r="H230">
        <v>6.0111840000000001</v>
      </c>
      <c r="I230">
        <v>6.1010439999999999</v>
      </c>
      <c r="J230">
        <v>6.2319899999999997</v>
      </c>
      <c r="K230">
        <v>6.36381</v>
      </c>
      <c r="L230">
        <v>6.480442</v>
      </c>
      <c r="M230">
        <v>6.5830200000000003</v>
      </c>
      <c r="N230">
        <v>6.6688960000000002</v>
      </c>
      <c r="O230">
        <v>6.7348330000000001</v>
      </c>
      <c r="P230">
        <v>6.7896280000000004</v>
      </c>
      <c r="Q230">
        <v>6.8331369999999998</v>
      </c>
      <c r="R230">
        <v>6.8360130000000003</v>
      </c>
      <c r="S230">
        <v>6.8514400000000002</v>
      </c>
      <c r="T230">
        <v>6.8495600000000003</v>
      </c>
      <c r="U230">
        <v>6.8668829999999996</v>
      </c>
      <c r="V230">
        <v>6.8978650000000004</v>
      </c>
      <c r="W230">
        <v>6.922809</v>
      </c>
      <c r="X230">
        <v>6.9350180000000003</v>
      </c>
      <c r="Y230">
        <v>6.9377930000000001</v>
      </c>
      <c r="Z230">
        <v>6.9690779999999997</v>
      </c>
      <c r="AA230">
        <v>6.9773649999999998</v>
      </c>
      <c r="AB230">
        <v>7.0204279999999999</v>
      </c>
      <c r="AC230">
        <v>7.0619449999999997</v>
      </c>
      <c r="AD230">
        <v>7.1275449999999996</v>
      </c>
      <c r="AE230">
        <v>7.1666280000000002</v>
      </c>
      <c r="AF230">
        <v>7.2303740000000003</v>
      </c>
      <c r="AG230" s="9">
        <v>8.9999999999999993E-3</v>
      </c>
    </row>
    <row r="231" spans="1:33">
      <c r="A231" t="s">
        <v>227</v>
      </c>
      <c r="B231" t="s">
        <v>1290</v>
      </c>
      <c r="C231" t="s">
        <v>1289</v>
      </c>
      <c r="D231" t="s">
        <v>259</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t="s">
        <v>110</v>
      </c>
    </row>
    <row r="232" spans="1:33">
      <c r="A232" t="s">
        <v>228</v>
      </c>
      <c r="B232" t="s">
        <v>1288</v>
      </c>
      <c r="C232" t="s">
        <v>1287</v>
      </c>
      <c r="D232" t="s">
        <v>258</v>
      </c>
      <c r="F232">
        <v>13.553058</v>
      </c>
      <c r="G232">
        <v>13.654142999999999</v>
      </c>
      <c r="H232">
        <v>13.78584</v>
      </c>
      <c r="I232">
        <v>13.926949</v>
      </c>
      <c r="J232">
        <v>14.084097</v>
      </c>
      <c r="K232">
        <v>14.299403999999999</v>
      </c>
      <c r="L232">
        <v>14.499537999999999</v>
      </c>
      <c r="M232">
        <v>14.670741</v>
      </c>
      <c r="N232">
        <v>14.874043</v>
      </c>
      <c r="O232">
        <v>15.077652</v>
      </c>
      <c r="P232">
        <v>15.165792</v>
      </c>
      <c r="Q232">
        <v>15.2387</v>
      </c>
      <c r="R232">
        <v>15.287716</v>
      </c>
      <c r="S232">
        <v>15.326226999999999</v>
      </c>
      <c r="T232">
        <v>15.354395</v>
      </c>
      <c r="U232">
        <v>15.370070999999999</v>
      </c>
      <c r="V232">
        <v>15.375595000000001</v>
      </c>
      <c r="W232">
        <v>15.377668999999999</v>
      </c>
      <c r="X232">
        <v>15.379139</v>
      </c>
      <c r="Y232">
        <v>15.380027</v>
      </c>
      <c r="Z232">
        <v>15.380454</v>
      </c>
      <c r="AA232">
        <v>15.380836</v>
      </c>
      <c r="AB232">
        <v>15.380919</v>
      </c>
      <c r="AC232">
        <v>15.380917</v>
      </c>
      <c r="AD232">
        <v>15.380915</v>
      </c>
      <c r="AE232">
        <v>15.380915</v>
      </c>
      <c r="AF232">
        <v>15.380915999999999</v>
      </c>
      <c r="AG232" s="9">
        <v>5.0000000000000001E-3</v>
      </c>
    </row>
    <row r="233" spans="1:33">
      <c r="A233" t="s">
        <v>229</v>
      </c>
      <c r="B233" t="s">
        <v>1286</v>
      </c>
      <c r="C233" t="s">
        <v>1285</v>
      </c>
      <c r="D233" t="s">
        <v>258</v>
      </c>
      <c r="F233">
        <v>0</v>
      </c>
      <c r="G233">
        <v>0</v>
      </c>
      <c r="H233">
        <v>8.8917629999999992</v>
      </c>
      <c r="I233">
        <v>9.0715620000000001</v>
      </c>
      <c r="J233">
        <v>9.1912020000000005</v>
      </c>
      <c r="K233">
        <v>9.3044989999999999</v>
      </c>
      <c r="L233">
        <v>9.4388670000000001</v>
      </c>
      <c r="M233">
        <v>9.5936409999999999</v>
      </c>
      <c r="N233">
        <v>9.7698049999999999</v>
      </c>
      <c r="O233">
        <v>9.7698049999999999</v>
      </c>
      <c r="P233">
        <v>9.7698049999999999</v>
      </c>
      <c r="Q233">
        <v>9.7698049999999999</v>
      </c>
      <c r="R233">
        <v>9.7698049999999999</v>
      </c>
      <c r="S233">
        <v>9.7698049999999999</v>
      </c>
      <c r="T233">
        <v>9.7698049999999999</v>
      </c>
      <c r="U233">
        <v>9.7698049999999999</v>
      </c>
      <c r="V233">
        <v>9.7698049999999999</v>
      </c>
      <c r="W233">
        <v>9.7698049999999999</v>
      </c>
      <c r="X233">
        <v>9.7698049999999999</v>
      </c>
      <c r="Y233">
        <v>9.7698049999999999</v>
      </c>
      <c r="Z233">
        <v>9.7698049999999999</v>
      </c>
      <c r="AA233">
        <v>9.7698049999999999</v>
      </c>
      <c r="AB233">
        <v>9.7698049999999999</v>
      </c>
      <c r="AC233">
        <v>9.7698049999999999</v>
      </c>
      <c r="AD233">
        <v>9.7698049999999999</v>
      </c>
      <c r="AE233">
        <v>9.7698049999999999</v>
      </c>
      <c r="AF233">
        <v>9.7698049999999999</v>
      </c>
      <c r="AG233" t="s">
        <v>110</v>
      </c>
    </row>
    <row r="234" spans="1:33">
      <c r="A234" t="s">
        <v>230</v>
      </c>
      <c r="B234" t="s">
        <v>1284</v>
      </c>
      <c r="C234" t="s">
        <v>1283</v>
      </c>
      <c r="D234" t="s">
        <v>259</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v>0</v>
      </c>
      <c r="AF234">
        <v>0</v>
      </c>
      <c r="AG234" t="s">
        <v>110</v>
      </c>
    </row>
    <row r="235" spans="1:33">
      <c r="A235" t="s">
        <v>231</v>
      </c>
      <c r="B235" t="s">
        <v>1282</v>
      </c>
      <c r="C235" t="s">
        <v>1281</v>
      </c>
      <c r="D235" t="s">
        <v>258</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t="s">
        <v>110</v>
      </c>
    </row>
    <row r="236" spans="1:33">
      <c r="A236" t="s">
        <v>574</v>
      </c>
      <c r="B236" t="s">
        <v>1280</v>
      </c>
      <c r="C236" t="s">
        <v>1279</v>
      </c>
      <c r="D236" t="s">
        <v>258</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v>0</v>
      </c>
      <c r="AF236">
        <v>0</v>
      </c>
      <c r="AG236" t="s">
        <v>110</v>
      </c>
    </row>
    <row r="237" spans="1:33">
      <c r="A237" t="s">
        <v>571</v>
      </c>
      <c r="B237" t="s">
        <v>1278</v>
      </c>
      <c r="C237" t="s">
        <v>1277</v>
      </c>
      <c r="D237" t="s">
        <v>259</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t="s">
        <v>110</v>
      </c>
    </row>
    <row r="238" spans="1:33">
      <c r="A238" t="s">
        <v>568</v>
      </c>
      <c r="B238" t="s">
        <v>1276</v>
      </c>
      <c r="C238" t="s">
        <v>1275</v>
      </c>
      <c r="D238" t="s">
        <v>258</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v>0</v>
      </c>
      <c r="AF238">
        <v>0</v>
      </c>
      <c r="AG238" t="s">
        <v>110</v>
      </c>
    </row>
    <row r="239" spans="1:33">
      <c r="A239" t="s">
        <v>242</v>
      </c>
      <c r="B239" t="s">
        <v>1274</v>
      </c>
      <c r="C239" t="s">
        <v>1273</v>
      </c>
      <c r="F239">
        <v>6.8548869999999997</v>
      </c>
      <c r="G239">
        <v>7.008928</v>
      </c>
      <c r="H239">
        <v>7.1755069999999996</v>
      </c>
      <c r="I239">
        <v>7.3440310000000002</v>
      </c>
      <c r="J239">
        <v>7.5033560000000001</v>
      </c>
      <c r="K239">
        <v>7.6570200000000002</v>
      </c>
      <c r="L239">
        <v>7.7844319999999998</v>
      </c>
      <c r="M239">
        <v>7.8963190000000001</v>
      </c>
      <c r="N239">
        <v>7.9844039999999996</v>
      </c>
      <c r="O239">
        <v>8.0514679999999998</v>
      </c>
      <c r="P239">
        <v>8.1022870000000005</v>
      </c>
      <c r="Q239">
        <v>8.1342009999999991</v>
      </c>
      <c r="R239">
        <v>8.1366180000000004</v>
      </c>
      <c r="S239">
        <v>8.1379459999999995</v>
      </c>
      <c r="T239">
        <v>8.1357149999999994</v>
      </c>
      <c r="U239">
        <v>8.1375189999999993</v>
      </c>
      <c r="V239">
        <v>8.1371649999999995</v>
      </c>
      <c r="W239">
        <v>8.1364129999999992</v>
      </c>
      <c r="X239">
        <v>8.1363679999999992</v>
      </c>
      <c r="Y239">
        <v>8.1339330000000007</v>
      </c>
      <c r="Z239">
        <v>8.1331659999999992</v>
      </c>
      <c r="AA239">
        <v>8.1322799999999997</v>
      </c>
      <c r="AB239">
        <v>8.1308959999999999</v>
      </c>
      <c r="AC239">
        <v>8.1295079999999995</v>
      </c>
      <c r="AD239">
        <v>8.123742</v>
      </c>
      <c r="AE239">
        <v>8.1220119999999998</v>
      </c>
      <c r="AF239">
        <v>8.1205160000000003</v>
      </c>
      <c r="AG239" s="9">
        <v>7.0000000000000001E-3</v>
      </c>
    </row>
    <row r="240" spans="1:33">
      <c r="A240" t="s">
        <v>243</v>
      </c>
      <c r="B240" t="s">
        <v>1272</v>
      </c>
      <c r="C240" t="s">
        <v>1271</v>
      </c>
      <c r="F240">
        <v>7.7845329999999997</v>
      </c>
      <c r="G240">
        <v>8.1700400000000002</v>
      </c>
      <c r="H240">
        <v>8.3375160000000008</v>
      </c>
      <c r="I240">
        <v>8.4989089999999994</v>
      </c>
      <c r="J240">
        <v>8.694566</v>
      </c>
      <c r="K240">
        <v>8.8765870000000007</v>
      </c>
      <c r="L240">
        <v>9.0367379999999997</v>
      </c>
      <c r="M240">
        <v>9.1778119999999994</v>
      </c>
      <c r="N240">
        <v>9.2946340000000003</v>
      </c>
      <c r="O240">
        <v>9.3798370000000002</v>
      </c>
      <c r="P240">
        <v>9.462923</v>
      </c>
      <c r="Q240">
        <v>9.5250459999999997</v>
      </c>
      <c r="R240">
        <v>9.545712</v>
      </c>
      <c r="S240">
        <v>9.5580890000000007</v>
      </c>
      <c r="T240">
        <v>9.5769409999999997</v>
      </c>
      <c r="U240">
        <v>9.6088719999999999</v>
      </c>
      <c r="V240">
        <v>9.6380960000000009</v>
      </c>
      <c r="W240">
        <v>9.6714420000000008</v>
      </c>
      <c r="X240">
        <v>9.6972349999999992</v>
      </c>
      <c r="Y240">
        <v>9.7202509999999993</v>
      </c>
      <c r="Z240">
        <v>9.7451000000000008</v>
      </c>
      <c r="AA240">
        <v>9.7827490000000008</v>
      </c>
      <c r="AB240">
        <v>9.8186359999999997</v>
      </c>
      <c r="AC240">
        <v>9.8371399999999998</v>
      </c>
      <c r="AD240">
        <v>9.8385599999999993</v>
      </c>
      <c r="AE240">
        <v>9.8505929999999999</v>
      </c>
      <c r="AF240">
        <v>9.8773979999999995</v>
      </c>
      <c r="AG240" s="9">
        <v>8.9999999999999993E-3</v>
      </c>
    </row>
    <row r="241" spans="1:33">
      <c r="A241" t="s">
        <v>246</v>
      </c>
    </row>
    <row r="242" spans="1:33">
      <c r="A242" t="s">
        <v>162</v>
      </c>
    </row>
    <row r="243" spans="1:33">
      <c r="A243" t="s">
        <v>181</v>
      </c>
      <c r="B243" t="s">
        <v>1270</v>
      </c>
      <c r="C243" t="s">
        <v>1269</v>
      </c>
      <c r="D243" t="s">
        <v>261</v>
      </c>
      <c r="F243">
        <v>119.36211400000001</v>
      </c>
      <c r="G243">
        <v>168.04504399999999</v>
      </c>
      <c r="H243">
        <v>172.93017599999999</v>
      </c>
      <c r="I243">
        <v>173.02984599999999</v>
      </c>
      <c r="J243">
        <v>157.32209800000001</v>
      </c>
      <c r="K243">
        <v>139.67721599999999</v>
      </c>
      <c r="L243">
        <v>122.53037999999999</v>
      </c>
      <c r="M243">
        <v>104.252419</v>
      </c>
      <c r="N243">
        <v>88.038826</v>
      </c>
      <c r="O243">
        <v>79.593902999999997</v>
      </c>
      <c r="P243">
        <v>71.125832000000003</v>
      </c>
      <c r="Q243">
        <v>62.814281000000001</v>
      </c>
      <c r="R243">
        <v>56.953330999999999</v>
      </c>
      <c r="S243">
        <v>52.718108999999998</v>
      </c>
      <c r="T243">
        <v>45.731597999999998</v>
      </c>
      <c r="U243">
        <v>38.088886000000002</v>
      </c>
      <c r="V243">
        <v>34.851616</v>
      </c>
      <c r="W243">
        <v>30.140041</v>
      </c>
      <c r="X243">
        <v>25.780429999999999</v>
      </c>
      <c r="Y243">
        <v>21.591252999999998</v>
      </c>
      <c r="Z243">
        <v>19.974440000000001</v>
      </c>
      <c r="AA243">
        <v>19.347550999999999</v>
      </c>
      <c r="AB243">
        <v>18.670155999999999</v>
      </c>
      <c r="AC243">
        <v>16.993980000000001</v>
      </c>
      <c r="AD243">
        <v>15.383893</v>
      </c>
      <c r="AE243">
        <v>14.574971</v>
      </c>
      <c r="AF243">
        <v>14.517200000000001</v>
      </c>
      <c r="AG243" s="9">
        <v>-7.8E-2</v>
      </c>
    </row>
    <row r="244" spans="1:33">
      <c r="A244" t="s">
        <v>226</v>
      </c>
      <c r="B244" t="s">
        <v>1268</v>
      </c>
      <c r="C244" t="s">
        <v>1267</v>
      </c>
      <c r="D244" t="s">
        <v>261</v>
      </c>
      <c r="F244">
        <v>96.207825</v>
      </c>
      <c r="G244">
        <v>140.926468</v>
      </c>
      <c r="H244">
        <v>150.30540500000001</v>
      </c>
      <c r="I244">
        <v>155.36149599999999</v>
      </c>
      <c r="J244">
        <v>145.78999300000001</v>
      </c>
      <c r="K244">
        <v>133.32659899999999</v>
      </c>
      <c r="L244">
        <v>120.12693</v>
      </c>
      <c r="M244">
        <v>104.729378</v>
      </c>
      <c r="N244">
        <v>90.536331000000004</v>
      </c>
      <c r="O244">
        <v>83.471191000000005</v>
      </c>
      <c r="P244">
        <v>75.916870000000003</v>
      </c>
      <c r="Q244">
        <v>68.160194000000004</v>
      </c>
      <c r="R244">
        <v>62.740749000000001</v>
      </c>
      <c r="S244">
        <v>58.886211000000003</v>
      </c>
      <c r="T244">
        <v>51.738425999999997</v>
      </c>
      <c r="U244">
        <v>43.728943000000001</v>
      </c>
      <c r="V244">
        <v>40.399540000000002</v>
      </c>
      <c r="W244">
        <v>35.366146000000001</v>
      </c>
      <c r="X244">
        <v>30.567242</v>
      </c>
      <c r="Y244">
        <v>25.960905</v>
      </c>
      <c r="Z244">
        <v>24.193511999999998</v>
      </c>
      <c r="AA244">
        <v>23.534416</v>
      </c>
      <c r="AB244">
        <v>22.799233999999998</v>
      </c>
      <c r="AC244">
        <v>20.943881999999999</v>
      </c>
      <c r="AD244">
        <v>19.132334</v>
      </c>
      <c r="AE244">
        <v>18.236712000000001</v>
      </c>
      <c r="AF244">
        <v>18.209972</v>
      </c>
      <c r="AG244" s="9">
        <v>-6.2E-2</v>
      </c>
    </row>
    <row r="245" spans="1:33">
      <c r="A245" t="s">
        <v>184</v>
      </c>
      <c r="B245" t="s">
        <v>1266</v>
      </c>
      <c r="C245" t="s">
        <v>1265</v>
      </c>
      <c r="D245" t="s">
        <v>261</v>
      </c>
      <c r="F245">
        <v>2.1840000000000002E-3</v>
      </c>
      <c r="G245">
        <v>3.1580000000000002E-3</v>
      </c>
      <c r="H245">
        <v>3.3180000000000002E-3</v>
      </c>
      <c r="I245">
        <v>3.3869999999999998E-3</v>
      </c>
      <c r="J245">
        <v>3.339E-3</v>
      </c>
      <c r="K245">
        <v>3.3189999999999999E-3</v>
      </c>
      <c r="L245">
        <v>3.3140000000000001E-3</v>
      </c>
      <c r="M245">
        <v>3.2829999999999999E-3</v>
      </c>
      <c r="N245">
        <v>3.297E-3</v>
      </c>
      <c r="O245">
        <v>3.3509999999999998E-3</v>
      </c>
      <c r="P245">
        <v>3.4060000000000002E-3</v>
      </c>
      <c r="Q245">
        <v>3.4459999999999998E-3</v>
      </c>
      <c r="R245">
        <v>3.4849999999999998E-3</v>
      </c>
      <c r="S245">
        <v>3.5249999999999999E-3</v>
      </c>
      <c r="T245">
        <v>3.5739999999999999E-3</v>
      </c>
      <c r="U245">
        <v>3.5969999999999999E-3</v>
      </c>
      <c r="V245">
        <v>3.5799999999999998E-3</v>
      </c>
      <c r="W245">
        <v>3.5400000000000002E-3</v>
      </c>
      <c r="X245">
        <v>3.49E-3</v>
      </c>
      <c r="Y245">
        <v>3.4650000000000002E-3</v>
      </c>
      <c r="Z245">
        <v>3.4420000000000002E-3</v>
      </c>
      <c r="AA245">
        <v>3.4429999999999999E-3</v>
      </c>
      <c r="AB245">
        <v>3.444E-3</v>
      </c>
      <c r="AC245">
        <v>3.46E-3</v>
      </c>
      <c r="AD245">
        <v>3.4650000000000002E-3</v>
      </c>
      <c r="AE245">
        <v>3.46E-3</v>
      </c>
      <c r="AF245">
        <v>3.4520000000000002E-3</v>
      </c>
      <c r="AG245" s="9">
        <v>1.7999999999999999E-2</v>
      </c>
    </row>
    <row r="246" spans="1:33">
      <c r="A246" t="s">
        <v>187</v>
      </c>
      <c r="B246" t="s">
        <v>1264</v>
      </c>
      <c r="C246" t="s">
        <v>1263</v>
      </c>
      <c r="D246" t="s">
        <v>261</v>
      </c>
      <c r="F246">
        <v>1.8444510000000001</v>
      </c>
      <c r="G246">
        <v>3.3833199999999999</v>
      </c>
      <c r="H246">
        <v>3.7551990000000002</v>
      </c>
      <c r="I246">
        <v>3.9225240000000001</v>
      </c>
      <c r="J246">
        <v>3.0337079999999998</v>
      </c>
      <c r="K246">
        <v>3.2252130000000001</v>
      </c>
      <c r="L246">
        <v>2.9592960000000001</v>
      </c>
      <c r="M246">
        <v>2.4964080000000002</v>
      </c>
      <c r="N246">
        <v>2.3470780000000002</v>
      </c>
      <c r="O246">
        <v>2.1422949999999998</v>
      </c>
      <c r="P246">
        <v>2.5325519999999999</v>
      </c>
      <c r="Q246">
        <v>2.9827849999999998</v>
      </c>
      <c r="R246">
        <v>3.393907</v>
      </c>
      <c r="S246">
        <v>4.0493690000000004</v>
      </c>
      <c r="T246">
        <v>5.0462020000000001</v>
      </c>
      <c r="U246">
        <v>5.6631039999999997</v>
      </c>
      <c r="V246">
        <v>6.637721</v>
      </c>
      <c r="W246">
        <v>7.7824429999999998</v>
      </c>
      <c r="X246">
        <v>8.7570530000000009</v>
      </c>
      <c r="Y246">
        <v>9.5117189999999994</v>
      </c>
      <c r="Z246">
        <v>10.158861999999999</v>
      </c>
      <c r="AA246">
        <v>10.974225000000001</v>
      </c>
      <c r="AB246">
        <v>11.79744</v>
      </c>
      <c r="AC246">
        <v>12.722552</v>
      </c>
      <c r="AD246">
        <v>13.328785</v>
      </c>
      <c r="AE246">
        <v>14.058415999999999</v>
      </c>
      <c r="AF246">
        <v>14.624667000000001</v>
      </c>
      <c r="AG246" s="9">
        <v>8.3000000000000004E-2</v>
      </c>
    </row>
    <row r="247" spans="1:33">
      <c r="A247" t="s">
        <v>227</v>
      </c>
      <c r="B247" t="s">
        <v>1262</v>
      </c>
      <c r="C247" t="s">
        <v>1261</v>
      </c>
      <c r="D247" t="s">
        <v>261</v>
      </c>
      <c r="F247">
        <v>2.1840000000000002E-3</v>
      </c>
      <c r="G247">
        <v>3.1580000000000002E-3</v>
      </c>
      <c r="H247">
        <v>3.3180000000000002E-3</v>
      </c>
      <c r="I247">
        <v>3.3869999999999998E-3</v>
      </c>
      <c r="J247">
        <v>3.339E-3</v>
      </c>
      <c r="K247">
        <v>3.3189999999999999E-3</v>
      </c>
      <c r="L247">
        <v>3.3140000000000001E-3</v>
      </c>
      <c r="M247">
        <v>3.2829999999999999E-3</v>
      </c>
      <c r="N247">
        <v>3.297E-3</v>
      </c>
      <c r="O247">
        <v>3.3509999999999998E-3</v>
      </c>
      <c r="P247">
        <v>3.4060000000000002E-3</v>
      </c>
      <c r="Q247">
        <v>3.4459999999999998E-3</v>
      </c>
      <c r="R247">
        <v>3.4849999999999998E-3</v>
      </c>
      <c r="S247">
        <v>3.5249999999999999E-3</v>
      </c>
      <c r="T247">
        <v>3.5739999999999999E-3</v>
      </c>
      <c r="U247">
        <v>3.5969999999999999E-3</v>
      </c>
      <c r="V247">
        <v>3.5799999999999998E-3</v>
      </c>
      <c r="W247">
        <v>3.5400000000000002E-3</v>
      </c>
      <c r="X247">
        <v>3.49E-3</v>
      </c>
      <c r="Y247">
        <v>3.4650000000000002E-3</v>
      </c>
      <c r="Z247">
        <v>3.4420000000000002E-3</v>
      </c>
      <c r="AA247">
        <v>3.4429999999999999E-3</v>
      </c>
      <c r="AB247">
        <v>3.444E-3</v>
      </c>
      <c r="AC247">
        <v>3.46E-3</v>
      </c>
      <c r="AD247">
        <v>3.4650000000000002E-3</v>
      </c>
      <c r="AE247">
        <v>3.46E-3</v>
      </c>
      <c r="AF247">
        <v>3.4520000000000002E-3</v>
      </c>
      <c r="AG247" s="9">
        <v>1.7999999999999999E-2</v>
      </c>
    </row>
    <row r="248" spans="1:33">
      <c r="A248" t="s">
        <v>228</v>
      </c>
      <c r="B248" t="s">
        <v>1260</v>
      </c>
      <c r="C248" t="s">
        <v>1259</v>
      </c>
      <c r="D248" t="s">
        <v>261</v>
      </c>
      <c r="F248">
        <v>0.94423100000000004</v>
      </c>
      <c r="G248">
        <v>1.365408</v>
      </c>
      <c r="H248">
        <v>1.4345939999999999</v>
      </c>
      <c r="I248">
        <v>1.464623</v>
      </c>
      <c r="J248">
        <v>1.4437329999999999</v>
      </c>
      <c r="K248">
        <v>1.4353499999999999</v>
      </c>
      <c r="L248">
        <v>1.650101</v>
      </c>
      <c r="M248">
        <v>4.0234750000000004</v>
      </c>
      <c r="N248">
        <v>7.0397679999999996</v>
      </c>
      <c r="O248">
        <v>7.0255640000000001</v>
      </c>
      <c r="P248">
        <v>11.163259999999999</v>
      </c>
      <c r="Q248">
        <v>17.926338000000001</v>
      </c>
      <c r="R248">
        <v>25.431442000000001</v>
      </c>
      <c r="S248">
        <v>31.65118</v>
      </c>
      <c r="T248">
        <v>38.719349000000001</v>
      </c>
      <c r="U248">
        <v>46.610855000000001</v>
      </c>
      <c r="V248">
        <v>54.171871000000003</v>
      </c>
      <c r="W248">
        <v>65.451530000000005</v>
      </c>
      <c r="X248">
        <v>75.256614999999996</v>
      </c>
      <c r="Y248">
        <v>83.868813000000003</v>
      </c>
      <c r="Z248">
        <v>88.847701999999998</v>
      </c>
      <c r="AA248">
        <v>93.758324000000002</v>
      </c>
      <c r="AB248">
        <v>97.673721</v>
      </c>
      <c r="AC248">
        <v>103.783997</v>
      </c>
      <c r="AD248">
        <v>109.08074999999999</v>
      </c>
      <c r="AE248">
        <v>113.297623</v>
      </c>
      <c r="AF248">
        <v>116.983017</v>
      </c>
      <c r="AG248" s="9">
        <v>0.20399999999999999</v>
      </c>
    </row>
    <row r="249" spans="1:33">
      <c r="A249" t="s">
        <v>229</v>
      </c>
      <c r="B249" t="s">
        <v>1258</v>
      </c>
      <c r="C249" t="s">
        <v>1257</v>
      </c>
      <c r="D249" t="s">
        <v>261</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v>0</v>
      </c>
      <c r="AF249">
        <v>0</v>
      </c>
      <c r="AG249" t="s">
        <v>110</v>
      </c>
    </row>
    <row r="250" spans="1:33">
      <c r="A250" t="s">
        <v>230</v>
      </c>
      <c r="B250" t="s">
        <v>1256</v>
      </c>
      <c r="C250" t="s">
        <v>1255</v>
      </c>
      <c r="D250" t="s">
        <v>261</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t="s">
        <v>110</v>
      </c>
    </row>
    <row r="251" spans="1:33">
      <c r="A251" t="s">
        <v>231</v>
      </c>
      <c r="B251" t="s">
        <v>1254</v>
      </c>
      <c r="C251" t="s">
        <v>1253</v>
      </c>
      <c r="D251" t="s">
        <v>261</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t="s">
        <v>110</v>
      </c>
    </row>
    <row r="252" spans="1:33">
      <c r="A252" t="s">
        <v>574</v>
      </c>
      <c r="B252" t="s">
        <v>1252</v>
      </c>
      <c r="C252" t="s">
        <v>1251</v>
      </c>
      <c r="D252" t="s">
        <v>261</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t="s">
        <v>110</v>
      </c>
    </row>
    <row r="253" spans="1:33">
      <c r="A253" t="s">
        <v>571</v>
      </c>
      <c r="B253" t="s">
        <v>1250</v>
      </c>
      <c r="C253" t="s">
        <v>1249</v>
      </c>
      <c r="D253" t="s">
        <v>261</v>
      </c>
      <c r="F253">
        <v>0</v>
      </c>
      <c r="G253">
        <v>2.0379999999999998</v>
      </c>
      <c r="H253">
        <v>3.3325499999999999</v>
      </c>
      <c r="I253">
        <v>4.9237310000000001</v>
      </c>
      <c r="J253">
        <v>26.281714999999998</v>
      </c>
      <c r="K253">
        <v>54.287185999999998</v>
      </c>
      <c r="L253">
        <v>84.201340000000002</v>
      </c>
      <c r="M253">
        <v>112.861259</v>
      </c>
      <c r="N253">
        <v>141.79293799999999</v>
      </c>
      <c r="O253">
        <v>162.911743</v>
      </c>
      <c r="P253">
        <v>179.93774400000001</v>
      </c>
      <c r="Q253">
        <v>192.76023900000001</v>
      </c>
      <c r="R253">
        <v>199.99612400000001</v>
      </c>
      <c r="S253">
        <v>205.27304100000001</v>
      </c>
      <c r="T253">
        <v>216.36737099999999</v>
      </c>
      <c r="U253">
        <v>229.177155</v>
      </c>
      <c r="V253">
        <v>231.776825</v>
      </c>
      <c r="W253">
        <v>232.09574900000001</v>
      </c>
      <c r="X253">
        <v>233.31234699999999</v>
      </c>
      <c r="Y253">
        <v>235.00767500000001</v>
      </c>
      <c r="Z253">
        <v>235.77676400000001</v>
      </c>
      <c r="AA253">
        <v>234.52491800000001</v>
      </c>
      <c r="AB253">
        <v>233.47456399999999</v>
      </c>
      <c r="AC253">
        <v>232.177063</v>
      </c>
      <c r="AD253">
        <v>230.277771</v>
      </c>
      <c r="AE253">
        <v>228.13374300000001</v>
      </c>
      <c r="AF253">
        <v>225.89794900000001</v>
      </c>
      <c r="AG253" t="s">
        <v>110</v>
      </c>
    </row>
    <row r="254" spans="1:33">
      <c r="A254" t="s">
        <v>568</v>
      </c>
      <c r="B254" t="s">
        <v>1248</v>
      </c>
      <c r="C254" t="s">
        <v>1247</v>
      </c>
      <c r="D254" t="s">
        <v>261</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t="s">
        <v>110</v>
      </c>
    </row>
    <row r="255" spans="1:33">
      <c r="A255" t="s">
        <v>232</v>
      </c>
      <c r="B255" t="s">
        <v>1246</v>
      </c>
      <c r="C255" t="s">
        <v>1245</v>
      </c>
      <c r="D255" t="s">
        <v>261</v>
      </c>
      <c r="F255">
        <v>218.36299099999999</v>
      </c>
      <c r="G255">
        <v>315.76449600000001</v>
      </c>
      <c r="H255">
        <v>331.76449600000001</v>
      </c>
      <c r="I255">
        <v>338.70901500000002</v>
      </c>
      <c r="J255">
        <v>333.87792999999999</v>
      </c>
      <c r="K255">
        <v>331.958191</v>
      </c>
      <c r="L255">
        <v>331.47467</v>
      </c>
      <c r="M255">
        <v>328.36953699999998</v>
      </c>
      <c r="N255">
        <v>329.76156600000002</v>
      </c>
      <c r="O255">
        <v>335.15133700000001</v>
      </c>
      <c r="P255">
        <v>340.68307499999997</v>
      </c>
      <c r="Q255">
        <v>344.650757</v>
      </c>
      <c r="R255">
        <v>348.52252199999998</v>
      </c>
      <c r="S255">
        <v>352.58496100000002</v>
      </c>
      <c r="T255">
        <v>357.61010700000003</v>
      </c>
      <c r="U255">
        <v>363.27615400000002</v>
      </c>
      <c r="V255">
        <v>367.84466600000002</v>
      </c>
      <c r="W255">
        <v>370.84301799999997</v>
      </c>
      <c r="X255">
        <v>373.680725</v>
      </c>
      <c r="Y255">
        <v>375.94732699999997</v>
      </c>
      <c r="Z255">
        <v>378.958191</v>
      </c>
      <c r="AA255">
        <v>382.14627100000001</v>
      </c>
      <c r="AB255">
        <v>384.421967</v>
      </c>
      <c r="AC255">
        <v>386.62838699999998</v>
      </c>
      <c r="AD255">
        <v>387.21048000000002</v>
      </c>
      <c r="AE255">
        <v>388.30838</v>
      </c>
      <c r="AF255">
        <v>390.23971599999999</v>
      </c>
      <c r="AG255" s="9">
        <v>2.3E-2</v>
      </c>
    </row>
    <row r="256" spans="1:33">
      <c r="A256" t="s">
        <v>163</v>
      </c>
    </row>
    <row r="257" spans="1:33">
      <c r="A257" t="s">
        <v>181</v>
      </c>
      <c r="B257" t="s">
        <v>1244</v>
      </c>
      <c r="C257" t="s">
        <v>1243</v>
      </c>
      <c r="D257" t="s">
        <v>261</v>
      </c>
      <c r="F257">
        <v>98.313300999999996</v>
      </c>
      <c r="G257">
        <v>97.836608999999996</v>
      </c>
      <c r="H257">
        <v>103.452797</v>
      </c>
      <c r="I257">
        <v>107.243362</v>
      </c>
      <c r="J257">
        <v>103.19278</v>
      </c>
      <c r="K257">
        <v>97.216232000000005</v>
      </c>
      <c r="L257">
        <v>92.846428000000003</v>
      </c>
      <c r="M257">
        <v>88.334923000000003</v>
      </c>
      <c r="N257">
        <v>84.694091999999998</v>
      </c>
      <c r="O257">
        <v>82.005225999999993</v>
      </c>
      <c r="P257">
        <v>78.010101000000006</v>
      </c>
      <c r="Q257">
        <v>73.601714999999999</v>
      </c>
      <c r="R257">
        <v>69.995048999999995</v>
      </c>
      <c r="S257">
        <v>66.991837000000004</v>
      </c>
      <c r="T257">
        <v>64.365700000000004</v>
      </c>
      <c r="U257">
        <v>61.897514000000001</v>
      </c>
      <c r="V257">
        <v>59.811084999999999</v>
      </c>
      <c r="W257">
        <v>58.321438000000001</v>
      </c>
      <c r="X257">
        <v>57.454478999999999</v>
      </c>
      <c r="Y257">
        <v>56.892189000000002</v>
      </c>
      <c r="Z257">
        <v>55.89143</v>
      </c>
      <c r="AA257">
        <v>54.660702000000001</v>
      </c>
      <c r="AB257">
        <v>53.547351999999997</v>
      </c>
      <c r="AC257">
        <v>53.545704000000001</v>
      </c>
      <c r="AD257">
        <v>53.922440000000002</v>
      </c>
      <c r="AE257">
        <v>53.735672000000001</v>
      </c>
      <c r="AF257">
        <v>53.022548999999998</v>
      </c>
      <c r="AG257" s="9">
        <v>-2.3E-2</v>
      </c>
    </row>
    <row r="258" spans="1:33">
      <c r="A258" t="s">
        <v>226</v>
      </c>
      <c r="B258" t="s">
        <v>1242</v>
      </c>
      <c r="C258" t="s">
        <v>1241</v>
      </c>
      <c r="D258" t="s">
        <v>261</v>
      </c>
      <c r="F258">
        <v>76.054267999999993</v>
      </c>
      <c r="G258">
        <v>77.454300000000003</v>
      </c>
      <c r="H258">
        <v>83.635658000000006</v>
      </c>
      <c r="I258">
        <v>88.378853000000007</v>
      </c>
      <c r="J258">
        <v>86.513474000000002</v>
      </c>
      <c r="K258">
        <v>82.790276000000006</v>
      </c>
      <c r="L258">
        <v>80.210464000000002</v>
      </c>
      <c r="M258">
        <v>77.315155000000004</v>
      </c>
      <c r="N258">
        <v>75.013228999999995</v>
      </c>
      <c r="O258">
        <v>73.405411000000001</v>
      </c>
      <c r="P258">
        <v>70.518044000000003</v>
      </c>
      <c r="Q258">
        <v>67.130249000000006</v>
      </c>
      <c r="R258">
        <v>64.362808000000001</v>
      </c>
      <c r="S258">
        <v>62.059382999999997</v>
      </c>
      <c r="T258">
        <v>60.030147999999997</v>
      </c>
      <c r="U258">
        <v>58.084083999999997</v>
      </c>
      <c r="V258">
        <v>56.441662000000001</v>
      </c>
      <c r="W258">
        <v>55.317905000000003</v>
      </c>
      <c r="X258">
        <v>54.749245000000002</v>
      </c>
      <c r="Y258">
        <v>54.443297999999999</v>
      </c>
      <c r="Z258">
        <v>53.692692000000001</v>
      </c>
      <c r="AA258">
        <v>52.695610000000002</v>
      </c>
      <c r="AB258">
        <v>51.788212000000001</v>
      </c>
      <c r="AC258">
        <v>51.938023000000001</v>
      </c>
      <c r="AD258">
        <v>52.443145999999999</v>
      </c>
      <c r="AE258">
        <v>52.388401000000002</v>
      </c>
      <c r="AF258">
        <v>51.808399000000001</v>
      </c>
      <c r="AG258" s="9">
        <v>-1.4999999999999999E-2</v>
      </c>
    </row>
    <row r="259" spans="1:33">
      <c r="A259" t="s">
        <v>184</v>
      </c>
      <c r="B259" t="s">
        <v>1240</v>
      </c>
      <c r="C259" t="s">
        <v>1239</v>
      </c>
      <c r="D259" t="s">
        <v>261</v>
      </c>
      <c r="F259">
        <v>1.7719999999999999E-3</v>
      </c>
      <c r="G259">
        <v>1.805E-3</v>
      </c>
      <c r="H259">
        <v>1.934E-3</v>
      </c>
      <c r="I259">
        <v>2.0270000000000002E-3</v>
      </c>
      <c r="J259">
        <v>1.9750000000000002E-3</v>
      </c>
      <c r="K259">
        <v>1.89E-3</v>
      </c>
      <c r="L259">
        <v>1.8389999999999999E-3</v>
      </c>
      <c r="M259">
        <v>1.7930000000000001E-3</v>
      </c>
      <c r="N259">
        <v>1.7730000000000001E-3</v>
      </c>
      <c r="O259">
        <v>1.779E-3</v>
      </c>
      <c r="P259">
        <v>1.774E-3</v>
      </c>
      <c r="Q259">
        <v>1.7669999999999999E-3</v>
      </c>
      <c r="R259">
        <v>1.7769999999999999E-3</v>
      </c>
      <c r="S259">
        <v>1.794E-3</v>
      </c>
      <c r="T259">
        <v>1.805E-3</v>
      </c>
      <c r="U259">
        <v>1.802E-3</v>
      </c>
      <c r="V259">
        <v>1.7899999999999999E-3</v>
      </c>
      <c r="W259">
        <v>1.7799999999999999E-3</v>
      </c>
      <c r="X259">
        <v>1.7799999999999999E-3</v>
      </c>
      <c r="Y259">
        <v>1.7799999999999999E-3</v>
      </c>
      <c r="Z259">
        <v>1.761E-3</v>
      </c>
      <c r="AA259">
        <v>1.7309999999999999E-3</v>
      </c>
      <c r="AB259">
        <v>1.7030000000000001E-3</v>
      </c>
      <c r="AC259">
        <v>1.7080000000000001E-3</v>
      </c>
      <c r="AD259">
        <v>1.7240000000000001E-3</v>
      </c>
      <c r="AE259">
        <v>1.7229999999999999E-3</v>
      </c>
      <c r="AF259">
        <v>1.7030000000000001E-3</v>
      </c>
      <c r="AG259" s="9">
        <v>-2E-3</v>
      </c>
    </row>
    <row r="260" spans="1:33">
      <c r="A260" t="s">
        <v>187</v>
      </c>
      <c r="B260" t="s">
        <v>1238</v>
      </c>
      <c r="C260" t="s">
        <v>1237</v>
      </c>
      <c r="D260" t="s">
        <v>261</v>
      </c>
      <c r="F260">
        <v>2.734982</v>
      </c>
      <c r="G260">
        <v>2.8151139999999999</v>
      </c>
      <c r="H260">
        <v>3.0271919999999999</v>
      </c>
      <c r="I260">
        <v>3.1629010000000002</v>
      </c>
      <c r="J260">
        <v>3.1006689999999999</v>
      </c>
      <c r="K260">
        <v>2.9745460000000001</v>
      </c>
      <c r="L260">
        <v>2.8916620000000002</v>
      </c>
      <c r="M260">
        <v>2.818619</v>
      </c>
      <c r="N260">
        <v>2.7908780000000002</v>
      </c>
      <c r="O260">
        <v>2.8054260000000002</v>
      </c>
      <c r="P260">
        <v>2.799328</v>
      </c>
      <c r="Q260">
        <v>2.78904</v>
      </c>
      <c r="R260">
        <v>2.7893089999999998</v>
      </c>
      <c r="S260">
        <v>2.8199649999999998</v>
      </c>
      <c r="T260">
        <v>2.852411</v>
      </c>
      <c r="U260">
        <v>2.859318</v>
      </c>
      <c r="V260">
        <v>2.8380749999999999</v>
      </c>
      <c r="W260">
        <v>2.8099569999999998</v>
      </c>
      <c r="X260">
        <v>2.8388279999999999</v>
      </c>
      <c r="Y260">
        <v>2.87378</v>
      </c>
      <c r="Z260">
        <v>2.8516379999999999</v>
      </c>
      <c r="AA260">
        <v>2.8105190000000002</v>
      </c>
      <c r="AB260">
        <v>2.7745690000000001</v>
      </c>
      <c r="AC260">
        <v>2.8271250000000001</v>
      </c>
      <c r="AD260">
        <v>2.8986519999999998</v>
      </c>
      <c r="AE260">
        <v>2.9838719999999999</v>
      </c>
      <c r="AF260">
        <v>2.9742109999999999</v>
      </c>
      <c r="AG260" s="9">
        <v>3.0000000000000001E-3</v>
      </c>
    </row>
    <row r="261" spans="1:33">
      <c r="A261" t="s">
        <v>227</v>
      </c>
      <c r="B261" t="s">
        <v>1236</v>
      </c>
      <c r="C261" t="s">
        <v>1235</v>
      </c>
      <c r="D261" t="s">
        <v>261</v>
      </c>
      <c r="F261">
        <v>1.7719999999999999E-3</v>
      </c>
      <c r="G261">
        <v>1.805E-3</v>
      </c>
      <c r="H261">
        <v>1.934E-3</v>
      </c>
      <c r="I261">
        <v>2.0270000000000002E-3</v>
      </c>
      <c r="J261">
        <v>1.9750000000000002E-3</v>
      </c>
      <c r="K261">
        <v>1.89E-3</v>
      </c>
      <c r="L261">
        <v>1.8389999999999999E-3</v>
      </c>
      <c r="M261">
        <v>1.7930000000000001E-3</v>
      </c>
      <c r="N261">
        <v>1.7730000000000001E-3</v>
      </c>
      <c r="O261">
        <v>1.779E-3</v>
      </c>
      <c r="P261">
        <v>1.774E-3</v>
      </c>
      <c r="Q261">
        <v>1.7669999999999999E-3</v>
      </c>
      <c r="R261">
        <v>1.7769999999999999E-3</v>
      </c>
      <c r="S261">
        <v>1.794E-3</v>
      </c>
      <c r="T261">
        <v>1.805E-3</v>
      </c>
      <c r="U261">
        <v>1.802E-3</v>
      </c>
      <c r="V261">
        <v>1.7899999999999999E-3</v>
      </c>
      <c r="W261">
        <v>1.7799999999999999E-3</v>
      </c>
      <c r="X261">
        <v>1.7799999999999999E-3</v>
      </c>
      <c r="Y261">
        <v>1.7799999999999999E-3</v>
      </c>
      <c r="Z261">
        <v>1.761E-3</v>
      </c>
      <c r="AA261">
        <v>1.7309999999999999E-3</v>
      </c>
      <c r="AB261">
        <v>1.7030000000000001E-3</v>
      </c>
      <c r="AC261">
        <v>1.7080000000000001E-3</v>
      </c>
      <c r="AD261">
        <v>1.7240000000000001E-3</v>
      </c>
      <c r="AE261">
        <v>1.7229999999999999E-3</v>
      </c>
      <c r="AF261">
        <v>1.7030000000000001E-3</v>
      </c>
      <c r="AG261" s="9">
        <v>-2E-3</v>
      </c>
    </row>
    <row r="262" spans="1:33">
      <c r="A262" t="s">
        <v>228</v>
      </c>
      <c r="B262" t="s">
        <v>1234</v>
      </c>
      <c r="C262" t="s">
        <v>1233</v>
      </c>
      <c r="D262" t="s">
        <v>261</v>
      </c>
      <c r="F262">
        <v>0.113667</v>
      </c>
      <c r="G262">
        <v>0.115771</v>
      </c>
      <c r="H262">
        <v>0.12402299999999999</v>
      </c>
      <c r="I262">
        <v>0.12998299999999999</v>
      </c>
      <c r="J262">
        <v>0.126668</v>
      </c>
      <c r="K262">
        <v>0.121198</v>
      </c>
      <c r="L262">
        <v>0.117975</v>
      </c>
      <c r="M262">
        <v>0.114995</v>
      </c>
      <c r="N262">
        <v>0.113729</v>
      </c>
      <c r="O262">
        <v>0.11407299999999999</v>
      </c>
      <c r="P262">
        <v>0.113798</v>
      </c>
      <c r="Q262">
        <v>0.113326</v>
      </c>
      <c r="R262">
        <v>0.113995</v>
      </c>
      <c r="S262">
        <v>0.115079</v>
      </c>
      <c r="T262">
        <v>0.115797</v>
      </c>
      <c r="U262">
        <v>0.115552</v>
      </c>
      <c r="V262">
        <v>0.1148</v>
      </c>
      <c r="W262">
        <v>0.11419799999999999</v>
      </c>
      <c r="X262">
        <v>0.114139</v>
      </c>
      <c r="Y262">
        <v>0.114187</v>
      </c>
      <c r="Z262">
        <v>0.11297699999999999</v>
      </c>
      <c r="AA262">
        <v>0.111053</v>
      </c>
      <c r="AB262">
        <v>0.10920299999999999</v>
      </c>
      <c r="AC262">
        <v>0.10954899999999999</v>
      </c>
      <c r="AD262">
        <v>0.11060499999999999</v>
      </c>
      <c r="AE262">
        <v>0.110504</v>
      </c>
      <c r="AF262">
        <v>0.109221</v>
      </c>
      <c r="AG262" s="9">
        <v>-2E-3</v>
      </c>
    </row>
    <row r="263" spans="1:33">
      <c r="A263" t="s">
        <v>229</v>
      </c>
      <c r="B263" t="s">
        <v>1232</v>
      </c>
      <c r="C263" t="s">
        <v>1231</v>
      </c>
      <c r="D263" t="s">
        <v>261</v>
      </c>
      <c r="F263">
        <v>0</v>
      </c>
      <c r="G263">
        <v>0</v>
      </c>
      <c r="H263">
        <v>0.122118</v>
      </c>
      <c r="I263">
        <v>0.193159</v>
      </c>
      <c r="J263">
        <v>0.31195200000000001</v>
      </c>
      <c r="K263">
        <v>0.412692</v>
      </c>
      <c r="L263">
        <v>0.48345900000000003</v>
      </c>
      <c r="M263">
        <v>0.55136799999999997</v>
      </c>
      <c r="N263">
        <v>0.58849499999999999</v>
      </c>
      <c r="O263">
        <v>0</v>
      </c>
      <c r="P263">
        <v>0</v>
      </c>
      <c r="Q263">
        <v>0</v>
      </c>
      <c r="R263">
        <v>0</v>
      </c>
      <c r="S263">
        <v>0</v>
      </c>
      <c r="T263">
        <v>0</v>
      </c>
      <c r="U263">
        <v>0</v>
      </c>
      <c r="V263">
        <v>0</v>
      </c>
      <c r="W263">
        <v>0</v>
      </c>
      <c r="X263">
        <v>0</v>
      </c>
      <c r="Y263">
        <v>0</v>
      </c>
      <c r="Z263">
        <v>0</v>
      </c>
      <c r="AA263">
        <v>0</v>
      </c>
      <c r="AB263">
        <v>0</v>
      </c>
      <c r="AC263">
        <v>0</v>
      </c>
      <c r="AD263">
        <v>0</v>
      </c>
      <c r="AE263">
        <v>0</v>
      </c>
      <c r="AF263">
        <v>0</v>
      </c>
      <c r="AG263" t="s">
        <v>110</v>
      </c>
    </row>
    <row r="264" spans="1:33">
      <c r="A264" t="s">
        <v>230</v>
      </c>
      <c r="B264" t="s">
        <v>1230</v>
      </c>
      <c r="C264" t="s">
        <v>1229</v>
      </c>
      <c r="D264" t="s">
        <v>261</v>
      </c>
      <c r="F264">
        <v>0</v>
      </c>
      <c r="G264">
        <v>0.56174199999999996</v>
      </c>
      <c r="H264">
        <v>0.65029199999999998</v>
      </c>
      <c r="I264">
        <v>0.331312</v>
      </c>
      <c r="J264">
        <v>6.5602999999999995E-2</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v>0</v>
      </c>
      <c r="AF264">
        <v>0</v>
      </c>
      <c r="AG264" t="s">
        <v>110</v>
      </c>
    </row>
    <row r="265" spans="1:33">
      <c r="A265" t="s">
        <v>231</v>
      </c>
      <c r="B265" t="s">
        <v>1228</v>
      </c>
      <c r="C265" t="s">
        <v>1227</v>
      </c>
      <c r="D265" t="s">
        <v>261</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v>0</v>
      </c>
      <c r="AF265">
        <v>0</v>
      </c>
      <c r="AG265" t="s">
        <v>110</v>
      </c>
    </row>
    <row r="266" spans="1:33">
      <c r="A266" t="s">
        <v>574</v>
      </c>
      <c r="B266" t="s">
        <v>1226</v>
      </c>
      <c r="C266" t="s">
        <v>1225</v>
      </c>
      <c r="D266" t="s">
        <v>261</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v>0</v>
      </c>
      <c r="AF266">
        <v>0</v>
      </c>
      <c r="AG266" t="s">
        <v>110</v>
      </c>
    </row>
    <row r="267" spans="1:33">
      <c r="A267" t="s">
        <v>571</v>
      </c>
      <c r="B267" t="s">
        <v>1224</v>
      </c>
      <c r="C267" t="s">
        <v>1223</v>
      </c>
      <c r="D267" t="s">
        <v>261</v>
      </c>
      <c r="F267">
        <v>0</v>
      </c>
      <c r="G267">
        <v>1.7135560000000001</v>
      </c>
      <c r="H267">
        <v>2.350819</v>
      </c>
      <c r="I267">
        <v>3.2148279999999998</v>
      </c>
      <c r="J267">
        <v>4.1746100000000004</v>
      </c>
      <c r="K267">
        <v>5.4425470000000002</v>
      </c>
      <c r="L267">
        <v>7.3824759999999996</v>
      </c>
      <c r="M267">
        <v>10.151320999999999</v>
      </c>
      <c r="N267">
        <v>14.112121999999999</v>
      </c>
      <c r="O267">
        <v>19.519396</v>
      </c>
      <c r="P267">
        <v>25.979019000000001</v>
      </c>
      <c r="Q267">
        <v>33.050400000000003</v>
      </c>
      <c r="R267">
        <v>40.467086999999999</v>
      </c>
      <c r="S267">
        <v>47.431865999999999</v>
      </c>
      <c r="T267">
        <v>53.173378</v>
      </c>
      <c r="U267">
        <v>57.198608</v>
      </c>
      <c r="V267">
        <v>59.776516000000001</v>
      </c>
      <c r="W267">
        <v>61.481461000000003</v>
      </c>
      <c r="X267">
        <v>62.795741999999997</v>
      </c>
      <c r="Y267">
        <v>63.703178000000001</v>
      </c>
      <c r="Z267">
        <v>63.591166999999999</v>
      </c>
      <c r="AA267">
        <v>62.862864999999999</v>
      </c>
      <c r="AB267">
        <v>62.037998000000002</v>
      </c>
      <c r="AC267">
        <v>62.375670999999997</v>
      </c>
      <c r="AD267">
        <v>63.0672</v>
      </c>
      <c r="AE267">
        <v>63.067070000000001</v>
      </c>
      <c r="AF267">
        <v>62.370319000000002</v>
      </c>
      <c r="AG267" t="s">
        <v>110</v>
      </c>
    </row>
    <row r="268" spans="1:33">
      <c r="A268" t="s">
        <v>568</v>
      </c>
      <c r="B268" t="s">
        <v>1222</v>
      </c>
      <c r="C268" t="s">
        <v>1221</v>
      </c>
      <c r="D268" t="s">
        <v>261</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t="s">
        <v>110</v>
      </c>
    </row>
    <row r="269" spans="1:33">
      <c r="A269" t="s">
        <v>233</v>
      </c>
      <c r="B269" t="s">
        <v>1220</v>
      </c>
      <c r="C269" t="s">
        <v>1219</v>
      </c>
      <c r="D269" t="s">
        <v>261</v>
      </c>
      <c r="F269">
        <v>177.219742</v>
      </c>
      <c r="G269">
        <v>180.500732</v>
      </c>
      <c r="H269">
        <v>193.36677599999999</v>
      </c>
      <c r="I269">
        <v>202.658447</v>
      </c>
      <c r="J269">
        <v>197.48968500000001</v>
      </c>
      <c r="K269">
        <v>188.96127300000001</v>
      </c>
      <c r="L269">
        <v>183.93614199999999</v>
      </c>
      <c r="M269">
        <v>179.28994800000001</v>
      </c>
      <c r="N269">
        <v>177.31608600000001</v>
      </c>
      <c r="O269">
        <v>177.85307299999999</v>
      </c>
      <c r="P269">
        <v>177.42384300000001</v>
      </c>
      <c r="Q269">
        <v>176.68826300000001</v>
      </c>
      <c r="R269">
        <v>177.73182700000001</v>
      </c>
      <c r="S269">
        <v>179.42169200000001</v>
      </c>
      <c r="T269">
        <v>180.54106100000001</v>
      </c>
      <c r="U269">
        <v>180.158661</v>
      </c>
      <c r="V269">
        <v>178.98571799999999</v>
      </c>
      <c r="W269">
        <v>178.04853800000001</v>
      </c>
      <c r="X269">
        <v>177.955994</v>
      </c>
      <c r="Y269">
        <v>178.03021200000001</v>
      </c>
      <c r="Z269">
        <v>176.14343299999999</v>
      </c>
      <c r="AA269">
        <v>173.144226</v>
      </c>
      <c r="AB269">
        <v>170.26071200000001</v>
      </c>
      <c r="AC269">
        <v>170.79948400000001</v>
      </c>
      <c r="AD269">
        <v>172.44551100000001</v>
      </c>
      <c r="AE269">
        <v>172.288971</v>
      </c>
      <c r="AF269">
        <v>170.28810100000001</v>
      </c>
      <c r="AG269" s="9">
        <v>-2E-3</v>
      </c>
    </row>
    <row r="270" spans="1:33">
      <c r="A270" t="s">
        <v>234</v>
      </c>
    </row>
    <row r="271" spans="1:33">
      <c r="A271" t="s">
        <v>181</v>
      </c>
      <c r="B271" t="s">
        <v>1218</v>
      </c>
      <c r="C271" t="s">
        <v>1217</v>
      </c>
      <c r="D271" t="s">
        <v>261</v>
      </c>
      <c r="F271">
        <v>307.59622200000001</v>
      </c>
      <c r="G271">
        <v>313.02185100000003</v>
      </c>
      <c r="H271">
        <v>335.22216800000001</v>
      </c>
      <c r="I271">
        <v>351.56460600000003</v>
      </c>
      <c r="J271">
        <v>342.586029</v>
      </c>
      <c r="K271">
        <v>327.72351099999997</v>
      </c>
      <c r="L271">
        <v>318.936554</v>
      </c>
      <c r="M271">
        <v>310.78518700000001</v>
      </c>
      <c r="N271">
        <v>307.22323599999999</v>
      </c>
      <c r="O271">
        <v>308.72027600000001</v>
      </c>
      <c r="P271">
        <v>307.94979899999998</v>
      </c>
      <c r="Q271">
        <v>306.63226300000002</v>
      </c>
      <c r="R271">
        <v>308.43292200000002</v>
      </c>
      <c r="S271">
        <v>311.27868699999999</v>
      </c>
      <c r="T271">
        <v>313.22674599999999</v>
      </c>
      <c r="U271">
        <v>312.47369400000002</v>
      </c>
      <c r="V271">
        <v>310.26293900000002</v>
      </c>
      <c r="W271">
        <v>308.45281999999997</v>
      </c>
      <c r="X271">
        <v>308.23263500000002</v>
      </c>
      <c r="Y271">
        <v>308.30825800000002</v>
      </c>
      <c r="Z271">
        <v>304.84274299999998</v>
      </c>
      <c r="AA271">
        <v>299.50528000000003</v>
      </c>
      <c r="AB271">
        <v>294.25860599999999</v>
      </c>
      <c r="AC271">
        <v>294.85919200000001</v>
      </c>
      <c r="AD271">
        <v>297.13476600000001</v>
      </c>
      <c r="AE271">
        <v>296.41198700000001</v>
      </c>
      <c r="AF271">
        <v>292.27603099999999</v>
      </c>
      <c r="AG271" s="9">
        <v>-2E-3</v>
      </c>
    </row>
    <row r="272" spans="1:33">
      <c r="A272" t="s">
        <v>226</v>
      </c>
      <c r="B272" t="s">
        <v>1216</v>
      </c>
      <c r="C272" t="s">
        <v>1215</v>
      </c>
      <c r="D272" t="s">
        <v>261</v>
      </c>
      <c r="F272">
        <v>0.164275</v>
      </c>
      <c r="G272">
        <v>0.16734399999999999</v>
      </c>
      <c r="H272">
        <v>0.17882999999999999</v>
      </c>
      <c r="I272">
        <v>0.18709799999999999</v>
      </c>
      <c r="J272">
        <v>0.18209800000000001</v>
      </c>
      <c r="K272">
        <v>0.173901</v>
      </c>
      <c r="L272">
        <v>0.16891500000000001</v>
      </c>
      <c r="M272">
        <v>0.16417200000000001</v>
      </c>
      <c r="N272">
        <v>0.16173799999999999</v>
      </c>
      <c r="O272">
        <v>0.16499900000000001</v>
      </c>
      <c r="P272">
        <v>0.164607</v>
      </c>
      <c r="Q272">
        <v>0.16392899999999999</v>
      </c>
      <c r="R272">
        <v>0.16490099999999999</v>
      </c>
      <c r="S272">
        <v>0.16647300000000001</v>
      </c>
      <c r="T272">
        <v>0.167514</v>
      </c>
      <c r="U272">
        <v>0.16716200000000001</v>
      </c>
      <c r="V272">
        <v>0.166076</v>
      </c>
      <c r="W272">
        <v>0.16520799999999999</v>
      </c>
      <c r="X272">
        <v>0.16512299999999999</v>
      </c>
      <c r="Y272">
        <v>0.16519300000000001</v>
      </c>
      <c r="Z272">
        <v>0.16344400000000001</v>
      </c>
      <c r="AA272">
        <v>0.160662</v>
      </c>
      <c r="AB272">
        <v>0.15798699999999999</v>
      </c>
      <c r="AC272">
        <v>0.15848699999999999</v>
      </c>
      <c r="AD272">
        <v>0.16001499999999999</v>
      </c>
      <c r="AE272">
        <v>0.15987000000000001</v>
      </c>
      <c r="AF272">
        <v>0.15801000000000001</v>
      </c>
      <c r="AG272" s="9">
        <v>-1E-3</v>
      </c>
    </row>
    <row r="273" spans="1:33">
      <c r="A273" t="s">
        <v>184</v>
      </c>
      <c r="B273" t="s">
        <v>1214</v>
      </c>
      <c r="C273" t="s">
        <v>1213</v>
      </c>
      <c r="D273" t="s">
        <v>261</v>
      </c>
      <c r="F273">
        <v>0.15823000000000001</v>
      </c>
      <c r="G273">
        <v>0.161159</v>
      </c>
      <c r="H273">
        <v>0.17264699999999999</v>
      </c>
      <c r="I273">
        <v>0.18094299999999999</v>
      </c>
      <c r="J273">
        <v>0.17632800000000001</v>
      </c>
      <c r="K273">
        <v>0.168714</v>
      </c>
      <c r="L273">
        <v>0.16422700000000001</v>
      </c>
      <c r="M273">
        <v>0.160079</v>
      </c>
      <c r="N273">
        <v>0.15831600000000001</v>
      </c>
      <c r="O273">
        <v>0.15879699999999999</v>
      </c>
      <c r="P273">
        <v>0.158414</v>
      </c>
      <c r="Q273">
        <v>0.15775800000000001</v>
      </c>
      <c r="R273">
        <v>0.158689</v>
      </c>
      <c r="S273">
        <v>0.16019800000000001</v>
      </c>
      <c r="T273">
        <v>0.16119800000000001</v>
      </c>
      <c r="U273">
        <v>0.160856</v>
      </c>
      <c r="V273">
        <v>0.15980900000000001</v>
      </c>
      <c r="W273">
        <v>0.158972</v>
      </c>
      <c r="X273">
        <v>0.158889</v>
      </c>
      <c r="Y273">
        <v>0.15895599999999999</v>
      </c>
      <c r="Z273">
        <v>0.15727099999999999</v>
      </c>
      <c r="AA273">
        <v>0.15459300000000001</v>
      </c>
      <c r="AB273">
        <v>0.15201799999999999</v>
      </c>
      <c r="AC273">
        <v>0.152499</v>
      </c>
      <c r="AD273">
        <v>0.15396799999999999</v>
      </c>
      <c r="AE273">
        <v>0.15382799999999999</v>
      </c>
      <c r="AF273">
        <v>0.15203900000000001</v>
      </c>
      <c r="AG273" s="9">
        <v>-2E-3</v>
      </c>
    </row>
    <row r="274" spans="1:33">
      <c r="A274" t="s">
        <v>187</v>
      </c>
      <c r="B274" t="s">
        <v>1212</v>
      </c>
      <c r="C274" t="s">
        <v>1211</v>
      </c>
      <c r="D274" t="s">
        <v>261</v>
      </c>
      <c r="F274">
        <v>4.9517290000000003</v>
      </c>
      <c r="G274">
        <v>5.312443</v>
      </c>
      <c r="H274">
        <v>5.6818520000000001</v>
      </c>
      <c r="I274">
        <v>5.6170330000000002</v>
      </c>
      <c r="J274">
        <v>5.4386429999999999</v>
      </c>
      <c r="K274">
        <v>5.203786</v>
      </c>
      <c r="L274">
        <v>5.0673890000000004</v>
      </c>
      <c r="M274">
        <v>4.9440660000000003</v>
      </c>
      <c r="N274">
        <v>4.9118769999999996</v>
      </c>
      <c r="O274">
        <v>4.9445069999999998</v>
      </c>
      <c r="P274">
        <v>4.9579420000000001</v>
      </c>
      <c r="Q274">
        <v>4.9781510000000004</v>
      </c>
      <c r="R274">
        <v>5.0178739999999999</v>
      </c>
      <c r="S274">
        <v>5.1524660000000004</v>
      </c>
      <c r="T274">
        <v>5.1785119999999996</v>
      </c>
      <c r="U274">
        <v>5.2572320000000001</v>
      </c>
      <c r="V274">
        <v>5.3993229999999999</v>
      </c>
      <c r="W274">
        <v>5.556578</v>
      </c>
      <c r="X274">
        <v>5.6135780000000004</v>
      </c>
      <c r="Y274">
        <v>5.6688020000000003</v>
      </c>
      <c r="Z274">
        <v>5.8067770000000003</v>
      </c>
      <c r="AA274">
        <v>5.8547640000000003</v>
      </c>
      <c r="AB274">
        <v>6.0161300000000004</v>
      </c>
      <c r="AC274">
        <v>6.3656329999999999</v>
      </c>
      <c r="AD274">
        <v>6.993036</v>
      </c>
      <c r="AE274">
        <v>7.4397250000000001</v>
      </c>
      <c r="AF274">
        <v>8.0469609999999996</v>
      </c>
      <c r="AG274" s="9">
        <v>1.9E-2</v>
      </c>
    </row>
    <row r="275" spans="1:33">
      <c r="A275" t="s">
        <v>227</v>
      </c>
      <c r="B275" t="s">
        <v>1210</v>
      </c>
      <c r="C275" t="s">
        <v>1209</v>
      </c>
      <c r="D275" t="s">
        <v>261</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v>0</v>
      </c>
      <c r="AF275">
        <v>0</v>
      </c>
      <c r="AG275" t="s">
        <v>110</v>
      </c>
    </row>
    <row r="276" spans="1:33">
      <c r="A276" t="s">
        <v>228</v>
      </c>
      <c r="B276" t="s">
        <v>1208</v>
      </c>
      <c r="C276" t="s">
        <v>1207</v>
      </c>
      <c r="D276" t="s">
        <v>261</v>
      </c>
      <c r="F276">
        <v>0.73615900000000001</v>
      </c>
      <c r="G276">
        <v>0.74978900000000004</v>
      </c>
      <c r="H276">
        <v>0.80323500000000003</v>
      </c>
      <c r="I276">
        <v>0.84183300000000005</v>
      </c>
      <c r="J276">
        <v>0.82036399999999998</v>
      </c>
      <c r="K276">
        <v>0.78493800000000002</v>
      </c>
      <c r="L276">
        <v>0.76406399999999997</v>
      </c>
      <c r="M276">
        <v>0.74476500000000001</v>
      </c>
      <c r="N276">
        <v>0.73656500000000003</v>
      </c>
      <c r="O276">
        <v>0.73880100000000004</v>
      </c>
      <c r="P276">
        <v>0.73701899999999998</v>
      </c>
      <c r="Q276">
        <v>0.73396300000000003</v>
      </c>
      <c r="R276">
        <v>0.73829800000000001</v>
      </c>
      <c r="S276">
        <v>0.74531800000000004</v>
      </c>
      <c r="T276">
        <v>0.74996799999999997</v>
      </c>
      <c r="U276">
        <v>0.74838000000000005</v>
      </c>
      <c r="V276">
        <v>0.74350700000000003</v>
      </c>
      <c r="W276">
        <v>0.73961399999999999</v>
      </c>
      <c r="X276">
        <v>0.73922500000000002</v>
      </c>
      <c r="Y276">
        <v>0.73953599999999997</v>
      </c>
      <c r="Z276">
        <v>0.73169799999999996</v>
      </c>
      <c r="AA276">
        <v>0.71923599999999999</v>
      </c>
      <c r="AB276">
        <v>0.70725899999999997</v>
      </c>
      <c r="AC276">
        <v>0.70949399999999996</v>
      </c>
      <c r="AD276">
        <v>0.71632700000000005</v>
      </c>
      <c r="AE276">
        <v>0.71567499999999995</v>
      </c>
      <c r="AF276">
        <v>0.70735400000000004</v>
      </c>
      <c r="AG276" s="9">
        <v>-2E-3</v>
      </c>
    </row>
    <row r="277" spans="1:33">
      <c r="A277" t="s">
        <v>229</v>
      </c>
      <c r="B277" t="s">
        <v>1206</v>
      </c>
      <c r="C277" t="s">
        <v>1205</v>
      </c>
      <c r="D277" t="s">
        <v>261</v>
      </c>
      <c r="F277">
        <v>0</v>
      </c>
      <c r="G277">
        <v>0</v>
      </c>
      <c r="H277">
        <v>0.121547</v>
      </c>
      <c r="I277">
        <v>0.23117199999999999</v>
      </c>
      <c r="J277">
        <v>0.2727</v>
      </c>
      <c r="K277">
        <v>0.32945400000000002</v>
      </c>
      <c r="L277">
        <v>0.39071099999999997</v>
      </c>
      <c r="M277">
        <v>0.47172500000000001</v>
      </c>
      <c r="N277">
        <v>0.58538199999999996</v>
      </c>
      <c r="O277">
        <v>0</v>
      </c>
      <c r="P277">
        <v>0</v>
      </c>
      <c r="Q277">
        <v>0</v>
      </c>
      <c r="R277">
        <v>0</v>
      </c>
      <c r="S277">
        <v>0</v>
      </c>
      <c r="T277">
        <v>0</v>
      </c>
      <c r="U277">
        <v>0</v>
      </c>
      <c r="V277">
        <v>0</v>
      </c>
      <c r="W277">
        <v>0</v>
      </c>
      <c r="X277">
        <v>0</v>
      </c>
      <c r="Y277">
        <v>0</v>
      </c>
      <c r="Z277">
        <v>0</v>
      </c>
      <c r="AA277">
        <v>0</v>
      </c>
      <c r="AB277">
        <v>0</v>
      </c>
      <c r="AC277">
        <v>0</v>
      </c>
      <c r="AD277">
        <v>0</v>
      </c>
      <c r="AE277">
        <v>0</v>
      </c>
      <c r="AF277">
        <v>0</v>
      </c>
      <c r="AG277" t="s">
        <v>110</v>
      </c>
    </row>
    <row r="278" spans="1:33">
      <c r="A278" t="s">
        <v>230</v>
      </c>
      <c r="B278" t="s">
        <v>1204</v>
      </c>
      <c r="C278" t="s">
        <v>1203</v>
      </c>
      <c r="D278" t="s">
        <v>261</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v>0</v>
      </c>
      <c r="AF278">
        <v>0</v>
      </c>
      <c r="AG278" t="s">
        <v>110</v>
      </c>
    </row>
    <row r="279" spans="1:33">
      <c r="A279" t="s">
        <v>231</v>
      </c>
      <c r="B279" t="s">
        <v>1202</v>
      </c>
      <c r="C279" t="s">
        <v>1201</v>
      </c>
      <c r="D279" t="s">
        <v>261</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v>0</v>
      </c>
      <c r="AF279">
        <v>0</v>
      </c>
      <c r="AG279" t="s">
        <v>110</v>
      </c>
    </row>
    <row r="280" spans="1:33">
      <c r="A280" t="s">
        <v>574</v>
      </c>
      <c r="B280" t="s">
        <v>1200</v>
      </c>
      <c r="C280" t="s">
        <v>1199</v>
      </c>
      <c r="D280" t="s">
        <v>261</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v>0</v>
      </c>
      <c r="AF280">
        <v>0</v>
      </c>
      <c r="AG280" t="s">
        <v>110</v>
      </c>
    </row>
    <row r="281" spans="1:33">
      <c r="A281" t="s">
        <v>571</v>
      </c>
      <c r="B281" t="s">
        <v>1198</v>
      </c>
      <c r="C281" t="s">
        <v>1197</v>
      </c>
      <c r="D281" t="s">
        <v>261</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v>0</v>
      </c>
      <c r="AF281">
        <v>0</v>
      </c>
      <c r="AG281" t="s">
        <v>110</v>
      </c>
    </row>
    <row r="282" spans="1:33">
      <c r="A282" t="s">
        <v>568</v>
      </c>
      <c r="B282" t="s">
        <v>1196</v>
      </c>
      <c r="C282" t="s">
        <v>1195</v>
      </c>
      <c r="D282" t="s">
        <v>261</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v>0</v>
      </c>
      <c r="AF282">
        <v>0</v>
      </c>
      <c r="AG282" t="s">
        <v>110</v>
      </c>
    </row>
    <row r="283" spans="1:33">
      <c r="A283" t="s">
        <v>235</v>
      </c>
      <c r="B283" t="s">
        <v>1194</v>
      </c>
      <c r="C283" t="s">
        <v>1193</v>
      </c>
      <c r="D283" t="s">
        <v>261</v>
      </c>
      <c r="F283">
        <v>313.60665899999998</v>
      </c>
      <c r="G283">
        <v>319.41256700000002</v>
      </c>
      <c r="H283">
        <v>342.18023699999998</v>
      </c>
      <c r="I283">
        <v>358.62271099999998</v>
      </c>
      <c r="J283">
        <v>349.476135</v>
      </c>
      <c r="K283">
        <v>334.38430799999998</v>
      </c>
      <c r="L283">
        <v>325.49188199999998</v>
      </c>
      <c r="M283">
        <v>317.27001999999999</v>
      </c>
      <c r="N283">
        <v>313.77713</v>
      </c>
      <c r="O283">
        <v>314.72732500000001</v>
      </c>
      <c r="P283">
        <v>313.967804</v>
      </c>
      <c r="Q283">
        <v>312.66604599999999</v>
      </c>
      <c r="R283">
        <v>314.51275600000002</v>
      </c>
      <c r="S283">
        <v>317.50311299999998</v>
      </c>
      <c r="T283">
        <v>319.483948</v>
      </c>
      <c r="U283">
        <v>318.80731200000002</v>
      </c>
      <c r="V283">
        <v>316.731628</v>
      </c>
      <c r="W283">
        <v>315.07318099999998</v>
      </c>
      <c r="X283">
        <v>314.909424</v>
      </c>
      <c r="Y283">
        <v>315.04077100000001</v>
      </c>
      <c r="Z283">
        <v>311.70193499999999</v>
      </c>
      <c r="AA283">
        <v>306.39459199999999</v>
      </c>
      <c r="AB283">
        <v>301.29199199999999</v>
      </c>
      <c r="AC283">
        <v>302.245361</v>
      </c>
      <c r="AD283">
        <v>305.15811200000002</v>
      </c>
      <c r="AE283">
        <v>304.88110399999999</v>
      </c>
      <c r="AF283">
        <v>301.34033199999999</v>
      </c>
      <c r="AG283" s="9">
        <v>-2E-3</v>
      </c>
    </row>
    <row r="284" spans="1:33">
      <c r="A284" t="s">
        <v>247</v>
      </c>
      <c r="B284" t="s">
        <v>1192</v>
      </c>
      <c r="C284" t="s">
        <v>1191</v>
      </c>
      <c r="D284" t="s">
        <v>261</v>
      </c>
      <c r="F284">
        <v>709.18963599999995</v>
      </c>
      <c r="G284">
        <v>815.67779499999995</v>
      </c>
      <c r="H284">
        <v>867.31158400000004</v>
      </c>
      <c r="I284">
        <v>899.99011199999995</v>
      </c>
      <c r="J284">
        <v>880.84381099999996</v>
      </c>
      <c r="K284">
        <v>855.30389400000001</v>
      </c>
      <c r="L284">
        <v>840.902649</v>
      </c>
      <c r="M284">
        <v>824.92938200000003</v>
      </c>
      <c r="N284">
        <v>820.85467500000004</v>
      </c>
      <c r="O284">
        <v>827.73187299999995</v>
      </c>
      <c r="P284">
        <v>832.07470699999999</v>
      </c>
      <c r="Q284">
        <v>834.00494400000002</v>
      </c>
      <c r="R284">
        <v>840.76702899999998</v>
      </c>
      <c r="S284">
        <v>849.50982699999997</v>
      </c>
      <c r="T284">
        <v>857.63500999999997</v>
      </c>
      <c r="U284">
        <v>862.24194299999999</v>
      </c>
      <c r="V284">
        <v>863.56207300000005</v>
      </c>
      <c r="W284">
        <v>863.96466099999998</v>
      </c>
      <c r="X284">
        <v>866.54614300000003</v>
      </c>
      <c r="Y284">
        <v>869.01824999999997</v>
      </c>
      <c r="Z284">
        <v>866.80364999999995</v>
      </c>
      <c r="AA284">
        <v>861.68536400000005</v>
      </c>
      <c r="AB284">
        <v>855.97473100000002</v>
      </c>
      <c r="AC284">
        <v>859.67327899999998</v>
      </c>
      <c r="AD284">
        <v>864.81408699999997</v>
      </c>
      <c r="AE284">
        <v>865.47839399999998</v>
      </c>
      <c r="AF284">
        <v>861.86840800000004</v>
      </c>
      <c r="AG284" s="9">
        <v>8.0000000000000002E-3</v>
      </c>
    </row>
    <row r="285" spans="1:33">
      <c r="A285" t="s">
        <v>146</v>
      </c>
    </row>
    <row r="286" spans="1:33">
      <c r="A286" t="s">
        <v>248</v>
      </c>
      <c r="B286" t="s">
        <v>1190</v>
      </c>
      <c r="C286" t="s">
        <v>1189</v>
      </c>
      <c r="D286" t="s">
        <v>262</v>
      </c>
      <c r="F286">
        <v>1464.855225</v>
      </c>
      <c r="G286">
        <v>1498.5776370000001</v>
      </c>
      <c r="H286">
        <v>1462.373169</v>
      </c>
      <c r="I286">
        <v>1413.733154</v>
      </c>
      <c r="J286">
        <v>1414.115112</v>
      </c>
      <c r="K286">
        <v>1410.565186</v>
      </c>
      <c r="L286">
        <v>1369.7414550000001</v>
      </c>
      <c r="M286">
        <v>1370.1805420000001</v>
      </c>
      <c r="N286">
        <v>1305.8111570000001</v>
      </c>
      <c r="O286">
        <v>1312.2113039999999</v>
      </c>
      <c r="P286">
        <v>1299.8524170000001</v>
      </c>
      <c r="Q286">
        <v>1300.4210210000001</v>
      </c>
      <c r="R286">
        <v>1305.7510990000001</v>
      </c>
      <c r="S286">
        <v>1312.3923339999999</v>
      </c>
      <c r="T286">
        <v>1330.286621</v>
      </c>
      <c r="U286">
        <v>1321.974976</v>
      </c>
      <c r="V286">
        <v>1328.3294679999999</v>
      </c>
      <c r="W286">
        <v>1330.294678</v>
      </c>
      <c r="X286">
        <v>1337.347534</v>
      </c>
      <c r="Y286">
        <v>1345.204712</v>
      </c>
      <c r="Z286">
        <v>1349.7685550000001</v>
      </c>
      <c r="AA286">
        <v>1354.558716</v>
      </c>
      <c r="AB286">
        <v>1355.6860349999999</v>
      </c>
      <c r="AC286">
        <v>1370.355591</v>
      </c>
      <c r="AD286">
        <v>1382.527466</v>
      </c>
      <c r="AE286">
        <v>1392.701904</v>
      </c>
      <c r="AF286">
        <v>1397.21228</v>
      </c>
      <c r="AG286" s="9">
        <v>-2E-3</v>
      </c>
    </row>
    <row r="287" spans="1:33">
      <c r="A287" t="s">
        <v>249</v>
      </c>
      <c r="B287" t="s">
        <v>1188</v>
      </c>
      <c r="C287" t="s">
        <v>1187</v>
      </c>
      <c r="D287" t="s">
        <v>1174</v>
      </c>
      <c r="F287">
        <v>3.3734500000000001</v>
      </c>
      <c r="G287">
        <v>3.3770099999999998</v>
      </c>
      <c r="H287">
        <v>3.3805740000000002</v>
      </c>
      <c r="I287">
        <v>3.3841420000000002</v>
      </c>
      <c r="J287">
        <v>3.3877130000000002</v>
      </c>
      <c r="K287">
        <v>3.391289</v>
      </c>
      <c r="L287">
        <v>3.3948680000000002</v>
      </c>
      <c r="M287">
        <v>3.3984510000000001</v>
      </c>
      <c r="N287">
        <v>3.402037</v>
      </c>
      <c r="O287">
        <v>3.4056280000000001</v>
      </c>
      <c r="P287">
        <v>3.4092220000000002</v>
      </c>
      <c r="Q287">
        <v>3.41282</v>
      </c>
      <c r="R287">
        <v>3.4164219999999998</v>
      </c>
      <c r="S287">
        <v>3.4200270000000002</v>
      </c>
      <c r="T287">
        <v>3.4236369999999998</v>
      </c>
      <c r="U287">
        <v>3.4272499999999999</v>
      </c>
      <c r="V287">
        <v>3.4308670000000001</v>
      </c>
      <c r="W287">
        <v>3.434488</v>
      </c>
      <c r="X287">
        <v>3.438113</v>
      </c>
      <c r="Y287">
        <v>3.4417409999999999</v>
      </c>
      <c r="Z287">
        <v>3.445373</v>
      </c>
      <c r="AA287">
        <v>3.4490099999999999</v>
      </c>
      <c r="AB287">
        <v>3.4526490000000001</v>
      </c>
      <c r="AC287">
        <v>3.4562930000000001</v>
      </c>
      <c r="AD287">
        <v>3.4599410000000002</v>
      </c>
      <c r="AE287">
        <v>3.4635929999999999</v>
      </c>
      <c r="AF287">
        <v>3.4672480000000001</v>
      </c>
      <c r="AG287" s="9">
        <v>1E-3</v>
      </c>
    </row>
    <row r="288" spans="1:33">
      <c r="A288" t="s">
        <v>109</v>
      </c>
    </row>
    <row r="289" spans="1:33">
      <c r="A289" t="s">
        <v>250</v>
      </c>
      <c r="B289" t="s">
        <v>1186</v>
      </c>
      <c r="C289" t="s">
        <v>1185</v>
      </c>
      <c r="D289" t="s">
        <v>193</v>
      </c>
      <c r="F289">
        <v>434.230682</v>
      </c>
      <c r="G289">
        <v>443.75869799999998</v>
      </c>
      <c r="H289">
        <v>432.581299</v>
      </c>
      <c r="I289">
        <v>417.75234999999998</v>
      </c>
      <c r="J289">
        <v>417.42465199999998</v>
      </c>
      <c r="K289">
        <v>415.93777499999999</v>
      </c>
      <c r="L289">
        <v>403.47412100000003</v>
      </c>
      <c r="M289">
        <v>403.17804000000001</v>
      </c>
      <c r="N289">
        <v>383.83212300000002</v>
      </c>
      <c r="O289">
        <v>385.30667099999999</v>
      </c>
      <c r="P289">
        <v>381.27539100000001</v>
      </c>
      <c r="Q289">
        <v>381.04003899999998</v>
      </c>
      <c r="R289">
        <v>382.19842499999999</v>
      </c>
      <c r="S289">
        <v>383.73739599999999</v>
      </c>
      <c r="T289">
        <v>388.55950899999999</v>
      </c>
      <c r="U289">
        <v>385.72473100000002</v>
      </c>
      <c r="V289">
        <v>387.17019699999997</v>
      </c>
      <c r="W289">
        <v>387.33422899999999</v>
      </c>
      <c r="X289">
        <v>388.97726399999999</v>
      </c>
      <c r="Y289">
        <v>390.85006700000002</v>
      </c>
      <c r="Z289">
        <v>391.76263399999999</v>
      </c>
      <c r="AA289">
        <v>392.73843399999998</v>
      </c>
      <c r="AB289">
        <v>392.65093999999999</v>
      </c>
      <c r="AC289">
        <v>396.48129299999999</v>
      </c>
      <c r="AD289">
        <v>399.58117700000003</v>
      </c>
      <c r="AE289">
        <v>402.097534</v>
      </c>
      <c r="AF289">
        <v>402.97448700000001</v>
      </c>
      <c r="AG289" s="9">
        <v>-3.0000000000000001E-3</v>
      </c>
    </row>
    <row r="290" spans="1:33">
      <c r="A290" t="s">
        <v>177</v>
      </c>
      <c r="B290" t="s">
        <v>1184</v>
      </c>
      <c r="C290" t="s">
        <v>1183</v>
      </c>
      <c r="D290" t="s">
        <v>193</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v>0</v>
      </c>
      <c r="AF290">
        <v>0</v>
      </c>
      <c r="AG290" t="s">
        <v>110</v>
      </c>
    </row>
    <row r="291" spans="1:33">
      <c r="A291" t="s">
        <v>251</v>
      </c>
      <c r="B291" t="s">
        <v>1182</v>
      </c>
      <c r="C291" t="s">
        <v>1181</v>
      </c>
      <c r="D291" t="s">
        <v>193</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v>0</v>
      </c>
      <c r="AF291">
        <v>0</v>
      </c>
      <c r="AG291" t="s">
        <v>110</v>
      </c>
    </row>
    <row r="292" spans="1:33">
      <c r="A292" t="s">
        <v>252</v>
      </c>
      <c r="B292" t="s">
        <v>1180</v>
      </c>
      <c r="C292" t="s">
        <v>1179</v>
      </c>
      <c r="D292" t="s">
        <v>193</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v>0</v>
      </c>
      <c r="AF292">
        <v>0</v>
      </c>
      <c r="AG292" t="s">
        <v>110</v>
      </c>
    </row>
    <row r="293" spans="1:33">
      <c r="A293" t="s">
        <v>147</v>
      </c>
    </row>
    <row r="294" spans="1:33">
      <c r="A294" t="s">
        <v>253</v>
      </c>
      <c r="B294" t="s">
        <v>1178</v>
      </c>
      <c r="C294" t="s">
        <v>1177</v>
      </c>
      <c r="D294" t="s">
        <v>262</v>
      </c>
      <c r="F294">
        <v>458.773346</v>
      </c>
      <c r="G294">
        <v>464.892853</v>
      </c>
      <c r="H294">
        <v>462.96167000000003</v>
      </c>
      <c r="I294">
        <v>460.98571800000002</v>
      </c>
      <c r="J294">
        <v>459.37042200000002</v>
      </c>
      <c r="K294">
        <v>457.35058600000002</v>
      </c>
      <c r="L294">
        <v>454.85974099999999</v>
      </c>
      <c r="M294">
        <v>451.94982900000002</v>
      </c>
      <c r="N294">
        <v>448.29049700000002</v>
      </c>
      <c r="O294">
        <v>446.236603</v>
      </c>
      <c r="P294">
        <v>444.57028200000002</v>
      </c>
      <c r="Q294">
        <v>442.67672700000003</v>
      </c>
      <c r="R294">
        <v>440.63128699999999</v>
      </c>
      <c r="S294">
        <v>439.09964000000002</v>
      </c>
      <c r="T294">
        <v>437.71414199999998</v>
      </c>
      <c r="U294">
        <v>435.98474099999999</v>
      </c>
      <c r="V294">
        <v>434.76898199999999</v>
      </c>
      <c r="W294">
        <v>433.49096700000001</v>
      </c>
      <c r="X294">
        <v>432.22720299999997</v>
      </c>
      <c r="Y294">
        <v>430.67340100000001</v>
      </c>
      <c r="Z294">
        <v>428.801331</v>
      </c>
      <c r="AA294">
        <v>427.06716899999998</v>
      </c>
      <c r="AB294">
        <v>425.27600100000001</v>
      </c>
      <c r="AC294">
        <v>424.65441900000002</v>
      </c>
      <c r="AD294">
        <v>423.51385499999998</v>
      </c>
      <c r="AE294">
        <v>422.14224200000001</v>
      </c>
      <c r="AF294">
        <v>420.62109400000003</v>
      </c>
      <c r="AG294" s="9">
        <v>-3.0000000000000001E-3</v>
      </c>
    </row>
    <row r="295" spans="1:33">
      <c r="A295" t="s">
        <v>249</v>
      </c>
      <c r="B295" t="s">
        <v>1176</v>
      </c>
      <c r="C295" t="s">
        <v>1175</v>
      </c>
      <c r="D295" t="s">
        <v>1174</v>
      </c>
      <c r="F295">
        <v>4.8577789999999998</v>
      </c>
      <c r="G295">
        <v>4.876665</v>
      </c>
      <c r="H295">
        <v>4.8956239999999998</v>
      </c>
      <c r="I295">
        <v>4.9146570000000001</v>
      </c>
      <c r="J295">
        <v>4.933764</v>
      </c>
      <c r="K295">
        <v>4.9529449999999997</v>
      </c>
      <c r="L295">
        <v>4.9722</v>
      </c>
      <c r="M295">
        <v>4.9915310000000002</v>
      </c>
      <c r="N295">
        <v>5.0109370000000002</v>
      </c>
      <c r="O295">
        <v>5.0304180000000001</v>
      </c>
      <c r="P295">
        <v>5.0499749999999999</v>
      </c>
      <c r="Q295">
        <v>5.0696079999999997</v>
      </c>
      <c r="R295">
        <v>5.0893170000000003</v>
      </c>
      <c r="S295">
        <v>5.1091030000000002</v>
      </c>
      <c r="T295">
        <v>5.1289660000000001</v>
      </c>
      <c r="U295">
        <v>5.1489060000000002</v>
      </c>
      <c r="V295">
        <v>5.1689230000000004</v>
      </c>
      <c r="W295">
        <v>5.189019</v>
      </c>
      <c r="X295">
        <v>5.2091919999999998</v>
      </c>
      <c r="Y295">
        <v>5.2294450000000001</v>
      </c>
      <c r="Z295">
        <v>5.2497749999999996</v>
      </c>
      <c r="AA295">
        <v>5.2701849999999997</v>
      </c>
      <c r="AB295">
        <v>5.2906740000000001</v>
      </c>
      <c r="AC295">
        <v>5.3112430000000002</v>
      </c>
      <c r="AD295">
        <v>5.3318919999999999</v>
      </c>
      <c r="AE295">
        <v>5.3526210000000001</v>
      </c>
      <c r="AF295">
        <v>5.3734299999999999</v>
      </c>
      <c r="AG295" s="9">
        <v>4.0000000000000001E-3</v>
      </c>
    </row>
    <row r="296" spans="1:33">
      <c r="A296" t="s">
        <v>109</v>
      </c>
    </row>
    <row r="297" spans="1:33">
      <c r="A297" t="s">
        <v>250</v>
      </c>
      <c r="B297" t="s">
        <v>1173</v>
      </c>
      <c r="C297" t="s">
        <v>1172</v>
      </c>
      <c r="D297" t="s">
        <v>193</v>
      </c>
      <c r="F297">
        <v>92.332252999999994</v>
      </c>
      <c r="G297">
        <v>93.278983999999994</v>
      </c>
      <c r="H297">
        <v>92.539314000000005</v>
      </c>
      <c r="I297">
        <v>91.795044000000004</v>
      </c>
      <c r="J297">
        <v>91.125641000000002</v>
      </c>
      <c r="K297">
        <v>90.379990000000006</v>
      </c>
      <c r="L297">
        <v>89.546463000000003</v>
      </c>
      <c r="M297">
        <v>88.635925</v>
      </c>
      <c r="N297">
        <v>87.584746999999993</v>
      </c>
      <c r="O297">
        <v>86.852417000000003</v>
      </c>
      <c r="P297">
        <v>86.199318000000005</v>
      </c>
      <c r="Q297">
        <v>85.505904999999998</v>
      </c>
      <c r="R297">
        <v>84.786452999999995</v>
      </c>
      <c r="S297">
        <v>84.170158000000001</v>
      </c>
      <c r="T297">
        <v>83.586044000000001</v>
      </c>
      <c r="U297">
        <v>82.940169999999995</v>
      </c>
      <c r="V297">
        <v>82.351212000000004</v>
      </c>
      <c r="W297">
        <v>81.693588000000005</v>
      </c>
      <c r="X297">
        <v>81.036438000000004</v>
      </c>
      <c r="Y297">
        <v>80.322616999999994</v>
      </c>
      <c r="Z297">
        <v>79.547393999999997</v>
      </c>
      <c r="AA297">
        <v>78.795531999999994</v>
      </c>
      <c r="AB297">
        <v>78.030472000000003</v>
      </c>
      <c r="AC297">
        <v>77.475707999999997</v>
      </c>
      <c r="AD297">
        <v>76.820853999999997</v>
      </c>
      <c r="AE297">
        <v>76.119011</v>
      </c>
      <c r="AF297">
        <v>75.385009999999994</v>
      </c>
      <c r="AG297" s="9">
        <v>-8.0000000000000002E-3</v>
      </c>
    </row>
    <row r="298" spans="1:33">
      <c r="A298" t="s">
        <v>177</v>
      </c>
      <c r="B298" t="s">
        <v>1171</v>
      </c>
      <c r="C298" t="s">
        <v>1170</v>
      </c>
      <c r="D298" t="s">
        <v>193</v>
      </c>
      <c r="F298">
        <v>1.3822049999999999</v>
      </c>
      <c r="G298">
        <v>1.2632559999999999</v>
      </c>
      <c r="H298">
        <v>1.198018</v>
      </c>
      <c r="I298">
        <v>1.1309709999999999</v>
      </c>
      <c r="J298">
        <v>1.0674129999999999</v>
      </c>
      <c r="K298">
        <v>1.0042279999999999</v>
      </c>
      <c r="L298">
        <v>0.937581</v>
      </c>
      <c r="M298">
        <v>0.868587</v>
      </c>
      <c r="N298">
        <v>0.80069400000000002</v>
      </c>
      <c r="O298">
        <v>0.73563800000000001</v>
      </c>
      <c r="P298">
        <v>0.673956</v>
      </c>
      <c r="Q298">
        <v>0.61449699999999996</v>
      </c>
      <c r="R298">
        <v>0.56326799999999999</v>
      </c>
      <c r="S298">
        <v>0.50884700000000005</v>
      </c>
      <c r="T298">
        <v>0.44785000000000003</v>
      </c>
      <c r="U298">
        <v>0.38284099999999999</v>
      </c>
      <c r="V298">
        <v>0.32558700000000002</v>
      </c>
      <c r="W298">
        <v>0.32329599999999997</v>
      </c>
      <c r="X298">
        <v>0.321021</v>
      </c>
      <c r="Y298">
        <v>0.31855600000000001</v>
      </c>
      <c r="Z298">
        <v>0.31585600000000003</v>
      </c>
      <c r="AA298">
        <v>0.31325799999999998</v>
      </c>
      <c r="AB298">
        <v>0.310612</v>
      </c>
      <c r="AC298">
        <v>0.30888199999999999</v>
      </c>
      <c r="AD298">
        <v>0.306782</v>
      </c>
      <c r="AE298">
        <v>0.30452499999999999</v>
      </c>
      <c r="AF298">
        <v>0.302176</v>
      </c>
      <c r="AG298" s="9">
        <v>-5.7000000000000002E-2</v>
      </c>
    </row>
    <row r="299" spans="1:33">
      <c r="A299" t="s">
        <v>251</v>
      </c>
      <c r="B299" t="s">
        <v>1169</v>
      </c>
      <c r="C299" t="s">
        <v>1168</v>
      </c>
      <c r="D299" t="s">
        <v>193</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v>0</v>
      </c>
      <c r="AF299">
        <v>0</v>
      </c>
      <c r="AG299" t="s">
        <v>110</v>
      </c>
    </row>
    <row r="300" spans="1:33">
      <c r="A300" t="s">
        <v>252</v>
      </c>
      <c r="B300" t="s">
        <v>1167</v>
      </c>
      <c r="C300" t="s">
        <v>1166</v>
      </c>
      <c r="D300" t="s">
        <v>193</v>
      </c>
      <c r="F300">
        <v>0.72651399999999999</v>
      </c>
      <c r="G300">
        <v>0.78784500000000002</v>
      </c>
      <c r="H300">
        <v>0.82910799999999996</v>
      </c>
      <c r="I300">
        <v>0.87214700000000001</v>
      </c>
      <c r="J300">
        <v>0.91445100000000001</v>
      </c>
      <c r="K300">
        <v>0.95491099999999995</v>
      </c>
      <c r="L300">
        <v>0.99653099999999994</v>
      </c>
      <c r="M300">
        <v>1.038818</v>
      </c>
      <c r="N300">
        <v>1.0769789999999999</v>
      </c>
      <c r="O300">
        <v>1.119599</v>
      </c>
      <c r="P300">
        <v>1.1608780000000001</v>
      </c>
      <c r="Q300">
        <v>1.199308</v>
      </c>
      <c r="R300">
        <v>1.229924</v>
      </c>
      <c r="S300">
        <v>1.2655670000000001</v>
      </c>
      <c r="T300">
        <v>1.3077129999999999</v>
      </c>
      <c r="U300">
        <v>1.352198</v>
      </c>
      <c r="V300">
        <v>1.4353050000000001</v>
      </c>
      <c r="W300">
        <v>1.5231779999999999</v>
      </c>
      <c r="X300">
        <v>1.616471</v>
      </c>
      <c r="Y300">
        <v>1.7143079999999999</v>
      </c>
      <c r="Z300">
        <v>1.8166960000000001</v>
      </c>
      <c r="AA300">
        <v>1.9257839999999999</v>
      </c>
      <c r="AB300">
        <v>2.0411160000000002</v>
      </c>
      <c r="AC300">
        <v>2.1692900000000002</v>
      </c>
      <c r="AD300">
        <v>2.3026849999999999</v>
      </c>
      <c r="AE300">
        <v>2.44293</v>
      </c>
      <c r="AF300">
        <v>2.590767</v>
      </c>
      <c r="AG300" s="9">
        <v>0.05</v>
      </c>
    </row>
    <row r="301" spans="1:33">
      <c r="A301" t="s">
        <v>148</v>
      </c>
    </row>
    <row r="302" spans="1:33">
      <c r="A302" t="s">
        <v>254</v>
      </c>
      <c r="B302" t="s">
        <v>1165</v>
      </c>
      <c r="C302" t="s">
        <v>1164</v>
      </c>
      <c r="D302" t="s">
        <v>263</v>
      </c>
      <c r="F302">
        <v>6023.5166019999997</v>
      </c>
      <c r="G302">
        <v>6248.9067379999997</v>
      </c>
      <c r="H302">
        <v>6421.529297</v>
      </c>
      <c r="I302">
        <v>6659.548828</v>
      </c>
      <c r="J302">
        <v>6864.0795900000003</v>
      </c>
      <c r="K302">
        <v>7079.498047</v>
      </c>
      <c r="L302">
        <v>7297.4252930000002</v>
      </c>
      <c r="M302">
        <v>7503.923828</v>
      </c>
      <c r="N302">
        <v>7740.4560549999997</v>
      </c>
      <c r="O302">
        <v>7974.0815430000002</v>
      </c>
      <c r="P302">
        <v>8222.6484380000002</v>
      </c>
      <c r="Q302">
        <v>8411.9707030000009</v>
      </c>
      <c r="R302">
        <v>8574.0878909999992</v>
      </c>
      <c r="S302">
        <v>8726.2421880000002</v>
      </c>
      <c r="T302">
        <v>8864.3476559999999</v>
      </c>
      <c r="U302">
        <v>9003.0683590000008</v>
      </c>
      <c r="V302">
        <v>9128.03125</v>
      </c>
      <c r="W302">
        <v>9252.5576170000004</v>
      </c>
      <c r="X302">
        <v>9379.8408199999994</v>
      </c>
      <c r="Y302">
        <v>9504.1064449999994</v>
      </c>
      <c r="Z302">
        <v>9625.9179690000001</v>
      </c>
      <c r="AA302">
        <v>9740.8447269999997</v>
      </c>
      <c r="AB302">
        <v>9833.2382809999999</v>
      </c>
      <c r="AC302">
        <v>9964.6669920000004</v>
      </c>
      <c r="AD302">
        <v>10123.741211</v>
      </c>
      <c r="AE302">
        <v>10282.939453000001</v>
      </c>
      <c r="AF302">
        <v>10434.558594</v>
      </c>
      <c r="AG302" s="9">
        <v>2.1000000000000001E-2</v>
      </c>
    </row>
    <row r="303" spans="1:33">
      <c r="A303" t="s">
        <v>255</v>
      </c>
      <c r="B303" t="s">
        <v>1163</v>
      </c>
      <c r="C303" t="s">
        <v>1162</v>
      </c>
      <c r="D303" t="s">
        <v>263</v>
      </c>
      <c r="F303">
        <v>1938.3862300000001</v>
      </c>
      <c r="G303">
        <v>2014.6479489999999</v>
      </c>
      <c r="H303">
        <v>2075.9914549999999</v>
      </c>
      <c r="I303">
        <v>2166.7897950000001</v>
      </c>
      <c r="J303">
        <v>2249.5659179999998</v>
      </c>
      <c r="K303">
        <v>2329.5798340000001</v>
      </c>
      <c r="L303">
        <v>2404.4145509999998</v>
      </c>
      <c r="M303">
        <v>2470.181885</v>
      </c>
      <c r="N303">
        <v>2540.5629880000001</v>
      </c>
      <c r="O303">
        <v>2603.9204100000002</v>
      </c>
      <c r="P303">
        <v>2673.7998050000001</v>
      </c>
      <c r="Q303">
        <v>2730.7907709999999</v>
      </c>
      <c r="R303">
        <v>2779.3188479999999</v>
      </c>
      <c r="S303">
        <v>2825.1267090000001</v>
      </c>
      <c r="T303">
        <v>2876.078857</v>
      </c>
      <c r="U303">
        <v>2928.6367190000001</v>
      </c>
      <c r="V303">
        <v>2981.3789059999999</v>
      </c>
      <c r="W303">
        <v>3039.28125</v>
      </c>
      <c r="X303">
        <v>3096.5607909999999</v>
      </c>
      <c r="Y303">
        <v>3154.7770999999998</v>
      </c>
      <c r="Z303">
        <v>3209.8603520000001</v>
      </c>
      <c r="AA303">
        <v>3262.2211910000001</v>
      </c>
      <c r="AB303">
        <v>3305.1987300000001</v>
      </c>
      <c r="AC303">
        <v>3359.7014159999999</v>
      </c>
      <c r="AD303">
        <v>3411.3432619999999</v>
      </c>
      <c r="AE303">
        <v>3458.4096679999998</v>
      </c>
      <c r="AF303">
        <v>3501.953857</v>
      </c>
      <c r="AG303" s="9">
        <v>2.3E-2</v>
      </c>
    </row>
    <row r="304" spans="1:33">
      <c r="A304" t="s">
        <v>256</v>
      </c>
      <c r="B304" t="s">
        <v>1161</v>
      </c>
      <c r="C304" t="s">
        <v>1160</v>
      </c>
      <c r="D304" t="s">
        <v>263</v>
      </c>
      <c r="F304">
        <v>4085.1303710000002</v>
      </c>
      <c r="G304">
        <v>4234.2587890000004</v>
      </c>
      <c r="H304">
        <v>4345.5380859999996</v>
      </c>
      <c r="I304">
        <v>4492.7587890000004</v>
      </c>
      <c r="J304">
        <v>4614.513672</v>
      </c>
      <c r="K304">
        <v>4749.9179690000001</v>
      </c>
      <c r="L304">
        <v>4893.0107420000004</v>
      </c>
      <c r="M304">
        <v>5033.7421880000002</v>
      </c>
      <c r="N304">
        <v>5199.8930659999996</v>
      </c>
      <c r="O304">
        <v>5370.1611329999996</v>
      </c>
      <c r="P304">
        <v>5548.8481449999999</v>
      </c>
      <c r="Q304">
        <v>5681.1801759999998</v>
      </c>
      <c r="R304">
        <v>5794.7695309999999</v>
      </c>
      <c r="S304">
        <v>5901.1157229999999</v>
      </c>
      <c r="T304">
        <v>5988.2690430000002</v>
      </c>
      <c r="U304">
        <v>6074.4321289999998</v>
      </c>
      <c r="V304">
        <v>6146.6523440000001</v>
      </c>
      <c r="W304">
        <v>6213.2763670000004</v>
      </c>
      <c r="X304">
        <v>6283.2802730000003</v>
      </c>
      <c r="Y304">
        <v>6349.3295900000003</v>
      </c>
      <c r="Z304">
        <v>6416.0571289999998</v>
      </c>
      <c r="AA304">
        <v>6478.6235349999997</v>
      </c>
      <c r="AB304">
        <v>6528.0390619999998</v>
      </c>
      <c r="AC304">
        <v>6604.9653319999998</v>
      </c>
      <c r="AD304">
        <v>6712.3979490000002</v>
      </c>
      <c r="AE304">
        <v>6824.5302730000003</v>
      </c>
      <c r="AF304">
        <v>6932.6049800000001</v>
      </c>
      <c r="AG304" s="9">
        <v>2.1000000000000001E-2</v>
      </c>
    </row>
    <row r="305" spans="1:33">
      <c r="A305" t="s">
        <v>109</v>
      </c>
    </row>
    <row r="306" spans="1:33">
      <c r="A306" t="s">
        <v>250</v>
      </c>
      <c r="B306" t="s">
        <v>1159</v>
      </c>
      <c r="C306" t="s">
        <v>1158</v>
      </c>
      <c r="D306" t="s">
        <v>193</v>
      </c>
      <c r="F306">
        <v>195.74534600000001</v>
      </c>
      <c r="G306">
        <v>212.661835</v>
      </c>
      <c r="H306">
        <v>224.314606</v>
      </c>
      <c r="I306">
        <v>228.064087</v>
      </c>
      <c r="J306">
        <v>233.18679800000001</v>
      </c>
      <c r="K306">
        <v>235.61990399999999</v>
      </c>
      <c r="L306">
        <v>238.52423099999999</v>
      </c>
      <c r="M306">
        <v>242.35704000000001</v>
      </c>
      <c r="N306">
        <v>248.63774100000001</v>
      </c>
      <c r="O306">
        <v>254.948486</v>
      </c>
      <c r="P306">
        <v>261.07586700000002</v>
      </c>
      <c r="Q306">
        <v>263.98260499999998</v>
      </c>
      <c r="R306">
        <v>266.61132800000001</v>
      </c>
      <c r="S306">
        <v>268.03750600000001</v>
      </c>
      <c r="T306">
        <v>270.21701000000002</v>
      </c>
      <c r="U306">
        <v>272.002228</v>
      </c>
      <c r="V306">
        <v>273.95889299999999</v>
      </c>
      <c r="W306">
        <v>276.39965799999999</v>
      </c>
      <c r="X306">
        <v>278.885986</v>
      </c>
      <c r="Y306">
        <v>280.99075299999998</v>
      </c>
      <c r="Z306">
        <v>283.009094</v>
      </c>
      <c r="AA306">
        <v>284.52014200000002</v>
      </c>
      <c r="AB306">
        <v>284.75753800000001</v>
      </c>
      <c r="AC306">
        <v>286.24276700000001</v>
      </c>
      <c r="AD306">
        <v>288.10394300000002</v>
      </c>
      <c r="AE306">
        <v>290.23345899999998</v>
      </c>
      <c r="AF306">
        <v>292.11120599999998</v>
      </c>
      <c r="AG306" s="9">
        <v>1.6E-2</v>
      </c>
    </row>
    <row r="307" spans="1:33">
      <c r="A307" t="s">
        <v>177</v>
      </c>
      <c r="B307" t="s">
        <v>1157</v>
      </c>
      <c r="C307" t="s">
        <v>1156</v>
      </c>
      <c r="D307" t="s">
        <v>193</v>
      </c>
      <c r="F307">
        <v>550.43896500000005</v>
      </c>
      <c r="G307">
        <v>514.18347200000005</v>
      </c>
      <c r="H307">
        <v>510.80633499999999</v>
      </c>
      <c r="I307">
        <v>520.583618</v>
      </c>
      <c r="J307">
        <v>526.08252000000005</v>
      </c>
      <c r="K307">
        <v>535.16064500000005</v>
      </c>
      <c r="L307">
        <v>543.52642800000001</v>
      </c>
      <c r="M307">
        <v>549.77069100000006</v>
      </c>
      <c r="N307">
        <v>554.768372</v>
      </c>
      <c r="O307">
        <v>559.316101</v>
      </c>
      <c r="P307">
        <v>564.45159899999999</v>
      </c>
      <c r="Q307">
        <v>570.71923800000002</v>
      </c>
      <c r="R307">
        <v>575.59594700000002</v>
      </c>
      <c r="S307">
        <v>581.43194600000004</v>
      </c>
      <c r="T307">
        <v>585.571777</v>
      </c>
      <c r="U307">
        <v>590.16540499999996</v>
      </c>
      <c r="V307">
        <v>593.91705300000001</v>
      </c>
      <c r="W307">
        <v>597.12823500000002</v>
      </c>
      <c r="X307">
        <v>600.45532200000002</v>
      </c>
      <c r="Y307">
        <v>603.99230999999997</v>
      </c>
      <c r="Z307">
        <v>607.38354500000003</v>
      </c>
      <c r="AA307">
        <v>610.92431599999998</v>
      </c>
      <c r="AB307">
        <v>615.06170699999996</v>
      </c>
      <c r="AC307">
        <v>619.51269500000001</v>
      </c>
      <c r="AD307">
        <v>624.67334000000005</v>
      </c>
      <c r="AE307">
        <v>629.26171899999997</v>
      </c>
      <c r="AF307">
        <v>633.68322799999999</v>
      </c>
      <c r="AG307" s="9">
        <v>5.0000000000000001E-3</v>
      </c>
    </row>
    <row r="308" spans="1:33">
      <c r="A308" t="s">
        <v>251</v>
      </c>
      <c r="B308" t="s">
        <v>1155</v>
      </c>
      <c r="C308" t="s">
        <v>1154</v>
      </c>
      <c r="D308" t="s">
        <v>193</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t="s">
        <v>110</v>
      </c>
    </row>
    <row r="309" spans="1:33">
      <c r="A309" t="s">
        <v>252</v>
      </c>
      <c r="B309" t="s">
        <v>1153</v>
      </c>
      <c r="C309" t="s">
        <v>1152</v>
      </c>
      <c r="D309" t="s">
        <v>193</v>
      </c>
      <c r="F309">
        <v>5.9348320000000001</v>
      </c>
      <c r="G309">
        <v>6.5364779999999998</v>
      </c>
      <c r="H309">
        <v>6.6340339999999998</v>
      </c>
      <c r="I309">
        <v>6.6726179999999999</v>
      </c>
      <c r="J309">
        <v>7.0259280000000004</v>
      </c>
      <c r="K309">
        <v>7.4154460000000002</v>
      </c>
      <c r="L309">
        <v>7.8749640000000003</v>
      </c>
      <c r="M309">
        <v>8.4281520000000008</v>
      </c>
      <c r="N309">
        <v>8.7182600000000008</v>
      </c>
      <c r="O309">
        <v>9.0221319999999992</v>
      </c>
      <c r="P309">
        <v>9.4022459999999999</v>
      </c>
      <c r="Q309">
        <v>9.4618070000000003</v>
      </c>
      <c r="R309">
        <v>9.6343019999999999</v>
      </c>
      <c r="S309">
        <v>9.8146550000000001</v>
      </c>
      <c r="T309">
        <v>10.029487</v>
      </c>
      <c r="U309">
        <v>10.238963999999999</v>
      </c>
      <c r="V309">
        <v>10.386210999999999</v>
      </c>
      <c r="W309">
        <v>10.461117</v>
      </c>
      <c r="X309">
        <v>10.493995</v>
      </c>
      <c r="Y309">
        <v>10.588778</v>
      </c>
      <c r="Z309">
        <v>10.700267999999999</v>
      </c>
      <c r="AA309">
        <v>10.871041999999999</v>
      </c>
      <c r="AB309">
        <v>10.939361999999999</v>
      </c>
      <c r="AC309">
        <v>11.028162999999999</v>
      </c>
      <c r="AD309">
        <v>11.141788</v>
      </c>
      <c r="AE309">
        <v>11.308977000000001</v>
      </c>
      <c r="AF309">
        <v>11.478370999999999</v>
      </c>
      <c r="AG309" s="9">
        <v>2.5999999999999999E-2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75F97-3758-4CA6-B5F7-0847DD8AE7B4}">
  <dimension ref="A1:AE148"/>
  <sheetViews>
    <sheetView topLeftCell="B1" workbookViewId="0"/>
  </sheetViews>
  <sheetFormatPr defaultRowHeight="14.25"/>
  <cols>
    <col min="1" max="1" width="0" hidden="1" customWidth="1"/>
    <col min="2" max="2" width="40.73046875" customWidth="1"/>
  </cols>
  <sheetData>
    <row r="1" spans="1:29" s="47" customFormat="1" ht="15.75">
      <c r="B1" s="47" t="s">
        <v>2027</v>
      </c>
    </row>
    <row r="2" spans="1:29" s="48" customFormat="1" ht="11.65"/>
    <row r="3" spans="1:29" s="48" customFormat="1" ht="11.65">
      <c r="C3" s="48" t="s">
        <v>107</v>
      </c>
      <c r="D3" s="48" t="s">
        <v>2028</v>
      </c>
    </row>
    <row r="4" spans="1:29" s="48" customFormat="1" ht="11.65">
      <c r="C4" s="48" t="s">
        <v>106</v>
      </c>
      <c r="D4" s="48" t="s">
        <v>2029</v>
      </c>
      <c r="F4" s="48" t="s">
        <v>2030</v>
      </c>
    </row>
    <row r="5" spans="1:29" s="48" customFormat="1" ht="11.65">
      <c r="C5" s="48" t="s">
        <v>105</v>
      </c>
      <c r="D5" s="48" t="s">
        <v>2031</v>
      </c>
    </row>
    <row r="6" spans="1:29" s="48" customFormat="1" ht="11.65">
      <c r="C6" s="48" t="s">
        <v>104</v>
      </c>
      <c r="E6" s="48" t="s">
        <v>2032</v>
      </c>
    </row>
    <row r="7" spans="1:29" s="49" customFormat="1" ht="15.75">
      <c r="B7" s="49" t="s">
        <v>103</v>
      </c>
    </row>
    <row r="8" spans="1:29" s="48" customFormat="1" ht="11.65"/>
    <row r="9" spans="1:29" s="48" customFormat="1" ht="11.65">
      <c r="AC9" s="48" t="s">
        <v>2033</v>
      </c>
    </row>
    <row r="10" spans="1:29" s="50" customFormat="1" ht="11.65">
      <c r="B10" s="50" t="s">
        <v>102</v>
      </c>
      <c r="C10" s="50">
        <v>2025</v>
      </c>
      <c r="D10" s="50">
        <v>2026</v>
      </c>
      <c r="E10" s="50">
        <v>2027</v>
      </c>
      <c r="F10" s="50">
        <v>2028</v>
      </c>
      <c r="G10" s="50">
        <v>2029</v>
      </c>
      <c r="H10" s="50">
        <v>2030</v>
      </c>
      <c r="I10" s="50">
        <v>2031</v>
      </c>
      <c r="J10" s="50">
        <v>2032</v>
      </c>
      <c r="K10" s="50">
        <v>2033</v>
      </c>
      <c r="L10" s="50">
        <v>2034</v>
      </c>
      <c r="M10" s="50">
        <v>2035</v>
      </c>
      <c r="N10" s="50">
        <v>2036</v>
      </c>
      <c r="O10" s="50">
        <v>2037</v>
      </c>
      <c r="P10" s="50">
        <v>2038</v>
      </c>
      <c r="Q10" s="50">
        <v>2039</v>
      </c>
      <c r="R10" s="50">
        <v>2040</v>
      </c>
      <c r="S10" s="50">
        <v>2041</v>
      </c>
      <c r="T10" s="50">
        <v>2042</v>
      </c>
      <c r="U10" s="50">
        <v>2043</v>
      </c>
      <c r="V10" s="50">
        <v>2044</v>
      </c>
      <c r="W10" s="50">
        <v>2045</v>
      </c>
      <c r="X10" s="50">
        <v>2046</v>
      </c>
      <c r="Y10" s="50">
        <v>2047</v>
      </c>
      <c r="Z10" s="50">
        <v>2048</v>
      </c>
      <c r="AA10" s="50">
        <v>2049</v>
      </c>
      <c r="AB10" s="50">
        <v>2050</v>
      </c>
      <c r="AC10" s="50" t="s">
        <v>2034</v>
      </c>
    </row>
    <row r="11" spans="1:29" s="51" customFormat="1" ht="11.65"/>
    <row r="12" spans="1:29" s="52" customFormat="1" ht="11.65">
      <c r="B12" s="52" t="s">
        <v>101</v>
      </c>
    </row>
    <row r="13" spans="1:29" s="52" customFormat="1" ht="11.65">
      <c r="B13" s="52" t="s">
        <v>100</v>
      </c>
    </row>
    <row r="14" spans="1:29" s="51" customFormat="1" ht="11.65">
      <c r="B14" s="51" t="s">
        <v>99</v>
      </c>
    </row>
    <row r="15" spans="1:29" s="48" customFormat="1" ht="11.65">
      <c r="A15" s="48" t="s">
        <v>98</v>
      </c>
      <c r="B15" s="48" t="s">
        <v>97</v>
      </c>
      <c r="C15" s="48">
        <v>2843.032470703125</v>
      </c>
      <c r="D15" s="48">
        <v>2863.568603515625</v>
      </c>
      <c r="E15" s="48">
        <v>2888.1982421875</v>
      </c>
      <c r="F15" s="48">
        <v>2904.077880859375</v>
      </c>
      <c r="G15" s="48">
        <v>2918.809814453125</v>
      </c>
      <c r="H15" s="48">
        <v>2931.43701171875</v>
      </c>
      <c r="I15" s="48">
        <v>2942.604736328125</v>
      </c>
      <c r="J15" s="48">
        <v>2954.25146484375</v>
      </c>
      <c r="K15" s="48">
        <v>2961.902587890625</v>
      </c>
      <c r="L15" s="48">
        <v>2971.275390625</v>
      </c>
      <c r="M15" s="48">
        <v>2978.21337890625</v>
      </c>
      <c r="N15" s="48">
        <v>2987.159423828125</v>
      </c>
      <c r="O15" s="48">
        <v>2997.356689453125</v>
      </c>
      <c r="P15" s="48">
        <v>3007.72119140625</v>
      </c>
      <c r="Q15" s="48">
        <v>3016.349609375</v>
      </c>
      <c r="R15" s="48">
        <v>3025.5615234375</v>
      </c>
      <c r="S15" s="48">
        <v>3032.341552734375</v>
      </c>
      <c r="T15" s="48">
        <v>3038.7626953125</v>
      </c>
      <c r="U15" s="48">
        <v>3044.19921875</v>
      </c>
      <c r="V15" s="48">
        <v>3050.29150390625</v>
      </c>
      <c r="W15" s="48">
        <v>3055.739013671875</v>
      </c>
      <c r="X15" s="48">
        <v>3060.400146484375</v>
      </c>
      <c r="Y15" s="48">
        <v>3062.75341796875</v>
      </c>
      <c r="Z15" s="48">
        <v>3065.465087890625</v>
      </c>
      <c r="AA15" s="48">
        <v>3067.484130859375</v>
      </c>
      <c r="AB15" s="48">
        <v>3070.65380859375</v>
      </c>
      <c r="AC15" s="48">
        <v>3.085520529575891E-3</v>
      </c>
    </row>
    <row r="16" spans="1:29" s="57" customFormat="1" ht="11.65">
      <c r="A16" s="57" t="s">
        <v>96</v>
      </c>
      <c r="B16" s="57" t="s">
        <v>95</v>
      </c>
      <c r="C16" s="57">
        <v>91.398139953613281</v>
      </c>
      <c r="D16" s="57">
        <v>91.77899169921875</v>
      </c>
      <c r="E16" s="57">
        <v>93.221343994140625</v>
      </c>
      <c r="F16" s="57">
        <v>94.140220642089844</v>
      </c>
      <c r="G16" s="57">
        <v>95.009811401367188</v>
      </c>
      <c r="H16" s="57">
        <v>96.16619873046875</v>
      </c>
      <c r="I16" s="57">
        <v>97.196952819824219</v>
      </c>
      <c r="J16" s="57">
        <v>98.315582275390625</v>
      </c>
      <c r="K16" s="57">
        <v>99.238601684570313</v>
      </c>
      <c r="L16" s="57">
        <v>100.2435302734375</v>
      </c>
      <c r="M16" s="57">
        <v>101.301887512207</v>
      </c>
      <c r="N16" s="57">
        <v>102.37855529785161</v>
      </c>
      <c r="O16" s="57">
        <v>103.55357360839839</v>
      </c>
      <c r="P16" s="57">
        <v>104.8410949707031</v>
      </c>
      <c r="Q16" s="57">
        <v>106.0973587036133</v>
      </c>
      <c r="R16" s="57">
        <v>107.2861328125</v>
      </c>
      <c r="S16" s="57">
        <v>108.35975646972661</v>
      </c>
      <c r="T16" s="57">
        <v>109.3723526000977</v>
      </c>
      <c r="U16" s="57">
        <v>110.0073318481445</v>
      </c>
      <c r="V16" s="57">
        <v>110.59620666503911</v>
      </c>
      <c r="W16" s="57">
        <v>111.266227722168</v>
      </c>
      <c r="X16" s="57">
        <v>111.90553283691411</v>
      </c>
      <c r="Y16" s="57">
        <v>112.5038757324219</v>
      </c>
      <c r="Z16" s="57">
        <v>112.94837951660161</v>
      </c>
      <c r="AA16" s="57">
        <v>113.4931335449219</v>
      </c>
      <c r="AB16" s="57">
        <v>114.0365829467773</v>
      </c>
      <c r="AC16" s="57">
        <v>8.8910596325935121E-3</v>
      </c>
    </row>
    <row r="17" spans="1:31" s="48" customFormat="1" ht="11.65">
      <c r="A17" s="48" t="s">
        <v>94</v>
      </c>
      <c r="B17" s="48" t="s">
        <v>93</v>
      </c>
      <c r="C17" s="48">
        <v>341.0439453125</v>
      </c>
      <c r="D17" s="48">
        <v>342.36895751953119</v>
      </c>
      <c r="E17" s="48">
        <v>344.61602783203119</v>
      </c>
      <c r="F17" s="48">
        <v>347.24554443359381</v>
      </c>
      <c r="G17" s="48">
        <v>349.67584228515619</v>
      </c>
      <c r="H17" s="48">
        <v>353.39605712890619</v>
      </c>
      <c r="I17" s="48">
        <v>356.18081665039063</v>
      </c>
      <c r="J17" s="48">
        <v>359.42282104492188</v>
      </c>
      <c r="K17" s="48">
        <v>362.12158203125</v>
      </c>
      <c r="L17" s="48">
        <v>365.4989013671875</v>
      </c>
      <c r="M17" s="48">
        <v>368.98001098632813</v>
      </c>
      <c r="N17" s="48">
        <v>372.3712158203125</v>
      </c>
      <c r="O17" s="48">
        <v>375.8531494140625</v>
      </c>
      <c r="P17" s="48">
        <v>379.344482421875</v>
      </c>
      <c r="Q17" s="48">
        <v>382.85479736328119</v>
      </c>
      <c r="R17" s="48">
        <v>386.62579345703119</v>
      </c>
      <c r="S17" s="48">
        <v>390.24111938476563</v>
      </c>
      <c r="T17" s="48">
        <v>393.69708251953119</v>
      </c>
      <c r="U17" s="48">
        <v>396.7333984375</v>
      </c>
      <c r="V17" s="48">
        <v>399.79425048828119</v>
      </c>
      <c r="W17" s="48">
        <v>403.50802612304688</v>
      </c>
      <c r="X17" s="48">
        <v>407.4259033203125</v>
      </c>
      <c r="Y17" s="48">
        <v>411.55572509765619</v>
      </c>
      <c r="Z17" s="48">
        <v>415.1253662109375</v>
      </c>
      <c r="AA17" s="48">
        <v>418.81106567382813</v>
      </c>
      <c r="AB17" s="48">
        <v>422.203369140625</v>
      </c>
      <c r="AC17" s="48">
        <v>8.5755924968438091E-3</v>
      </c>
    </row>
    <row r="18" spans="1:31" s="48" customFormat="1" ht="11.65">
      <c r="B18" s="48" t="s">
        <v>136</v>
      </c>
    </row>
    <row r="19" spans="1:31" s="48" customFormat="1" ht="11.65">
      <c r="A19" s="48" t="s">
        <v>132</v>
      </c>
      <c r="B19" s="48" t="s">
        <v>133</v>
      </c>
      <c r="C19" s="48">
        <v>174.6474304199219</v>
      </c>
      <c r="D19" s="48">
        <v>177.97358703613281</v>
      </c>
      <c r="E19" s="48">
        <v>180.291259765625</v>
      </c>
      <c r="F19" s="48">
        <v>182.00543212890619</v>
      </c>
      <c r="G19" s="48">
        <v>183.50909423828119</v>
      </c>
      <c r="H19" s="48">
        <v>184.76763916015619</v>
      </c>
      <c r="I19" s="48">
        <v>185.7530517578125</v>
      </c>
      <c r="J19" s="48">
        <v>186.66607666015619</v>
      </c>
      <c r="K19" s="48">
        <v>187.6656188964844</v>
      </c>
      <c r="L19" s="48">
        <v>188.5844421386719</v>
      </c>
      <c r="M19" s="48">
        <v>189.56187438964841</v>
      </c>
      <c r="N19" s="48">
        <v>190.4032287597656</v>
      </c>
      <c r="O19" s="48">
        <v>191.26893615722659</v>
      </c>
      <c r="P19" s="48">
        <v>192.0475769042969</v>
      </c>
      <c r="Q19" s="48">
        <v>192.823486328125</v>
      </c>
      <c r="R19" s="48">
        <v>193.59111022949219</v>
      </c>
      <c r="S19" s="48">
        <v>194.22509765625</v>
      </c>
      <c r="T19" s="48">
        <v>194.85151672363281</v>
      </c>
      <c r="U19" s="48">
        <v>195.41944885253909</v>
      </c>
      <c r="V19" s="48">
        <v>195.9666748046875</v>
      </c>
      <c r="W19" s="48">
        <v>196.49443054199219</v>
      </c>
      <c r="X19" s="48">
        <v>196.95390319824219</v>
      </c>
      <c r="Y19" s="48">
        <v>197.39341735839841</v>
      </c>
      <c r="Z19" s="48">
        <v>197.76531982421881</v>
      </c>
      <c r="AA19" s="48">
        <v>198.1057434082031</v>
      </c>
      <c r="AB19" s="48">
        <v>198.43330383300781</v>
      </c>
      <c r="AC19" s="48">
        <v>5.1204161284919003E-3</v>
      </c>
    </row>
    <row r="20" spans="1:31" s="51" customFormat="1" ht="11.65">
      <c r="A20" s="51" t="s">
        <v>134</v>
      </c>
      <c r="B20" s="51" t="s">
        <v>135</v>
      </c>
      <c r="C20" s="51">
        <v>32.872634887695313</v>
      </c>
      <c r="D20" s="51">
        <v>35.005195617675781</v>
      </c>
      <c r="E20" s="51">
        <v>36.603187561035163</v>
      </c>
      <c r="F20" s="51">
        <v>37.824775695800781</v>
      </c>
      <c r="G20" s="51">
        <v>38.890262603759773</v>
      </c>
      <c r="H20" s="51">
        <v>39.805248260498047</v>
      </c>
      <c r="I20" s="51">
        <v>40.582107543945313</v>
      </c>
      <c r="J20" s="51">
        <v>41.288425445556641</v>
      </c>
      <c r="K20" s="51">
        <v>42.025203704833977</v>
      </c>
      <c r="L20" s="51">
        <v>42.59625244140625</v>
      </c>
      <c r="M20" s="51">
        <v>43.167667388916023</v>
      </c>
      <c r="N20" s="51">
        <v>43.616798400878913</v>
      </c>
      <c r="O20" s="51">
        <v>44.095943450927727</v>
      </c>
      <c r="P20" s="51">
        <v>44.532913208007813</v>
      </c>
      <c r="Q20" s="51">
        <v>44.880611419677727</v>
      </c>
      <c r="R20" s="51">
        <v>45.240985870361328</v>
      </c>
      <c r="S20" s="51">
        <v>45.551727294921882</v>
      </c>
      <c r="T20" s="51">
        <v>45.864059448242188</v>
      </c>
      <c r="U20" s="51">
        <v>46.124858856201172</v>
      </c>
      <c r="V20" s="51">
        <v>46.413585662841797</v>
      </c>
      <c r="W20" s="51">
        <v>46.725051879882813</v>
      </c>
      <c r="X20" s="51">
        <v>46.982158660888672</v>
      </c>
      <c r="Y20" s="51">
        <v>47.2642822265625</v>
      </c>
      <c r="Z20" s="51">
        <v>47.468818664550781</v>
      </c>
      <c r="AA20" s="51">
        <v>47.659671783447273</v>
      </c>
      <c r="AB20" s="51">
        <v>47.8404541015625</v>
      </c>
      <c r="AC20" s="51">
        <v>1.5122446592120699E-2</v>
      </c>
    </row>
    <row r="21" spans="1:31" s="48" customFormat="1" ht="11.65">
      <c r="B21" s="48" t="s">
        <v>92</v>
      </c>
    </row>
    <row r="22" spans="1:31" s="48" customFormat="1" ht="11.65">
      <c r="A22" s="48" t="s">
        <v>91</v>
      </c>
      <c r="B22" s="48" t="s">
        <v>90</v>
      </c>
      <c r="C22" s="48">
        <v>1422.048828125</v>
      </c>
      <c r="D22" s="48">
        <v>1468.233276367188</v>
      </c>
      <c r="E22" s="48">
        <v>1496.577758789062</v>
      </c>
      <c r="F22" s="48">
        <v>1509.595947265625</v>
      </c>
      <c r="G22" s="48">
        <v>1529.526977539062</v>
      </c>
      <c r="H22" s="48">
        <v>1555.413208007812</v>
      </c>
      <c r="I22" s="48">
        <v>1580.10107421875</v>
      </c>
      <c r="J22" s="48">
        <v>1611.122802734375</v>
      </c>
      <c r="K22" s="48">
        <v>1644.945556640625</v>
      </c>
      <c r="L22" s="48">
        <v>1682.24560546875</v>
      </c>
      <c r="M22" s="48">
        <v>1723.319946289062</v>
      </c>
      <c r="N22" s="48">
        <v>1754.506225585938</v>
      </c>
      <c r="O22" s="48">
        <v>1785.8876953125</v>
      </c>
      <c r="P22" s="48">
        <v>1816.998168945312</v>
      </c>
      <c r="Q22" s="48">
        <v>1846.76318359375</v>
      </c>
      <c r="R22" s="48">
        <v>1877.26171875</v>
      </c>
      <c r="S22" s="48">
        <v>1905.85595703125</v>
      </c>
      <c r="T22" s="48">
        <v>1936.10791015625</v>
      </c>
      <c r="U22" s="48">
        <v>1968.376220703125</v>
      </c>
      <c r="V22" s="48">
        <v>2000.615234375</v>
      </c>
      <c r="W22" s="48">
        <v>2033.136840820312</v>
      </c>
      <c r="X22" s="48">
        <v>2064.265380859375</v>
      </c>
      <c r="Y22" s="48">
        <v>2092.60302734375</v>
      </c>
      <c r="Z22" s="48">
        <v>2121.28271484375</v>
      </c>
      <c r="AA22" s="48">
        <v>2148.480712890625</v>
      </c>
      <c r="AB22" s="48">
        <v>2176.472900390625</v>
      </c>
      <c r="AC22" s="48">
        <v>1.7170017387601488E-2</v>
      </c>
      <c r="AE22" s="62">
        <f>AB22/C22</f>
        <v>1.5305191054939713</v>
      </c>
    </row>
    <row r="23" spans="1:31" s="51" customFormat="1" ht="11.65">
      <c r="B23" s="51" t="s">
        <v>89</v>
      </c>
    </row>
    <row r="24" spans="1:31" s="48" customFormat="1" ht="11.65">
      <c r="A24" s="48" t="s">
        <v>88</v>
      </c>
      <c r="B24" s="48" t="s">
        <v>47</v>
      </c>
      <c r="C24" s="48">
        <v>1583.566650390625</v>
      </c>
      <c r="D24" s="48">
        <v>1549.21875</v>
      </c>
      <c r="E24" s="48">
        <v>1600.833740234375</v>
      </c>
      <c r="F24" s="48">
        <v>1569.623779296875</v>
      </c>
      <c r="G24" s="48">
        <v>1558.830322265625</v>
      </c>
      <c r="H24" s="48">
        <v>1570.807006835938</v>
      </c>
      <c r="I24" s="48">
        <v>1532.160278320312</v>
      </c>
      <c r="J24" s="48">
        <v>1540.232299804688</v>
      </c>
      <c r="K24" s="48">
        <v>1548.554565429688</v>
      </c>
      <c r="L24" s="48">
        <v>1545.79833984375</v>
      </c>
      <c r="M24" s="48">
        <v>1552.487915039062</v>
      </c>
      <c r="N24" s="48">
        <v>1557.807006835938</v>
      </c>
      <c r="O24" s="48">
        <v>1565.347290039062</v>
      </c>
      <c r="P24" s="48">
        <v>1567.623046875</v>
      </c>
      <c r="Q24" s="48">
        <v>1572.42333984375</v>
      </c>
      <c r="R24" s="48">
        <v>1575.623657226562</v>
      </c>
      <c r="S24" s="48">
        <v>1575.8466796875</v>
      </c>
      <c r="T24" s="48">
        <v>1572.62451171875</v>
      </c>
      <c r="U24" s="48">
        <v>1570.42138671875</v>
      </c>
      <c r="V24" s="48">
        <v>1572.224975585938</v>
      </c>
      <c r="W24" s="48">
        <v>1573.056396484375</v>
      </c>
      <c r="X24" s="48">
        <v>1577.98876953125</v>
      </c>
      <c r="Y24" s="48">
        <v>1588.934326171875</v>
      </c>
      <c r="Z24" s="48">
        <v>1595.622314453125</v>
      </c>
      <c r="AA24" s="48">
        <v>1592.72509765625</v>
      </c>
      <c r="AB24" s="48">
        <v>1590.90673828125</v>
      </c>
      <c r="AC24" s="48">
        <v>1.84995216369721E-4</v>
      </c>
    </row>
    <row r="25" spans="1:31" s="51" customFormat="1" ht="11.65">
      <c r="A25" s="51" t="s">
        <v>87</v>
      </c>
      <c r="B25" s="51" t="s">
        <v>45</v>
      </c>
      <c r="C25" s="51">
        <v>481.83203125</v>
      </c>
      <c r="D25" s="51">
        <v>486.21575927734381</v>
      </c>
      <c r="E25" s="51">
        <v>483.39910888671881</v>
      </c>
      <c r="F25" s="51">
        <v>481.59878540039063</v>
      </c>
      <c r="G25" s="51">
        <v>478.747802734375</v>
      </c>
      <c r="H25" s="51">
        <v>479.1705322265625</v>
      </c>
      <c r="I25" s="51">
        <v>477.212158203125</v>
      </c>
      <c r="J25" s="51">
        <v>476.96957397460938</v>
      </c>
      <c r="K25" s="51">
        <v>475.5133056640625</v>
      </c>
      <c r="L25" s="51">
        <v>475.26553344726563</v>
      </c>
      <c r="M25" s="51">
        <v>474.76629638671881</v>
      </c>
      <c r="N25" s="51">
        <v>473.51058959960938</v>
      </c>
      <c r="O25" s="51">
        <v>471.99932861328119</v>
      </c>
      <c r="P25" s="51">
        <v>470.33200073242188</v>
      </c>
      <c r="Q25" s="51">
        <v>469.4969482421875</v>
      </c>
      <c r="R25" s="51">
        <v>468.922119140625</v>
      </c>
      <c r="S25" s="51">
        <v>468.94192504882813</v>
      </c>
      <c r="T25" s="51">
        <v>468.05917358398438</v>
      </c>
      <c r="U25" s="51">
        <v>466.67507934570313</v>
      </c>
      <c r="V25" s="51">
        <v>465.00936889648438</v>
      </c>
      <c r="W25" s="51">
        <v>463.46417236328119</v>
      </c>
      <c r="X25" s="51">
        <v>462.65805053710938</v>
      </c>
      <c r="Y25" s="51">
        <v>462.24151611328119</v>
      </c>
      <c r="Z25" s="51">
        <v>460.68478393554688</v>
      </c>
      <c r="AA25" s="51">
        <v>458.80084228515619</v>
      </c>
      <c r="AB25" s="51">
        <v>456.897705078125</v>
      </c>
      <c r="AC25" s="51">
        <v>-2.1231846354704538E-3</v>
      </c>
    </row>
    <row r="26" spans="1:31" s="48" customFormat="1" ht="11.65"/>
    <row r="27" spans="1:31" s="53" customFormat="1" ht="11.65">
      <c r="B27" s="53" t="s">
        <v>86</v>
      </c>
    </row>
    <row r="28" spans="1:31" s="51" customFormat="1" ht="11.65">
      <c r="B28" s="51" t="s">
        <v>85</v>
      </c>
    </row>
    <row r="29" spans="1:31" s="51" customFormat="1" ht="11.65">
      <c r="A29" s="51" t="s">
        <v>84</v>
      </c>
      <c r="B29" s="51" t="s">
        <v>83</v>
      </c>
      <c r="C29" s="51">
        <v>42.624870300292969</v>
      </c>
      <c r="D29" s="51">
        <v>47.118061065673828</v>
      </c>
      <c r="E29" s="51">
        <v>46.975002288818359</v>
      </c>
      <c r="F29" s="51">
        <v>46.846443176269531</v>
      </c>
      <c r="G29" s="51">
        <v>46.820732116699219</v>
      </c>
      <c r="H29" s="51">
        <v>46.790004730224609</v>
      </c>
      <c r="I29" s="51">
        <v>46.789520263671882</v>
      </c>
      <c r="J29" s="51">
        <v>46.779769897460938</v>
      </c>
      <c r="K29" s="51">
        <v>46.836681365966797</v>
      </c>
      <c r="L29" s="51">
        <v>46.824150085449219</v>
      </c>
      <c r="M29" s="51">
        <v>46.854034423828118</v>
      </c>
      <c r="N29" s="51">
        <v>46.849109649658203</v>
      </c>
      <c r="O29" s="51">
        <v>46.861476898193359</v>
      </c>
      <c r="P29" s="51">
        <v>46.858718872070313</v>
      </c>
      <c r="Q29" s="51">
        <v>46.856063842773438</v>
      </c>
      <c r="R29" s="51">
        <v>46.852252960205078</v>
      </c>
      <c r="S29" s="51">
        <v>46.836326599121087</v>
      </c>
      <c r="T29" s="51">
        <v>46.826286315917969</v>
      </c>
      <c r="U29" s="51">
        <v>46.802783966064453</v>
      </c>
      <c r="V29" s="51">
        <v>46.785305023193359</v>
      </c>
      <c r="W29" s="51">
        <v>46.782947540283203</v>
      </c>
      <c r="X29" s="51">
        <v>46.757369995117188</v>
      </c>
      <c r="Y29" s="51">
        <v>46.764141082763672</v>
      </c>
      <c r="Z29" s="51">
        <v>46.749927520751953</v>
      </c>
      <c r="AA29" s="51">
        <v>46.754528045654297</v>
      </c>
      <c r="AB29" s="51">
        <v>46.744186401367188</v>
      </c>
      <c r="AC29" s="51">
        <v>3.6968967338171228E-3</v>
      </c>
    </row>
    <row r="30" spans="1:31" s="51" customFormat="1" ht="11.65">
      <c r="A30" s="51" t="s">
        <v>82</v>
      </c>
      <c r="B30" s="51" t="s">
        <v>81</v>
      </c>
      <c r="C30" s="51">
        <v>53.017715454101563</v>
      </c>
      <c r="D30" s="51">
        <v>58.859119415283203</v>
      </c>
      <c r="E30" s="51">
        <v>58.819541931152337</v>
      </c>
      <c r="F30" s="51">
        <v>58.797931671142578</v>
      </c>
      <c r="G30" s="51">
        <v>58.770973205566413</v>
      </c>
      <c r="H30" s="51">
        <v>58.746856689453118</v>
      </c>
      <c r="I30" s="51">
        <v>58.732120513916023</v>
      </c>
      <c r="J30" s="51">
        <v>58.719112396240227</v>
      </c>
      <c r="K30" s="51">
        <v>58.709140777587891</v>
      </c>
      <c r="L30" s="51">
        <v>58.694000244140618</v>
      </c>
      <c r="M30" s="51">
        <v>58.69097900390625</v>
      </c>
      <c r="N30" s="51">
        <v>58.681434631347663</v>
      </c>
      <c r="O30" s="51">
        <v>58.676589965820313</v>
      </c>
      <c r="P30" s="51">
        <v>58.669403076171882</v>
      </c>
      <c r="Q30" s="51">
        <v>58.663990020751953</v>
      </c>
      <c r="R30" s="51">
        <v>58.661998748779297</v>
      </c>
      <c r="S30" s="51">
        <v>58.65472412109375</v>
      </c>
      <c r="T30" s="51">
        <v>58.6485595703125</v>
      </c>
      <c r="U30" s="51">
        <v>58.642673492431641</v>
      </c>
      <c r="V30" s="51">
        <v>58.638656616210938</v>
      </c>
      <c r="W30" s="51">
        <v>58.637306213378913</v>
      </c>
      <c r="X30" s="51">
        <v>58.628986358642578</v>
      </c>
      <c r="Y30" s="51">
        <v>58.625720977783203</v>
      </c>
      <c r="Z30" s="51">
        <v>58.618373870849609</v>
      </c>
      <c r="AA30" s="51">
        <v>58.616493225097663</v>
      </c>
      <c r="AB30" s="51">
        <v>58.6114501953125</v>
      </c>
      <c r="AC30" s="51">
        <v>4.0202179535295812E-3</v>
      </c>
    </row>
    <row r="31" spans="1:31" s="54" customFormat="1" ht="11.65">
      <c r="A31" s="54" t="s">
        <v>80</v>
      </c>
      <c r="B31" s="54" t="s">
        <v>79</v>
      </c>
      <c r="C31" s="54">
        <v>38.539085388183587</v>
      </c>
      <c r="D31" s="54">
        <v>42.80706787109375</v>
      </c>
      <c r="E31" s="54">
        <v>42.821559906005859</v>
      </c>
      <c r="F31" s="54">
        <v>42.8514404296875</v>
      </c>
      <c r="G31" s="54">
        <v>42.842433929443359</v>
      </c>
      <c r="H31" s="54">
        <v>42.836997985839837</v>
      </c>
      <c r="I31" s="54">
        <v>42.843082427978523</v>
      </c>
      <c r="J31" s="54">
        <v>42.843013763427727</v>
      </c>
      <c r="K31" s="54">
        <v>42.850456237792969</v>
      </c>
      <c r="L31" s="54">
        <v>42.838710784912109</v>
      </c>
      <c r="M31" s="54">
        <v>42.853836059570313</v>
      </c>
      <c r="N31" s="54">
        <v>42.854869842529297</v>
      </c>
      <c r="O31" s="54">
        <v>42.865612030029297</v>
      </c>
      <c r="P31" s="54">
        <v>42.866203308105469</v>
      </c>
      <c r="Q31" s="54">
        <v>42.873157501220703</v>
      </c>
      <c r="R31" s="54">
        <v>42.889514923095703</v>
      </c>
      <c r="S31" s="54">
        <v>42.886684417724609</v>
      </c>
      <c r="T31" s="54">
        <v>42.887195587158203</v>
      </c>
      <c r="U31" s="54">
        <v>42.886970520019531</v>
      </c>
      <c r="V31" s="54">
        <v>42.891811370849609</v>
      </c>
      <c r="W31" s="54">
        <v>42.903530120849609</v>
      </c>
      <c r="X31" s="54">
        <v>42.893913269042969</v>
      </c>
      <c r="Y31" s="54">
        <v>42.898521423339837</v>
      </c>
      <c r="Z31" s="54">
        <v>42.890472412109382</v>
      </c>
      <c r="AA31" s="54">
        <v>42.898075103759773</v>
      </c>
      <c r="AB31" s="54">
        <v>42.896167755126953</v>
      </c>
      <c r="AC31" s="54">
        <v>4.2935735284810317E-3</v>
      </c>
    </row>
    <row r="32" spans="1:31" s="54" customFormat="1" ht="11.65">
      <c r="A32" s="54" t="s">
        <v>78</v>
      </c>
      <c r="B32" s="54" t="s">
        <v>77</v>
      </c>
      <c r="C32" s="54">
        <v>41.120597839355469</v>
      </c>
      <c r="D32" s="54">
        <v>43.502880096435547</v>
      </c>
      <c r="E32" s="54">
        <v>45.394035339355469</v>
      </c>
      <c r="F32" s="54">
        <v>46.047641754150391</v>
      </c>
      <c r="G32" s="54">
        <v>45.540355682373047</v>
      </c>
      <c r="H32" s="54">
        <v>45.070381164550781</v>
      </c>
      <c r="I32" s="54">
        <v>45.189422607421882</v>
      </c>
      <c r="J32" s="54">
        <v>45.253139495849609</v>
      </c>
      <c r="K32" s="54">
        <v>45.964664459228523</v>
      </c>
      <c r="L32" s="54">
        <v>46.418067932128913</v>
      </c>
      <c r="M32" s="54">
        <v>47.036304473876953</v>
      </c>
      <c r="N32" s="54">
        <v>47.522537231445313</v>
      </c>
      <c r="O32" s="54">
        <v>48.049854278564453</v>
      </c>
      <c r="P32" s="54">
        <v>48.504993438720703</v>
      </c>
      <c r="Q32" s="54">
        <v>48.980587005615227</v>
      </c>
      <c r="R32" s="54">
        <v>49.364521026611328</v>
      </c>
      <c r="S32" s="54">
        <v>49.652381896972663</v>
      </c>
      <c r="T32" s="54">
        <v>49.959144592285163</v>
      </c>
      <c r="U32" s="54">
        <v>50.211223602294922</v>
      </c>
      <c r="V32" s="54">
        <v>50.455970764160163</v>
      </c>
      <c r="W32" s="54">
        <v>50.752567291259773</v>
      </c>
      <c r="X32" s="54">
        <v>50.909824371337891</v>
      </c>
      <c r="Y32" s="54">
        <v>51.186618804931641</v>
      </c>
      <c r="Z32" s="54">
        <v>51.369266510009773</v>
      </c>
      <c r="AA32" s="54">
        <v>51.613761901855469</v>
      </c>
      <c r="AB32" s="54">
        <v>51.786064147949219</v>
      </c>
      <c r="AC32" s="54">
        <v>9.2671534584081172E-3</v>
      </c>
    </row>
    <row r="33" spans="1:29" s="54" customFormat="1" ht="11.65">
      <c r="A33" s="54" t="s">
        <v>76</v>
      </c>
      <c r="B33" s="54" t="s">
        <v>75</v>
      </c>
      <c r="C33" s="54">
        <v>54.000961303710938</v>
      </c>
      <c r="D33" s="54">
        <v>56.055961608886719</v>
      </c>
      <c r="E33" s="54">
        <v>59.182525634765618</v>
      </c>
      <c r="F33" s="54">
        <v>58.581886291503913</v>
      </c>
      <c r="G33" s="54">
        <v>58.580783843994141</v>
      </c>
      <c r="H33" s="54">
        <v>58.559364318847663</v>
      </c>
      <c r="I33" s="54">
        <v>59.716926574707031</v>
      </c>
      <c r="J33" s="54">
        <v>60.620895385742188</v>
      </c>
      <c r="K33" s="54">
        <v>61.614532470703118</v>
      </c>
      <c r="L33" s="54">
        <v>62.431854248046882</v>
      </c>
      <c r="M33" s="54">
        <v>63.384078979492188</v>
      </c>
      <c r="N33" s="54">
        <v>64.214332580566406</v>
      </c>
      <c r="O33" s="54">
        <v>64.992034912109375</v>
      </c>
      <c r="P33" s="54">
        <v>65.560905456542969</v>
      </c>
      <c r="Q33" s="54">
        <v>66.09429931640625</v>
      </c>
      <c r="R33" s="54">
        <v>66.59716796875</v>
      </c>
      <c r="S33" s="54">
        <v>67.073394775390625</v>
      </c>
      <c r="T33" s="54">
        <v>67.551795959472656</v>
      </c>
      <c r="U33" s="54">
        <v>67.984054565429688</v>
      </c>
      <c r="V33" s="54">
        <v>68.363754272460938</v>
      </c>
      <c r="W33" s="54">
        <v>68.707748413085938</v>
      </c>
      <c r="X33" s="54">
        <v>69.049064636230469</v>
      </c>
      <c r="Y33" s="54">
        <v>69.406234741210938</v>
      </c>
      <c r="Z33" s="54">
        <v>69.724708557128906</v>
      </c>
      <c r="AA33" s="54">
        <v>70.033210754394531</v>
      </c>
      <c r="AB33" s="54">
        <v>70.326408386230469</v>
      </c>
      <c r="AC33" s="54">
        <v>1.062183670584016E-2</v>
      </c>
    </row>
    <row r="34" spans="1:29" s="54" customFormat="1" ht="11.65">
      <c r="A34" s="54" t="s">
        <v>74</v>
      </c>
      <c r="B34" s="54" t="s">
        <v>73</v>
      </c>
      <c r="C34" s="54">
        <v>36.422164916992188</v>
      </c>
      <c r="D34" s="54">
        <v>39.084152221679688</v>
      </c>
      <c r="E34" s="54">
        <v>40.813884735107422</v>
      </c>
      <c r="F34" s="54">
        <v>41.932571411132813</v>
      </c>
      <c r="G34" s="54">
        <v>41.337978363037109</v>
      </c>
      <c r="H34" s="54">
        <v>40.808418273925781</v>
      </c>
      <c r="I34" s="54">
        <v>40.703746795654297</v>
      </c>
      <c r="J34" s="54">
        <v>40.601673126220703</v>
      </c>
      <c r="K34" s="54">
        <v>41.155929565429688</v>
      </c>
      <c r="L34" s="54">
        <v>41.518898010253913</v>
      </c>
      <c r="M34" s="54">
        <v>42.020275115966797</v>
      </c>
      <c r="N34" s="54">
        <v>42.425022125244141</v>
      </c>
      <c r="O34" s="54">
        <v>42.875587463378913</v>
      </c>
      <c r="P34" s="54">
        <v>43.2939453125</v>
      </c>
      <c r="Q34" s="54">
        <v>43.751918792724609</v>
      </c>
      <c r="R34" s="54">
        <v>44.124465942382813</v>
      </c>
      <c r="S34" s="54">
        <v>44.383434295654297</v>
      </c>
      <c r="T34" s="54">
        <v>44.659652709960938</v>
      </c>
      <c r="U34" s="54">
        <v>44.902576446533203</v>
      </c>
      <c r="V34" s="54">
        <v>45.145439147949219</v>
      </c>
      <c r="W34" s="54">
        <v>45.441230773925781</v>
      </c>
      <c r="X34" s="54">
        <v>45.583240509033203</v>
      </c>
      <c r="Y34" s="54">
        <v>45.828647613525391</v>
      </c>
      <c r="Z34" s="54">
        <v>45.988628387451172</v>
      </c>
      <c r="AA34" s="54">
        <v>46.21417236328125</v>
      </c>
      <c r="AB34" s="54">
        <v>46.369960784912109</v>
      </c>
      <c r="AC34" s="54">
        <v>9.7057719215838389E-3</v>
      </c>
    </row>
    <row r="35" spans="1:29" s="54" customFormat="1" ht="11.65">
      <c r="A35" s="54" t="s">
        <v>72</v>
      </c>
      <c r="B35" s="54" t="s">
        <v>71</v>
      </c>
      <c r="C35" s="54">
        <v>37.928226470947273</v>
      </c>
      <c r="D35" s="54">
        <v>39.647724151611328</v>
      </c>
      <c r="E35" s="54">
        <v>41.105445861816413</v>
      </c>
      <c r="F35" s="54">
        <v>42.182792663574219</v>
      </c>
      <c r="G35" s="54">
        <v>42.193748474121087</v>
      </c>
      <c r="H35" s="54">
        <v>42.276683807373047</v>
      </c>
      <c r="I35" s="54">
        <v>42.375995635986328</v>
      </c>
      <c r="J35" s="54">
        <v>42.4320068359375</v>
      </c>
      <c r="K35" s="54">
        <v>43.08880615234375</v>
      </c>
      <c r="L35" s="54">
        <v>43.508045196533203</v>
      </c>
      <c r="M35" s="54">
        <v>44.079277038574219</v>
      </c>
      <c r="N35" s="54">
        <v>44.526706695556641</v>
      </c>
      <c r="O35" s="54">
        <v>45.012191772460938</v>
      </c>
      <c r="P35" s="54">
        <v>45.432914733886719</v>
      </c>
      <c r="Q35" s="54">
        <v>45.86798095703125</v>
      </c>
      <c r="R35" s="54">
        <v>46.221057891845703</v>
      </c>
      <c r="S35" s="54">
        <v>46.489482879638672</v>
      </c>
      <c r="T35" s="54">
        <v>46.775104522705078</v>
      </c>
      <c r="U35" s="54">
        <v>47.009304046630859</v>
      </c>
      <c r="V35" s="54">
        <v>47.236160278320313</v>
      </c>
      <c r="W35" s="54">
        <v>47.510242462158203</v>
      </c>
      <c r="X35" s="54">
        <v>47.658443450927727</v>
      </c>
      <c r="Y35" s="54">
        <v>47.917152404785163</v>
      </c>
      <c r="Z35" s="54">
        <v>48.088970184326172</v>
      </c>
      <c r="AA35" s="54">
        <v>48.316951751708977</v>
      </c>
      <c r="AB35" s="54">
        <v>48.478034973144531</v>
      </c>
      <c r="AC35" s="54">
        <v>9.8649494147666772E-3</v>
      </c>
    </row>
    <row r="36" spans="1:29" s="54" customFormat="1" ht="11.65">
      <c r="A36" s="54" t="s">
        <v>70</v>
      </c>
      <c r="B36" s="54" t="s">
        <v>69</v>
      </c>
      <c r="C36" s="54">
        <v>49.590648651123047</v>
      </c>
      <c r="D36" s="54">
        <v>51.215469360351563</v>
      </c>
      <c r="E36" s="54">
        <v>53.608127593994141</v>
      </c>
      <c r="F36" s="54">
        <v>54.096858978271477</v>
      </c>
      <c r="G36" s="54">
        <v>54.943534851074219</v>
      </c>
      <c r="H36" s="54">
        <v>55.999603271484382</v>
      </c>
      <c r="I36" s="54">
        <v>57.098697662353523</v>
      </c>
      <c r="J36" s="54">
        <v>57.959529876708977</v>
      </c>
      <c r="K36" s="54">
        <v>58.912979125976563</v>
      </c>
      <c r="L36" s="54">
        <v>59.698707580566413</v>
      </c>
      <c r="M36" s="54">
        <v>60.617740631103523</v>
      </c>
      <c r="N36" s="54">
        <v>61.414299011230469</v>
      </c>
      <c r="O36" s="54">
        <v>62.165180206298828</v>
      </c>
      <c r="P36" s="54">
        <v>62.723667144775391</v>
      </c>
      <c r="Q36" s="54">
        <v>63.247802734375</v>
      </c>
      <c r="R36" s="54">
        <v>63.738010406494141</v>
      </c>
      <c r="S36" s="54">
        <v>64.206817626953125</v>
      </c>
      <c r="T36" s="54">
        <v>64.676704406738281</v>
      </c>
      <c r="U36" s="54">
        <v>65.102783203125</v>
      </c>
      <c r="V36" s="54">
        <v>65.478195190429688</v>
      </c>
      <c r="W36" s="54">
        <v>65.817008972167969</v>
      </c>
      <c r="X36" s="54">
        <v>66.15679931640625</v>
      </c>
      <c r="Y36" s="54">
        <v>66.510269165039063</v>
      </c>
      <c r="Z36" s="54">
        <v>66.82568359375</v>
      </c>
      <c r="AA36" s="54">
        <v>67.132545471191406</v>
      </c>
      <c r="AB36" s="54">
        <v>67.423072814941406</v>
      </c>
      <c r="AC36" s="54">
        <v>1.236320045737949E-2</v>
      </c>
    </row>
    <row r="37" spans="1:29" s="54" customFormat="1" ht="11.65">
      <c r="A37" s="54" t="s">
        <v>68</v>
      </c>
      <c r="B37" s="54" t="s">
        <v>67</v>
      </c>
      <c r="C37" s="54">
        <v>33.648506164550781</v>
      </c>
      <c r="D37" s="54">
        <v>35.589488983154297</v>
      </c>
      <c r="E37" s="54">
        <v>36.954139709472663</v>
      </c>
      <c r="F37" s="54">
        <v>38.312690734863281</v>
      </c>
      <c r="G37" s="54">
        <v>38.150814056396477</v>
      </c>
      <c r="H37" s="54">
        <v>38.049186706542969</v>
      </c>
      <c r="I37" s="54">
        <v>37.943958282470703</v>
      </c>
      <c r="J37" s="54">
        <v>37.849594116210938</v>
      </c>
      <c r="K37" s="54">
        <v>38.3502197265625</v>
      </c>
      <c r="L37" s="54">
        <v>38.68194580078125</v>
      </c>
      <c r="M37" s="54">
        <v>39.137226104736328</v>
      </c>
      <c r="N37" s="54">
        <v>39.505382537841797</v>
      </c>
      <c r="O37" s="54">
        <v>39.913684844970703</v>
      </c>
      <c r="P37" s="54">
        <v>40.293804168701172</v>
      </c>
      <c r="Q37" s="54">
        <v>40.705417633056641</v>
      </c>
      <c r="R37" s="54">
        <v>41.044151306152337</v>
      </c>
      <c r="S37" s="54">
        <v>41.282730102539063</v>
      </c>
      <c r="T37" s="54">
        <v>41.536674499511719</v>
      </c>
      <c r="U37" s="54">
        <v>41.760589599609382</v>
      </c>
      <c r="V37" s="54">
        <v>41.983673095703118</v>
      </c>
      <c r="W37" s="54">
        <v>42.253582000732422</v>
      </c>
      <c r="X37" s="54">
        <v>42.386531829833977</v>
      </c>
      <c r="Y37" s="54">
        <v>42.611763000488281</v>
      </c>
      <c r="Z37" s="54">
        <v>42.760551452636719</v>
      </c>
      <c r="AA37" s="54">
        <v>42.967159271240227</v>
      </c>
      <c r="AB37" s="54">
        <v>43.111106872558587</v>
      </c>
      <c r="AC37" s="54">
        <v>9.9617714503377197E-3</v>
      </c>
    </row>
    <row r="38" spans="1:29" s="54" customFormat="1" ht="11.65">
      <c r="A38" s="54" t="s">
        <v>66</v>
      </c>
      <c r="B38" s="54" t="s">
        <v>65</v>
      </c>
      <c r="C38" s="54">
        <v>28.107072830200199</v>
      </c>
      <c r="D38" s="54">
        <v>29.32974815368652</v>
      </c>
      <c r="E38" s="54">
        <v>30.373533248901371</v>
      </c>
      <c r="F38" s="54">
        <v>31.130092620849609</v>
      </c>
      <c r="G38" s="54">
        <v>31.173234939575199</v>
      </c>
      <c r="H38" s="54">
        <v>31.242206573486332</v>
      </c>
      <c r="I38" s="54">
        <v>31.322233200073239</v>
      </c>
      <c r="J38" s="54">
        <v>31.374786376953121</v>
      </c>
      <c r="K38" s="54">
        <v>31.844869613647461</v>
      </c>
      <c r="L38" s="54">
        <v>32.146076202392578</v>
      </c>
      <c r="M38" s="54">
        <v>32.552986145019531</v>
      </c>
      <c r="N38" s="54">
        <v>32.873622894287109</v>
      </c>
      <c r="O38" s="54">
        <v>33.219924926757813</v>
      </c>
      <c r="P38" s="54">
        <v>33.519706726074219</v>
      </c>
      <c r="Q38" s="54">
        <v>33.824932098388672</v>
      </c>
      <c r="R38" s="54">
        <v>34.074588775634773</v>
      </c>
      <c r="S38" s="54">
        <v>34.265041351318359</v>
      </c>
      <c r="T38" s="54">
        <v>34.467197418212891</v>
      </c>
      <c r="U38" s="54">
        <v>34.632568359375</v>
      </c>
      <c r="V38" s="54">
        <v>34.792171478271477</v>
      </c>
      <c r="W38" s="54">
        <v>34.9844970703125</v>
      </c>
      <c r="X38" s="54">
        <v>35.089149475097663</v>
      </c>
      <c r="Y38" s="54">
        <v>35.270767211914063</v>
      </c>
      <c r="Z38" s="54">
        <v>35.391799926757813</v>
      </c>
      <c r="AA38" s="54">
        <v>35.551124572753913</v>
      </c>
      <c r="AB38" s="54">
        <v>35.663898468017578</v>
      </c>
      <c r="AC38" s="54">
        <v>9.5702116989717645E-3</v>
      </c>
    </row>
    <row r="39" spans="1:29" s="54" customFormat="1" ht="11.65">
      <c r="A39" s="54" t="s">
        <v>64</v>
      </c>
      <c r="B39" s="54" t="s">
        <v>63</v>
      </c>
      <c r="C39" s="54">
        <v>36.199901580810547</v>
      </c>
      <c r="D39" s="54">
        <v>37.373344421386719</v>
      </c>
      <c r="E39" s="54">
        <v>39.080997467041023</v>
      </c>
      <c r="F39" s="54">
        <v>39.436958312988281</v>
      </c>
      <c r="G39" s="54">
        <v>40.070713043212891</v>
      </c>
      <c r="H39" s="54">
        <v>40.811344146728523</v>
      </c>
      <c r="I39" s="54">
        <v>41.597332000732422</v>
      </c>
      <c r="J39" s="54">
        <v>42.213569641113281</v>
      </c>
      <c r="K39" s="54">
        <v>42.898159027099609</v>
      </c>
      <c r="L39" s="54">
        <v>43.462482452392578</v>
      </c>
      <c r="M39" s="54">
        <v>44.119152069091797</v>
      </c>
      <c r="N39" s="54">
        <v>44.692489624023438</v>
      </c>
      <c r="O39" s="54">
        <v>45.231426239013672</v>
      </c>
      <c r="P39" s="54">
        <v>45.631031036376953</v>
      </c>
      <c r="Q39" s="54">
        <v>46.006317138671882</v>
      </c>
      <c r="R39" s="54">
        <v>46.357425689697273</v>
      </c>
      <c r="S39" s="54">
        <v>46.693378448486328</v>
      </c>
      <c r="T39" s="54">
        <v>47.029872894287109</v>
      </c>
      <c r="U39" s="54">
        <v>47.334880828857422</v>
      </c>
      <c r="V39" s="54">
        <v>47.60308837890625</v>
      </c>
      <c r="W39" s="54">
        <v>47.844738006591797</v>
      </c>
      <c r="X39" s="54">
        <v>48.087398529052727</v>
      </c>
      <c r="Y39" s="54">
        <v>48.339057922363281</v>
      </c>
      <c r="Z39" s="54">
        <v>48.563983917236328</v>
      </c>
      <c r="AA39" s="54">
        <v>48.781982421875</v>
      </c>
      <c r="AB39" s="54">
        <v>48.988636016845703</v>
      </c>
      <c r="AC39" s="54">
        <v>1.2174794840538411E-2</v>
      </c>
    </row>
    <row r="40" spans="1:29" s="54" customFormat="1" ht="11.65">
      <c r="A40" s="54" t="s">
        <v>62</v>
      </c>
      <c r="B40" s="54" t="s">
        <v>61</v>
      </c>
      <c r="C40" s="54">
        <v>25.075277328491211</v>
      </c>
      <c r="D40" s="54">
        <v>26.4552116394043</v>
      </c>
      <c r="E40" s="54">
        <v>27.429824829101559</v>
      </c>
      <c r="F40" s="54">
        <v>28.387552261352539</v>
      </c>
      <c r="G40" s="54">
        <v>28.303216934204102</v>
      </c>
      <c r="H40" s="54">
        <v>28.24003982543945</v>
      </c>
      <c r="I40" s="54">
        <v>28.17006683349609</v>
      </c>
      <c r="J40" s="54">
        <v>28.112739562988281</v>
      </c>
      <c r="K40" s="54">
        <v>28.470319747924801</v>
      </c>
      <c r="L40" s="54">
        <v>28.707502365112301</v>
      </c>
      <c r="M40" s="54">
        <v>29.030570983886719</v>
      </c>
      <c r="N40" s="54">
        <v>29.292917251586911</v>
      </c>
      <c r="O40" s="54">
        <v>29.583049774169918</v>
      </c>
      <c r="P40" s="54">
        <v>29.853666305541989</v>
      </c>
      <c r="Q40" s="54">
        <v>30.1414680480957</v>
      </c>
      <c r="R40" s="54">
        <v>30.380302429199219</v>
      </c>
      <c r="S40" s="54">
        <v>30.54857063293457</v>
      </c>
      <c r="T40" s="54">
        <v>30.727315902709961</v>
      </c>
      <c r="U40" s="54">
        <v>30.884511947631839</v>
      </c>
      <c r="V40" s="54">
        <v>31.040840148925781</v>
      </c>
      <c r="W40" s="54">
        <v>31.22994422912598</v>
      </c>
      <c r="X40" s="54">
        <v>31.322990417480469</v>
      </c>
      <c r="Y40" s="54">
        <v>31.480367660522461</v>
      </c>
      <c r="Z40" s="54">
        <v>31.584442138671879</v>
      </c>
      <c r="AA40" s="54">
        <v>31.728250503540039</v>
      </c>
      <c r="AB40" s="54">
        <v>31.828353881835941</v>
      </c>
      <c r="AC40" s="54">
        <v>9.5846465300954975E-3</v>
      </c>
    </row>
    <row r="41" spans="1:29" s="54" customFormat="1" ht="11.65">
      <c r="A41" s="54" t="s">
        <v>60</v>
      </c>
      <c r="B41" s="54" t="s">
        <v>59</v>
      </c>
      <c r="C41" s="54">
        <v>23.046724319458011</v>
      </c>
      <c r="D41" s="54">
        <v>23.366916656494141</v>
      </c>
      <c r="E41" s="54">
        <v>23.741962432861332</v>
      </c>
      <c r="F41" s="54">
        <v>24.142061233520511</v>
      </c>
      <c r="G41" s="54">
        <v>24.608076095581051</v>
      </c>
      <c r="H41" s="54">
        <v>25.106426239013668</v>
      </c>
      <c r="I41" s="54">
        <v>25.59792518615723</v>
      </c>
      <c r="J41" s="54">
        <v>26.050151824951168</v>
      </c>
      <c r="K41" s="54">
        <v>26.496255874633789</v>
      </c>
      <c r="L41" s="54">
        <v>26.8241081237793</v>
      </c>
      <c r="M41" s="54">
        <v>27.162517547607418</v>
      </c>
      <c r="N41" s="54">
        <v>27.59315299987793</v>
      </c>
      <c r="O41" s="54">
        <v>28.04970741271973</v>
      </c>
      <c r="P41" s="54">
        <v>28.464939117431641</v>
      </c>
      <c r="Q41" s="54">
        <v>28.865781784057621</v>
      </c>
      <c r="R41" s="54">
        <v>29.215280532836911</v>
      </c>
      <c r="S41" s="54">
        <v>29.52658843994141</v>
      </c>
      <c r="T41" s="54">
        <v>29.89296913146973</v>
      </c>
      <c r="U41" s="54">
        <v>30.138689041137699</v>
      </c>
      <c r="V41" s="54">
        <v>30.426094055175781</v>
      </c>
      <c r="W41" s="54">
        <v>30.680820465087891</v>
      </c>
      <c r="X41" s="54">
        <v>30.96077728271484</v>
      </c>
      <c r="Y41" s="54">
        <v>31.176885604858398</v>
      </c>
      <c r="Z41" s="54">
        <v>31.477340698242191</v>
      </c>
      <c r="AA41" s="54">
        <v>31.782566070556641</v>
      </c>
      <c r="AB41" s="54">
        <v>32.013576507568359</v>
      </c>
      <c r="AC41" s="54">
        <v>1.323223861835454E-2</v>
      </c>
    </row>
    <row r="42" spans="1:29" s="54" customFormat="1" ht="11.65">
      <c r="A42" s="54" t="s">
        <v>58</v>
      </c>
      <c r="B42" s="54" t="s">
        <v>57</v>
      </c>
      <c r="C42" s="54">
        <v>14.74443435668945</v>
      </c>
      <c r="D42" s="54">
        <v>14.79031944274902</v>
      </c>
      <c r="E42" s="54">
        <v>14.84897613525391</v>
      </c>
      <c r="F42" s="54">
        <v>14.92214393615723</v>
      </c>
      <c r="G42" s="54">
        <v>14.98768329620361</v>
      </c>
      <c r="H42" s="54">
        <v>15.040239334106451</v>
      </c>
      <c r="I42" s="54">
        <v>15.08202457427979</v>
      </c>
      <c r="J42" s="54">
        <v>15.128583908081049</v>
      </c>
      <c r="K42" s="54">
        <v>15.18825149536133</v>
      </c>
      <c r="L42" s="54">
        <v>15.244314193725589</v>
      </c>
      <c r="M42" s="54">
        <v>15.34550857543945</v>
      </c>
      <c r="N42" s="54">
        <v>15.45248985290527</v>
      </c>
      <c r="O42" s="54">
        <v>15.56436157226562</v>
      </c>
      <c r="P42" s="54">
        <v>15.64984035491943</v>
      </c>
      <c r="Q42" s="54">
        <v>15.74294948577881</v>
      </c>
      <c r="R42" s="54">
        <v>15.89530658721924</v>
      </c>
      <c r="S42" s="54">
        <v>16.019058227539059</v>
      </c>
      <c r="T42" s="54">
        <v>16.051773071289059</v>
      </c>
      <c r="U42" s="54">
        <v>16.116352081298832</v>
      </c>
      <c r="V42" s="54">
        <v>16.227914810180661</v>
      </c>
      <c r="W42" s="54">
        <v>16.345706939697269</v>
      </c>
      <c r="X42" s="54">
        <v>16.438211441040039</v>
      </c>
      <c r="Y42" s="54">
        <v>16.507389068603519</v>
      </c>
      <c r="Z42" s="54">
        <v>16.614175796508789</v>
      </c>
      <c r="AA42" s="54">
        <v>16.750741958618161</v>
      </c>
      <c r="AB42" s="54">
        <v>16.92460823059082</v>
      </c>
      <c r="AC42" s="54">
        <v>5.5313614531973254E-3</v>
      </c>
    </row>
    <row r="43" spans="1:29" s="54" customFormat="1" ht="11.65">
      <c r="A43" s="54" t="s">
        <v>56</v>
      </c>
      <c r="B43" s="54" t="s">
        <v>55</v>
      </c>
      <c r="C43" s="54">
        <v>12.877437591552731</v>
      </c>
      <c r="D43" s="54">
        <v>12.97559070587158</v>
      </c>
      <c r="E43" s="54">
        <v>13.07593250274658</v>
      </c>
      <c r="F43" s="54">
        <v>13.177327156066889</v>
      </c>
      <c r="G43" s="54">
        <v>13.282180786132811</v>
      </c>
      <c r="H43" s="54">
        <v>13.38814640045166</v>
      </c>
      <c r="I43" s="54">
        <v>13.495779037475589</v>
      </c>
      <c r="J43" s="54">
        <v>13.60288047790527</v>
      </c>
      <c r="K43" s="54">
        <v>13.71363353729248</v>
      </c>
      <c r="L43" s="54">
        <v>13.821150779724119</v>
      </c>
      <c r="M43" s="54">
        <v>13.93429660797119</v>
      </c>
      <c r="N43" s="54">
        <v>14.04417133331299</v>
      </c>
      <c r="O43" s="54">
        <v>14.161393165588381</v>
      </c>
      <c r="P43" s="54">
        <v>14.27102088928223</v>
      </c>
      <c r="Q43" s="54">
        <v>14.378401756286619</v>
      </c>
      <c r="R43" s="54">
        <v>14.471236228942869</v>
      </c>
      <c r="S43" s="54">
        <v>14.58409595489502</v>
      </c>
      <c r="T43" s="54">
        <v>14.68368530273438</v>
      </c>
      <c r="U43" s="54">
        <v>14.786996841430661</v>
      </c>
      <c r="V43" s="54">
        <v>14.891451835632321</v>
      </c>
      <c r="W43" s="54">
        <v>14.98777008056641</v>
      </c>
      <c r="X43" s="54">
        <v>15.09001350402832</v>
      </c>
      <c r="Y43" s="54">
        <v>15.17751502990723</v>
      </c>
      <c r="Z43" s="54">
        <v>15.27238082885742</v>
      </c>
      <c r="AA43" s="54">
        <v>15.369242668151861</v>
      </c>
      <c r="AB43" s="54">
        <v>15.473652839660639</v>
      </c>
      <c r="AC43" s="54">
        <v>7.3735317765473152E-3</v>
      </c>
    </row>
    <row r="44" spans="1:29" s="54" customFormat="1" ht="11.65">
      <c r="A44" s="54" t="s">
        <v>54</v>
      </c>
      <c r="B44" s="54" t="s">
        <v>53</v>
      </c>
      <c r="C44" s="54">
        <v>8.0276918411254883</v>
      </c>
      <c r="D44" s="54">
        <v>8.0779571533203125</v>
      </c>
      <c r="E44" s="54">
        <v>8.1403264999389648</v>
      </c>
      <c r="F44" s="54">
        <v>8.211700439453125</v>
      </c>
      <c r="G44" s="54">
        <v>8.2886276245117188</v>
      </c>
      <c r="H44" s="54">
        <v>8.3707714080810547</v>
      </c>
      <c r="I44" s="54">
        <v>8.4552516937255859</v>
      </c>
      <c r="J44" s="54">
        <v>8.55511474609375</v>
      </c>
      <c r="K44" s="54">
        <v>8.6564598083496094</v>
      </c>
      <c r="L44" s="54">
        <v>8.7536754608154297</v>
      </c>
      <c r="M44" s="54">
        <v>8.8445930480957031</v>
      </c>
      <c r="N44" s="54">
        <v>8.9269018173217773</v>
      </c>
      <c r="O44" s="54">
        <v>9.0023012161254883</v>
      </c>
      <c r="P44" s="54">
        <v>9.0723457336425781</v>
      </c>
      <c r="Q44" s="54">
        <v>9.1370534896850586</v>
      </c>
      <c r="R44" s="54">
        <v>9.1986417770385742</v>
      </c>
      <c r="S44" s="54">
        <v>9.2559843063354492</v>
      </c>
      <c r="T44" s="54">
        <v>9.3104972839355469</v>
      </c>
      <c r="U44" s="54">
        <v>9.3623447418212891</v>
      </c>
      <c r="V44" s="54">
        <v>9.4134120941162109</v>
      </c>
      <c r="W44" s="54">
        <v>9.4649143218994141</v>
      </c>
      <c r="X44" s="54">
        <v>9.5162258148193359</v>
      </c>
      <c r="Y44" s="54">
        <v>9.568115234375</v>
      </c>
      <c r="Z44" s="54">
        <v>9.6208572387695313</v>
      </c>
      <c r="AA44" s="54">
        <v>9.6733169555664063</v>
      </c>
      <c r="AB44" s="54">
        <v>9.7230100631713867</v>
      </c>
      <c r="AC44" s="54">
        <v>7.6933711906401747E-3</v>
      </c>
    </row>
    <row r="45" spans="1:29" s="54" customFormat="1" ht="11.65">
      <c r="B45" s="54" t="s">
        <v>52</v>
      </c>
    </row>
    <row r="46" spans="1:29" s="54" customFormat="1" ht="11.65">
      <c r="A46" s="54" t="s">
        <v>51</v>
      </c>
      <c r="B46" s="54" t="s">
        <v>50</v>
      </c>
      <c r="C46" s="54">
        <v>85.781158447265625</v>
      </c>
      <c r="D46" s="54">
        <v>86.455711364746094</v>
      </c>
      <c r="E46" s="54">
        <v>87.136611938476563</v>
      </c>
      <c r="F46" s="54">
        <v>87.833656311035156</v>
      </c>
      <c r="G46" s="54">
        <v>88.507484436035156</v>
      </c>
      <c r="H46" s="54">
        <v>89.191337585449219</v>
      </c>
      <c r="I46" s="54">
        <v>89.891960144042969</v>
      </c>
      <c r="J46" s="54">
        <v>90.644943237304688</v>
      </c>
      <c r="K46" s="54">
        <v>91.405494689941406</v>
      </c>
      <c r="L46" s="54">
        <v>92.163764953613281</v>
      </c>
      <c r="M46" s="54">
        <v>92.92431640625</v>
      </c>
      <c r="N46" s="54">
        <v>93.685585021972656</v>
      </c>
      <c r="O46" s="54">
        <v>94.442947387695313</v>
      </c>
      <c r="P46" s="54">
        <v>95.21875</v>
      </c>
      <c r="Q46" s="54">
        <v>95.984336853027344</v>
      </c>
      <c r="R46" s="54">
        <v>96.767494201660156</v>
      </c>
      <c r="S46" s="54">
        <v>97.562446594238281</v>
      </c>
      <c r="T46" s="54">
        <v>98.3878173828125</v>
      </c>
      <c r="U46" s="54">
        <v>99.21026611328125</v>
      </c>
      <c r="V46" s="54">
        <v>100.0334396362305</v>
      </c>
      <c r="W46" s="54">
        <v>100.861701965332</v>
      </c>
      <c r="X46" s="54">
        <v>101.6935501098633</v>
      </c>
      <c r="Y46" s="54">
        <v>102.5289993286133</v>
      </c>
      <c r="Z46" s="54">
        <v>103.37109375</v>
      </c>
      <c r="AA46" s="54">
        <v>104.2104187011719</v>
      </c>
      <c r="AB46" s="54">
        <v>105.0508117675781</v>
      </c>
      <c r="AC46" s="54">
        <v>8.1387316998615677E-3</v>
      </c>
    </row>
    <row r="47" spans="1:29" s="54" customFormat="1" ht="11.65">
      <c r="B47" s="54" t="s">
        <v>49</v>
      </c>
    </row>
    <row r="48" spans="1:29" s="51" customFormat="1" ht="11.65">
      <c r="A48" s="51" t="s">
        <v>48</v>
      </c>
      <c r="B48" s="51" t="s">
        <v>47</v>
      </c>
      <c r="C48" s="51">
        <v>3.3770101070404048</v>
      </c>
      <c r="D48" s="51">
        <v>3.380573987960815</v>
      </c>
      <c r="E48" s="51">
        <v>3.3841416835784912</v>
      </c>
      <c r="F48" s="51">
        <v>3.3877131938934331</v>
      </c>
      <c r="G48" s="51">
        <v>3.3912887573242192</v>
      </c>
      <c r="H48" s="51">
        <v>3.394867897033691</v>
      </c>
      <c r="I48" s="51">
        <v>3.398450613021851</v>
      </c>
      <c r="J48" s="51">
        <v>3.4020371437072749</v>
      </c>
      <c r="K48" s="51">
        <v>3.405627965927124</v>
      </c>
      <c r="L48" s="51">
        <v>3.409221887588501</v>
      </c>
      <c r="M48" s="51">
        <v>3.4128198623657231</v>
      </c>
      <c r="N48" s="51">
        <v>3.4164218902587891</v>
      </c>
      <c r="O48" s="51">
        <v>3.4200272560119629</v>
      </c>
      <c r="P48" s="51">
        <v>3.423636913299561</v>
      </c>
      <c r="Q48" s="51">
        <v>3.4272499084472661</v>
      </c>
      <c r="R48" s="51">
        <v>3.430866956710815</v>
      </c>
      <c r="S48" s="51">
        <v>3.43448805809021</v>
      </c>
      <c r="T48" s="51">
        <v>3.438112735748291</v>
      </c>
      <c r="U48" s="51">
        <v>3.441740989685059</v>
      </c>
      <c r="V48" s="51">
        <v>3.4453732967376709</v>
      </c>
      <c r="W48" s="51">
        <v>3.4490096569061279</v>
      </c>
      <c r="X48" s="51">
        <v>3.4526493549346919</v>
      </c>
      <c r="Y48" s="51">
        <v>3.4562933444976811</v>
      </c>
      <c r="Z48" s="51">
        <v>3.459941148757935</v>
      </c>
      <c r="AA48" s="51">
        <v>3.463592529296875</v>
      </c>
      <c r="AB48" s="51">
        <v>3.4672479629516602</v>
      </c>
      <c r="AC48" s="51">
        <v>1.055374545750221E-3</v>
      </c>
    </row>
    <row r="49" spans="1:29" s="60" customFormat="1" ht="11.65">
      <c r="A49" s="60" t="s">
        <v>46</v>
      </c>
      <c r="B49" s="60" t="s">
        <v>45</v>
      </c>
      <c r="C49" s="60">
        <v>4.8766646385192871</v>
      </c>
      <c r="D49" s="60">
        <v>4.8956236839294434</v>
      </c>
      <c r="E49" s="60">
        <v>4.9146566390991211</v>
      </c>
      <c r="F49" s="60">
        <v>4.9337635040283203</v>
      </c>
      <c r="G49" s="60">
        <v>4.9529447555541992</v>
      </c>
      <c r="H49" s="60">
        <v>4.9722003936767578</v>
      </c>
      <c r="I49" s="60">
        <v>4.9915308952331543</v>
      </c>
      <c r="J49" s="60">
        <v>5.0109367370605469</v>
      </c>
      <c r="K49" s="60">
        <v>5.0304179191589364</v>
      </c>
      <c r="L49" s="60">
        <v>5.0499749183654794</v>
      </c>
      <c r="M49" s="60">
        <v>5.0696077346801758</v>
      </c>
      <c r="N49" s="60">
        <v>5.0893168449401864</v>
      </c>
      <c r="O49" s="60">
        <v>5.109102725982666</v>
      </c>
      <c r="P49" s="60">
        <v>5.1289658546447754</v>
      </c>
      <c r="Q49" s="60">
        <v>5.1489062309265137</v>
      </c>
      <c r="R49" s="60">
        <v>5.1689233779907227</v>
      </c>
      <c r="S49" s="60">
        <v>5.1890192031860352</v>
      </c>
      <c r="T49" s="60">
        <v>5.2091922760009766</v>
      </c>
      <c r="U49" s="60">
        <v>5.2294445037841797</v>
      </c>
      <c r="V49" s="60">
        <v>5.2497754096984863</v>
      </c>
      <c r="W49" s="60">
        <v>5.2701849937438956</v>
      </c>
      <c r="X49" s="60">
        <v>5.2906742095947266</v>
      </c>
      <c r="Y49" s="60">
        <v>5.3112425804138184</v>
      </c>
      <c r="Z49" s="60">
        <v>5.3318915367126456</v>
      </c>
      <c r="AA49" s="60">
        <v>5.3526206016540527</v>
      </c>
      <c r="AB49" s="60">
        <v>5.3734297752380371</v>
      </c>
      <c r="AC49" s="60">
        <v>3.8877331451838688E-3</v>
      </c>
    </row>
    <row r="50" spans="1:29" s="51" customFormat="1" ht="11.65"/>
    <row r="51" spans="1:29" s="55" customFormat="1" ht="11.65">
      <c r="B51" s="55" t="s">
        <v>44</v>
      </c>
    </row>
    <row r="52" spans="1:29" s="55" customFormat="1" ht="11.65">
      <c r="B52" s="55" t="s">
        <v>43</v>
      </c>
    </row>
    <row r="53" spans="1:29" s="51" customFormat="1" ht="11.65">
      <c r="A53" s="51" t="s">
        <v>42</v>
      </c>
      <c r="B53" s="51" t="s">
        <v>26</v>
      </c>
      <c r="C53" s="51">
        <v>14.78265285491943</v>
      </c>
      <c r="D53" s="51">
        <v>14.672786712646481</v>
      </c>
      <c r="E53" s="51">
        <v>14.55257034301758</v>
      </c>
      <c r="F53" s="51">
        <v>14.378153800964361</v>
      </c>
      <c r="G53" s="51">
        <v>14.166834831237789</v>
      </c>
      <c r="H53" s="51">
        <v>13.936758041381839</v>
      </c>
      <c r="I53" s="51">
        <v>13.713143348693849</v>
      </c>
      <c r="J53" s="51">
        <v>13.52110004425049</v>
      </c>
      <c r="K53" s="51">
        <v>13.32039260864258</v>
      </c>
      <c r="L53" s="51">
        <v>13.191330909729</v>
      </c>
      <c r="M53" s="51">
        <v>13.04968357086182</v>
      </c>
      <c r="N53" s="51">
        <v>12.87770462036133</v>
      </c>
      <c r="O53" s="51">
        <v>12.704929351806641</v>
      </c>
      <c r="P53" s="51">
        <v>12.556594848632811</v>
      </c>
      <c r="Q53" s="51">
        <v>12.41137599945068</v>
      </c>
      <c r="R53" s="51">
        <v>12.293764114379879</v>
      </c>
      <c r="S53" s="51">
        <v>12.18532180786133</v>
      </c>
      <c r="T53" s="51">
        <v>12.056222915649411</v>
      </c>
      <c r="U53" s="51">
        <v>11.9722785949707</v>
      </c>
      <c r="V53" s="51">
        <v>11.87788105010986</v>
      </c>
      <c r="W53" s="51">
        <v>11.79601383209229</v>
      </c>
      <c r="X53" s="51">
        <v>11.70343112945557</v>
      </c>
      <c r="Y53" s="51">
        <v>11.62683200836182</v>
      </c>
      <c r="Z53" s="51">
        <v>11.521401405334471</v>
      </c>
      <c r="AA53" s="51">
        <v>11.41398334503174</v>
      </c>
      <c r="AB53" s="51">
        <v>11.339187622070311</v>
      </c>
      <c r="AC53" s="51">
        <v>-1.0551527186102531E-2</v>
      </c>
    </row>
    <row r="54" spans="1:29" s="61" customFormat="1" ht="11.65">
      <c r="A54" s="61" t="s">
        <v>41</v>
      </c>
      <c r="B54" s="61" t="s">
        <v>24</v>
      </c>
      <c r="C54" s="61">
        <v>0.87173807621002197</v>
      </c>
      <c r="D54" s="61">
        <v>0.87093132734298706</v>
      </c>
      <c r="E54" s="61">
        <v>0.87818789482116699</v>
      </c>
      <c r="F54" s="61">
        <v>0.87664037942886353</v>
      </c>
      <c r="G54" s="61">
        <v>0.87749767303466797</v>
      </c>
      <c r="H54" s="61">
        <v>0.88306564092636108</v>
      </c>
      <c r="I54" s="61">
        <v>0.88911271095275879</v>
      </c>
      <c r="J54" s="61">
        <v>0.89620500802993774</v>
      </c>
      <c r="K54" s="61">
        <v>0.89951300621032715</v>
      </c>
      <c r="L54" s="61">
        <v>0.90226602554321289</v>
      </c>
      <c r="M54" s="61">
        <v>0.90487778186798096</v>
      </c>
      <c r="N54" s="61">
        <v>0.90814465284347534</v>
      </c>
      <c r="O54" s="61">
        <v>0.91162371635437012</v>
      </c>
      <c r="P54" s="61">
        <v>0.91568571329116821</v>
      </c>
      <c r="Q54" s="61">
        <v>0.92017042636871338</v>
      </c>
      <c r="R54" s="61">
        <v>0.92398661375045776</v>
      </c>
      <c r="S54" s="61">
        <v>0.92461401224136353</v>
      </c>
      <c r="T54" s="61">
        <v>0.92510068416595459</v>
      </c>
      <c r="U54" s="61">
        <v>0.92174756526947021</v>
      </c>
      <c r="V54" s="61">
        <v>0.91824626922607422</v>
      </c>
      <c r="W54" s="61">
        <v>0.91485637426376343</v>
      </c>
      <c r="X54" s="61">
        <v>0.91168874502182007</v>
      </c>
      <c r="Y54" s="61">
        <v>0.91007977724075317</v>
      </c>
      <c r="Z54" s="61">
        <v>0.9075697660446167</v>
      </c>
      <c r="AA54" s="61">
        <v>0.90650737285614014</v>
      </c>
      <c r="AB54" s="61">
        <v>0.90485525131225586</v>
      </c>
      <c r="AC54" s="61">
        <v>1.4925519540442971E-3</v>
      </c>
    </row>
    <row r="55" spans="1:29" s="51" customFormat="1" ht="11.65">
      <c r="A55" s="51" t="s">
        <v>40</v>
      </c>
      <c r="B55" s="51" t="s">
        <v>22</v>
      </c>
      <c r="C55" s="51">
        <v>0.21125321090221411</v>
      </c>
      <c r="D55" s="51">
        <v>0.2125777751207352</v>
      </c>
      <c r="E55" s="51">
        <v>0.21311239898204801</v>
      </c>
      <c r="F55" s="51">
        <v>0.21356642246246341</v>
      </c>
      <c r="G55" s="51">
        <v>0.21372061967849729</v>
      </c>
      <c r="H55" s="51">
        <v>0.21330459415912631</v>
      </c>
      <c r="I55" s="51">
        <v>0.2125259339809418</v>
      </c>
      <c r="J55" s="51">
        <v>0.2113858908414841</v>
      </c>
      <c r="K55" s="51">
        <v>0.210529550909996</v>
      </c>
      <c r="L55" s="51">
        <v>0.20921881496906281</v>
      </c>
      <c r="M55" s="51">
        <v>0.2079777717590332</v>
      </c>
      <c r="N55" s="51">
        <v>0.20681026577949521</v>
      </c>
      <c r="O55" s="51">
        <v>0.2057952135801315</v>
      </c>
      <c r="P55" s="51">
        <v>0.20467029511928561</v>
      </c>
      <c r="Q55" s="51">
        <v>0.20349735021591189</v>
      </c>
      <c r="R55" s="51">
        <v>0.20242221653461459</v>
      </c>
      <c r="S55" s="51">
        <v>0.2011682540178299</v>
      </c>
      <c r="T55" s="51">
        <v>0.1998923122882843</v>
      </c>
      <c r="U55" s="51">
        <v>0.1984139084815979</v>
      </c>
      <c r="V55" s="51">
        <v>0.19695405662059781</v>
      </c>
      <c r="W55" s="51">
        <v>0.19551979005336759</v>
      </c>
      <c r="X55" s="51">
        <v>0.19397272169589999</v>
      </c>
      <c r="Y55" s="51">
        <v>0.19257806241512301</v>
      </c>
      <c r="Z55" s="51">
        <v>0.19098639488220209</v>
      </c>
      <c r="AA55" s="51">
        <v>0.18941181898117071</v>
      </c>
      <c r="AB55" s="51">
        <v>0.18775913119316101</v>
      </c>
      <c r="AC55" s="51">
        <v>-4.7047992491435764E-3</v>
      </c>
    </row>
    <row r="56" spans="1:29" s="51" customFormat="1" ht="11.65">
      <c r="A56" s="51" t="s">
        <v>39</v>
      </c>
      <c r="B56" s="51" t="s">
        <v>20</v>
      </c>
      <c r="C56" s="51">
        <v>5.7669124603271484</v>
      </c>
      <c r="D56" s="51">
        <v>5.7537040710449219</v>
      </c>
      <c r="E56" s="51">
        <v>5.7465977668762207</v>
      </c>
      <c r="F56" s="51">
        <v>5.738800048828125</v>
      </c>
      <c r="G56" s="51">
        <v>5.7239184379577637</v>
      </c>
      <c r="H56" s="51">
        <v>5.7261934280395508</v>
      </c>
      <c r="I56" s="51">
        <v>5.7118630409240723</v>
      </c>
      <c r="J56" s="51">
        <v>5.6941843032836914</v>
      </c>
      <c r="K56" s="51">
        <v>5.6671609878540039</v>
      </c>
      <c r="L56" s="51">
        <v>5.6535649299621582</v>
      </c>
      <c r="M56" s="51">
        <v>5.6457338333129883</v>
      </c>
      <c r="N56" s="51">
        <v>5.6417384147644043</v>
      </c>
      <c r="O56" s="51">
        <v>5.6431646347045898</v>
      </c>
      <c r="P56" s="51">
        <v>5.6475391387939453</v>
      </c>
      <c r="Q56" s="51">
        <v>5.6549801826477051</v>
      </c>
      <c r="R56" s="51">
        <v>5.6678781509399414</v>
      </c>
      <c r="S56" s="51">
        <v>5.6812615394592294</v>
      </c>
      <c r="T56" s="51">
        <v>5.6946039199829102</v>
      </c>
      <c r="U56" s="51">
        <v>5.7042245864868164</v>
      </c>
      <c r="V56" s="51">
        <v>5.7154421806335449</v>
      </c>
      <c r="W56" s="51">
        <v>5.7364435195922852</v>
      </c>
      <c r="X56" s="51">
        <v>5.7605667114257813</v>
      </c>
      <c r="Y56" s="51">
        <v>5.7872738838195801</v>
      </c>
      <c r="Z56" s="51">
        <v>5.8057126998901367</v>
      </c>
      <c r="AA56" s="51">
        <v>5.8257818222045898</v>
      </c>
      <c r="AB56" s="51">
        <v>5.8433365821838379</v>
      </c>
      <c r="AC56" s="51">
        <v>5.2674392697094063E-4</v>
      </c>
    </row>
    <row r="57" spans="1:29" s="51" customFormat="1" ht="11.65">
      <c r="A57" s="51" t="s">
        <v>38</v>
      </c>
      <c r="B57" s="51" t="s">
        <v>18</v>
      </c>
      <c r="C57" s="51">
        <v>4.7797959297895432E-2</v>
      </c>
      <c r="D57" s="51">
        <v>4.8922691494226463E-2</v>
      </c>
      <c r="E57" s="51">
        <v>4.956846684217453E-2</v>
      </c>
      <c r="F57" s="51">
        <v>5.0014670938253403E-2</v>
      </c>
      <c r="G57" s="51">
        <v>5.0306566059589393E-2</v>
      </c>
      <c r="H57" s="51">
        <v>5.0546631217002869E-2</v>
      </c>
      <c r="I57" s="51">
        <v>5.0750255584716797E-2</v>
      </c>
      <c r="J57" s="51">
        <v>5.1031436771154397E-2</v>
      </c>
      <c r="K57" s="51">
        <v>5.1405347883701318E-2</v>
      </c>
      <c r="L57" s="51">
        <v>5.1750045269727707E-2</v>
      </c>
      <c r="M57" s="51">
        <v>5.2312035113573067E-2</v>
      </c>
      <c r="N57" s="51">
        <v>5.287398025393486E-2</v>
      </c>
      <c r="O57" s="51">
        <v>5.3476795554161072E-2</v>
      </c>
      <c r="P57" s="51">
        <v>5.4024282842874527E-2</v>
      </c>
      <c r="Q57" s="51">
        <v>5.4461300373077393E-2</v>
      </c>
      <c r="R57" s="51">
        <v>5.4907094687223428E-2</v>
      </c>
      <c r="S57" s="51">
        <v>5.5303342640399933E-2</v>
      </c>
      <c r="T57" s="51">
        <v>5.5704668164253228E-2</v>
      </c>
      <c r="U57" s="51">
        <v>5.6041281670331948E-2</v>
      </c>
      <c r="V57" s="51">
        <v>5.6408632546663277E-2</v>
      </c>
      <c r="W57" s="51">
        <v>5.6804094463586807E-2</v>
      </c>
      <c r="X57" s="51">
        <v>5.713721364736557E-2</v>
      </c>
      <c r="Y57" s="51">
        <v>5.7507969439029687E-2</v>
      </c>
      <c r="Z57" s="51">
        <v>5.7785686105489731E-2</v>
      </c>
      <c r="AA57" s="51">
        <v>5.804809182882309E-2</v>
      </c>
      <c r="AB57" s="51">
        <v>5.8288902044296258E-2</v>
      </c>
      <c r="AC57" s="51">
        <v>7.9687334735212279E-3</v>
      </c>
    </row>
    <row r="58" spans="1:29" s="51" customFormat="1" ht="11.65">
      <c r="A58" s="51" t="s">
        <v>37</v>
      </c>
      <c r="B58" s="51" t="s">
        <v>16</v>
      </c>
      <c r="C58" s="51">
        <v>0.46892571449279791</v>
      </c>
      <c r="D58" s="51">
        <v>0.45827093720436102</v>
      </c>
      <c r="E58" s="51">
        <v>0.47303974628448492</v>
      </c>
      <c r="F58" s="51">
        <v>0.46332839131355291</v>
      </c>
      <c r="G58" s="51">
        <v>0.45965719223022461</v>
      </c>
      <c r="H58" s="51">
        <v>0.46270060539245611</v>
      </c>
      <c r="I58" s="51">
        <v>0.45084089040756231</v>
      </c>
      <c r="J58" s="51">
        <v>0.45273822546005249</v>
      </c>
      <c r="K58" s="51">
        <v>0.45470461249351501</v>
      </c>
      <c r="L58" s="51">
        <v>0.45341679453849792</v>
      </c>
      <c r="M58" s="51">
        <v>0.4548988938331604</v>
      </c>
      <c r="N58" s="51">
        <v>0.45597618818283081</v>
      </c>
      <c r="O58" s="51">
        <v>0.45770025253295898</v>
      </c>
      <c r="P58" s="51">
        <v>0.45788243412971502</v>
      </c>
      <c r="Q58" s="51">
        <v>0.45880034565925598</v>
      </c>
      <c r="R58" s="51">
        <v>0.45924940705299377</v>
      </c>
      <c r="S58" s="51">
        <v>0.45883017778396612</v>
      </c>
      <c r="T58" s="51">
        <v>0.45740926265716553</v>
      </c>
      <c r="U58" s="51">
        <v>0.45628690719604492</v>
      </c>
      <c r="V58" s="51">
        <v>0.45632943511009222</v>
      </c>
      <c r="W58" s="51">
        <v>0.45608934760093689</v>
      </c>
      <c r="X58" s="51">
        <v>0.45703703165054321</v>
      </c>
      <c r="Y58" s="51">
        <v>0.45972210168838501</v>
      </c>
      <c r="Z58" s="51">
        <v>0.46117040514945978</v>
      </c>
      <c r="AA58" s="51">
        <v>0.45984774827957148</v>
      </c>
      <c r="AB58" s="51">
        <v>0.45883843302726751</v>
      </c>
      <c r="AC58" s="51">
        <v>-8.6947036319473536E-4</v>
      </c>
    </row>
    <row r="59" spans="1:29" s="51" customFormat="1" ht="11.65">
      <c r="A59" s="51" t="s">
        <v>36</v>
      </c>
      <c r="B59" s="51" t="s">
        <v>14</v>
      </c>
      <c r="C59" s="51">
        <v>9.8803624510765076E-2</v>
      </c>
      <c r="D59" s="51">
        <v>9.9316403269767761E-2</v>
      </c>
      <c r="E59" s="51">
        <v>9.8358690738677979E-2</v>
      </c>
      <c r="F59" s="51">
        <v>9.7612865269184113E-2</v>
      </c>
      <c r="G59" s="51">
        <v>9.6659235656261444E-2</v>
      </c>
      <c r="H59" s="51">
        <v>9.6369914710521698E-2</v>
      </c>
      <c r="I59" s="51">
        <v>9.5604360103607178E-2</v>
      </c>
      <c r="J59" s="51">
        <v>9.5185726881027222E-2</v>
      </c>
      <c r="K59" s="51">
        <v>9.4527602195739746E-2</v>
      </c>
      <c r="L59" s="51">
        <v>9.4112463295459747E-2</v>
      </c>
      <c r="M59" s="51">
        <v>9.3649528920650482E-2</v>
      </c>
      <c r="N59" s="51">
        <v>9.3040108680725098E-2</v>
      </c>
      <c r="O59" s="51">
        <v>9.2384010553359985E-2</v>
      </c>
      <c r="P59" s="51">
        <v>9.1701142489910126E-2</v>
      </c>
      <c r="Q59" s="51">
        <v>9.118383377790451E-2</v>
      </c>
      <c r="R59" s="51">
        <v>9.0719491243362427E-2</v>
      </c>
      <c r="S59" s="51">
        <v>9.0371981263160706E-2</v>
      </c>
      <c r="T59" s="51">
        <v>8.9852526783943176E-2</v>
      </c>
      <c r="U59" s="51">
        <v>8.9239902794361115E-2</v>
      </c>
      <c r="V59" s="51">
        <v>8.8577024638652802E-2</v>
      </c>
      <c r="W59" s="51">
        <v>8.7940782308578491E-2</v>
      </c>
      <c r="X59" s="51">
        <v>8.7447844445705414E-2</v>
      </c>
      <c r="Y59" s="51">
        <v>8.7030783295631409E-2</v>
      </c>
      <c r="Z59" s="51">
        <v>8.6401760578155518E-2</v>
      </c>
      <c r="AA59" s="51">
        <v>8.5715189576148987E-2</v>
      </c>
      <c r="AB59" s="51">
        <v>8.5029073059558868E-2</v>
      </c>
      <c r="AC59" s="51">
        <v>-5.9876443946381697E-3</v>
      </c>
    </row>
    <row r="60" spans="1:29" s="51" customFormat="1" ht="11.65">
      <c r="A60" s="51" t="s">
        <v>35</v>
      </c>
      <c r="B60" s="51" t="s">
        <v>12</v>
      </c>
      <c r="C60" s="51">
        <v>0.78167915344238281</v>
      </c>
      <c r="D60" s="51">
        <v>0.7717897891998291</v>
      </c>
      <c r="E60" s="51">
        <v>0.78704750537872314</v>
      </c>
      <c r="F60" s="51">
        <v>0.80376601219177246</v>
      </c>
      <c r="G60" s="51">
        <v>0.81765478849411011</v>
      </c>
      <c r="H60" s="51">
        <v>0.83159327507019043</v>
      </c>
      <c r="I60" s="51">
        <v>0.84471166133880615</v>
      </c>
      <c r="J60" s="51">
        <v>0.8591805100440979</v>
      </c>
      <c r="K60" s="51">
        <v>0.87405824661254883</v>
      </c>
      <c r="L60" s="51">
        <v>0.88922768831253052</v>
      </c>
      <c r="M60" s="51">
        <v>0.9052237868309021</v>
      </c>
      <c r="N60" s="51">
        <v>0.91783034801483154</v>
      </c>
      <c r="O60" s="51">
        <v>0.92754381895065308</v>
      </c>
      <c r="P60" s="51">
        <v>0.93721479177474976</v>
      </c>
      <c r="Q60" s="51">
        <v>0.94565081596374512</v>
      </c>
      <c r="R60" s="51">
        <v>0.95404738187789917</v>
      </c>
      <c r="S60" s="51">
        <v>0.96195065975189209</v>
      </c>
      <c r="T60" s="51">
        <v>0.97087830305099487</v>
      </c>
      <c r="U60" s="51">
        <v>0.9794883131980896</v>
      </c>
      <c r="V60" s="51">
        <v>0.98797017335891724</v>
      </c>
      <c r="W60" s="51">
        <v>0.99751222133636475</v>
      </c>
      <c r="X60" s="51">
        <v>1.0069848299026489</v>
      </c>
      <c r="Y60" s="51">
        <v>1.016484260559082</v>
      </c>
      <c r="Z60" s="51">
        <v>1.025493264198303</v>
      </c>
      <c r="AA60" s="51">
        <v>1.0342476367950439</v>
      </c>
      <c r="AB60" s="51">
        <v>1.0441455841064451</v>
      </c>
      <c r="AC60" s="51">
        <v>1.164770596012943E-2</v>
      </c>
    </row>
    <row r="61" spans="1:29" s="51" customFormat="1" ht="11.65">
      <c r="A61" s="51" t="s">
        <v>34</v>
      </c>
      <c r="B61" s="51" t="s">
        <v>10</v>
      </c>
      <c r="C61" s="51">
        <v>0.2081606388092041</v>
      </c>
      <c r="D61" s="51">
        <v>0.20879322290420529</v>
      </c>
      <c r="E61" s="51">
        <v>0.20794807374477389</v>
      </c>
      <c r="F61" s="51">
        <v>0.20585447549819949</v>
      </c>
      <c r="G61" s="51">
        <v>0.20426417887210849</v>
      </c>
      <c r="H61" s="51">
        <v>0.20314738154411319</v>
      </c>
      <c r="I61" s="51">
        <v>0.20193912088870999</v>
      </c>
      <c r="J61" s="51">
        <v>0.20121459662914279</v>
      </c>
      <c r="K61" s="51">
        <v>0.2007368206977844</v>
      </c>
      <c r="L61" s="51">
        <v>0.20051611959934229</v>
      </c>
      <c r="M61" s="51">
        <v>0.2005653977394104</v>
      </c>
      <c r="N61" s="51">
        <v>0.19998820126056671</v>
      </c>
      <c r="O61" s="51">
        <v>0.19941560924053189</v>
      </c>
      <c r="P61" s="51">
        <v>0.1988051384687424</v>
      </c>
      <c r="Q61" s="51">
        <v>0.19817641377449041</v>
      </c>
      <c r="R61" s="51">
        <v>0.19756390154361719</v>
      </c>
      <c r="S61" s="51">
        <v>0.19679184257984161</v>
      </c>
      <c r="T61" s="51">
        <v>0.1961062550544739</v>
      </c>
      <c r="U61" s="51">
        <v>0.19548013806343079</v>
      </c>
      <c r="V61" s="51">
        <v>0.19485120475292211</v>
      </c>
      <c r="W61" s="51">
        <v>0.19421251118183139</v>
      </c>
      <c r="X61" s="51">
        <v>0.1934712827205658</v>
      </c>
      <c r="Y61" s="51">
        <v>0.19258871674537659</v>
      </c>
      <c r="Z61" s="51">
        <v>0.19167262315750119</v>
      </c>
      <c r="AA61" s="51">
        <v>0.1906729191541672</v>
      </c>
      <c r="AB61" s="51">
        <v>0.18972758948802951</v>
      </c>
      <c r="AC61" s="51">
        <v>-3.701961970928092E-3</v>
      </c>
    </row>
    <row r="62" spans="1:29" s="51" customFormat="1" ht="11.65">
      <c r="A62" s="51" t="s">
        <v>33</v>
      </c>
      <c r="B62" s="51" t="s">
        <v>8</v>
      </c>
      <c r="C62" s="51">
        <v>3.252488374710083</v>
      </c>
      <c r="D62" s="51">
        <v>3.2983648777008061</v>
      </c>
      <c r="E62" s="51">
        <v>3.3249204158782959</v>
      </c>
      <c r="F62" s="51">
        <v>3.3261456489562988</v>
      </c>
      <c r="G62" s="51">
        <v>3.3410756587982182</v>
      </c>
      <c r="H62" s="51">
        <v>3.3669147491455078</v>
      </c>
      <c r="I62" s="51">
        <v>3.3901228904724121</v>
      </c>
      <c r="J62" s="51">
        <v>3.4227406978607182</v>
      </c>
      <c r="K62" s="51">
        <v>3.4578709602355961</v>
      </c>
      <c r="L62" s="51">
        <v>3.5002696514129639</v>
      </c>
      <c r="M62" s="51">
        <v>3.5509955883026119</v>
      </c>
      <c r="N62" s="51">
        <v>3.5867424011230469</v>
      </c>
      <c r="O62" s="51">
        <v>3.6258692741394039</v>
      </c>
      <c r="P62" s="51">
        <v>3.6633789539337158</v>
      </c>
      <c r="Q62" s="51">
        <v>3.6994724273681641</v>
      </c>
      <c r="R62" s="51">
        <v>3.736007452011108</v>
      </c>
      <c r="S62" s="51">
        <v>3.7680318355560298</v>
      </c>
      <c r="T62" s="51">
        <v>3.8030920028686519</v>
      </c>
      <c r="U62" s="51">
        <v>3.8394989967346191</v>
      </c>
      <c r="V62" s="51">
        <v>3.8748385906219478</v>
      </c>
      <c r="W62" s="51">
        <v>3.9100577831268311</v>
      </c>
      <c r="X62" s="51">
        <v>3.9414398670196529</v>
      </c>
      <c r="Y62" s="51">
        <v>3.967918872833252</v>
      </c>
      <c r="Z62" s="51">
        <v>3.994192361831665</v>
      </c>
      <c r="AA62" s="51">
        <v>4.0161323547363281</v>
      </c>
      <c r="AB62" s="51">
        <v>4.0397953987121582</v>
      </c>
      <c r="AC62" s="51">
        <v>8.708649143537972E-3</v>
      </c>
    </row>
    <row r="63" spans="1:29" s="51" customFormat="1" ht="11.65">
      <c r="A63" s="51" t="s">
        <v>32</v>
      </c>
      <c r="B63" s="51" t="s">
        <v>6</v>
      </c>
      <c r="C63" s="51">
        <v>0.44400164484977722</v>
      </c>
      <c r="D63" s="51">
        <v>0.45626935362815862</v>
      </c>
      <c r="E63" s="51">
        <v>0.45697200298309332</v>
      </c>
      <c r="F63" s="51">
        <v>0.45195937156677252</v>
      </c>
      <c r="G63" s="51">
        <v>0.45042768120765692</v>
      </c>
      <c r="H63" s="51">
        <v>0.44871446490287781</v>
      </c>
      <c r="I63" s="51">
        <v>0.44792678952217102</v>
      </c>
      <c r="J63" s="51">
        <v>0.44775637984275818</v>
      </c>
      <c r="K63" s="51">
        <v>0.44764614105224609</v>
      </c>
      <c r="L63" s="51">
        <v>0.44770374894142151</v>
      </c>
      <c r="M63" s="51">
        <v>0.44787532091140753</v>
      </c>
      <c r="N63" s="51">
        <v>0.44821968674659729</v>
      </c>
      <c r="O63" s="51">
        <v>0.44865876436233521</v>
      </c>
      <c r="P63" s="51">
        <v>0.44908794760704041</v>
      </c>
      <c r="Q63" s="51">
        <v>0.44951120018959051</v>
      </c>
      <c r="R63" s="51">
        <v>0.44992825388908392</v>
      </c>
      <c r="S63" s="51">
        <v>0.45034018158912659</v>
      </c>
      <c r="T63" s="51">
        <v>0.45075049996376038</v>
      </c>
      <c r="U63" s="51">
        <v>0.45116147398948669</v>
      </c>
      <c r="V63" s="51">
        <v>0.4515729546546936</v>
      </c>
      <c r="W63" s="51">
        <v>0.45198440551757813</v>
      </c>
      <c r="X63" s="51">
        <v>0.45240002870559692</v>
      </c>
      <c r="Y63" s="51">
        <v>0.45281937718391418</v>
      </c>
      <c r="Z63" s="51">
        <v>0.45324036478996282</v>
      </c>
      <c r="AA63" s="51">
        <v>0.45366585254669189</v>
      </c>
      <c r="AB63" s="51">
        <v>0.45409601926803589</v>
      </c>
      <c r="AC63" s="51">
        <v>8.9962060898307605E-4</v>
      </c>
    </row>
    <row r="64" spans="1:29" s="51" customFormat="1" ht="11.65">
      <c r="A64" s="51" t="s">
        <v>31</v>
      </c>
      <c r="B64" s="51" t="s">
        <v>4</v>
      </c>
      <c r="C64" s="51">
        <v>8.9237295091152191E-2</v>
      </c>
      <c r="D64" s="51">
        <v>8.9304618537425995E-2</v>
      </c>
      <c r="E64" s="51">
        <v>8.9436665177345276E-2</v>
      </c>
      <c r="F64" s="51">
        <v>8.9620940387248993E-2</v>
      </c>
      <c r="G64" s="51">
        <v>8.9835070073604584E-2</v>
      </c>
      <c r="H64" s="51">
        <v>9.0127810835838318E-2</v>
      </c>
      <c r="I64" s="51">
        <v>9.0388968586921692E-2</v>
      </c>
      <c r="J64" s="51">
        <v>9.0646594762802124E-2</v>
      </c>
      <c r="K64" s="51">
        <v>9.087400883436203E-2</v>
      </c>
      <c r="L64" s="51">
        <v>9.1105036437511444E-2</v>
      </c>
      <c r="M64" s="51">
        <v>9.1325826942920685E-2</v>
      </c>
      <c r="N64" s="51">
        <v>9.1503322124481201E-2</v>
      </c>
      <c r="O64" s="51">
        <v>9.1676786541938782E-2</v>
      </c>
      <c r="P64" s="51">
        <v>9.1845586895942688E-2</v>
      </c>
      <c r="Q64" s="51">
        <v>9.200616180896759E-2</v>
      </c>
      <c r="R64" s="51">
        <v>9.2163205146789551E-2</v>
      </c>
      <c r="S64" s="51">
        <v>9.2298410832881927E-2</v>
      </c>
      <c r="T64" s="51">
        <v>9.241379052400589E-2</v>
      </c>
      <c r="U64" s="51">
        <v>9.2506460845470428E-2</v>
      </c>
      <c r="V64" s="51">
        <v>9.2593245208263397E-2</v>
      </c>
      <c r="W64" s="51">
        <v>9.2697024345397949E-2</v>
      </c>
      <c r="X64" s="51">
        <v>9.279979020357132E-2</v>
      </c>
      <c r="Y64" s="51">
        <v>9.2905290424823761E-2</v>
      </c>
      <c r="Z64" s="51">
        <v>9.2984557151794434E-2</v>
      </c>
      <c r="AA64" s="51">
        <v>9.3058086931705475E-2</v>
      </c>
      <c r="AB64" s="51">
        <v>9.3105539679527283E-2</v>
      </c>
      <c r="AC64" s="51">
        <v>1.698826428271349E-3</v>
      </c>
    </row>
    <row r="65" spans="1:29" s="51" customFormat="1" ht="11.65">
      <c r="A65" s="51" t="s">
        <v>30</v>
      </c>
      <c r="B65" s="51" t="s">
        <v>137</v>
      </c>
      <c r="C65" s="51">
        <v>0.73460203409194946</v>
      </c>
      <c r="D65" s="51">
        <v>0.6812559962272644</v>
      </c>
      <c r="E65" s="51">
        <v>0.68428695201873779</v>
      </c>
      <c r="F65" s="51">
        <v>0.67398983240127563</v>
      </c>
      <c r="G65" s="51">
        <v>0.68341696262359619</v>
      </c>
      <c r="H65" s="51">
        <v>0.71255457401275635</v>
      </c>
      <c r="I65" s="51">
        <v>0.7327113151550293</v>
      </c>
      <c r="J65" s="51">
        <v>0.74484390020370483</v>
      </c>
      <c r="K65" s="51">
        <v>0.74981546401977539</v>
      </c>
      <c r="L65" s="51">
        <v>0.75792115926742554</v>
      </c>
      <c r="M65" s="51">
        <v>0.77047121524810791</v>
      </c>
      <c r="N65" s="51">
        <v>0.79358923435211182</v>
      </c>
      <c r="O65" s="51">
        <v>0.82120853662490845</v>
      </c>
      <c r="P65" s="51">
        <v>0.84546816349029541</v>
      </c>
      <c r="Q65" s="51">
        <v>0.87215423583984375</v>
      </c>
      <c r="R65" s="51">
        <v>0.89066064357757568</v>
      </c>
      <c r="S65" s="51">
        <v>0.90670770406723022</v>
      </c>
      <c r="T65" s="51">
        <v>0.92474496364593506</v>
      </c>
      <c r="U65" s="51">
        <v>0.94375729560852051</v>
      </c>
      <c r="V65" s="51">
        <v>0.95782119035720825</v>
      </c>
      <c r="W65" s="51">
        <v>0.96594768762588501</v>
      </c>
      <c r="X65" s="51">
        <v>0.97511273622512817</v>
      </c>
      <c r="Y65" s="51">
        <v>0.98419195413589478</v>
      </c>
      <c r="Z65" s="51">
        <v>0.99279999732971191</v>
      </c>
      <c r="AA65" s="51">
        <v>0.99604660272598267</v>
      </c>
      <c r="AB65" s="51">
        <v>1.001548171043396</v>
      </c>
      <c r="AC65" s="51">
        <v>1.247611947766702E-2</v>
      </c>
    </row>
    <row r="66" spans="1:29" s="51" customFormat="1" ht="11.65">
      <c r="A66" s="51" t="s">
        <v>328</v>
      </c>
      <c r="B66" s="51" t="s">
        <v>2035</v>
      </c>
      <c r="C66" s="51">
        <v>0.59071016311645508</v>
      </c>
      <c r="D66" s="51">
        <v>0.58992117643356323</v>
      </c>
      <c r="E66" s="51">
        <v>0.67366337776184082</v>
      </c>
      <c r="F66" s="51">
        <v>0.72236031293869019</v>
      </c>
      <c r="G66" s="51">
        <v>0.77013206481933594</v>
      </c>
      <c r="H66" s="51">
        <v>0.91109681129455566</v>
      </c>
      <c r="I66" s="51">
        <v>0.97537040710449219</v>
      </c>
      <c r="J66" s="51">
        <v>1.0367476940155029</v>
      </c>
      <c r="K66" s="51">
        <v>1.082817435264587</v>
      </c>
      <c r="L66" s="51">
        <v>1.1590127944946289</v>
      </c>
      <c r="M66" s="51">
        <v>1.2125788927078249</v>
      </c>
      <c r="N66" s="51">
        <v>1.254067182540894</v>
      </c>
      <c r="O66" s="51">
        <v>1.2759807109832759</v>
      </c>
      <c r="P66" s="51">
        <v>1.2974061965942381</v>
      </c>
      <c r="Q66" s="51">
        <v>1.3195188045501709</v>
      </c>
      <c r="R66" s="51">
        <v>1.3403997421264651</v>
      </c>
      <c r="S66" s="51">
        <v>1.3632839918136599</v>
      </c>
      <c r="T66" s="51">
        <v>1.3850599527359011</v>
      </c>
      <c r="U66" s="51">
        <v>1.4068360328674321</v>
      </c>
      <c r="V66" s="51">
        <v>1.431362628936768</v>
      </c>
      <c r="W66" s="51">
        <v>1.450387835502625</v>
      </c>
      <c r="X66" s="51">
        <v>1.4721639156341551</v>
      </c>
      <c r="Y66" s="51">
        <v>1.493939876556396</v>
      </c>
      <c r="Z66" s="51">
        <v>1.507578492164612</v>
      </c>
      <c r="AA66" s="51">
        <v>1.5048278570175171</v>
      </c>
      <c r="AB66" s="51">
        <v>1.5048278570175171</v>
      </c>
      <c r="AC66" s="51">
        <v>3.8112678605402461E-2</v>
      </c>
    </row>
    <row r="67" spans="1:29" s="52" customFormat="1" ht="11.65">
      <c r="A67" s="52" t="s">
        <v>29</v>
      </c>
      <c r="B67" s="52" t="s">
        <v>1</v>
      </c>
      <c r="C67" s="52">
        <v>28.348964691162109</v>
      </c>
      <c r="D67" s="52">
        <v>28.212209701538089</v>
      </c>
      <c r="E67" s="52">
        <v>28.235712051391602</v>
      </c>
      <c r="F67" s="52">
        <v>28.091814041137699</v>
      </c>
      <c r="G67" s="52">
        <v>27.945400238037109</v>
      </c>
      <c r="H67" s="52">
        <v>27.933088302612301</v>
      </c>
      <c r="I67" s="52">
        <v>27.807012557983398</v>
      </c>
      <c r="J67" s="52">
        <v>27.724960327148441</v>
      </c>
      <c r="K67" s="52">
        <v>27.602048873901371</v>
      </c>
      <c r="L67" s="52">
        <v>27.601413726806641</v>
      </c>
      <c r="M67" s="52">
        <v>27.58817100524902</v>
      </c>
      <c r="N67" s="52">
        <v>27.528224945068359</v>
      </c>
      <c r="O67" s="52">
        <v>27.459426879882809</v>
      </c>
      <c r="P67" s="52">
        <v>27.41130447387695</v>
      </c>
      <c r="Q67" s="52">
        <v>27.3709602355957</v>
      </c>
      <c r="R67" s="52">
        <v>27.35369873046875</v>
      </c>
      <c r="S67" s="52">
        <v>27.336275100708011</v>
      </c>
      <c r="T67" s="52">
        <v>27.30183219909668</v>
      </c>
      <c r="U67" s="52">
        <v>27.306962966918949</v>
      </c>
      <c r="V67" s="52">
        <v>27.300846099853519</v>
      </c>
      <c r="W67" s="52">
        <v>27.306467056274411</v>
      </c>
      <c r="X67" s="52">
        <v>27.305656433105469</v>
      </c>
      <c r="Y67" s="52">
        <v>27.321872711181641</v>
      </c>
      <c r="Z67" s="52">
        <v>27.28898811340332</v>
      </c>
      <c r="AA67" s="52">
        <v>27.227949142456051</v>
      </c>
      <c r="AB67" s="52">
        <v>27.20454025268555</v>
      </c>
      <c r="AC67" s="52">
        <v>-1.6469075669147679E-3</v>
      </c>
    </row>
    <row r="68" spans="1:29" s="51" customFormat="1" ht="11.65"/>
    <row r="69" spans="1:29" s="52" customFormat="1" ht="11.65">
      <c r="B69" s="52" t="s">
        <v>28</v>
      </c>
    </row>
    <row r="70" spans="1:29" s="51" customFormat="1" ht="11.65">
      <c r="A70" s="51" t="s">
        <v>27</v>
      </c>
      <c r="B70" s="51" t="s">
        <v>26</v>
      </c>
      <c r="C70" s="51">
        <v>8.0188064575195313</v>
      </c>
      <c r="D70" s="51">
        <v>7.9572339057922363</v>
      </c>
      <c r="E70" s="51">
        <v>7.8907833099365234</v>
      </c>
      <c r="F70" s="51">
        <v>7.7945165634155273</v>
      </c>
      <c r="G70" s="51">
        <v>7.678065299987793</v>
      </c>
      <c r="H70" s="51">
        <v>7.552210807800293</v>
      </c>
      <c r="I70" s="51">
        <v>7.4291677474975586</v>
      </c>
      <c r="J70" s="51">
        <v>7.3238534927368164</v>
      </c>
      <c r="K70" s="51">
        <v>7.2138457298278809</v>
      </c>
      <c r="L70" s="51">
        <v>7.1427264213562012</v>
      </c>
      <c r="M70" s="51">
        <v>7.0646295547485352</v>
      </c>
      <c r="N70" s="51">
        <v>6.969789981842041</v>
      </c>
      <c r="O70" s="51">
        <v>6.874443531036377</v>
      </c>
      <c r="P70" s="51">
        <v>6.792360782623291</v>
      </c>
      <c r="Q70" s="51">
        <v>6.712010383605957</v>
      </c>
      <c r="R70" s="51">
        <v>6.6467266082763672</v>
      </c>
      <c r="S70" s="51">
        <v>6.5864238739013672</v>
      </c>
      <c r="T70" s="51">
        <v>6.5149683952331543</v>
      </c>
      <c r="U70" s="51">
        <v>6.4681167602539063</v>
      </c>
      <c r="V70" s="51">
        <v>6.4156465530395508</v>
      </c>
      <c r="W70" s="51">
        <v>6.3699350357055664</v>
      </c>
      <c r="X70" s="51">
        <v>6.3185324668884277</v>
      </c>
      <c r="Y70" s="51">
        <v>6.2759604454040527</v>
      </c>
      <c r="Z70" s="51">
        <v>6.2177872657775879</v>
      </c>
      <c r="AA70" s="51">
        <v>6.1583681106567383</v>
      </c>
      <c r="AB70" s="51">
        <v>6.1167769432067871</v>
      </c>
      <c r="AC70" s="51">
        <v>-1.077173586286528E-2</v>
      </c>
    </row>
    <row r="71" spans="1:29" s="51" customFormat="1" ht="11.65">
      <c r="A71" s="51" t="s">
        <v>25</v>
      </c>
      <c r="B71" s="51" t="s">
        <v>24</v>
      </c>
      <c r="C71" s="51">
        <v>0.44233489036560059</v>
      </c>
      <c r="D71" s="51">
        <v>0.44080159068107599</v>
      </c>
      <c r="E71" s="51">
        <v>0.44447046518325811</v>
      </c>
      <c r="F71" s="51">
        <v>0.44565102458000178</v>
      </c>
      <c r="G71" s="51">
        <v>0.4464954137802124</v>
      </c>
      <c r="H71" s="51">
        <v>0.44873878359794622</v>
      </c>
      <c r="I71" s="51">
        <v>0.45027503371238708</v>
      </c>
      <c r="J71" s="51">
        <v>0.45223477482795721</v>
      </c>
      <c r="K71" s="51">
        <v>0.45312771201133728</v>
      </c>
      <c r="L71" s="51">
        <v>0.45451304316520691</v>
      </c>
      <c r="M71" s="51">
        <v>0.45594921708106989</v>
      </c>
      <c r="N71" s="51">
        <v>0.45758149027824402</v>
      </c>
      <c r="O71" s="51">
        <v>0.45939710736274719</v>
      </c>
      <c r="P71" s="51">
        <v>0.46196532249450678</v>
      </c>
      <c r="Q71" s="51">
        <v>0.46444025635719299</v>
      </c>
      <c r="R71" s="51">
        <v>0.46704712510108948</v>
      </c>
      <c r="S71" s="51">
        <v>0.46851280331611628</v>
      </c>
      <c r="T71" s="51">
        <v>0.47014454007148743</v>
      </c>
      <c r="U71" s="51">
        <v>0.46996703743934631</v>
      </c>
      <c r="V71" s="51">
        <v>0.46954095363616938</v>
      </c>
      <c r="W71" s="51">
        <v>0.46969220042228699</v>
      </c>
      <c r="X71" s="51">
        <v>0.46949049830436712</v>
      </c>
      <c r="Y71" s="51">
        <v>0.46953299641609192</v>
      </c>
      <c r="Z71" s="51">
        <v>0.46869206428527832</v>
      </c>
      <c r="AA71" s="51">
        <v>0.46819952130317688</v>
      </c>
      <c r="AB71" s="51">
        <v>0.46743589639663702</v>
      </c>
      <c r="AC71" s="51">
        <v>2.2102371256809139E-3</v>
      </c>
    </row>
    <row r="72" spans="1:29" s="51" customFormat="1" ht="11.65">
      <c r="A72" s="51" t="s">
        <v>23</v>
      </c>
      <c r="B72" s="51" t="s">
        <v>22</v>
      </c>
      <c r="C72" s="51">
        <v>0.1048036366701126</v>
      </c>
      <c r="D72" s="51">
        <v>0.1054425835609436</v>
      </c>
      <c r="E72" s="51">
        <v>0.1056176051497459</v>
      </c>
      <c r="F72" s="51">
        <v>0.1058433651924133</v>
      </c>
      <c r="G72" s="51">
        <v>0.10585795342922211</v>
      </c>
      <c r="H72" s="51">
        <v>0.105626605451107</v>
      </c>
      <c r="I72" s="51">
        <v>0.1051973849534988</v>
      </c>
      <c r="J72" s="51">
        <v>0.10459212958812709</v>
      </c>
      <c r="K72" s="51">
        <v>0.10414810478687291</v>
      </c>
      <c r="L72" s="51">
        <v>0.1034700870513916</v>
      </c>
      <c r="M72" s="51">
        <v>0.10286349058151251</v>
      </c>
      <c r="N72" s="51">
        <v>0.1022682711482048</v>
      </c>
      <c r="O72" s="51">
        <v>0.10172811895608901</v>
      </c>
      <c r="P72" s="51">
        <v>0.1011715605854988</v>
      </c>
      <c r="Q72" s="51">
        <v>0.1005691811442375</v>
      </c>
      <c r="R72" s="51">
        <v>0.1000165939331055</v>
      </c>
      <c r="S72" s="51">
        <v>9.938957542181015E-2</v>
      </c>
      <c r="T72" s="51">
        <v>9.8738163709640503E-2</v>
      </c>
      <c r="U72" s="51">
        <v>9.7992077469825745E-2</v>
      </c>
      <c r="V72" s="51">
        <v>9.7241796553134918E-2</v>
      </c>
      <c r="W72" s="51">
        <v>9.6502169966697693E-2</v>
      </c>
      <c r="X72" s="51">
        <v>9.5720298588275909E-2</v>
      </c>
      <c r="Y72" s="51">
        <v>9.5010094344615936E-2</v>
      </c>
      <c r="Z72" s="51">
        <v>9.4205133616924286E-2</v>
      </c>
      <c r="AA72" s="51">
        <v>9.3410879373550415E-2</v>
      </c>
      <c r="AB72" s="51">
        <v>9.2576004564762115E-2</v>
      </c>
      <c r="AC72" s="51">
        <v>-4.9500477022262901E-3</v>
      </c>
    </row>
    <row r="73" spans="1:29" s="51" customFormat="1" ht="11.65">
      <c r="A73" s="51" t="s">
        <v>21</v>
      </c>
      <c r="B73" s="51" t="s">
        <v>20</v>
      </c>
      <c r="C73" s="51">
        <v>2.7760546207427979</v>
      </c>
      <c r="D73" s="51">
        <v>2.7692821025848389</v>
      </c>
      <c r="E73" s="51">
        <v>2.765782356262207</v>
      </c>
      <c r="F73" s="51">
        <v>2.7624223232269292</v>
      </c>
      <c r="G73" s="51">
        <v>2.7557718753814702</v>
      </c>
      <c r="H73" s="51">
        <v>2.7576174736022949</v>
      </c>
      <c r="I73" s="51">
        <v>2.7515203952789311</v>
      </c>
      <c r="J73" s="51">
        <v>2.7440416812896729</v>
      </c>
      <c r="K73" s="51">
        <v>2.7321887016296391</v>
      </c>
      <c r="L73" s="51">
        <v>2.7269878387451172</v>
      </c>
      <c r="M73" s="51">
        <v>2.7246050834655762</v>
      </c>
      <c r="N73" s="51">
        <v>2.7242097854614258</v>
      </c>
      <c r="O73" s="51">
        <v>2.7265362739562988</v>
      </c>
      <c r="P73" s="51">
        <v>2.7303962707519531</v>
      </c>
      <c r="Q73" s="51">
        <v>2.735800981521606</v>
      </c>
      <c r="R73" s="51">
        <v>2.7437305450439449</v>
      </c>
      <c r="S73" s="51">
        <v>2.751366138458252</v>
      </c>
      <c r="T73" s="51">
        <v>2.758200883865356</v>
      </c>
      <c r="U73" s="51">
        <v>2.7624449729919429</v>
      </c>
      <c r="V73" s="51">
        <v>2.7666020393371582</v>
      </c>
      <c r="W73" s="51">
        <v>2.7746748924255371</v>
      </c>
      <c r="X73" s="51">
        <v>2.7839417457580571</v>
      </c>
      <c r="Y73" s="51">
        <v>2.794122457504272</v>
      </c>
      <c r="Z73" s="51">
        <v>2.799988746643066</v>
      </c>
      <c r="AA73" s="51">
        <v>2.8064959049224849</v>
      </c>
      <c r="AB73" s="51">
        <v>2.8116884231567378</v>
      </c>
      <c r="AC73" s="51">
        <v>5.1030803176121964E-4</v>
      </c>
    </row>
    <row r="74" spans="1:29" s="51" customFormat="1" ht="11.65">
      <c r="A74" s="51" t="s">
        <v>19</v>
      </c>
      <c r="B74" s="51" t="s">
        <v>18</v>
      </c>
      <c r="C74" s="51">
        <v>2.2625727578997609E-2</v>
      </c>
      <c r="D74" s="51">
        <v>2.315527014434338E-2</v>
      </c>
      <c r="E74" s="51">
        <v>2.3459577932953831E-2</v>
      </c>
      <c r="F74" s="51">
        <v>2.367060445249081E-2</v>
      </c>
      <c r="G74" s="51">
        <v>2.380834519863129E-2</v>
      </c>
      <c r="H74" s="51">
        <v>2.3922039195895198E-2</v>
      </c>
      <c r="I74" s="51">
        <v>2.401788346469402E-2</v>
      </c>
      <c r="J74" s="51">
        <v>2.4150697514414791E-2</v>
      </c>
      <c r="K74" s="51">
        <v>2.4327559396624569E-2</v>
      </c>
      <c r="L74" s="51">
        <v>2.44908481836319E-2</v>
      </c>
      <c r="M74" s="51">
        <v>2.4756591767072681E-2</v>
      </c>
      <c r="N74" s="51">
        <v>2.5022596120834351E-2</v>
      </c>
      <c r="O74" s="51">
        <v>2.530781552195549E-2</v>
      </c>
      <c r="P74" s="51">
        <v>2.5566881522536281E-2</v>
      </c>
      <c r="Q74" s="51">
        <v>2.5773672387003899E-2</v>
      </c>
      <c r="R74" s="51">
        <v>2.5984678417444229E-2</v>
      </c>
      <c r="S74" s="51">
        <v>2.6172131299972531E-2</v>
      </c>
      <c r="T74" s="51">
        <v>2.6362001895904541E-2</v>
      </c>
      <c r="U74" s="51">
        <v>2.6521248742938042E-2</v>
      </c>
      <c r="V74" s="51">
        <v>2.669521048665047E-2</v>
      </c>
      <c r="W74" s="51">
        <v>2.6882113888859749E-2</v>
      </c>
      <c r="X74" s="51">
        <v>2.703977003693581E-2</v>
      </c>
      <c r="Y74" s="51">
        <v>2.7215193957090381E-2</v>
      </c>
      <c r="Z74" s="51">
        <v>2.7346642687916759E-2</v>
      </c>
      <c r="AA74" s="51">
        <v>2.7470940724015239E-2</v>
      </c>
      <c r="AB74" s="51">
        <v>2.7584932744503021E-2</v>
      </c>
      <c r="AC74" s="51">
        <v>7.9587865496704158E-3</v>
      </c>
    </row>
    <row r="75" spans="1:29" s="51" customFormat="1" ht="11.65">
      <c r="A75" s="51" t="s">
        <v>17</v>
      </c>
      <c r="B75" s="51" t="s">
        <v>16</v>
      </c>
      <c r="C75" s="51">
        <v>0.2224653214216232</v>
      </c>
      <c r="D75" s="51">
        <v>0.21736268699169159</v>
      </c>
      <c r="E75" s="51">
        <v>0.2243488430976868</v>
      </c>
      <c r="F75" s="51">
        <v>0.21974918246269229</v>
      </c>
      <c r="G75" s="51">
        <v>0.21800814568996429</v>
      </c>
      <c r="H75" s="51">
        <v>0.21946051716804499</v>
      </c>
      <c r="I75" s="51">
        <v>0.2138301879167557</v>
      </c>
      <c r="J75" s="51">
        <v>0.21472841501235959</v>
      </c>
      <c r="K75" s="51">
        <v>0.21566139161586759</v>
      </c>
      <c r="L75" s="51">
        <v>0.21505545079708099</v>
      </c>
      <c r="M75" s="51">
        <v>0.2157563716173172</v>
      </c>
      <c r="N75" s="51">
        <v>0.21627002954483029</v>
      </c>
      <c r="O75" s="51">
        <v>0.2170883119106293</v>
      </c>
      <c r="P75" s="51">
        <v>0.21717579662799841</v>
      </c>
      <c r="Q75" s="51">
        <v>0.21761190891265869</v>
      </c>
      <c r="R75" s="51">
        <v>0.2178266495466232</v>
      </c>
      <c r="S75" s="51">
        <v>0.21762724220752719</v>
      </c>
      <c r="T75" s="51">
        <v>0.2169527858495712</v>
      </c>
      <c r="U75" s="51">
        <v>0.2164197713136673</v>
      </c>
      <c r="V75" s="51">
        <v>0.2164423018693924</v>
      </c>
      <c r="W75" s="51">
        <v>0.21632446348667139</v>
      </c>
      <c r="X75" s="51">
        <v>0.2167742848396301</v>
      </c>
      <c r="Y75" s="51">
        <v>0.2180473655462265</v>
      </c>
      <c r="Z75" s="51">
        <v>0.2187344431877136</v>
      </c>
      <c r="AA75" s="51">
        <v>0.21810892224311829</v>
      </c>
      <c r="AB75" s="51">
        <v>0.21763066947460169</v>
      </c>
      <c r="AC75" s="51">
        <v>-8.7848515990041065E-4</v>
      </c>
    </row>
    <row r="76" spans="1:29" s="51" customFormat="1" ht="11.65">
      <c r="A76" s="51" t="s">
        <v>15</v>
      </c>
      <c r="B76" s="51" t="s">
        <v>14</v>
      </c>
      <c r="C76" s="51">
        <v>4.6816471964120858E-2</v>
      </c>
      <c r="D76" s="51">
        <v>4.7051966190338128E-2</v>
      </c>
      <c r="E76" s="51">
        <v>4.6596787869930267E-2</v>
      </c>
      <c r="F76" s="51">
        <v>4.624706506729126E-2</v>
      </c>
      <c r="G76" s="51">
        <v>4.5797593891620643E-2</v>
      </c>
      <c r="H76" s="51">
        <v>4.5664768666028983E-2</v>
      </c>
      <c r="I76" s="51">
        <v>4.5303460210561752E-2</v>
      </c>
      <c r="J76" s="51">
        <v>4.510720819234848E-2</v>
      </c>
      <c r="K76" s="51">
        <v>4.4797927141189582E-2</v>
      </c>
      <c r="L76" s="51">
        <v>4.4604618102312088E-2</v>
      </c>
      <c r="M76" s="51">
        <v>4.4387146830558777E-2</v>
      </c>
      <c r="N76" s="51">
        <v>4.4100858271121979E-2</v>
      </c>
      <c r="O76" s="51">
        <v>4.3792176991701133E-2</v>
      </c>
      <c r="P76" s="51">
        <v>4.3471209704875953E-2</v>
      </c>
      <c r="Q76" s="51">
        <v>4.322882741689682E-2</v>
      </c>
      <c r="R76" s="51">
        <v>4.3011356145143509E-2</v>
      </c>
      <c r="S76" s="51">
        <v>4.2846288532018661E-2</v>
      </c>
      <c r="T76" s="51">
        <v>4.2599707841873169E-2</v>
      </c>
      <c r="U76" s="51">
        <v>4.2308907955884927E-2</v>
      </c>
      <c r="V76" s="51">
        <v>4.1994843631982803E-2</v>
      </c>
      <c r="W76" s="51">
        <v>4.1692208498716347E-2</v>
      </c>
      <c r="X76" s="51">
        <v>4.1458301246166229E-2</v>
      </c>
      <c r="Y76" s="51">
        <v>4.1260216385126107E-2</v>
      </c>
      <c r="Z76" s="51">
        <v>4.096173495054245E-2</v>
      </c>
      <c r="AA76" s="51">
        <v>4.0636256337165833E-2</v>
      </c>
      <c r="AB76" s="51">
        <v>4.0310725569725037E-2</v>
      </c>
      <c r="AC76" s="51">
        <v>-5.9668285211313954E-3</v>
      </c>
    </row>
    <row r="77" spans="1:29" s="51" customFormat="1" ht="11.65">
      <c r="A77" s="51" t="s">
        <v>13</v>
      </c>
      <c r="B77" s="51" t="s">
        <v>12</v>
      </c>
      <c r="C77" s="51">
        <v>0.34950616955757141</v>
      </c>
      <c r="D77" s="51">
        <v>0.34549269080162048</v>
      </c>
      <c r="E77" s="51">
        <v>0.35216295719146729</v>
      </c>
      <c r="F77" s="51">
        <v>0.35926401615142822</v>
      </c>
      <c r="G77" s="51">
        <v>0.36564821004867548</v>
      </c>
      <c r="H77" s="51">
        <v>0.37202993035316467</v>
      </c>
      <c r="I77" s="51">
        <v>0.37815490365028381</v>
      </c>
      <c r="J77" s="51">
        <v>0.38472211360931402</v>
      </c>
      <c r="K77" s="51">
        <v>0.3914191722869873</v>
      </c>
      <c r="L77" s="51">
        <v>0.39824897050857538</v>
      </c>
      <c r="M77" s="51">
        <v>0.40551874041557312</v>
      </c>
      <c r="N77" s="51">
        <v>0.41119351983070368</v>
      </c>
      <c r="O77" s="51">
        <v>0.41557487845420837</v>
      </c>
      <c r="P77" s="51">
        <v>0.41993391513824457</v>
      </c>
      <c r="Q77" s="51">
        <v>0.42373549938201899</v>
      </c>
      <c r="R77" s="51">
        <v>0.42755541205406189</v>
      </c>
      <c r="S77" s="51">
        <v>0.43115407228469849</v>
      </c>
      <c r="T77" s="51">
        <v>0.43511980772018433</v>
      </c>
      <c r="U77" s="51">
        <v>0.43892526626586909</v>
      </c>
      <c r="V77" s="51">
        <v>0.44268956780433649</v>
      </c>
      <c r="W77" s="51">
        <v>0.44693005084991461</v>
      </c>
      <c r="X77" s="51">
        <v>0.45116192102432251</v>
      </c>
      <c r="Y77" s="51">
        <v>0.45542547106742859</v>
      </c>
      <c r="Z77" s="51">
        <v>0.4594649076461792</v>
      </c>
      <c r="AA77" s="51">
        <v>0.46336928009986877</v>
      </c>
      <c r="AB77" s="51">
        <v>0.46779629588127142</v>
      </c>
      <c r="AC77" s="51">
        <v>1.172871715453838E-2</v>
      </c>
    </row>
    <row r="78" spans="1:29" s="51" customFormat="1" ht="11.65">
      <c r="A78" s="51" t="s">
        <v>11</v>
      </c>
      <c r="B78" s="51" t="s">
        <v>10</v>
      </c>
      <c r="C78" s="51">
        <v>0.1129723116755486</v>
      </c>
      <c r="D78" s="51">
        <v>0.1133420690894127</v>
      </c>
      <c r="E78" s="51">
        <v>0.1129100546240807</v>
      </c>
      <c r="F78" s="51">
        <v>0.1117998063564301</v>
      </c>
      <c r="G78" s="51">
        <v>0.1109623610973358</v>
      </c>
      <c r="H78" s="51">
        <v>0.1103817671537399</v>
      </c>
      <c r="I78" s="51">
        <v>0.10975115746259689</v>
      </c>
      <c r="J78" s="51">
        <v>0.1093831956386566</v>
      </c>
      <c r="K78" s="51">
        <v>0.1091492399573326</v>
      </c>
      <c r="L78" s="51">
        <v>0.1090549603104591</v>
      </c>
      <c r="M78" s="51">
        <v>0.10910752415657041</v>
      </c>
      <c r="N78" s="51">
        <v>0.1088153049349785</v>
      </c>
      <c r="O78" s="51">
        <v>0.10852546989917761</v>
      </c>
      <c r="P78" s="51">
        <v>0.1082140952348709</v>
      </c>
      <c r="Q78" s="51">
        <v>0.1078925132751465</v>
      </c>
      <c r="R78" s="51">
        <v>0.1075796484947205</v>
      </c>
      <c r="S78" s="51">
        <v>0.1071779727935791</v>
      </c>
      <c r="T78" s="51">
        <v>0.1068235710263252</v>
      </c>
      <c r="U78" s="51">
        <v>0.1065013632178307</v>
      </c>
      <c r="V78" s="51">
        <v>0.1061772927641869</v>
      </c>
      <c r="W78" s="51">
        <v>0.1058477237820625</v>
      </c>
      <c r="X78" s="51">
        <v>0.105462059378624</v>
      </c>
      <c r="Y78" s="51">
        <v>0.10499927401542659</v>
      </c>
      <c r="Z78" s="51">
        <v>0.1045183688402176</v>
      </c>
      <c r="AA78" s="51">
        <v>0.1039917543530464</v>
      </c>
      <c r="AB78" s="51">
        <v>0.10349432379007339</v>
      </c>
      <c r="AC78" s="51">
        <v>-3.4989041460389281E-3</v>
      </c>
    </row>
    <row r="79" spans="1:29" s="51" customFormat="1" ht="11.65">
      <c r="A79" s="51" t="s">
        <v>9</v>
      </c>
      <c r="B79" s="51" t="s">
        <v>8</v>
      </c>
      <c r="C79" s="51">
        <v>1.5729249715805049</v>
      </c>
      <c r="D79" s="51">
        <v>1.5950947999954219</v>
      </c>
      <c r="E79" s="51">
        <v>1.607928872108459</v>
      </c>
      <c r="F79" s="51">
        <v>1.608523488044739</v>
      </c>
      <c r="G79" s="51">
        <v>1.615740180015564</v>
      </c>
      <c r="H79" s="51">
        <v>1.6282283067703249</v>
      </c>
      <c r="I79" s="51">
        <v>1.6394450664520259</v>
      </c>
      <c r="J79" s="51">
        <v>1.6552087068557739</v>
      </c>
      <c r="K79" s="51">
        <v>1.6721863746643071</v>
      </c>
      <c r="L79" s="51">
        <v>1.6926760673522949</v>
      </c>
      <c r="M79" s="51">
        <v>1.7171895503997801</v>
      </c>
      <c r="N79" s="51">
        <v>1.7344644069671631</v>
      </c>
      <c r="O79" s="51">
        <v>1.75337278842926</v>
      </c>
      <c r="P79" s="51">
        <v>1.7714997529983521</v>
      </c>
      <c r="Q79" s="51">
        <v>1.7889424562454219</v>
      </c>
      <c r="R79" s="51">
        <v>1.806598305702209</v>
      </c>
      <c r="S79" s="51">
        <v>1.8220746517181401</v>
      </c>
      <c r="T79" s="51">
        <v>1.8390176296234131</v>
      </c>
      <c r="U79" s="51">
        <v>1.856611490249634</v>
      </c>
      <c r="V79" s="51">
        <v>1.873689651489258</v>
      </c>
      <c r="W79" s="51">
        <v>1.890709400177002</v>
      </c>
      <c r="X79" s="51">
        <v>1.9058752059936519</v>
      </c>
      <c r="Y79" s="51">
        <v>1.9186719655990601</v>
      </c>
      <c r="Z79" s="51">
        <v>1.931369423866272</v>
      </c>
      <c r="AA79" s="51">
        <v>1.941972970962524</v>
      </c>
      <c r="AB79" s="51">
        <v>1.95340895652771</v>
      </c>
      <c r="AC79" s="51">
        <v>8.7032188423932233E-3</v>
      </c>
    </row>
    <row r="80" spans="1:29" s="51" customFormat="1" ht="11.65">
      <c r="A80" s="51" t="s">
        <v>7</v>
      </c>
      <c r="B80" s="51" t="s">
        <v>6</v>
      </c>
      <c r="C80" s="51">
        <v>0.21353420615196231</v>
      </c>
      <c r="D80" s="51">
        <v>0.2194218635559082</v>
      </c>
      <c r="E80" s="51">
        <v>0.21975509822368619</v>
      </c>
      <c r="F80" s="51">
        <v>0.21734607219696039</v>
      </c>
      <c r="G80" s="51">
        <v>0.21660955250263211</v>
      </c>
      <c r="H80" s="51">
        <v>0.21578788757324219</v>
      </c>
      <c r="I80" s="51">
        <v>0.21540774405002591</v>
      </c>
      <c r="J80" s="51">
        <v>0.21532538533210749</v>
      </c>
      <c r="K80" s="51">
        <v>0.21527248620986941</v>
      </c>
      <c r="L80" s="51">
        <v>0.21530140936374659</v>
      </c>
      <c r="M80" s="51">
        <v>0.21538341045379639</v>
      </c>
      <c r="N80" s="51">
        <v>0.2155496925115585</v>
      </c>
      <c r="O80" s="51">
        <v>0.21576099097728729</v>
      </c>
      <c r="P80" s="51">
        <v>0.2159676402807236</v>
      </c>
      <c r="Q80" s="51">
        <v>0.21617136895656591</v>
      </c>
      <c r="R80" s="51">
        <v>0.2163723707199097</v>
      </c>
      <c r="S80" s="51">
        <v>0.21657031774520871</v>
      </c>
      <c r="T80" s="51">
        <v>0.21676753461360929</v>
      </c>
      <c r="U80" s="51">
        <v>0.2169649749994278</v>
      </c>
      <c r="V80" s="51">
        <v>0.21716348826885221</v>
      </c>
      <c r="W80" s="51">
        <v>0.2173603177070618</v>
      </c>
      <c r="X80" s="51">
        <v>0.21756027638912201</v>
      </c>
      <c r="Y80" s="51">
        <v>0.21776182949542999</v>
      </c>
      <c r="Z80" s="51">
        <v>0.21796433627605441</v>
      </c>
      <c r="AA80" s="51">
        <v>0.21816942095756531</v>
      </c>
      <c r="AB80" s="51">
        <v>0.21837641298770899</v>
      </c>
      <c r="AC80" s="51">
        <v>8.9733047607021277E-4</v>
      </c>
    </row>
    <row r="81" spans="1:29" s="51" customFormat="1" ht="11.65">
      <c r="A81" s="51" t="s">
        <v>5</v>
      </c>
      <c r="B81" s="51" t="s">
        <v>4</v>
      </c>
      <c r="C81" s="51">
        <v>4.2152710258960717E-2</v>
      </c>
      <c r="D81" s="51">
        <v>4.2184509336948388E-2</v>
      </c>
      <c r="E81" s="51">
        <v>4.2246885597705841E-2</v>
      </c>
      <c r="F81" s="51">
        <v>4.2333930730819702E-2</v>
      </c>
      <c r="G81" s="51">
        <v>4.243507981300354E-2</v>
      </c>
      <c r="H81" s="51">
        <v>4.2573362588882453E-2</v>
      </c>
      <c r="I81" s="51">
        <v>4.2696721851825707E-2</v>
      </c>
      <c r="J81" s="51">
        <v>4.2818415910005569E-2</v>
      </c>
      <c r="K81" s="51">
        <v>4.2925838381052017E-2</v>
      </c>
      <c r="L81" s="51">
        <v>4.3034970760345459E-2</v>
      </c>
      <c r="M81" s="51">
        <v>4.31392602622509E-2</v>
      </c>
      <c r="N81" s="51">
        <v>4.3223105370998383E-2</v>
      </c>
      <c r="O81" s="51">
        <v>4.3305043131113052E-2</v>
      </c>
      <c r="P81" s="51">
        <v>4.3384779244661331E-2</v>
      </c>
      <c r="Q81" s="51">
        <v>4.3460629880428307E-2</v>
      </c>
      <c r="R81" s="51">
        <v>4.3534811586141593E-2</v>
      </c>
      <c r="S81" s="51">
        <v>4.3598677963018417E-2</v>
      </c>
      <c r="T81" s="51">
        <v>4.3653182685375207E-2</v>
      </c>
      <c r="U81" s="51">
        <v>4.3696954846382141E-2</v>
      </c>
      <c r="V81" s="51">
        <v>4.3737947940826423E-2</v>
      </c>
      <c r="W81" s="51">
        <v>4.3786972761154168E-2</v>
      </c>
      <c r="X81" s="51">
        <v>4.3835513293743127E-2</v>
      </c>
      <c r="Y81" s="51">
        <v>4.3885350227355957E-2</v>
      </c>
      <c r="Z81" s="51">
        <v>4.3922789394855499E-2</v>
      </c>
      <c r="AA81" s="51">
        <v>4.3957524001598358E-2</v>
      </c>
      <c r="AB81" s="51">
        <v>4.3979942798614502E-2</v>
      </c>
      <c r="AC81" s="51">
        <v>1.6988294501911749E-3</v>
      </c>
    </row>
    <row r="82" spans="1:29" s="51" customFormat="1" ht="11.65">
      <c r="A82" s="51" t="s">
        <v>3</v>
      </c>
      <c r="B82" s="51" t="s">
        <v>137</v>
      </c>
      <c r="C82" s="51">
        <v>0.34700140357017523</v>
      </c>
      <c r="D82" s="51">
        <v>0.3218025267124176</v>
      </c>
      <c r="E82" s="51">
        <v>0.32323423027992249</v>
      </c>
      <c r="F82" s="51">
        <v>0.31837022304534912</v>
      </c>
      <c r="G82" s="51">
        <v>0.32282328605651861</v>
      </c>
      <c r="H82" s="51">
        <v>0.33658695220947271</v>
      </c>
      <c r="I82" s="51">
        <v>0.34610828757286072</v>
      </c>
      <c r="J82" s="51">
        <v>0.3518393337726593</v>
      </c>
      <c r="K82" s="51">
        <v>0.3541877269744873</v>
      </c>
      <c r="L82" s="51">
        <v>0.35801658034324652</v>
      </c>
      <c r="M82" s="51">
        <v>0.36394482851028442</v>
      </c>
      <c r="N82" s="51">
        <v>0.37486496567726141</v>
      </c>
      <c r="O82" s="51">
        <v>0.38791140913963318</v>
      </c>
      <c r="P82" s="51">
        <v>0.39937087893486017</v>
      </c>
      <c r="Q82" s="51">
        <v>0.41197642683982849</v>
      </c>
      <c r="R82" s="51">
        <v>0.42071825265884399</v>
      </c>
      <c r="S82" s="51">
        <v>0.42829835414886469</v>
      </c>
      <c r="T82" s="51">
        <v>0.43681856989860529</v>
      </c>
      <c r="U82" s="51">
        <v>0.44579935073852539</v>
      </c>
      <c r="V82" s="51">
        <v>0.45244264602661127</v>
      </c>
      <c r="W82" s="51">
        <v>0.45628136396408081</v>
      </c>
      <c r="X82" s="51">
        <v>0.46061059832572943</v>
      </c>
      <c r="Y82" s="51">
        <v>0.46489930152893072</v>
      </c>
      <c r="Z82" s="51">
        <v>0.46896547079086298</v>
      </c>
      <c r="AA82" s="51">
        <v>0.47049906849861151</v>
      </c>
      <c r="AB82" s="51">
        <v>0.47309783101081848</v>
      </c>
      <c r="AC82" s="51">
        <v>1.247612039707802E-2</v>
      </c>
    </row>
    <row r="83" spans="1:29" s="51" customFormat="1" ht="11.65">
      <c r="A83" s="51" t="s">
        <v>329</v>
      </c>
      <c r="B83" s="51" t="s">
        <v>2035</v>
      </c>
      <c r="C83" s="51">
        <v>0.27903169393539429</v>
      </c>
      <c r="D83" s="51">
        <v>0.27865901589393621</v>
      </c>
      <c r="E83" s="51">
        <v>0.31821602582931519</v>
      </c>
      <c r="F83" s="51">
        <v>0.34121882915496832</v>
      </c>
      <c r="G83" s="51">
        <v>0.36378458142280579</v>
      </c>
      <c r="H83" s="51">
        <v>0.43037158250808721</v>
      </c>
      <c r="I83" s="51">
        <v>0.46073231101036072</v>
      </c>
      <c r="J83" s="51">
        <v>0.48972490429878229</v>
      </c>
      <c r="K83" s="51">
        <v>0.5114867091178894</v>
      </c>
      <c r="L83" s="51">
        <v>0.54747885465621948</v>
      </c>
      <c r="M83" s="51">
        <v>0.57278168201446533</v>
      </c>
      <c r="N83" s="51">
        <v>0.59237933158874512</v>
      </c>
      <c r="O83" s="51">
        <v>0.60273051261901855</v>
      </c>
      <c r="P83" s="51">
        <v>0.61285126209259033</v>
      </c>
      <c r="Q83" s="51">
        <v>0.62329655885696411</v>
      </c>
      <c r="R83" s="51">
        <v>0.63315993547439575</v>
      </c>
      <c r="S83" s="51">
        <v>0.64396971464157104</v>
      </c>
      <c r="T83" s="51">
        <v>0.65425598621368408</v>
      </c>
      <c r="U83" s="51">
        <v>0.66454219818115234</v>
      </c>
      <c r="V83" s="51">
        <v>0.67612779140472412</v>
      </c>
      <c r="W83" s="51">
        <v>0.68511468172073364</v>
      </c>
      <c r="X83" s="51">
        <v>0.6954008936882019</v>
      </c>
      <c r="Y83" s="51">
        <v>0.70568722486495972</v>
      </c>
      <c r="Z83" s="51">
        <v>0.71212959289550781</v>
      </c>
      <c r="AA83" s="51">
        <v>0.71083033084869385</v>
      </c>
      <c r="AB83" s="51">
        <v>0.71083033084869385</v>
      </c>
      <c r="AC83" s="51">
        <v>3.8112682032922507E-2</v>
      </c>
    </row>
    <row r="84" spans="1:29" s="52" customFormat="1" ht="11.65">
      <c r="A84" s="52" t="s">
        <v>2</v>
      </c>
      <c r="B84" s="52" t="s">
        <v>1</v>
      </c>
      <c r="C84" s="52">
        <v>14.5510311126709</v>
      </c>
      <c r="D84" s="52">
        <v>14.476326942443849</v>
      </c>
      <c r="E84" s="52">
        <v>14.47751426696777</v>
      </c>
      <c r="F84" s="52">
        <v>14.396957397460939</v>
      </c>
      <c r="G84" s="52">
        <v>14.311806678771971</v>
      </c>
      <c r="H84" s="52">
        <v>14.289201736450201</v>
      </c>
      <c r="I84" s="52">
        <v>14.21160793304443</v>
      </c>
      <c r="J84" s="52">
        <v>14.157730102539061</v>
      </c>
      <c r="K84" s="52">
        <v>14.084725379943849</v>
      </c>
      <c r="L84" s="52">
        <v>14.07565879821777</v>
      </c>
      <c r="M84" s="52">
        <v>14.060012817382811</v>
      </c>
      <c r="N84" s="52">
        <v>14.01973342895508</v>
      </c>
      <c r="O84" s="52">
        <v>13.97547626495361</v>
      </c>
      <c r="P84" s="52">
        <v>13.94332981109619</v>
      </c>
      <c r="Q84" s="52">
        <v>13.91491222381592</v>
      </c>
      <c r="R84" s="52">
        <v>13.899863243103029</v>
      </c>
      <c r="S84" s="52">
        <v>13.88518238067627</v>
      </c>
      <c r="T84" s="52">
        <v>13.86042308807373</v>
      </c>
      <c r="U84" s="52">
        <v>13.856814384460449</v>
      </c>
      <c r="V84" s="52">
        <v>13.84619235992432</v>
      </c>
      <c r="W84" s="52">
        <v>13.841733932495121</v>
      </c>
      <c r="X84" s="52">
        <v>13.83286285400391</v>
      </c>
      <c r="Y84" s="52">
        <v>13.832478523254389</v>
      </c>
      <c r="Z84" s="52">
        <v>13.806050300598139</v>
      </c>
      <c r="AA84" s="52">
        <v>13.765480995178221</v>
      </c>
      <c r="AB84" s="52">
        <v>13.74498844146729</v>
      </c>
      <c r="AC84" s="52">
        <v>-2.2769069964578841E-3</v>
      </c>
    </row>
    <row r="85" spans="1:29" s="51" customFormat="1" ht="11.65"/>
    <row r="86" spans="1:29" s="51" customFormat="1" ht="11.65">
      <c r="B86" s="51" t="s">
        <v>2036</v>
      </c>
    </row>
    <row r="87" spans="1:29" s="51" customFormat="1" ht="11.65">
      <c r="B87" s="51" t="s">
        <v>2037</v>
      </c>
    </row>
    <row r="88" spans="1:29" s="51" customFormat="1" ht="11.65">
      <c r="A88" s="51" t="s">
        <v>2038</v>
      </c>
      <c r="B88" s="51" t="s">
        <v>2039</v>
      </c>
      <c r="C88" s="51">
        <v>154.50032043457031</v>
      </c>
      <c r="D88" s="51">
        <v>145.98591613769531</v>
      </c>
      <c r="E88" s="51">
        <v>142.30712890625</v>
      </c>
      <c r="F88" s="51">
        <v>139.09686279296881</v>
      </c>
      <c r="G88" s="51">
        <v>136.0453186035156</v>
      </c>
      <c r="H88" s="51">
        <v>133.26542663574219</v>
      </c>
      <c r="I88" s="51">
        <v>130.85728454589841</v>
      </c>
      <c r="J88" s="51">
        <v>128.71568298339841</v>
      </c>
      <c r="K88" s="51">
        <v>126.7545471191406</v>
      </c>
      <c r="L88" s="51">
        <v>124.9419784545898</v>
      </c>
      <c r="M88" s="51">
        <v>123.2548141479492</v>
      </c>
      <c r="N88" s="51">
        <v>121.7258377075195</v>
      </c>
      <c r="O88" s="51">
        <v>120.3315811157227</v>
      </c>
      <c r="P88" s="51">
        <v>119.0954132080078</v>
      </c>
      <c r="Q88" s="51">
        <v>117.9513778686523</v>
      </c>
      <c r="R88" s="51">
        <v>116.9247665405273</v>
      </c>
      <c r="S88" s="51">
        <v>115.9815368652344</v>
      </c>
      <c r="T88" s="51">
        <v>115.1101760864258</v>
      </c>
      <c r="U88" s="51">
        <v>114.30169677734381</v>
      </c>
      <c r="V88" s="51">
        <v>113.5466766357422</v>
      </c>
      <c r="W88" s="51">
        <v>112.8374404907227</v>
      </c>
      <c r="X88" s="51">
        <v>112.17393493652339</v>
      </c>
      <c r="Y88" s="51">
        <v>111.5511169433594</v>
      </c>
      <c r="Z88" s="51">
        <v>110.9589920043945</v>
      </c>
      <c r="AA88" s="51">
        <v>110.4019393920898</v>
      </c>
      <c r="AB88" s="51">
        <v>109.8783416748047</v>
      </c>
      <c r="AC88" s="51">
        <v>-1.3540388984696341E-2</v>
      </c>
    </row>
    <row r="89" spans="1:29" s="51" customFormat="1" ht="11.65">
      <c r="A89" s="51" t="s">
        <v>2040</v>
      </c>
      <c r="B89" s="51" t="s">
        <v>2041</v>
      </c>
      <c r="C89" s="51">
        <v>449.23648071289063</v>
      </c>
      <c r="D89" s="51">
        <v>419.57449340820313</v>
      </c>
      <c r="E89" s="51">
        <v>406.75848388671881</v>
      </c>
      <c r="F89" s="51">
        <v>395.57476806640619</v>
      </c>
      <c r="G89" s="51">
        <v>384.94393920898438</v>
      </c>
      <c r="H89" s="51">
        <v>375.259521484375</v>
      </c>
      <c r="I89" s="51">
        <v>366.87008666992188</v>
      </c>
      <c r="J89" s="51">
        <v>359.40936279296881</v>
      </c>
      <c r="K89" s="51">
        <v>352.57723999023438</v>
      </c>
      <c r="L89" s="51">
        <v>346.26275634765619</v>
      </c>
      <c r="M89" s="51">
        <v>340.38504028320313</v>
      </c>
      <c r="N89" s="51">
        <v>335.05850219726563</v>
      </c>
      <c r="O89" s="51">
        <v>330.20126342773438</v>
      </c>
      <c r="P89" s="51">
        <v>325.89474487304688</v>
      </c>
      <c r="Q89" s="51">
        <v>321.90924072265619</v>
      </c>
      <c r="R89" s="51">
        <v>318.33279418945313</v>
      </c>
      <c r="S89" s="51">
        <v>315.04678344726563</v>
      </c>
      <c r="T89" s="51">
        <v>312.01113891601563</v>
      </c>
      <c r="U89" s="51">
        <v>309.194580078125</v>
      </c>
      <c r="V89" s="51">
        <v>306.56436157226563</v>
      </c>
      <c r="W89" s="51">
        <v>304.09356689453119</v>
      </c>
      <c r="X89" s="51">
        <v>301.78207397460938</v>
      </c>
      <c r="Y89" s="51">
        <v>299.6123046875</v>
      </c>
      <c r="Z89" s="51">
        <v>297.54953002929688</v>
      </c>
      <c r="AA89" s="51">
        <v>295.60885620117188</v>
      </c>
      <c r="AB89" s="51">
        <v>293.78482055664063</v>
      </c>
      <c r="AC89" s="51">
        <v>-1.6844589761114141E-2</v>
      </c>
    </row>
    <row r="90" spans="1:29" s="51" customFormat="1" ht="11.65">
      <c r="A90" s="51" t="s">
        <v>2042</v>
      </c>
      <c r="B90" s="51" t="s">
        <v>2043</v>
      </c>
      <c r="C90" s="51">
        <v>449.23648071289063</v>
      </c>
      <c r="D90" s="51">
        <v>419.57449340820313</v>
      </c>
      <c r="E90" s="51">
        <v>406.75848388671881</v>
      </c>
      <c r="F90" s="51">
        <v>395.57476806640619</v>
      </c>
      <c r="G90" s="51">
        <v>384.94393920898438</v>
      </c>
      <c r="H90" s="51">
        <v>375.259521484375</v>
      </c>
      <c r="I90" s="51">
        <v>366.87008666992188</v>
      </c>
      <c r="J90" s="51">
        <v>359.40936279296881</v>
      </c>
      <c r="K90" s="51">
        <v>352.57723999023438</v>
      </c>
      <c r="L90" s="51">
        <v>346.26275634765619</v>
      </c>
      <c r="M90" s="51">
        <v>340.38504028320313</v>
      </c>
      <c r="N90" s="51">
        <v>335.05850219726563</v>
      </c>
      <c r="O90" s="51">
        <v>330.20126342773438</v>
      </c>
      <c r="P90" s="51">
        <v>325.89474487304688</v>
      </c>
      <c r="Q90" s="51">
        <v>321.90924072265619</v>
      </c>
      <c r="R90" s="51">
        <v>318.33279418945313</v>
      </c>
      <c r="S90" s="51">
        <v>315.04678344726563</v>
      </c>
      <c r="T90" s="51">
        <v>312.01113891601563</v>
      </c>
      <c r="U90" s="51">
        <v>309.194580078125</v>
      </c>
      <c r="V90" s="51">
        <v>306.56436157226563</v>
      </c>
      <c r="W90" s="51">
        <v>304.09356689453119</v>
      </c>
      <c r="X90" s="51">
        <v>301.78207397460938</v>
      </c>
      <c r="Y90" s="51">
        <v>299.6123046875</v>
      </c>
      <c r="Z90" s="51">
        <v>297.54953002929688</v>
      </c>
      <c r="AA90" s="51">
        <v>295.60885620117188</v>
      </c>
      <c r="AB90" s="51">
        <v>293.78482055664063</v>
      </c>
      <c r="AC90" s="51">
        <v>-1.6844589761114141E-2</v>
      </c>
    </row>
    <row r="91" spans="1:29" s="51" customFormat="1" ht="11.65">
      <c r="B91" s="51" t="s">
        <v>2044</v>
      </c>
    </row>
    <row r="92" spans="1:29" s="51" customFormat="1" ht="11.65">
      <c r="A92" s="51" t="s">
        <v>2045</v>
      </c>
      <c r="B92" s="51" t="s">
        <v>2046</v>
      </c>
      <c r="C92" s="51">
        <v>354.77603149414063</v>
      </c>
      <c r="D92" s="51">
        <v>304.78475952148438</v>
      </c>
      <c r="E92" s="51">
        <v>295.52679443359381</v>
      </c>
      <c r="F92" s="51">
        <v>287.44793701171881</v>
      </c>
      <c r="G92" s="51">
        <v>279.76852416992188</v>
      </c>
      <c r="H92" s="51">
        <v>272.77273559570313</v>
      </c>
      <c r="I92" s="51">
        <v>266.71243286132813</v>
      </c>
      <c r="J92" s="51">
        <v>261.32296752929688</v>
      </c>
      <c r="K92" s="51">
        <v>256.38763427734381</v>
      </c>
      <c r="L92" s="51">
        <v>251.826171875</v>
      </c>
      <c r="M92" s="51">
        <v>247.58030700683591</v>
      </c>
      <c r="N92" s="51">
        <v>243.7325134277344</v>
      </c>
      <c r="O92" s="51">
        <v>240.22380065917969</v>
      </c>
      <c r="P92" s="51">
        <v>237.1128845214844</v>
      </c>
      <c r="Q92" s="51">
        <v>234.23381042480469</v>
      </c>
      <c r="R92" s="51">
        <v>231.65028381347659</v>
      </c>
      <c r="S92" s="51">
        <v>229.2765808105469</v>
      </c>
      <c r="T92" s="51">
        <v>227.083740234375</v>
      </c>
      <c r="U92" s="51">
        <v>225.04911804199219</v>
      </c>
      <c r="V92" s="51">
        <v>223.1490783691406</v>
      </c>
      <c r="W92" s="51">
        <v>221.36424255371091</v>
      </c>
      <c r="X92" s="51">
        <v>219.6944885253906</v>
      </c>
      <c r="Y92" s="51">
        <v>218.1271057128906</v>
      </c>
      <c r="Z92" s="51">
        <v>216.6369934082031</v>
      </c>
      <c r="AA92" s="51">
        <v>215.235107421875</v>
      </c>
      <c r="AB92" s="51">
        <v>213.91748046875</v>
      </c>
      <c r="AC92" s="51">
        <v>-2.0032483516443159E-2</v>
      </c>
    </row>
    <row r="93" spans="1:29" s="51" customFormat="1" ht="11.65">
      <c r="A93" s="51" t="s">
        <v>2047</v>
      </c>
      <c r="B93" s="51" t="s">
        <v>2048</v>
      </c>
      <c r="C93" s="51">
        <v>501.57989501953119</v>
      </c>
      <c r="D93" s="51">
        <v>437.63955688476563</v>
      </c>
      <c r="E93" s="51">
        <v>424.2061767578125</v>
      </c>
      <c r="F93" s="51">
        <v>412.483642578125</v>
      </c>
      <c r="G93" s="51">
        <v>401.3406982421875</v>
      </c>
      <c r="H93" s="51">
        <v>391.18972778320313</v>
      </c>
      <c r="I93" s="51">
        <v>382.39617919921881</v>
      </c>
      <c r="J93" s="51">
        <v>374.57598876953119</v>
      </c>
      <c r="K93" s="51">
        <v>367.41473388671881</v>
      </c>
      <c r="L93" s="51">
        <v>360.79605102539063</v>
      </c>
      <c r="M93" s="51">
        <v>354.63522338867188</v>
      </c>
      <c r="N93" s="51">
        <v>349.05203247070313</v>
      </c>
      <c r="O93" s="51">
        <v>343.96087646484381</v>
      </c>
      <c r="P93" s="51">
        <v>339.44683837890619</v>
      </c>
      <c r="Q93" s="51">
        <v>335.26934814453119</v>
      </c>
      <c r="R93" s="51">
        <v>331.52059936523438</v>
      </c>
      <c r="S93" s="51">
        <v>328.0762939453125</v>
      </c>
      <c r="T93" s="51">
        <v>324.89447021484381</v>
      </c>
      <c r="U93" s="51">
        <v>321.94216918945313</v>
      </c>
      <c r="V93" s="51">
        <v>319.18524169921881</v>
      </c>
      <c r="W93" s="51">
        <v>316.59542846679688</v>
      </c>
      <c r="X93" s="51">
        <v>314.17257690429688</v>
      </c>
      <c r="Y93" s="51">
        <v>311.89828491210938</v>
      </c>
      <c r="Z93" s="51">
        <v>309.73611450195313</v>
      </c>
      <c r="AA93" s="51">
        <v>307.70193481445313</v>
      </c>
      <c r="AB93" s="51">
        <v>305.7900390625</v>
      </c>
      <c r="AC93" s="51">
        <v>-1.959994133365095E-2</v>
      </c>
    </row>
    <row r="94" spans="1:29" s="51" customFormat="1" ht="11.65">
      <c r="A94" s="51" t="s">
        <v>2049</v>
      </c>
      <c r="B94" s="51" t="s">
        <v>2050</v>
      </c>
      <c r="C94" s="51">
        <v>373.12652587890619</v>
      </c>
      <c r="D94" s="51">
        <v>328.229736328125</v>
      </c>
      <c r="E94" s="51">
        <v>318.10009765625</v>
      </c>
      <c r="F94" s="51">
        <v>309.26058959960938</v>
      </c>
      <c r="G94" s="51">
        <v>300.85809326171881</v>
      </c>
      <c r="H94" s="51">
        <v>293.20361328125</v>
      </c>
      <c r="I94" s="51">
        <v>286.57272338867188</v>
      </c>
      <c r="J94" s="51">
        <v>280.67584228515619</v>
      </c>
      <c r="K94" s="51">
        <v>275.27578735351563</v>
      </c>
      <c r="L94" s="51">
        <v>270.28488159179688</v>
      </c>
      <c r="M94" s="51">
        <v>265.63922119140619</v>
      </c>
      <c r="N94" s="51">
        <v>261.42916870117188</v>
      </c>
      <c r="O94" s="51">
        <v>257.590087890625</v>
      </c>
      <c r="P94" s="51">
        <v>254.186279296875</v>
      </c>
      <c r="Q94" s="51">
        <v>251.0361328125</v>
      </c>
      <c r="R94" s="51">
        <v>248.2093505859375</v>
      </c>
      <c r="S94" s="51">
        <v>245.6121520996094</v>
      </c>
      <c r="T94" s="51">
        <v>243.21282958984381</v>
      </c>
      <c r="U94" s="51">
        <v>240.98664855957031</v>
      </c>
      <c r="V94" s="51">
        <v>238.90773010253909</v>
      </c>
      <c r="W94" s="51">
        <v>236.95484924316409</v>
      </c>
      <c r="X94" s="51">
        <v>235.12786865234381</v>
      </c>
      <c r="Y94" s="51">
        <v>233.41288757324219</v>
      </c>
      <c r="Z94" s="51">
        <v>231.78248596191409</v>
      </c>
      <c r="AA94" s="51">
        <v>230.24861145019531</v>
      </c>
      <c r="AB94" s="51">
        <v>228.80690002441409</v>
      </c>
      <c r="AC94" s="51">
        <v>-1.9371480323644E-2</v>
      </c>
    </row>
    <row r="95" spans="1:29" s="51" customFormat="1" ht="11.65">
      <c r="A95" s="51" t="s">
        <v>2051</v>
      </c>
      <c r="B95" s="51" t="s">
        <v>2052</v>
      </c>
      <c r="C95" s="51">
        <v>200.95317077636719</v>
      </c>
      <c r="D95" s="51">
        <v>216.2068176269531</v>
      </c>
      <c r="E95" s="51">
        <v>208.7344665527344</v>
      </c>
      <c r="F95" s="51">
        <v>202.21380615234381</v>
      </c>
      <c r="G95" s="51">
        <v>196.0155334472656</v>
      </c>
      <c r="H95" s="51">
        <v>190.3690490722656</v>
      </c>
      <c r="I95" s="51">
        <v>185.47760009765619</v>
      </c>
      <c r="J95" s="51">
        <v>181.1276550292969</v>
      </c>
      <c r="K95" s="51">
        <v>177.1441650390625</v>
      </c>
      <c r="L95" s="51">
        <v>173.46250915527341</v>
      </c>
      <c r="M95" s="51">
        <v>170.0355529785156</v>
      </c>
      <c r="N95" s="51">
        <v>166.9299011230469</v>
      </c>
      <c r="O95" s="51">
        <v>164.0979309082031</v>
      </c>
      <c r="P95" s="51">
        <v>161.58702087402341</v>
      </c>
      <c r="Q95" s="51">
        <v>159.26324462890619</v>
      </c>
      <c r="R95" s="51">
        <v>157.1780090332031</v>
      </c>
      <c r="S95" s="51">
        <v>155.2621154785156</v>
      </c>
      <c r="T95" s="51">
        <v>153.4922180175781</v>
      </c>
      <c r="U95" s="51">
        <v>151.8500061035156</v>
      </c>
      <c r="V95" s="51">
        <v>150.31645202636719</v>
      </c>
      <c r="W95" s="51">
        <v>148.87586975097659</v>
      </c>
      <c r="X95" s="51">
        <v>147.52815246582031</v>
      </c>
      <c r="Y95" s="51">
        <v>146.26307678222659</v>
      </c>
      <c r="Z95" s="51">
        <v>145.06036376953119</v>
      </c>
      <c r="AA95" s="51">
        <v>143.9288635253906</v>
      </c>
      <c r="AB95" s="51">
        <v>142.8653564453125</v>
      </c>
      <c r="AC95" s="51">
        <v>-1.35540760141234E-2</v>
      </c>
    </row>
    <row r="96" spans="1:29" s="51" customFormat="1" ht="11.65">
      <c r="A96" s="51" t="s">
        <v>2053</v>
      </c>
      <c r="B96" s="51" t="s">
        <v>2043</v>
      </c>
      <c r="C96" s="51">
        <v>1101.029052734375</v>
      </c>
      <c r="D96" s="51">
        <v>898.72406005859375</v>
      </c>
      <c r="E96" s="51">
        <v>872.404541015625</v>
      </c>
      <c r="F96" s="51">
        <v>849.43719482421875</v>
      </c>
      <c r="G96" s="51">
        <v>827.605224609375</v>
      </c>
      <c r="H96" s="51">
        <v>807.7166748046875</v>
      </c>
      <c r="I96" s="51">
        <v>790.4879150390625</v>
      </c>
      <c r="J96" s="51">
        <v>775.1661376953125</v>
      </c>
      <c r="K96" s="51">
        <v>761.13531494140625</v>
      </c>
      <c r="L96" s="51">
        <v>748.1676025390625</v>
      </c>
      <c r="M96" s="51">
        <v>736.09698486328125</v>
      </c>
      <c r="N96" s="51">
        <v>725.157958984375</v>
      </c>
      <c r="O96" s="51">
        <v>715.1829833984375</v>
      </c>
      <c r="P96" s="51">
        <v>706.3389892578125</v>
      </c>
      <c r="Q96" s="51">
        <v>698.154052734375</v>
      </c>
      <c r="R96" s="51">
        <v>690.809326171875</v>
      </c>
      <c r="S96" s="51">
        <v>684.06103515625</v>
      </c>
      <c r="T96" s="51">
        <v>677.82696533203125</v>
      </c>
      <c r="U96" s="51">
        <v>672.04266357421875</v>
      </c>
      <c r="V96" s="51">
        <v>666.64111328125</v>
      </c>
      <c r="W96" s="51">
        <v>661.56707763671875</v>
      </c>
      <c r="X96" s="51">
        <v>656.82000732421875</v>
      </c>
      <c r="Y96" s="51">
        <v>652.36407470703125</v>
      </c>
      <c r="Z96" s="51">
        <v>648.12774658203125</v>
      </c>
      <c r="AA96" s="51">
        <v>644.14239501953125</v>
      </c>
      <c r="AB96" s="51">
        <v>640.39642333984375</v>
      </c>
      <c r="AC96" s="51">
        <v>-2.1443277617000042E-2</v>
      </c>
    </row>
    <row r="97" spans="1:29" s="51" customFormat="1" ht="11.65"/>
    <row r="98" spans="1:29" s="51" customFormat="1" ht="11.65">
      <c r="B98" s="51" t="s">
        <v>2054</v>
      </c>
    </row>
    <row r="99" spans="1:29" s="51" customFormat="1" ht="11.65">
      <c r="A99" s="51" t="s">
        <v>2055</v>
      </c>
      <c r="B99" s="51" t="s">
        <v>2056</v>
      </c>
      <c r="C99" s="51">
        <v>15.388957812499999</v>
      </c>
      <c r="D99" s="51">
        <v>15.405332812499999</v>
      </c>
      <c r="E99" s="51">
        <v>14.9373015625</v>
      </c>
      <c r="F99" s="51">
        <v>14.336853124999999</v>
      </c>
      <c r="G99" s="51">
        <v>14.427553124999999</v>
      </c>
      <c r="H99" s="51">
        <v>14.5977046875</v>
      </c>
      <c r="I99" s="51">
        <v>14.6332140625</v>
      </c>
      <c r="J99" s="51">
        <v>14.629007812499999</v>
      </c>
      <c r="K99" s="51">
        <v>14.66240625</v>
      </c>
      <c r="L99" s="51">
        <v>14.818175</v>
      </c>
      <c r="M99" s="51">
        <v>14.8739875</v>
      </c>
      <c r="N99" s="51">
        <v>14.9341296875</v>
      </c>
      <c r="O99" s="51">
        <v>15.089590625</v>
      </c>
      <c r="P99" s="51">
        <v>15.2003</v>
      </c>
      <c r="Q99" s="51">
        <v>15.3177453125</v>
      </c>
      <c r="R99" s="51">
        <v>15.386607812499999</v>
      </c>
      <c r="S99" s="51">
        <v>15.392129687500001</v>
      </c>
      <c r="T99" s="51">
        <v>15.408696875</v>
      </c>
      <c r="U99" s="51">
        <v>15.38879375</v>
      </c>
      <c r="V99" s="51">
        <v>15.3924515625</v>
      </c>
      <c r="W99" s="51">
        <v>15.346323437500001</v>
      </c>
      <c r="X99" s="51">
        <v>15.387860937499999</v>
      </c>
      <c r="Y99" s="51">
        <v>15.4639875</v>
      </c>
      <c r="Z99" s="51">
        <v>15.544267187499999</v>
      </c>
      <c r="AA99" s="51">
        <v>15.553146874999999</v>
      </c>
      <c r="AB99" s="51">
        <v>15.5968859375</v>
      </c>
      <c r="AC99" s="51">
        <v>5.3698604005458783E-4</v>
      </c>
    </row>
    <row r="100" spans="1:29" s="51" customFormat="1" ht="11.65">
      <c r="A100" s="51" t="s">
        <v>2057</v>
      </c>
      <c r="B100" s="51" t="s">
        <v>2037</v>
      </c>
      <c r="C100" s="51">
        <v>29.160768349824949</v>
      </c>
      <c r="D100" s="51">
        <v>29.16695558675038</v>
      </c>
      <c r="E100" s="51">
        <v>28.25842816911981</v>
      </c>
      <c r="F100" s="51">
        <v>27.232263541542999</v>
      </c>
      <c r="G100" s="51">
        <v>27.17834705381096</v>
      </c>
      <c r="H100" s="51">
        <v>27.26795056508583</v>
      </c>
      <c r="I100" s="51">
        <v>27.474704776875392</v>
      </c>
      <c r="J100" s="51">
        <v>27.55476717865626</v>
      </c>
      <c r="K100" s="51">
        <v>27.774624576890911</v>
      </c>
      <c r="L100" s="51">
        <v>28.048420970713849</v>
      </c>
      <c r="M100" s="51">
        <v>28.150736547907389</v>
      </c>
      <c r="N100" s="51">
        <v>28.261603811318651</v>
      </c>
      <c r="O100" s="51">
        <v>28.525972367210251</v>
      </c>
      <c r="P100" s="51">
        <v>28.721874670821371</v>
      </c>
      <c r="Q100" s="51">
        <v>28.921025703682659</v>
      </c>
      <c r="R100" s="51">
        <v>29.14835203911651</v>
      </c>
      <c r="S100" s="51">
        <v>29.256188100222509</v>
      </c>
      <c r="T100" s="51">
        <v>29.345796820946891</v>
      </c>
      <c r="U100" s="51">
        <v>29.338100780554161</v>
      </c>
      <c r="V100" s="51">
        <v>29.346606173462462</v>
      </c>
      <c r="W100" s="51">
        <v>29.311176275941889</v>
      </c>
      <c r="X100" s="51">
        <v>29.443957957040009</v>
      </c>
      <c r="Y100" s="51">
        <v>29.610508598752411</v>
      </c>
      <c r="Z100" s="51">
        <v>29.790560373370749</v>
      </c>
      <c r="AA100" s="51">
        <v>29.886981431759711</v>
      </c>
      <c r="AB100" s="51">
        <v>30.01356955297889</v>
      </c>
      <c r="AC100" s="51">
        <v>1.153678639445932E-3</v>
      </c>
    </row>
    <row r="101" spans="1:29" s="51" customFormat="1" ht="11.65">
      <c r="A101" s="51" t="s">
        <v>2058</v>
      </c>
      <c r="B101" s="51" t="s">
        <v>2059</v>
      </c>
      <c r="C101" s="51">
        <v>24.9288991927084</v>
      </c>
      <c r="D101" s="51">
        <v>24.820684484375061</v>
      </c>
      <c r="E101" s="51">
        <v>24.1796764895834</v>
      </c>
      <c r="F101" s="51">
        <v>23.283649593750059</v>
      </c>
      <c r="G101" s="51">
        <v>23.16615715104173</v>
      </c>
      <c r="H101" s="51">
        <v>23.189326942708391</v>
      </c>
      <c r="I101" s="51">
        <v>23.315877203125059</v>
      </c>
      <c r="J101" s="51">
        <v>23.367084406250061</v>
      </c>
      <c r="K101" s="51">
        <v>23.525324265625059</v>
      </c>
      <c r="L101" s="51">
        <v>23.7153008489584</v>
      </c>
      <c r="M101" s="51">
        <v>23.783885395833391</v>
      </c>
      <c r="N101" s="51">
        <v>23.86099564062506</v>
      </c>
      <c r="O101" s="51">
        <v>24.051738005208399</v>
      </c>
      <c r="P101" s="51">
        <v>24.1845774895834</v>
      </c>
      <c r="Q101" s="51">
        <v>24.316384151041731</v>
      </c>
      <c r="R101" s="51">
        <v>24.478500041666731</v>
      </c>
      <c r="S101" s="51">
        <v>24.555655447916731</v>
      </c>
      <c r="T101" s="51">
        <v>24.595513380208399</v>
      </c>
      <c r="U101" s="51">
        <v>24.571597442708391</v>
      </c>
      <c r="V101" s="51">
        <v>24.559335125000061</v>
      </c>
      <c r="W101" s="51">
        <v>24.523239338541732</v>
      </c>
      <c r="X101" s="51">
        <v>24.610775989583399</v>
      </c>
      <c r="Y101" s="51">
        <v>24.722140218750059</v>
      </c>
      <c r="Z101" s="51">
        <v>24.840569270833399</v>
      </c>
      <c r="AA101" s="51">
        <v>24.901503859375069</v>
      </c>
      <c r="AB101" s="51">
        <v>24.989097453125069</v>
      </c>
      <c r="AC101" s="51">
        <v>9.6480143542576613E-5</v>
      </c>
    </row>
    <row r="102" spans="1:29" s="51" customFormat="1" ht="11.65">
      <c r="A102" s="51" t="s">
        <v>2060</v>
      </c>
      <c r="B102" s="51" t="s">
        <v>2061</v>
      </c>
      <c r="C102" s="51">
        <v>30.927497278225751</v>
      </c>
      <c r="D102" s="51">
        <v>31.02091703629026</v>
      </c>
      <c r="E102" s="51">
        <v>29.59887046370962</v>
      </c>
      <c r="F102" s="51">
        <v>28.352700705645109</v>
      </c>
      <c r="G102" s="51">
        <v>28.240594657258001</v>
      </c>
      <c r="H102" s="51">
        <v>28.260982358870901</v>
      </c>
      <c r="I102" s="51">
        <v>28.40697631048381</v>
      </c>
      <c r="J102" s="51">
        <v>28.36054999999994</v>
      </c>
      <c r="K102" s="51">
        <v>28.499980947580578</v>
      </c>
      <c r="L102" s="51">
        <v>28.732720564516072</v>
      </c>
      <c r="M102" s="51">
        <v>28.72536824596769</v>
      </c>
      <c r="N102" s="51">
        <v>28.721409979838651</v>
      </c>
      <c r="O102" s="51">
        <v>28.905983870967681</v>
      </c>
      <c r="P102" s="51">
        <v>29.02271764112897</v>
      </c>
      <c r="Q102" s="51">
        <v>29.146219052419301</v>
      </c>
      <c r="R102" s="51">
        <v>29.288865725806389</v>
      </c>
      <c r="S102" s="51">
        <v>29.2851442540322</v>
      </c>
      <c r="T102" s="51">
        <v>29.309691935483809</v>
      </c>
      <c r="U102" s="51">
        <v>29.21017106854832</v>
      </c>
      <c r="V102" s="51">
        <v>29.135162802419291</v>
      </c>
      <c r="W102" s="51">
        <v>29.000152016128968</v>
      </c>
      <c r="X102" s="51">
        <v>29.06822016129026</v>
      </c>
      <c r="Y102" s="51">
        <v>29.180305745967679</v>
      </c>
      <c r="Z102" s="51">
        <v>29.315927520161232</v>
      </c>
      <c r="AA102" s="51">
        <v>29.349362298387032</v>
      </c>
      <c r="AB102" s="51">
        <v>29.413016129032201</v>
      </c>
      <c r="AC102" s="51">
        <v>-2.006319281467106E-3</v>
      </c>
    </row>
    <row r="103" spans="1:29" s="51" customFormat="1" ht="11.65">
      <c r="A103" s="51" t="s">
        <v>2062</v>
      </c>
      <c r="B103" s="51" t="s">
        <v>2063</v>
      </c>
      <c r="C103" s="51">
        <v>48.760506804435543</v>
      </c>
      <c r="D103" s="51">
        <v>48.9095448084678</v>
      </c>
      <c r="E103" s="51">
        <v>46.653834601814573</v>
      </c>
      <c r="F103" s="51">
        <v>44.685768296371023</v>
      </c>
      <c r="G103" s="51">
        <v>44.514782283266193</v>
      </c>
      <c r="H103" s="51">
        <v>44.545986365927469</v>
      </c>
      <c r="I103" s="51">
        <v>44.773532661290368</v>
      </c>
      <c r="J103" s="51">
        <v>44.700166633064569</v>
      </c>
      <c r="K103" s="51">
        <v>44.907249949596832</v>
      </c>
      <c r="L103" s="51">
        <v>45.259155997983932</v>
      </c>
      <c r="M103" s="51">
        <v>45.244937525201657</v>
      </c>
      <c r="N103" s="51">
        <v>45.240763760080704</v>
      </c>
      <c r="O103" s="51">
        <v>45.527715877016192</v>
      </c>
      <c r="P103" s="51">
        <v>45.708446824596827</v>
      </c>
      <c r="Q103" s="51">
        <v>45.90764841229845</v>
      </c>
      <c r="R103" s="51">
        <v>46.132911819556497</v>
      </c>
      <c r="S103" s="51">
        <v>46.130919480846828</v>
      </c>
      <c r="T103" s="51">
        <v>46.173454989919414</v>
      </c>
      <c r="U103" s="51">
        <v>46.019648286290384</v>
      </c>
      <c r="V103" s="51">
        <v>45.906942792338761</v>
      </c>
      <c r="W103" s="51">
        <v>45.698162298387153</v>
      </c>
      <c r="X103" s="51">
        <v>45.807404259072641</v>
      </c>
      <c r="Y103" s="51">
        <v>45.986009122983923</v>
      </c>
      <c r="Z103" s="51">
        <v>46.201541431451673</v>
      </c>
      <c r="AA103" s="51">
        <v>46.257705090725857</v>
      </c>
      <c r="AB103" s="51">
        <v>46.359969254032322</v>
      </c>
      <c r="AC103" s="51">
        <v>-2.0173361624189479E-3</v>
      </c>
    </row>
    <row r="104" spans="1:29" s="51" customFormat="1" ht="11.65">
      <c r="A104" s="51" t="s">
        <v>2064</v>
      </c>
      <c r="B104" s="51" t="s">
        <v>2065</v>
      </c>
      <c r="C104" s="51">
        <v>17.135034596206719</v>
      </c>
      <c r="D104" s="51">
        <v>17.024826354410092</v>
      </c>
      <c r="E104" s="51">
        <v>16.11319103646311</v>
      </c>
      <c r="F104" s="51">
        <v>15.406001656358351</v>
      </c>
      <c r="G104" s="51">
        <v>15.37944828377614</v>
      </c>
      <c r="H104" s="51">
        <v>15.427869877920321</v>
      </c>
      <c r="I104" s="51">
        <v>15.518321516521061</v>
      </c>
      <c r="J104" s="51">
        <v>15.49557433941898</v>
      </c>
      <c r="K104" s="51">
        <v>15.57043184582294</v>
      </c>
      <c r="L104" s="51">
        <v>15.71051619130845</v>
      </c>
      <c r="M104" s="51">
        <v>15.70620533296089</v>
      </c>
      <c r="N104" s="51">
        <v>15.70366622309241</v>
      </c>
      <c r="O104" s="51">
        <v>15.81508196651469</v>
      </c>
      <c r="P104" s="51">
        <v>15.889174128939921</v>
      </c>
      <c r="Q104" s="51">
        <v>15.9634451414013</v>
      </c>
      <c r="R104" s="51">
        <v>16.02519472609001</v>
      </c>
      <c r="S104" s="51">
        <v>16.018934174619709</v>
      </c>
      <c r="T104" s="51">
        <v>16.047840913850919</v>
      </c>
      <c r="U104" s="51">
        <v>15.998413605097721</v>
      </c>
      <c r="V104" s="51">
        <v>15.97006915131526</v>
      </c>
      <c r="W104" s="51">
        <v>15.90022324551061</v>
      </c>
      <c r="X104" s="51">
        <v>15.940343994557621</v>
      </c>
      <c r="Y104" s="51">
        <v>16.00986784674161</v>
      </c>
      <c r="Z104" s="51">
        <v>16.094848836796402</v>
      </c>
      <c r="AA104" s="51">
        <v>16.110000741358999</v>
      </c>
      <c r="AB104" s="51">
        <v>16.158044018364919</v>
      </c>
      <c r="AC104" s="51">
        <v>-2.3455316143056182E-3</v>
      </c>
    </row>
    <row r="105" spans="1:29" s="51" customFormat="1" ht="11.65">
      <c r="A105" s="51" t="s">
        <v>2066</v>
      </c>
      <c r="B105" s="51" t="s">
        <v>2067</v>
      </c>
      <c r="C105" s="51">
        <v>16.306115625</v>
      </c>
      <c r="D105" s="51">
        <v>16.052189062499998</v>
      </c>
      <c r="E105" s="51">
        <v>15.231225</v>
      </c>
      <c r="F105" s="51">
        <v>14.5988953125</v>
      </c>
      <c r="G105" s="51">
        <v>14.617056249999999</v>
      </c>
      <c r="H105" s="51">
        <v>14.7161828125</v>
      </c>
      <c r="I105" s="51">
        <v>14.768345312499999</v>
      </c>
      <c r="J105" s="51">
        <v>14.759289062500001</v>
      </c>
      <c r="K105" s="51">
        <v>14.8077953125</v>
      </c>
      <c r="L105" s="51">
        <v>14.934253125</v>
      </c>
      <c r="M105" s="51">
        <v>14.9604578125</v>
      </c>
      <c r="N105" s="51">
        <v>14.9872828125</v>
      </c>
      <c r="O105" s="51">
        <v>15.111846874999999</v>
      </c>
      <c r="P105" s="51">
        <v>15.206745312500001</v>
      </c>
      <c r="Q105" s="51">
        <v>15.318690625</v>
      </c>
      <c r="R105" s="51">
        <v>15.3931234375</v>
      </c>
      <c r="S105" s="51">
        <v>15.412490625</v>
      </c>
      <c r="T105" s="51">
        <v>15.4968453125</v>
      </c>
      <c r="U105" s="51">
        <v>15.479254687499999</v>
      </c>
      <c r="V105" s="51">
        <v>15.4847375</v>
      </c>
      <c r="W105" s="51">
        <v>15.425165625</v>
      </c>
      <c r="X105" s="51">
        <v>15.489882812499999</v>
      </c>
      <c r="Y105" s="51">
        <v>15.57624375</v>
      </c>
      <c r="Z105" s="51">
        <v>15.678545312500001</v>
      </c>
      <c r="AA105" s="51">
        <v>15.7075890625</v>
      </c>
      <c r="AB105" s="51">
        <v>15.7747671875</v>
      </c>
      <c r="AC105" s="51">
        <v>-1.324265552109738E-3</v>
      </c>
    </row>
    <row r="106" spans="1:29" s="51" customFormat="1" ht="11.65">
      <c r="A106" s="51" t="s">
        <v>2068</v>
      </c>
      <c r="B106" s="51" t="s">
        <v>2069</v>
      </c>
      <c r="C106" s="51">
        <v>17.340753124999999</v>
      </c>
      <c r="D106" s="51">
        <v>17.325573437500001</v>
      </c>
      <c r="E106" s="51">
        <v>16.430081250000001</v>
      </c>
      <c r="F106" s="51">
        <v>15.727635937500001</v>
      </c>
      <c r="G106" s="51">
        <v>15.708290625</v>
      </c>
      <c r="H106" s="51">
        <v>15.755646875</v>
      </c>
      <c r="I106" s="51">
        <v>15.8829203125</v>
      </c>
      <c r="J106" s="51">
        <v>15.872078125</v>
      </c>
      <c r="K106" s="51">
        <v>15.9768890625</v>
      </c>
      <c r="L106" s="51">
        <v>16.143010937500001</v>
      </c>
      <c r="M106" s="51">
        <v>16.138876562499998</v>
      </c>
      <c r="N106" s="51">
        <v>16.134989062500001</v>
      </c>
      <c r="O106" s="51">
        <v>16.252629687500001</v>
      </c>
      <c r="P106" s="51">
        <v>16.326759375000002</v>
      </c>
      <c r="Q106" s="51">
        <v>16.3898875</v>
      </c>
      <c r="R106" s="51">
        <v>16.455203125000001</v>
      </c>
      <c r="S106" s="51">
        <v>16.442229687499999</v>
      </c>
      <c r="T106" s="51">
        <v>16.441835937499999</v>
      </c>
      <c r="U106" s="51">
        <v>16.379054687499998</v>
      </c>
      <c r="V106" s="51">
        <v>16.334145312499999</v>
      </c>
      <c r="W106" s="51">
        <v>16.2640828125</v>
      </c>
      <c r="X106" s="51">
        <v>16.292684375</v>
      </c>
      <c r="Y106" s="51">
        <v>16.354925000000001</v>
      </c>
      <c r="Z106" s="51">
        <v>16.432467187499999</v>
      </c>
      <c r="AA106" s="51">
        <v>16.442140625</v>
      </c>
      <c r="AB106" s="51">
        <v>16.4801421875</v>
      </c>
      <c r="AC106" s="51">
        <v>-2.034058529314597E-3</v>
      </c>
    </row>
    <row r="107" spans="1:29" s="51" customFormat="1" ht="11.65">
      <c r="A107" s="51" t="s">
        <v>2070</v>
      </c>
      <c r="B107" s="51" t="s">
        <v>2071</v>
      </c>
      <c r="C107" s="51">
        <v>13.90315625</v>
      </c>
      <c r="D107" s="51">
        <v>14.030296874999999</v>
      </c>
      <c r="E107" s="51">
        <v>13.606153125000001</v>
      </c>
      <c r="F107" s="51">
        <v>13.261753125</v>
      </c>
      <c r="G107" s="51">
        <v>13.3453484375</v>
      </c>
      <c r="H107" s="51">
        <v>13.4873984375</v>
      </c>
      <c r="I107" s="51">
        <v>13.6456546875</v>
      </c>
      <c r="J107" s="51">
        <v>13.7086734375</v>
      </c>
      <c r="K107" s="51">
        <v>13.8215953125</v>
      </c>
      <c r="L107" s="51">
        <v>13.962459375</v>
      </c>
      <c r="M107" s="51">
        <v>13.998728125</v>
      </c>
      <c r="N107" s="51">
        <v>14.023548437500001</v>
      </c>
      <c r="O107" s="51">
        <v>14.124696875</v>
      </c>
      <c r="P107" s="51">
        <v>14.191714062499999</v>
      </c>
      <c r="Q107" s="51">
        <v>14.2649734375</v>
      </c>
      <c r="R107" s="51">
        <v>14.3274890625</v>
      </c>
      <c r="S107" s="51">
        <v>14.287453125000001</v>
      </c>
      <c r="T107" s="51">
        <v>14.199871874999999</v>
      </c>
      <c r="U107" s="51">
        <v>14.0536328125</v>
      </c>
      <c r="V107" s="51">
        <v>13.900425</v>
      </c>
      <c r="W107" s="51">
        <v>13.697885937500001</v>
      </c>
      <c r="X107" s="51">
        <v>13.638526562499999</v>
      </c>
      <c r="Y107" s="51">
        <v>13.59450625</v>
      </c>
      <c r="Z107" s="51">
        <v>13.5667546875</v>
      </c>
      <c r="AA107" s="51">
        <v>13.507646875000001</v>
      </c>
      <c r="AB107" s="51">
        <v>13.482001562500001</v>
      </c>
      <c r="AC107" s="51">
        <v>-1.2296555284744271E-3</v>
      </c>
    </row>
    <row r="108" spans="1:29" s="51" customFormat="1" ht="11.65">
      <c r="A108" s="51" t="s">
        <v>2072</v>
      </c>
      <c r="B108" s="51" t="s">
        <v>2073</v>
      </c>
      <c r="C108" s="51">
        <v>21.6670758556264</v>
      </c>
      <c r="D108" s="51">
        <v>21.805407738186101</v>
      </c>
      <c r="E108" s="51">
        <v>21.23047833202272</v>
      </c>
      <c r="F108" s="51">
        <v>20.761544286387121</v>
      </c>
      <c r="G108" s="51">
        <v>20.92190563164236</v>
      </c>
      <c r="H108" s="51">
        <v>21.111678734555401</v>
      </c>
      <c r="I108" s="51">
        <v>21.32617812642054</v>
      </c>
      <c r="J108" s="51">
        <v>21.400198854033569</v>
      </c>
      <c r="K108" s="51">
        <v>21.50597678651792</v>
      </c>
      <c r="L108" s="51">
        <v>21.625151774563619</v>
      </c>
      <c r="M108" s="51">
        <v>21.642563476343732</v>
      </c>
      <c r="N108" s="51">
        <v>21.65058204847611</v>
      </c>
      <c r="O108" s="51">
        <v>21.74939476915679</v>
      </c>
      <c r="P108" s="51">
        <v>21.800195820372391</v>
      </c>
      <c r="Q108" s="51">
        <v>21.859633580806491</v>
      </c>
      <c r="R108" s="51">
        <v>21.71914724604056</v>
      </c>
      <c r="S108" s="51">
        <v>20.990355206928129</v>
      </c>
      <c r="T108" s="51">
        <v>19.787743832861519</v>
      </c>
      <c r="U108" s="51">
        <v>18.53323550111579</v>
      </c>
      <c r="V108" s="51">
        <v>17.432704294973391</v>
      </c>
      <c r="W108" s="51">
        <v>16.49376865623455</v>
      </c>
      <c r="X108" s="51">
        <v>15.952137937826279</v>
      </c>
      <c r="Y108" s="51">
        <v>15.54896918326512</v>
      </c>
      <c r="Z108" s="51">
        <v>15.24814843777401</v>
      </c>
      <c r="AA108" s="51">
        <v>14.9790100302817</v>
      </c>
      <c r="AB108" s="51">
        <v>14.798715747925749</v>
      </c>
      <c r="AC108" s="51">
        <v>-1.5134444042044001E-2</v>
      </c>
    </row>
    <row r="109" spans="1:29" s="51" customFormat="1" ht="11.65">
      <c r="A109" s="51" t="s">
        <v>2074</v>
      </c>
      <c r="B109" s="51" t="s">
        <v>2075</v>
      </c>
      <c r="C109" s="51">
        <v>13.90315625</v>
      </c>
      <c r="D109" s="51">
        <v>14.030296874999999</v>
      </c>
      <c r="E109" s="51">
        <v>13.606153125000001</v>
      </c>
      <c r="F109" s="51">
        <v>13.261753125</v>
      </c>
      <c r="G109" s="51">
        <v>13.3453484375</v>
      </c>
      <c r="H109" s="51">
        <v>13.4873984375</v>
      </c>
      <c r="I109" s="51">
        <v>13.6456546875</v>
      </c>
      <c r="J109" s="51">
        <v>13.7086734375</v>
      </c>
      <c r="K109" s="51">
        <v>13.8215953125</v>
      </c>
      <c r="L109" s="51">
        <v>13.962459375</v>
      </c>
      <c r="M109" s="51">
        <v>13.998728125</v>
      </c>
      <c r="N109" s="51">
        <v>14.023548437500001</v>
      </c>
      <c r="O109" s="51">
        <v>14.124696875</v>
      </c>
      <c r="P109" s="51">
        <v>14.191714062499999</v>
      </c>
      <c r="Q109" s="51">
        <v>14.2649734375</v>
      </c>
      <c r="R109" s="51">
        <v>14.3274890625</v>
      </c>
      <c r="S109" s="51">
        <v>14.287453125000001</v>
      </c>
      <c r="T109" s="51">
        <v>14.199871874999999</v>
      </c>
      <c r="U109" s="51">
        <v>14.0536328125</v>
      </c>
      <c r="V109" s="51">
        <v>13.900425</v>
      </c>
      <c r="W109" s="51">
        <v>13.697885937500001</v>
      </c>
      <c r="X109" s="51">
        <v>13.638526562499999</v>
      </c>
      <c r="Y109" s="51">
        <v>13.59450625</v>
      </c>
      <c r="Z109" s="51">
        <v>13.5667546875</v>
      </c>
      <c r="AA109" s="51">
        <v>13.507646875000001</v>
      </c>
      <c r="AB109" s="51">
        <v>13.482001562500001</v>
      </c>
      <c r="AC109" s="51">
        <v>-1.2296555284744271E-3</v>
      </c>
    </row>
    <row r="110" spans="1:29" s="51" customFormat="1" ht="11.65">
      <c r="A110" s="51" t="s">
        <v>2076</v>
      </c>
      <c r="B110" s="51" t="s">
        <v>2077</v>
      </c>
      <c r="C110" s="51">
        <v>31.51393697706656</v>
      </c>
      <c r="D110" s="51">
        <v>31.4219942918347</v>
      </c>
      <c r="E110" s="51">
        <v>30.510374206149219</v>
      </c>
      <c r="F110" s="51">
        <v>29.79923617061495</v>
      </c>
      <c r="G110" s="51">
        <v>30.02635272807462</v>
      </c>
      <c r="H110" s="51">
        <v>30.388193441280269</v>
      </c>
      <c r="I110" s="51">
        <v>30.738141003024221</v>
      </c>
      <c r="J110" s="51">
        <v>30.916721276461718</v>
      </c>
      <c r="K110" s="51">
        <v>31.110695091985921</v>
      </c>
      <c r="L110" s="51">
        <v>31.286304511088741</v>
      </c>
      <c r="M110" s="51">
        <v>31.365935477570591</v>
      </c>
      <c r="N110" s="51">
        <v>31.435752501260119</v>
      </c>
      <c r="O110" s="51">
        <v>31.62196238029237</v>
      </c>
      <c r="P110" s="51">
        <v>31.748515713205681</v>
      </c>
      <c r="Q110" s="51">
        <v>31.91160120967745</v>
      </c>
      <c r="R110" s="51">
        <v>32.070954643397208</v>
      </c>
      <c r="S110" s="51">
        <v>32.089017282006083</v>
      </c>
      <c r="T110" s="51">
        <v>32.025770791330679</v>
      </c>
      <c r="U110" s="51">
        <v>31.911394846270191</v>
      </c>
      <c r="V110" s="51">
        <v>31.82487796118955</v>
      </c>
      <c r="W110" s="51">
        <v>31.608686983366962</v>
      </c>
      <c r="X110" s="51">
        <v>31.75239962827624</v>
      </c>
      <c r="Y110" s="51">
        <v>31.853576102570599</v>
      </c>
      <c r="Z110" s="51">
        <v>31.95971892641132</v>
      </c>
      <c r="AA110" s="51">
        <v>31.97392490549398</v>
      </c>
      <c r="AB110" s="51">
        <v>32.075628969254069</v>
      </c>
      <c r="AC110" s="51">
        <v>7.0691486424534489E-4</v>
      </c>
    </row>
    <row r="111" spans="1:29" s="51" customFormat="1" ht="11.65">
      <c r="B111" s="51" t="s">
        <v>2078</v>
      </c>
    </row>
    <row r="112" spans="1:29" s="51" customFormat="1" ht="11.65">
      <c r="A112" s="51" t="s">
        <v>2079</v>
      </c>
      <c r="B112" s="51" t="s">
        <v>2075</v>
      </c>
      <c r="C112" s="51">
        <v>13.90315625</v>
      </c>
      <c r="D112" s="51">
        <v>14.030296874999999</v>
      </c>
      <c r="E112" s="51">
        <v>13.606153125000001</v>
      </c>
      <c r="F112" s="51">
        <v>13.261753125</v>
      </c>
      <c r="G112" s="51">
        <v>13.3453484375</v>
      </c>
      <c r="H112" s="51">
        <v>13.4873984375</v>
      </c>
      <c r="I112" s="51">
        <v>13.6456546875</v>
      </c>
      <c r="J112" s="51">
        <v>13.7086734375</v>
      </c>
      <c r="K112" s="51">
        <v>13.8215953125</v>
      </c>
      <c r="L112" s="51">
        <v>13.962459375</v>
      </c>
      <c r="M112" s="51">
        <v>13.998728125</v>
      </c>
      <c r="N112" s="51">
        <v>14.023548437500001</v>
      </c>
      <c r="O112" s="51">
        <v>14.124696875</v>
      </c>
      <c r="P112" s="51">
        <v>14.191714062499999</v>
      </c>
      <c r="Q112" s="51">
        <v>14.2649734375</v>
      </c>
      <c r="R112" s="51">
        <v>14.3274890625</v>
      </c>
      <c r="S112" s="51">
        <v>14.287453125000001</v>
      </c>
      <c r="T112" s="51">
        <v>14.199871874999999</v>
      </c>
      <c r="U112" s="51">
        <v>14.0536328125</v>
      </c>
      <c r="V112" s="51">
        <v>13.900425</v>
      </c>
      <c r="W112" s="51">
        <v>13.697885937500001</v>
      </c>
      <c r="X112" s="51">
        <v>13.638526562499999</v>
      </c>
      <c r="Y112" s="51">
        <v>13.59450625</v>
      </c>
      <c r="Z112" s="51">
        <v>13.5667546875</v>
      </c>
      <c r="AA112" s="51">
        <v>13.507646875000001</v>
      </c>
      <c r="AB112" s="51">
        <v>13.482001562500001</v>
      </c>
      <c r="AC112" s="51">
        <v>-1.2296555284744271E-3</v>
      </c>
    </row>
    <row r="113" spans="1:29" s="51" customFormat="1" ht="11.65">
      <c r="A113" s="51" t="s">
        <v>2080</v>
      </c>
      <c r="B113" s="51" t="s">
        <v>2077</v>
      </c>
      <c r="C113" s="51">
        <v>31.51393697706656</v>
      </c>
      <c r="D113" s="51">
        <v>31.4219942918347</v>
      </c>
      <c r="E113" s="51">
        <v>30.510374206149219</v>
      </c>
      <c r="F113" s="51">
        <v>29.79923617061495</v>
      </c>
      <c r="G113" s="51">
        <v>30.02635272807462</v>
      </c>
      <c r="H113" s="51">
        <v>30.388193441280269</v>
      </c>
      <c r="I113" s="51">
        <v>30.738141003024221</v>
      </c>
      <c r="J113" s="51">
        <v>30.916721276461718</v>
      </c>
      <c r="K113" s="51">
        <v>31.110695091985921</v>
      </c>
      <c r="L113" s="51">
        <v>31.286304511088741</v>
      </c>
      <c r="M113" s="51">
        <v>31.365935477570591</v>
      </c>
      <c r="N113" s="51">
        <v>31.435752501260119</v>
      </c>
      <c r="O113" s="51">
        <v>31.62196238029237</v>
      </c>
      <c r="P113" s="51">
        <v>31.748515713205681</v>
      </c>
      <c r="Q113" s="51">
        <v>31.91160120967745</v>
      </c>
      <c r="R113" s="51">
        <v>32.070954643397208</v>
      </c>
      <c r="S113" s="51">
        <v>32.089017282006083</v>
      </c>
      <c r="T113" s="51">
        <v>32.025770791330679</v>
      </c>
      <c r="U113" s="51">
        <v>31.911394846270191</v>
      </c>
      <c r="V113" s="51">
        <v>31.82487796118955</v>
      </c>
      <c r="W113" s="51">
        <v>31.608686983366962</v>
      </c>
      <c r="X113" s="51">
        <v>31.75239962827624</v>
      </c>
      <c r="Y113" s="51">
        <v>31.853576102570599</v>
      </c>
      <c r="Z113" s="51">
        <v>31.95971892641132</v>
      </c>
      <c r="AA113" s="51">
        <v>31.97392490549398</v>
      </c>
      <c r="AB113" s="51">
        <v>32.075628969254069</v>
      </c>
      <c r="AC113" s="51">
        <v>7.0691486424534489E-4</v>
      </c>
    </row>
    <row r="114" spans="1:29" s="51" customFormat="1" ht="11.65"/>
    <row r="115" spans="1:29" s="51" customFormat="1" ht="11.65">
      <c r="A115" s="51" t="s">
        <v>2081</v>
      </c>
      <c r="B115" s="51" t="s">
        <v>2082</v>
      </c>
      <c r="C115" s="51">
        <v>8.3724832534790039</v>
      </c>
      <c r="D115" s="51">
        <v>8.4224052429199219</v>
      </c>
      <c r="E115" s="51">
        <v>8.4212923049926758</v>
      </c>
      <c r="F115" s="51">
        <v>8.4584474563598633</v>
      </c>
      <c r="G115" s="51">
        <v>8.462946891784668</v>
      </c>
      <c r="H115" s="51">
        <v>8.5446615219116211</v>
      </c>
      <c r="I115" s="51">
        <v>8.5924816131591797</v>
      </c>
      <c r="J115" s="51">
        <v>8.6137886047363281</v>
      </c>
      <c r="K115" s="51">
        <v>8.5899667739868164</v>
      </c>
      <c r="L115" s="51">
        <v>8.5977363586425781</v>
      </c>
      <c r="M115" s="51">
        <v>8.592717170715332</v>
      </c>
      <c r="N115" s="51">
        <v>8.6166524887084961</v>
      </c>
      <c r="O115" s="51">
        <v>8.6175804138183594</v>
      </c>
      <c r="P115" s="51">
        <v>8.6283445358276367</v>
      </c>
      <c r="Q115" s="51">
        <v>8.6335239410400391</v>
      </c>
      <c r="R115" s="51">
        <v>8.6421279907226563</v>
      </c>
      <c r="S115" s="51">
        <v>8.6375713348388672</v>
      </c>
      <c r="T115" s="51">
        <v>8.6138505935668945</v>
      </c>
      <c r="U115" s="51">
        <v>8.5670595169067383</v>
      </c>
      <c r="V115" s="51">
        <v>8.5220794677734375</v>
      </c>
      <c r="W115" s="51">
        <v>8.5003423690795898</v>
      </c>
      <c r="X115" s="51">
        <v>8.4977807998657227</v>
      </c>
      <c r="Y115" s="51">
        <v>8.4992570877075195</v>
      </c>
      <c r="Z115" s="51">
        <v>8.4988346099853516</v>
      </c>
      <c r="AA115" s="51">
        <v>8.4924087524414063</v>
      </c>
      <c r="AB115" s="51">
        <v>8.4849472045898438</v>
      </c>
      <c r="AC115" s="51">
        <v>5.3386849545278281E-4</v>
      </c>
    </row>
    <row r="116" spans="1:29" s="51" customFormat="1" ht="11.65"/>
    <row r="117" spans="1:29" s="51" customFormat="1" ht="11.65">
      <c r="B117" s="51" t="s">
        <v>2083</v>
      </c>
    </row>
    <row r="118" spans="1:29" s="51" customFormat="1" ht="11.65">
      <c r="B118" s="51" t="s">
        <v>470</v>
      </c>
    </row>
    <row r="119" spans="1:29" s="51" customFormat="1" ht="11.65">
      <c r="A119" s="51" t="s">
        <v>2084</v>
      </c>
      <c r="B119" s="51" t="s">
        <v>20</v>
      </c>
      <c r="C119" s="51">
        <v>22.039875030517582</v>
      </c>
      <c r="D119" s="51">
        <v>22.191267013549801</v>
      </c>
      <c r="E119" s="51">
        <v>22.09578895568848</v>
      </c>
      <c r="F119" s="51">
        <v>22.133064270019531</v>
      </c>
      <c r="G119" s="51">
        <v>22.19556999206543</v>
      </c>
      <c r="H119" s="51">
        <v>22.413175582885739</v>
      </c>
      <c r="I119" s="51">
        <v>22.576370239257809</v>
      </c>
      <c r="J119" s="51">
        <v>22.640562057495121</v>
      </c>
      <c r="K119" s="51">
        <v>23.845609664916989</v>
      </c>
      <c r="L119" s="51">
        <v>23.811203002929691</v>
      </c>
      <c r="M119" s="51">
        <v>23.839658737182621</v>
      </c>
      <c r="N119" s="51">
        <v>23.779230117797852</v>
      </c>
      <c r="O119" s="51">
        <v>23.965299606323239</v>
      </c>
      <c r="P119" s="51">
        <v>23.943084716796879</v>
      </c>
      <c r="Q119" s="51">
        <v>23.9307861328125</v>
      </c>
      <c r="R119" s="51">
        <v>23.909030914306641</v>
      </c>
      <c r="S119" s="51">
        <v>23.850116729736332</v>
      </c>
      <c r="T119" s="51">
        <v>23.69107818603516</v>
      </c>
      <c r="U119" s="51">
        <v>23.498176574707031</v>
      </c>
      <c r="V119" s="51">
        <v>23.29987716674805</v>
      </c>
      <c r="W119" s="51">
        <v>23.200569152832031</v>
      </c>
      <c r="X119" s="51">
        <v>23.178901672363281</v>
      </c>
      <c r="Y119" s="51">
        <v>23.170866012573239</v>
      </c>
      <c r="Z119" s="51">
        <v>23.155450820922852</v>
      </c>
      <c r="AA119" s="51">
        <v>23.133804321289059</v>
      </c>
      <c r="AB119" s="51">
        <v>23.1011848449707</v>
      </c>
      <c r="AC119" s="51">
        <v>1.8829943737732611E-3</v>
      </c>
    </row>
    <row r="120" spans="1:29" s="51" customFormat="1" ht="11.65">
      <c r="A120" s="51" t="s">
        <v>2085</v>
      </c>
      <c r="B120" s="51" t="s">
        <v>2086</v>
      </c>
      <c r="C120" s="51">
        <v>24.280620574951168</v>
      </c>
      <c r="D120" s="51">
        <v>24.394817352294918</v>
      </c>
      <c r="E120" s="51">
        <v>24.237873077392582</v>
      </c>
      <c r="F120" s="51">
        <v>24.24101638793945</v>
      </c>
      <c r="G120" s="51">
        <v>24.29904937744141</v>
      </c>
      <c r="H120" s="51">
        <v>24.518585205078121</v>
      </c>
      <c r="I120" s="51">
        <v>24.662275314331051</v>
      </c>
      <c r="J120" s="51">
        <v>24.714559555053711</v>
      </c>
      <c r="K120" s="51">
        <v>25.267934799194339</v>
      </c>
      <c r="L120" s="51">
        <v>25.230426788330082</v>
      </c>
      <c r="M120" s="51">
        <v>25.271673202514648</v>
      </c>
      <c r="N120" s="51">
        <v>25.20286750793457</v>
      </c>
      <c r="O120" s="51">
        <v>25.316720962524411</v>
      </c>
      <c r="P120" s="51">
        <v>25.296205520629879</v>
      </c>
      <c r="Q120" s="51">
        <v>25.290451049804691</v>
      </c>
      <c r="R120" s="51">
        <v>25.266925811767582</v>
      </c>
      <c r="S120" s="51">
        <v>25.202329635620121</v>
      </c>
      <c r="T120" s="51">
        <v>25.033418655395511</v>
      </c>
      <c r="U120" s="51">
        <v>24.840206146240231</v>
      </c>
      <c r="V120" s="51">
        <v>24.62907791137695</v>
      </c>
      <c r="W120" s="51">
        <v>24.51572418212891</v>
      </c>
      <c r="X120" s="51">
        <v>24.48420524597168</v>
      </c>
      <c r="Y120" s="51">
        <v>24.464071273803711</v>
      </c>
      <c r="Z120" s="51">
        <v>24.43120193481445</v>
      </c>
      <c r="AA120" s="51">
        <v>24.3966178894043</v>
      </c>
      <c r="AB120" s="51">
        <v>24.34056282043457</v>
      </c>
      <c r="AC120" s="51">
        <v>9.8632287804267804E-5</v>
      </c>
    </row>
    <row r="121" spans="1:29" s="51" customFormat="1" ht="11.65">
      <c r="A121" s="51" t="s">
        <v>2087</v>
      </c>
      <c r="B121" s="51" t="s">
        <v>2088</v>
      </c>
      <c r="C121" s="51">
        <v>21.802654266357418</v>
      </c>
      <c r="D121" s="51">
        <v>21.911489486694339</v>
      </c>
      <c r="E121" s="51">
        <v>21.80975341796875</v>
      </c>
      <c r="F121" s="51">
        <v>21.845211029052731</v>
      </c>
      <c r="G121" s="51">
        <v>21.903863906860352</v>
      </c>
      <c r="H121" s="51">
        <v>22.114711761474609</v>
      </c>
      <c r="I121" s="51">
        <v>22.275083541870121</v>
      </c>
      <c r="J121" s="51">
        <v>22.33320426940918</v>
      </c>
      <c r="K121" s="51">
        <v>23.63034629821777</v>
      </c>
      <c r="L121" s="51">
        <v>23.590444564819339</v>
      </c>
      <c r="M121" s="51">
        <v>23.609897613525391</v>
      </c>
      <c r="N121" s="51">
        <v>23.544450759887699</v>
      </c>
      <c r="O121" s="51">
        <v>23.73429107666016</v>
      </c>
      <c r="P121" s="51">
        <v>23.70322418212891</v>
      </c>
      <c r="Q121" s="51">
        <v>23.680154800415039</v>
      </c>
      <c r="R121" s="51">
        <v>23.64510536193848</v>
      </c>
      <c r="S121" s="51">
        <v>23.571647644042969</v>
      </c>
      <c r="T121" s="51">
        <v>23.393417358398441</v>
      </c>
      <c r="U121" s="51">
        <v>23.176603317260739</v>
      </c>
      <c r="V121" s="51">
        <v>22.954452514648441</v>
      </c>
      <c r="W121" s="51">
        <v>22.82609748840332</v>
      </c>
      <c r="X121" s="51">
        <v>22.773614883422852</v>
      </c>
      <c r="Y121" s="51">
        <v>22.7314453125</v>
      </c>
      <c r="Z121" s="51">
        <v>22.678838729858398</v>
      </c>
      <c r="AA121" s="51">
        <v>22.620027542114261</v>
      </c>
      <c r="AB121" s="51">
        <v>22.546257019042969</v>
      </c>
      <c r="AC121" s="51">
        <v>1.342394149447923E-3</v>
      </c>
    </row>
    <row r="122" spans="1:29" s="51" customFormat="1" ht="11.65">
      <c r="A122" s="51" t="s">
        <v>2089</v>
      </c>
      <c r="B122" s="51" t="s">
        <v>2090</v>
      </c>
      <c r="C122" s="51">
        <v>0</v>
      </c>
      <c r="D122" s="51">
        <v>0</v>
      </c>
      <c r="E122" s="51">
        <v>0</v>
      </c>
      <c r="F122" s="51">
        <v>0</v>
      </c>
      <c r="G122" s="51">
        <v>0</v>
      </c>
      <c r="H122" s="51">
        <v>0</v>
      </c>
      <c r="I122" s="51">
        <v>0</v>
      </c>
      <c r="J122" s="51">
        <v>0</v>
      </c>
      <c r="K122" s="51">
        <v>0</v>
      </c>
      <c r="L122" s="51">
        <v>0</v>
      </c>
      <c r="M122" s="51">
        <v>0</v>
      </c>
      <c r="N122" s="51">
        <v>0</v>
      </c>
      <c r="O122" s="51">
        <v>0</v>
      </c>
      <c r="P122" s="51">
        <v>0</v>
      </c>
      <c r="Q122" s="51">
        <v>0</v>
      </c>
      <c r="R122" s="51">
        <v>0</v>
      </c>
      <c r="S122" s="51">
        <v>0</v>
      </c>
      <c r="T122" s="51">
        <v>0</v>
      </c>
      <c r="U122" s="51">
        <v>0</v>
      </c>
      <c r="V122" s="51">
        <v>0</v>
      </c>
      <c r="W122" s="51">
        <v>0</v>
      </c>
      <c r="X122" s="51">
        <v>0</v>
      </c>
      <c r="Y122" s="51">
        <v>0</v>
      </c>
      <c r="Z122" s="51">
        <v>0</v>
      </c>
      <c r="AA122" s="51">
        <v>0</v>
      </c>
      <c r="AB122" s="51">
        <v>0</v>
      </c>
      <c r="AC122" s="51" t="s">
        <v>452</v>
      </c>
    </row>
    <row r="123" spans="1:29" s="51" customFormat="1" ht="11.65">
      <c r="A123" s="51" t="s">
        <v>2091</v>
      </c>
      <c r="B123" s="51" t="s">
        <v>2092</v>
      </c>
      <c r="C123" s="51">
        <v>12.84196758270264</v>
      </c>
      <c r="D123" s="51">
        <v>13.02306079864502</v>
      </c>
      <c r="E123" s="51">
        <v>12.8076229095459</v>
      </c>
      <c r="F123" s="51">
        <v>12.86207103729248</v>
      </c>
      <c r="G123" s="51">
        <v>12.923365592956539</v>
      </c>
      <c r="H123" s="51">
        <v>13.258071899414061</v>
      </c>
      <c r="I123" s="51">
        <v>13.44189929962158</v>
      </c>
      <c r="J123" s="51">
        <v>13.502707481384279</v>
      </c>
      <c r="K123" s="51">
        <v>13.869401931762701</v>
      </c>
      <c r="L123" s="51">
        <v>13.863107681274411</v>
      </c>
      <c r="M123" s="51">
        <v>13.909799575805661</v>
      </c>
      <c r="N123" s="51">
        <v>13.928080558776861</v>
      </c>
      <c r="O123" s="51">
        <v>14.03026866912842</v>
      </c>
      <c r="P123" s="51">
        <v>14.0416202545166</v>
      </c>
      <c r="Q123" s="51">
        <v>14.0595817565918</v>
      </c>
      <c r="R123" s="51">
        <v>14.0552225112915</v>
      </c>
      <c r="S123" s="51">
        <v>14.001259803771971</v>
      </c>
      <c r="T123" s="51">
        <v>13.82656764984131</v>
      </c>
      <c r="U123" s="51">
        <v>13.61361122131348</v>
      </c>
      <c r="V123" s="51">
        <v>13.360336303710939</v>
      </c>
      <c r="W123" s="51">
        <v>13.233634948730471</v>
      </c>
      <c r="X123" s="51">
        <v>13.22142314910889</v>
      </c>
      <c r="Y123" s="51">
        <v>13.22838020324707</v>
      </c>
      <c r="Z123" s="51">
        <v>13.22042083740234</v>
      </c>
      <c r="AA123" s="51">
        <v>13.204408645629879</v>
      </c>
      <c r="AB123" s="51">
        <v>13.16260433197021</v>
      </c>
      <c r="AC123" s="51">
        <v>9.8693785631898123E-4</v>
      </c>
    </row>
    <row r="124" spans="1:29" s="51" customFormat="1" ht="11.65">
      <c r="A124" s="51" t="s">
        <v>2093</v>
      </c>
      <c r="B124" s="51" t="s">
        <v>2094</v>
      </c>
      <c r="C124" s="51">
        <v>12.84196758270264</v>
      </c>
      <c r="D124" s="51">
        <v>13.02306079864502</v>
      </c>
      <c r="E124" s="51">
        <v>12.8076229095459</v>
      </c>
      <c r="F124" s="51">
        <v>12.86207103729248</v>
      </c>
      <c r="G124" s="51">
        <v>12.923365592956539</v>
      </c>
      <c r="H124" s="51">
        <v>13.258071899414061</v>
      </c>
      <c r="I124" s="51">
        <v>13.44189929962158</v>
      </c>
      <c r="J124" s="51">
        <v>13.502707481384279</v>
      </c>
      <c r="K124" s="51">
        <v>13.869401931762701</v>
      </c>
      <c r="L124" s="51">
        <v>13.863107681274411</v>
      </c>
      <c r="M124" s="51">
        <v>13.909799575805661</v>
      </c>
      <c r="N124" s="51">
        <v>13.928080558776861</v>
      </c>
      <c r="O124" s="51">
        <v>14.03026866912842</v>
      </c>
      <c r="P124" s="51">
        <v>14.0416202545166</v>
      </c>
      <c r="Q124" s="51">
        <v>14.0595817565918</v>
      </c>
      <c r="R124" s="51">
        <v>14.0552225112915</v>
      </c>
      <c r="S124" s="51">
        <v>14.001259803771971</v>
      </c>
      <c r="T124" s="51">
        <v>13.82656764984131</v>
      </c>
      <c r="U124" s="51">
        <v>13.61361122131348</v>
      </c>
      <c r="V124" s="51">
        <v>13.360336303710939</v>
      </c>
      <c r="W124" s="51">
        <v>13.233634948730471</v>
      </c>
      <c r="X124" s="51">
        <v>13.22142314910889</v>
      </c>
      <c r="Y124" s="51">
        <v>13.22838020324707</v>
      </c>
      <c r="Z124" s="51">
        <v>13.22042083740234</v>
      </c>
      <c r="AA124" s="51">
        <v>13.204408645629879</v>
      </c>
      <c r="AB124" s="51">
        <v>13.16260433197021</v>
      </c>
      <c r="AC124" s="51">
        <v>9.8693785631898123E-4</v>
      </c>
    </row>
    <row r="125" spans="1:29" s="51" customFormat="1" ht="11.65">
      <c r="B125" s="51" t="s">
        <v>472</v>
      </c>
    </row>
    <row r="126" spans="1:29" s="51" customFormat="1" ht="11.65">
      <c r="A126" s="51" t="s">
        <v>2095</v>
      </c>
      <c r="B126" s="51" t="s">
        <v>20</v>
      </c>
      <c r="C126" s="51">
        <v>29.683391571044918</v>
      </c>
      <c r="D126" s="51">
        <v>30.037422180175781</v>
      </c>
      <c r="E126" s="51">
        <v>29.680255889892582</v>
      </c>
      <c r="F126" s="51">
        <v>29.775014877319339</v>
      </c>
      <c r="G126" s="51">
        <v>29.874336242675781</v>
      </c>
      <c r="H126" s="51">
        <v>30.678714752197269</v>
      </c>
      <c r="I126" s="51">
        <v>31.086566925048832</v>
      </c>
      <c r="J126" s="51">
        <v>31.201572418212891</v>
      </c>
      <c r="K126" s="51">
        <v>31.674224853515621</v>
      </c>
      <c r="L126" s="51">
        <v>31.591909408569339</v>
      </c>
      <c r="M126" s="51">
        <v>31.6005744934082</v>
      </c>
      <c r="N126" s="51">
        <v>31.582965850830082</v>
      </c>
      <c r="O126" s="51">
        <v>31.679925918579102</v>
      </c>
      <c r="P126" s="51">
        <v>31.629892349243161</v>
      </c>
      <c r="Q126" s="51">
        <v>31.597030639648441</v>
      </c>
      <c r="R126" s="51">
        <v>31.514312744140621</v>
      </c>
      <c r="S126" s="51">
        <v>31.262578964233398</v>
      </c>
      <c r="T126" s="51">
        <v>30.755107879638668</v>
      </c>
      <c r="U126" s="51">
        <v>30.14838790893555</v>
      </c>
      <c r="V126" s="51">
        <v>29.536909103393551</v>
      </c>
      <c r="W126" s="51">
        <v>29.195291519165039</v>
      </c>
      <c r="X126" s="51">
        <v>29.094924926757809</v>
      </c>
      <c r="Y126" s="51">
        <v>29.047788619995121</v>
      </c>
      <c r="Z126" s="51">
        <v>28.984600067138668</v>
      </c>
      <c r="AA126" s="51">
        <v>28.891044616699219</v>
      </c>
      <c r="AB126" s="51">
        <v>28.75579833984375</v>
      </c>
      <c r="AC126" s="51">
        <v>-1.2691241694120501E-3</v>
      </c>
    </row>
    <row r="127" spans="1:29" s="51" customFormat="1" ht="11.65">
      <c r="A127" s="51" t="s">
        <v>2096</v>
      </c>
      <c r="B127" s="51" t="s">
        <v>2086</v>
      </c>
      <c r="C127" s="51">
        <v>30.795400619506839</v>
      </c>
      <c r="D127" s="51">
        <v>31.167388916015621</v>
      </c>
      <c r="E127" s="51">
        <v>30.824787139892582</v>
      </c>
      <c r="F127" s="51">
        <v>30.927824020385739</v>
      </c>
      <c r="G127" s="51">
        <v>31.03544807434082</v>
      </c>
      <c r="H127" s="51">
        <v>31.850051879882809</v>
      </c>
      <c r="I127" s="51">
        <v>32.267459869384773</v>
      </c>
      <c r="J127" s="51">
        <v>32.392436981201172</v>
      </c>
      <c r="K127" s="51">
        <v>32.876274108886719</v>
      </c>
      <c r="L127" s="51">
        <v>32.808311462402337</v>
      </c>
      <c r="M127" s="51">
        <v>32.835292816162109</v>
      </c>
      <c r="N127" s="51">
        <v>32.838821411132813</v>
      </c>
      <c r="O127" s="51">
        <v>32.962718963623047</v>
      </c>
      <c r="P127" s="51">
        <v>32.941074371337891</v>
      </c>
      <c r="Q127" s="51">
        <v>32.940090179443359</v>
      </c>
      <c r="R127" s="51">
        <v>32.893661499023438</v>
      </c>
      <c r="S127" s="51">
        <v>32.678890228271477</v>
      </c>
      <c r="T127" s="51">
        <v>32.209236145019531</v>
      </c>
      <c r="U127" s="51">
        <v>31.641025543212891</v>
      </c>
      <c r="V127" s="51">
        <v>31.06198883056641</v>
      </c>
      <c r="W127" s="51">
        <v>30.73836517333984</v>
      </c>
      <c r="X127" s="51">
        <v>30.65754508972168</v>
      </c>
      <c r="Y127" s="51">
        <v>30.615781784057621</v>
      </c>
      <c r="Z127" s="51">
        <v>30.555088043212891</v>
      </c>
      <c r="AA127" s="51">
        <v>30.45283317565918</v>
      </c>
      <c r="AB127" s="51">
        <v>30.302497863769531</v>
      </c>
      <c r="AC127" s="51">
        <v>-6.4519982611765947E-4</v>
      </c>
    </row>
    <row r="128" spans="1:29" s="51" customFormat="1" ht="11.65">
      <c r="A128" s="51" t="s">
        <v>2097</v>
      </c>
      <c r="B128" s="51" t="s">
        <v>2088</v>
      </c>
      <c r="C128" s="51">
        <v>27.75629806518555</v>
      </c>
      <c r="D128" s="51">
        <v>28.123325347900391</v>
      </c>
      <c r="E128" s="51">
        <v>27.782646179199219</v>
      </c>
      <c r="F128" s="51">
        <v>27.883550643920898</v>
      </c>
      <c r="G128" s="51">
        <v>27.989040374755859</v>
      </c>
      <c r="H128" s="51">
        <v>28.795248031616211</v>
      </c>
      <c r="I128" s="51">
        <v>29.207790374755859</v>
      </c>
      <c r="J128" s="51">
        <v>29.3305549621582</v>
      </c>
      <c r="K128" s="51">
        <v>29.814519882202148</v>
      </c>
      <c r="L128" s="51">
        <v>29.74609375</v>
      </c>
      <c r="M128" s="51">
        <v>29.771781921386719</v>
      </c>
      <c r="N128" s="51">
        <v>29.774274826049801</v>
      </c>
      <c r="O128" s="51">
        <v>29.896921157836911</v>
      </c>
      <c r="P128" s="51">
        <v>29.874553680419918</v>
      </c>
      <c r="Q128" s="51">
        <v>29.872684478759769</v>
      </c>
      <c r="R128" s="51">
        <v>29.825790405273441</v>
      </c>
      <c r="S128" s="51">
        <v>29.6120719909668</v>
      </c>
      <c r="T128" s="51">
        <v>29.14577484130859</v>
      </c>
      <c r="U128" s="51">
        <v>28.581821441650391</v>
      </c>
      <c r="V128" s="51">
        <v>28.00716590881348</v>
      </c>
      <c r="W128" s="51">
        <v>27.6856803894043</v>
      </c>
      <c r="X128" s="51">
        <v>27.604854583740231</v>
      </c>
      <c r="Y128" s="51">
        <v>27.562749862670898</v>
      </c>
      <c r="Z128" s="51">
        <v>27.50189208984375</v>
      </c>
      <c r="AA128" s="51">
        <v>27.399860382080082</v>
      </c>
      <c r="AB128" s="51">
        <v>27.250204086303711</v>
      </c>
      <c r="AC128" s="51">
        <v>-7.3579961694758556E-4</v>
      </c>
    </row>
    <row r="129" spans="1:29" s="51" customFormat="1" ht="11.65">
      <c r="A129" s="51" t="s">
        <v>2098</v>
      </c>
      <c r="B129" s="51" t="s">
        <v>2099</v>
      </c>
      <c r="C129" s="51">
        <v>18.771913528442379</v>
      </c>
      <c r="D129" s="51">
        <v>19.2592887878418</v>
      </c>
      <c r="E129" s="51">
        <v>18.835456848144531</v>
      </c>
      <c r="F129" s="51">
        <v>19.017608642578121</v>
      </c>
      <c r="G129" s="51">
        <v>19.21314811706543</v>
      </c>
      <c r="H129" s="51">
        <v>20.018112182617191</v>
      </c>
      <c r="I129" s="51">
        <v>20.4856071472168</v>
      </c>
      <c r="J129" s="51">
        <v>20.67668342590332</v>
      </c>
      <c r="K129" s="51">
        <v>21.458919525146481</v>
      </c>
      <c r="L129" s="51">
        <v>21.498580932617191</v>
      </c>
      <c r="M129" s="51">
        <v>21.65603065490723</v>
      </c>
      <c r="N129" s="51">
        <v>21.7476806640625</v>
      </c>
      <c r="O129" s="51">
        <v>22.010110855102539</v>
      </c>
      <c r="P129" s="51">
        <v>22.082332611083981</v>
      </c>
      <c r="Q129" s="51">
        <v>22.167886734008789</v>
      </c>
      <c r="R129" s="51">
        <v>22.20291900634766</v>
      </c>
      <c r="S129" s="51">
        <v>22.125871658325199</v>
      </c>
      <c r="T129" s="51">
        <v>21.777791976928711</v>
      </c>
      <c r="U129" s="51">
        <v>21.34304237365723</v>
      </c>
      <c r="V129" s="51">
        <v>20.817037582397461</v>
      </c>
      <c r="W129" s="51">
        <v>20.572282791137699</v>
      </c>
      <c r="X129" s="51">
        <v>20.582223892211911</v>
      </c>
      <c r="Y129" s="51">
        <v>20.63434982299805</v>
      </c>
      <c r="Z129" s="51">
        <v>20.652694702148441</v>
      </c>
      <c r="AA129" s="51">
        <v>20.652252197265621</v>
      </c>
      <c r="AB129" s="51">
        <v>20.593156814575199</v>
      </c>
      <c r="AC129" s="51">
        <v>3.710749270609659E-3</v>
      </c>
    </row>
    <row r="130" spans="1:29" s="51" customFormat="1" ht="11.65">
      <c r="A130" s="51" t="s">
        <v>2100</v>
      </c>
      <c r="B130" s="51" t="s">
        <v>2090</v>
      </c>
      <c r="C130" s="51">
        <v>12.612541198730471</v>
      </c>
      <c r="D130" s="51">
        <v>12.83408737182617</v>
      </c>
      <c r="E130" s="51">
        <v>12.66527271270752</v>
      </c>
      <c r="F130" s="51">
        <v>12.76011276245117</v>
      </c>
      <c r="G130" s="51">
        <v>12.847880363464361</v>
      </c>
      <c r="H130" s="51">
        <v>13.312883377075201</v>
      </c>
      <c r="I130" s="51">
        <v>13.60855102539062</v>
      </c>
      <c r="J130" s="51">
        <v>13.72580718994141</v>
      </c>
      <c r="K130" s="51">
        <v>15.02704524993896</v>
      </c>
      <c r="L130" s="51">
        <v>15.04117393493652</v>
      </c>
      <c r="M130" s="51">
        <v>15.097978591918951</v>
      </c>
      <c r="N130" s="51">
        <v>15.143978118896481</v>
      </c>
      <c r="O130" s="51">
        <v>15.38075160980225</v>
      </c>
      <c r="P130" s="51">
        <v>15.41701126098633</v>
      </c>
      <c r="Q130" s="51">
        <v>15.469279289245611</v>
      </c>
      <c r="R130" s="51">
        <v>15.506936073303221</v>
      </c>
      <c r="S130" s="51">
        <v>15.44016170501709</v>
      </c>
      <c r="T130" s="51">
        <v>15.214340209960939</v>
      </c>
      <c r="U130" s="51">
        <v>14.91354274749756</v>
      </c>
      <c r="V130" s="51">
        <v>14.6239070892334</v>
      </c>
      <c r="W130" s="51">
        <v>14.47358989715576</v>
      </c>
      <c r="X130" s="51">
        <v>14.43455123901367</v>
      </c>
      <c r="Y130" s="51">
        <v>14.41295909881592</v>
      </c>
      <c r="Z130" s="51">
        <v>14.38296508789062</v>
      </c>
      <c r="AA130" s="51">
        <v>14.32445240020752</v>
      </c>
      <c r="AB130" s="51">
        <v>14.25072002410889</v>
      </c>
      <c r="AC130" s="51">
        <v>4.8965805100735782E-3</v>
      </c>
    </row>
    <row r="131" spans="1:29" s="51" customFormat="1" ht="11.65">
      <c r="A131" s="51" t="s">
        <v>2101</v>
      </c>
      <c r="B131" s="51" t="s">
        <v>2092</v>
      </c>
      <c r="C131" s="51">
        <v>12.06707286834717</v>
      </c>
      <c r="D131" s="51">
        <v>12.297183990478519</v>
      </c>
      <c r="E131" s="51">
        <v>12.1313009262085</v>
      </c>
      <c r="F131" s="51">
        <v>12.21360492706299</v>
      </c>
      <c r="G131" s="51">
        <v>12.292764663696291</v>
      </c>
      <c r="H131" s="51">
        <v>12.76146984100342</v>
      </c>
      <c r="I131" s="51">
        <v>13.01923656463623</v>
      </c>
      <c r="J131" s="51">
        <v>13.119384765625</v>
      </c>
      <c r="K131" s="51">
        <v>13.520707130432131</v>
      </c>
      <c r="L131" s="51">
        <v>13.509312629699711</v>
      </c>
      <c r="M131" s="51">
        <v>13.55859279632568</v>
      </c>
      <c r="N131" s="51">
        <v>13.59067535400391</v>
      </c>
      <c r="O131" s="51">
        <v>13.68543815612793</v>
      </c>
      <c r="P131" s="51">
        <v>13.71230316162109</v>
      </c>
      <c r="Q131" s="51">
        <v>13.75453567504883</v>
      </c>
      <c r="R131" s="51">
        <v>13.77816104888916</v>
      </c>
      <c r="S131" s="51">
        <v>13.70265007019043</v>
      </c>
      <c r="T131" s="51">
        <v>13.47880268096924</v>
      </c>
      <c r="U131" s="51">
        <v>13.19680881500244</v>
      </c>
      <c r="V131" s="51">
        <v>12.923966407775881</v>
      </c>
      <c r="W131" s="51">
        <v>12.77644062042236</v>
      </c>
      <c r="X131" s="51">
        <v>12.742087364196779</v>
      </c>
      <c r="Y131" s="51">
        <v>12.73032760620117</v>
      </c>
      <c r="Z131" s="51">
        <v>12.70776271820068</v>
      </c>
      <c r="AA131" s="51">
        <v>12.66269588470459</v>
      </c>
      <c r="AB131" s="51">
        <v>12.598231315612789</v>
      </c>
      <c r="AC131" s="51">
        <v>1.7245228665181409E-3</v>
      </c>
    </row>
    <row r="132" spans="1:29" s="51" customFormat="1" ht="11.65">
      <c r="A132" s="51" t="s">
        <v>2102</v>
      </c>
      <c r="B132" s="51" t="s">
        <v>2094</v>
      </c>
      <c r="C132" s="51">
        <v>12.680105209350589</v>
      </c>
      <c r="D132" s="51">
        <v>12.909067153930661</v>
      </c>
      <c r="E132" s="51">
        <v>12.743869781494141</v>
      </c>
      <c r="F132" s="51">
        <v>12.848470687866209</v>
      </c>
      <c r="G132" s="51">
        <v>12.934384346008301</v>
      </c>
      <c r="H132" s="51">
        <v>13.400203704833981</v>
      </c>
      <c r="I132" s="51">
        <v>13.69898891448975</v>
      </c>
      <c r="J132" s="51">
        <v>13.817215919494631</v>
      </c>
      <c r="K132" s="51">
        <v>15.25269603729248</v>
      </c>
      <c r="L132" s="51">
        <v>15.26950263977051</v>
      </c>
      <c r="M132" s="51">
        <v>15.32431793212891</v>
      </c>
      <c r="N132" s="51">
        <v>15.37236976623535</v>
      </c>
      <c r="O132" s="51">
        <v>15.63234710693359</v>
      </c>
      <c r="P132" s="51">
        <v>15.672977447509769</v>
      </c>
      <c r="Q132" s="51">
        <v>15.73295974731445</v>
      </c>
      <c r="R132" s="51">
        <v>15.784200668334959</v>
      </c>
      <c r="S132" s="51">
        <v>15.72930812835693</v>
      </c>
      <c r="T132" s="51">
        <v>15.51547050476074</v>
      </c>
      <c r="U132" s="51">
        <v>15.22324752807617</v>
      </c>
      <c r="V132" s="51">
        <v>14.940427780151371</v>
      </c>
      <c r="W132" s="51">
        <v>14.79769992828369</v>
      </c>
      <c r="X132" s="51">
        <v>14.76876831054688</v>
      </c>
      <c r="Y132" s="51">
        <v>14.75734901428223</v>
      </c>
      <c r="Z132" s="51">
        <v>14.7386531829834</v>
      </c>
      <c r="AA132" s="51">
        <v>14.69149589538574</v>
      </c>
      <c r="AB132" s="51">
        <v>14.631295204162599</v>
      </c>
      <c r="AC132" s="51">
        <v>5.7415597564256524E-3</v>
      </c>
    </row>
    <row r="133" spans="1:29" s="51" customFormat="1" ht="14.65" thickBot="1">
      <c r="B133" s="56"/>
      <c r="C133" s="56"/>
      <c r="D133" s="56"/>
      <c r="E133" s="56"/>
      <c r="F133" s="56"/>
      <c r="G133" s="56"/>
      <c r="H133" s="56"/>
      <c r="I133" s="56"/>
      <c r="J133" s="56"/>
      <c r="K133" s="56"/>
      <c r="L133" s="56"/>
      <c r="M133" s="56"/>
      <c r="N133" s="56"/>
      <c r="O133" s="56"/>
      <c r="P133" s="56"/>
      <c r="Q133" s="56"/>
      <c r="R133" s="56"/>
      <c r="S133" s="56"/>
      <c r="T133" s="56"/>
      <c r="U133" s="56"/>
      <c r="V133" s="56"/>
      <c r="W133" s="56"/>
      <c r="X133" s="56"/>
      <c r="Y133" s="56"/>
      <c r="Z133" s="56"/>
      <c r="AA133" s="56"/>
      <c r="AB133" s="56"/>
      <c r="AC133" s="56"/>
    </row>
    <row r="134" spans="1:29" s="51" customFormat="1" ht="12" thickTop="1">
      <c r="B134" s="51" t="s">
        <v>2103</v>
      </c>
    </row>
    <row r="135" spans="1:29" s="51" customFormat="1" ht="11.65">
      <c r="B135" s="51" t="s">
        <v>2104</v>
      </c>
    </row>
    <row r="136" spans="1:29" s="51" customFormat="1" ht="11.65">
      <c r="B136" s="51" t="s">
        <v>2105</v>
      </c>
    </row>
    <row r="137" spans="1:29" s="51" customFormat="1" ht="11.65">
      <c r="B137" s="51" t="s">
        <v>330</v>
      </c>
    </row>
    <row r="138" spans="1:29" s="51" customFormat="1" ht="11.65">
      <c r="B138" s="51" t="s">
        <v>2106</v>
      </c>
    </row>
    <row r="139" spans="1:29" s="51" customFormat="1" ht="11.65">
      <c r="B139" s="51" t="s">
        <v>2107</v>
      </c>
    </row>
    <row r="140" spans="1:29" s="51" customFormat="1" ht="11.65">
      <c r="B140" s="51" t="s">
        <v>2108</v>
      </c>
    </row>
    <row r="141" spans="1:29" s="51" customFormat="1" ht="11.65">
      <c r="B141" s="51" t="s">
        <v>2109</v>
      </c>
    </row>
    <row r="142" spans="1:29" s="51" customFormat="1" ht="11.65">
      <c r="B142" s="51" t="s">
        <v>2110</v>
      </c>
    </row>
    <row r="143" spans="1:29" s="51" customFormat="1" ht="11.65">
      <c r="B143" s="51" t="s">
        <v>331</v>
      </c>
    </row>
    <row r="144" spans="1:29" s="51" customFormat="1" ht="11.65">
      <c r="B144" s="51" t="s">
        <v>2111</v>
      </c>
    </row>
    <row r="145" spans="2:2" s="51" customFormat="1" ht="11.65">
      <c r="B145" s="51" t="s">
        <v>149</v>
      </c>
    </row>
    <row r="146" spans="2:2" s="51" customFormat="1" ht="11.65">
      <c r="B146" s="51" t="s">
        <v>2112</v>
      </c>
    </row>
    <row r="147" spans="2:2" s="51" customFormat="1" ht="11.65">
      <c r="B147" s="51" t="s">
        <v>2113</v>
      </c>
    </row>
    <row r="148" spans="2:2" s="51" customFormat="1" ht="11.65">
      <c r="B148" s="51" t="s">
        <v>2114</v>
      </c>
    </row>
  </sheetData>
  <conditionalFormatting sqref="A10:AC10">
    <cfRule type="notContainsBlanks" dxfId="18" priority="5">
      <formula>LEN(TRIM(A10))&gt;0</formula>
    </cfRule>
  </conditionalFormatting>
  <conditionalFormatting sqref="AC1">
    <cfRule type="notContainsBlanks" dxfId="17" priority="1">
      <formula>LEN(TRIM(AC1))&gt;0</formula>
    </cfRule>
  </conditionalFormatting>
  <conditionalFormatting sqref="AC2:AC6">
    <cfRule type="notContainsBlanks" dxfId="16" priority="2">
      <formula>LEN(TRIM(AC2))&gt;0</formula>
    </cfRule>
  </conditionalFormatting>
  <conditionalFormatting sqref="AC7">
    <cfRule type="notContainsBlanks" dxfId="15" priority="3">
      <formula>LEN(TRIM(AC7))&gt;0</formula>
    </cfRule>
  </conditionalFormatting>
  <conditionalFormatting sqref="AC8:AC9">
    <cfRule type="notContainsBlanks" dxfId="14" priority="4">
      <formula>LEN(TRIM(AC8))&gt;0</formula>
    </cfRule>
  </conditionalFormatting>
  <conditionalFormatting sqref="AC10">
    <cfRule type="notContainsBlanks" dxfId="13" priority="6">
      <formula>LEN(TRIM(AC10))&gt;0</formula>
    </cfRule>
  </conditionalFormatting>
  <conditionalFormatting sqref="AC11">
    <cfRule type="notContainsBlanks" dxfId="12" priority="7">
      <formula>LEN(TRIM(AC11))&gt;0</formula>
    </cfRule>
  </conditionalFormatting>
  <conditionalFormatting sqref="AC12:AC13">
    <cfRule type="notContainsBlanks" dxfId="11" priority="8">
      <formula>LEN(TRIM(AC12))&gt;0</formula>
    </cfRule>
  </conditionalFormatting>
  <conditionalFormatting sqref="AC14:AC26">
    <cfRule type="notContainsBlanks" dxfId="10" priority="9">
      <formula>LEN(TRIM(AC14))&gt;0</formula>
    </cfRule>
  </conditionalFormatting>
  <conditionalFormatting sqref="AC27">
    <cfRule type="notContainsBlanks" dxfId="9" priority="10">
      <formula>LEN(TRIM(AC27))&gt;0</formula>
    </cfRule>
  </conditionalFormatting>
  <conditionalFormatting sqref="AC28:AC50">
    <cfRule type="notContainsBlanks" dxfId="8" priority="11">
      <formula>LEN(TRIM(AC28))&gt;0</formula>
    </cfRule>
  </conditionalFormatting>
  <conditionalFormatting sqref="AC51:AC52">
    <cfRule type="notContainsBlanks" dxfId="7" priority="12">
      <formula>LEN(TRIM(AC51))&gt;0</formula>
    </cfRule>
  </conditionalFormatting>
  <conditionalFormatting sqref="AC53:AC66">
    <cfRule type="notContainsBlanks" dxfId="6" priority="13">
      <formula>LEN(TRIM(AC53))&gt;0</formula>
    </cfRule>
  </conditionalFormatting>
  <conditionalFormatting sqref="AC67">
    <cfRule type="notContainsBlanks" dxfId="5" priority="14">
      <formula>LEN(TRIM(AC67))&gt;0</formula>
    </cfRule>
  </conditionalFormatting>
  <conditionalFormatting sqref="AC68">
    <cfRule type="notContainsBlanks" dxfId="4" priority="15">
      <formula>LEN(TRIM(AC68))&gt;0</formula>
    </cfRule>
  </conditionalFormatting>
  <conditionalFormatting sqref="AC69">
    <cfRule type="notContainsBlanks" dxfId="3" priority="16">
      <formula>LEN(TRIM(AC69))&gt;0</formula>
    </cfRule>
  </conditionalFormatting>
  <conditionalFormatting sqref="AC70:AC83">
    <cfRule type="notContainsBlanks" dxfId="2" priority="17">
      <formula>LEN(TRIM(AC70))&gt;0</formula>
    </cfRule>
  </conditionalFormatting>
  <conditionalFormatting sqref="AC84">
    <cfRule type="notContainsBlanks" dxfId="1" priority="18">
      <formula>LEN(TRIM(AC84))&gt;0</formula>
    </cfRule>
  </conditionalFormatting>
  <conditionalFormatting sqref="AC85:AC148">
    <cfRule type="notContainsBlanks" dxfId="0" priority="19">
      <formula>LEN(TRIM(AC85))&gt;0</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4CB86-4B86-4F56-9E8E-C548E640365B}">
  <dimension ref="A1:AD64"/>
  <sheetViews>
    <sheetView workbookViewId="0"/>
  </sheetViews>
  <sheetFormatPr defaultRowHeight="14.25"/>
  <cols>
    <col min="2" max="2" width="22" customWidth="1"/>
  </cols>
  <sheetData>
    <row r="1" spans="1:30">
      <c r="A1" t="s">
        <v>2115</v>
      </c>
      <c r="B1" t="s">
        <v>2116</v>
      </c>
      <c r="C1" t="s">
        <v>192</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c r="AD1" t="s">
        <v>2143</v>
      </c>
    </row>
    <row r="2" spans="1:30">
      <c r="A2">
        <v>1</v>
      </c>
    </row>
    <row r="3" spans="1:30">
      <c r="A3">
        <v>2</v>
      </c>
      <c r="B3" t="s">
        <v>44</v>
      </c>
    </row>
    <row r="4" spans="1:30">
      <c r="A4">
        <v>3</v>
      </c>
      <c r="B4" t="s">
        <v>151</v>
      </c>
    </row>
    <row r="5" spans="1:30">
      <c r="A5">
        <v>4</v>
      </c>
      <c r="B5" t="s">
        <v>152</v>
      </c>
      <c r="C5" t="s">
        <v>193</v>
      </c>
      <c r="D5">
        <v>14782.652344</v>
      </c>
      <c r="E5">
        <v>14672.786133</v>
      </c>
      <c r="F5">
        <v>14552.569336</v>
      </c>
      <c r="G5">
        <v>14378.153319999999</v>
      </c>
      <c r="H5">
        <v>14166.833984000001</v>
      </c>
      <c r="I5">
        <v>13936.756836</v>
      </c>
      <c r="J5">
        <v>13713.142578000001</v>
      </c>
      <c r="K5">
        <v>13521.099609000001</v>
      </c>
      <c r="L5">
        <v>13320.391602</v>
      </c>
      <c r="M5">
        <v>13191.330078000001</v>
      </c>
      <c r="N5">
        <v>13049.682617</v>
      </c>
      <c r="O5">
        <v>12877.704102</v>
      </c>
      <c r="P5">
        <v>12704.928711</v>
      </c>
      <c r="Q5">
        <v>12556.594727</v>
      </c>
      <c r="R5">
        <v>12411.375</v>
      </c>
      <c r="S5">
        <v>12293.764648</v>
      </c>
      <c r="T5">
        <v>12185.321289</v>
      </c>
      <c r="U5">
        <v>12056.222656</v>
      </c>
      <c r="V5">
        <v>11972.278319999999</v>
      </c>
      <c r="W5">
        <v>11877.881836</v>
      </c>
      <c r="X5">
        <v>11796.012694999999</v>
      </c>
      <c r="Y5">
        <v>11703.430664</v>
      </c>
      <c r="Z5">
        <v>11626.831055000001</v>
      </c>
      <c r="AA5">
        <v>11521.399414</v>
      </c>
      <c r="AB5">
        <v>11413.982421999999</v>
      </c>
      <c r="AC5">
        <v>11339.188477</v>
      </c>
      <c r="AD5">
        <v>-1.0551520000000001</v>
      </c>
    </row>
    <row r="6" spans="1:30">
      <c r="A6">
        <v>5</v>
      </c>
      <c r="B6" t="s">
        <v>153</v>
      </c>
      <c r="C6" t="s">
        <v>193</v>
      </c>
      <c r="D6">
        <v>5320.3652339999999</v>
      </c>
      <c r="E6">
        <v>5117.4160160000001</v>
      </c>
      <c r="F6">
        <v>4906.689453</v>
      </c>
      <c r="G6">
        <v>4690.3427730000003</v>
      </c>
      <c r="H6">
        <v>4469.2255859999996</v>
      </c>
      <c r="I6">
        <v>4257.3305659999996</v>
      </c>
      <c r="J6">
        <v>4040.4101559999999</v>
      </c>
      <c r="K6">
        <v>3852.2192380000001</v>
      </c>
      <c r="L6">
        <v>3664.8732909999999</v>
      </c>
      <c r="M6">
        <v>3531.5385740000002</v>
      </c>
      <c r="N6">
        <v>3383.813721</v>
      </c>
      <c r="O6">
        <v>3233.6533199999999</v>
      </c>
      <c r="P6">
        <v>3111.0688479999999</v>
      </c>
      <c r="Q6">
        <v>3011.0363769999999</v>
      </c>
      <c r="R6">
        <v>2914.9665530000002</v>
      </c>
      <c r="S6">
        <v>2830.5466310000002</v>
      </c>
      <c r="T6">
        <v>2761.8447270000001</v>
      </c>
      <c r="U6">
        <v>2694.5966800000001</v>
      </c>
      <c r="V6">
        <v>2638.8081050000001</v>
      </c>
      <c r="W6">
        <v>2583.6826169999999</v>
      </c>
      <c r="X6">
        <v>2538.9562989999999</v>
      </c>
      <c r="Y6">
        <v>2493.3979490000002</v>
      </c>
      <c r="Z6">
        <v>2461.2407229999999</v>
      </c>
      <c r="AA6">
        <v>2406.766846</v>
      </c>
      <c r="AB6">
        <v>2359.8395999999998</v>
      </c>
      <c r="AC6">
        <v>2323.788818</v>
      </c>
      <c r="AD6">
        <v>-3.2590810000000001</v>
      </c>
    </row>
    <row r="7" spans="1:30">
      <c r="A7">
        <v>6</v>
      </c>
      <c r="B7" t="s">
        <v>154</v>
      </c>
      <c r="C7" t="s">
        <v>193</v>
      </c>
      <c r="D7">
        <v>9405.5078119999998</v>
      </c>
      <c r="E7">
        <v>9498.1933590000008</v>
      </c>
      <c r="F7">
        <v>9588.1816409999992</v>
      </c>
      <c r="G7">
        <v>9629.7568360000005</v>
      </c>
      <c r="H7">
        <v>9639.2099610000005</v>
      </c>
      <c r="I7">
        <v>9620.7421880000002</v>
      </c>
      <c r="J7">
        <v>9613.7539059999999</v>
      </c>
      <c r="K7">
        <v>9609.6035159999992</v>
      </c>
      <c r="L7">
        <v>9596.03125</v>
      </c>
      <c r="M7">
        <v>9600.0722659999992</v>
      </c>
      <c r="N7">
        <v>9605.9707030000009</v>
      </c>
      <c r="O7">
        <v>9583.9267579999996</v>
      </c>
      <c r="P7">
        <v>9533.484375</v>
      </c>
      <c r="Q7">
        <v>9484.9316409999992</v>
      </c>
      <c r="R7">
        <v>9435.5722659999992</v>
      </c>
      <c r="S7">
        <v>9402.1591800000006</v>
      </c>
      <c r="T7">
        <v>9362.2275389999995</v>
      </c>
      <c r="U7">
        <v>9300.2011719999991</v>
      </c>
      <c r="V7">
        <v>9271.8828119999998</v>
      </c>
      <c r="W7">
        <v>9232.4296880000002</v>
      </c>
      <c r="X7">
        <v>9195.1132809999999</v>
      </c>
      <c r="Y7">
        <v>9147.9414059999999</v>
      </c>
      <c r="Z7">
        <v>9103.3945309999999</v>
      </c>
      <c r="AA7">
        <v>9052.3349610000005</v>
      </c>
      <c r="AB7">
        <v>8991.7529300000006</v>
      </c>
      <c r="AC7">
        <v>8952.8935550000006</v>
      </c>
      <c r="AD7">
        <v>-0.19708000000000001</v>
      </c>
    </row>
    <row r="8" spans="1:30">
      <c r="A8">
        <v>7</v>
      </c>
      <c r="B8" t="s">
        <v>155</v>
      </c>
      <c r="C8" t="s">
        <v>193</v>
      </c>
      <c r="D8">
        <v>56.779567999999998</v>
      </c>
      <c r="E8">
        <v>57.176310999999998</v>
      </c>
      <c r="F8">
        <v>57.698483000000003</v>
      </c>
      <c r="G8">
        <v>58.054152999999999</v>
      </c>
      <c r="H8">
        <v>58.398434000000002</v>
      </c>
      <c r="I8">
        <v>58.684269</v>
      </c>
      <c r="J8">
        <v>58.978935</v>
      </c>
      <c r="K8">
        <v>59.276961999999997</v>
      </c>
      <c r="L8">
        <v>59.487502999999997</v>
      </c>
      <c r="M8">
        <v>59.718758000000001</v>
      </c>
      <c r="N8">
        <v>59.898040999999999</v>
      </c>
      <c r="O8">
        <v>60.123821</v>
      </c>
      <c r="P8">
        <v>60.375866000000002</v>
      </c>
      <c r="Q8">
        <v>60.626590999999998</v>
      </c>
      <c r="R8">
        <v>60.835773000000003</v>
      </c>
      <c r="S8">
        <v>61.058501999999997</v>
      </c>
      <c r="T8">
        <v>61.249287000000002</v>
      </c>
      <c r="U8">
        <v>61.424819999999997</v>
      </c>
      <c r="V8">
        <v>61.587009000000002</v>
      </c>
      <c r="W8">
        <v>61.769066000000002</v>
      </c>
      <c r="X8">
        <v>61.943649000000001</v>
      </c>
      <c r="Y8">
        <v>62.091267000000002</v>
      </c>
      <c r="Z8">
        <v>62.195950000000003</v>
      </c>
      <c r="AA8">
        <v>62.297584999999998</v>
      </c>
      <c r="AB8">
        <v>62.390011000000001</v>
      </c>
      <c r="AC8">
        <v>62.506027000000003</v>
      </c>
      <c r="AD8">
        <v>0.38508500000000001</v>
      </c>
    </row>
    <row r="9" spans="1:30">
      <c r="A9">
        <v>8</v>
      </c>
      <c r="B9" t="s">
        <v>156</v>
      </c>
      <c r="C9" t="s">
        <v>193</v>
      </c>
      <c r="D9">
        <v>871.73803699999996</v>
      </c>
      <c r="E9">
        <v>870.93127400000003</v>
      </c>
      <c r="F9">
        <v>878.18786599999999</v>
      </c>
      <c r="G9">
        <v>876.64031999999997</v>
      </c>
      <c r="H9">
        <v>877.49761999999998</v>
      </c>
      <c r="I9">
        <v>883.06561299999998</v>
      </c>
      <c r="J9">
        <v>889.11267099999998</v>
      </c>
      <c r="K9">
        <v>896.20495600000004</v>
      </c>
      <c r="L9">
        <v>899.51293899999996</v>
      </c>
      <c r="M9">
        <v>902.26599099999999</v>
      </c>
      <c r="N9">
        <v>904.877747</v>
      </c>
      <c r="O9">
        <v>908.14459199999999</v>
      </c>
      <c r="P9">
        <v>911.62365699999998</v>
      </c>
      <c r="Q9">
        <v>915.68566899999996</v>
      </c>
      <c r="R9">
        <v>920.17040999999995</v>
      </c>
      <c r="S9">
        <v>923.98657200000002</v>
      </c>
      <c r="T9">
        <v>924.61395300000004</v>
      </c>
      <c r="U9">
        <v>925.10064699999998</v>
      </c>
      <c r="V9">
        <v>921.74749799999995</v>
      </c>
      <c r="W9">
        <v>918.246216</v>
      </c>
      <c r="X9">
        <v>914.85632299999997</v>
      </c>
      <c r="Y9">
        <v>911.68872099999999</v>
      </c>
      <c r="Z9">
        <v>910.07971199999997</v>
      </c>
      <c r="AA9">
        <v>907.56970200000001</v>
      </c>
      <c r="AB9">
        <v>906.50732400000004</v>
      </c>
      <c r="AC9">
        <v>904.85522500000002</v>
      </c>
      <c r="AD9">
        <v>0.149255</v>
      </c>
    </row>
    <row r="10" spans="1:30">
      <c r="A10">
        <v>9</v>
      </c>
      <c r="B10" t="s">
        <v>157</v>
      </c>
      <c r="C10" t="s">
        <v>193</v>
      </c>
      <c r="D10">
        <v>211.25320400000001</v>
      </c>
      <c r="E10">
        <v>212.57775899999999</v>
      </c>
      <c r="F10">
        <v>213.11239599999999</v>
      </c>
      <c r="G10">
        <v>213.566406</v>
      </c>
      <c r="H10">
        <v>213.72061199999999</v>
      </c>
      <c r="I10">
        <v>213.30458100000001</v>
      </c>
      <c r="J10">
        <v>212.525925</v>
      </c>
      <c r="K10">
        <v>211.38587999999999</v>
      </c>
      <c r="L10">
        <v>210.52954099999999</v>
      </c>
      <c r="M10">
        <v>209.21881099999999</v>
      </c>
      <c r="N10">
        <v>207.977768</v>
      </c>
      <c r="O10">
        <v>206.81025700000001</v>
      </c>
      <c r="P10">
        <v>205.795197</v>
      </c>
      <c r="Q10">
        <v>204.670288</v>
      </c>
      <c r="R10">
        <v>203.497345</v>
      </c>
      <c r="S10">
        <v>202.422211</v>
      </c>
      <c r="T10">
        <v>201.16824299999999</v>
      </c>
      <c r="U10">
        <v>199.892303</v>
      </c>
      <c r="V10">
        <v>198.413895</v>
      </c>
      <c r="W10">
        <v>196.95404099999999</v>
      </c>
      <c r="X10">
        <v>195.51977500000001</v>
      </c>
      <c r="Y10">
        <v>193.97271699999999</v>
      </c>
      <c r="Z10">
        <v>192.57804899999999</v>
      </c>
      <c r="AA10">
        <v>190.986389</v>
      </c>
      <c r="AB10">
        <v>189.41180399999999</v>
      </c>
      <c r="AC10">
        <v>187.75912500000001</v>
      </c>
      <c r="AD10">
        <v>-0.47048000000000001</v>
      </c>
    </row>
    <row r="11" spans="1:30">
      <c r="A11">
        <v>10</v>
      </c>
      <c r="B11" t="s">
        <v>158</v>
      </c>
      <c r="C11" t="s">
        <v>193</v>
      </c>
      <c r="D11">
        <v>81.386757000000003</v>
      </c>
      <c r="E11">
        <v>82.803413000000006</v>
      </c>
      <c r="F11">
        <v>83.835464000000002</v>
      </c>
      <c r="G11">
        <v>85.006743999999998</v>
      </c>
      <c r="H11">
        <v>85.925635999999997</v>
      </c>
      <c r="I11">
        <v>86.345016000000001</v>
      </c>
      <c r="J11">
        <v>86.461342000000002</v>
      </c>
      <c r="K11">
        <v>86.138701999999995</v>
      </c>
      <c r="L11">
        <v>85.985504000000006</v>
      </c>
      <c r="M11">
        <v>85.269272000000001</v>
      </c>
      <c r="N11">
        <v>84.535629</v>
      </c>
      <c r="O11">
        <v>83.826690999999997</v>
      </c>
      <c r="P11">
        <v>83.230346999999995</v>
      </c>
      <c r="Q11">
        <v>82.590384999999998</v>
      </c>
      <c r="R11">
        <v>81.807541000000001</v>
      </c>
      <c r="S11">
        <v>81.121689000000003</v>
      </c>
      <c r="T11">
        <v>80.380759999999995</v>
      </c>
      <c r="U11">
        <v>79.630898000000002</v>
      </c>
      <c r="V11">
        <v>78.707725999999994</v>
      </c>
      <c r="W11">
        <v>77.836594000000005</v>
      </c>
      <c r="X11">
        <v>77.020477</v>
      </c>
      <c r="Y11">
        <v>76.116501</v>
      </c>
      <c r="Z11">
        <v>75.393669000000003</v>
      </c>
      <c r="AA11">
        <v>74.492310000000003</v>
      </c>
      <c r="AB11">
        <v>73.628913999999995</v>
      </c>
      <c r="AC11">
        <v>72.697647000000003</v>
      </c>
      <c r="AD11">
        <v>-0.450596</v>
      </c>
    </row>
    <row r="12" spans="1:30">
      <c r="A12">
        <v>11</v>
      </c>
      <c r="B12" t="s">
        <v>159</v>
      </c>
      <c r="C12" t="s">
        <v>193</v>
      </c>
      <c r="D12">
        <v>26.040634000000001</v>
      </c>
      <c r="E12">
        <v>27.011510999999999</v>
      </c>
      <c r="F12">
        <v>27.698944000000001</v>
      </c>
      <c r="G12">
        <v>28.168467</v>
      </c>
      <c r="H12">
        <v>28.586566999999999</v>
      </c>
      <c r="I12">
        <v>28.964494999999999</v>
      </c>
      <c r="J12">
        <v>29.274439000000001</v>
      </c>
      <c r="K12">
        <v>29.569977000000002</v>
      </c>
      <c r="L12">
        <v>29.839376000000001</v>
      </c>
      <c r="M12">
        <v>30.092175999999998</v>
      </c>
      <c r="N12">
        <v>30.336538000000001</v>
      </c>
      <c r="O12">
        <v>30.500340000000001</v>
      </c>
      <c r="P12">
        <v>30.643298999999999</v>
      </c>
      <c r="Q12">
        <v>30.772943000000001</v>
      </c>
      <c r="R12">
        <v>30.879784000000001</v>
      </c>
      <c r="S12">
        <v>30.975930999999999</v>
      </c>
      <c r="T12">
        <v>31.056975999999999</v>
      </c>
      <c r="U12">
        <v>31.137131</v>
      </c>
      <c r="V12">
        <v>31.216282</v>
      </c>
      <c r="W12">
        <v>31.290329</v>
      </c>
      <c r="X12">
        <v>31.358764999999998</v>
      </c>
      <c r="Y12">
        <v>31.414042999999999</v>
      </c>
      <c r="Z12">
        <v>31.453645999999999</v>
      </c>
      <c r="AA12">
        <v>31.486733999999998</v>
      </c>
      <c r="AB12">
        <v>31.509875999999998</v>
      </c>
      <c r="AC12">
        <v>31.535050999999999</v>
      </c>
      <c r="AD12">
        <v>0.76870499999999997</v>
      </c>
    </row>
    <row r="13" spans="1:30">
      <c r="A13">
        <v>12</v>
      </c>
      <c r="B13" t="s">
        <v>160</v>
      </c>
      <c r="C13" t="s">
        <v>193</v>
      </c>
      <c r="D13">
        <v>103.825829</v>
      </c>
      <c r="E13">
        <v>102.76284800000001</v>
      </c>
      <c r="F13">
        <v>101.577988</v>
      </c>
      <c r="G13">
        <v>100.391212</v>
      </c>
      <c r="H13">
        <v>99.208411999999996</v>
      </c>
      <c r="I13">
        <v>97.995063999999999</v>
      </c>
      <c r="J13">
        <v>96.790137999999999</v>
      </c>
      <c r="K13">
        <v>95.677184999999994</v>
      </c>
      <c r="L13">
        <v>94.704666000000003</v>
      </c>
      <c r="M13">
        <v>93.857346000000007</v>
      </c>
      <c r="N13">
        <v>93.105605999999995</v>
      </c>
      <c r="O13">
        <v>92.483238</v>
      </c>
      <c r="P13">
        <v>91.921538999999996</v>
      </c>
      <c r="Q13">
        <v>91.306961000000001</v>
      </c>
      <c r="R13">
        <v>90.810012999999998</v>
      </c>
      <c r="S13">
        <v>90.324584999999999</v>
      </c>
      <c r="T13">
        <v>89.730491999999998</v>
      </c>
      <c r="U13">
        <v>89.124268000000001</v>
      </c>
      <c r="V13">
        <v>88.489891</v>
      </c>
      <c r="W13">
        <v>87.827110000000005</v>
      </c>
      <c r="X13">
        <v>87.140533000000005</v>
      </c>
      <c r="Y13">
        <v>86.442177000000001</v>
      </c>
      <c r="Z13">
        <v>85.730727999999999</v>
      </c>
      <c r="AA13">
        <v>85.007346999999996</v>
      </c>
      <c r="AB13">
        <v>84.273009999999999</v>
      </c>
      <c r="AC13">
        <v>83.526427999999996</v>
      </c>
      <c r="AD13">
        <v>-0.86643099999999995</v>
      </c>
    </row>
    <row r="14" spans="1:30">
      <c r="A14">
        <v>13</v>
      </c>
      <c r="B14" t="s">
        <v>161</v>
      </c>
      <c r="C14" t="s">
        <v>193</v>
      </c>
      <c r="D14">
        <v>5766.9121089999999</v>
      </c>
      <c r="E14">
        <v>5753.7045900000003</v>
      </c>
      <c r="F14">
        <v>5746.5971680000002</v>
      </c>
      <c r="G14">
        <v>5738.7993159999996</v>
      </c>
      <c r="H14">
        <v>5723.9184569999998</v>
      </c>
      <c r="I14">
        <v>5726.1933589999999</v>
      </c>
      <c r="J14">
        <v>5711.8627930000002</v>
      </c>
      <c r="K14">
        <v>5694.1850590000004</v>
      </c>
      <c r="L14">
        <v>5667.1596680000002</v>
      </c>
      <c r="M14">
        <v>5653.5654299999997</v>
      </c>
      <c r="N14">
        <v>5645.732422</v>
      </c>
      <c r="O14">
        <v>5641.7373049999997</v>
      </c>
      <c r="P14">
        <v>5643.1630859999996</v>
      </c>
      <c r="Q14">
        <v>5647.5395509999998</v>
      </c>
      <c r="R14">
        <v>5654.9799800000001</v>
      </c>
      <c r="S14">
        <v>5667.8789059999999</v>
      </c>
      <c r="T14">
        <v>5681.2607420000004</v>
      </c>
      <c r="U14">
        <v>5694.6044920000004</v>
      </c>
      <c r="V14">
        <v>5704.2255859999996</v>
      </c>
      <c r="W14">
        <v>5715.4414059999999</v>
      </c>
      <c r="X14">
        <v>5736.4423829999996</v>
      </c>
      <c r="Y14">
        <v>5760.5668949999999</v>
      </c>
      <c r="Z14">
        <v>5787.2734380000002</v>
      </c>
      <c r="AA14">
        <v>5805.7119140000004</v>
      </c>
      <c r="AB14">
        <v>5825.7827150000003</v>
      </c>
      <c r="AC14">
        <v>5843.3359380000002</v>
      </c>
      <c r="AD14">
        <v>5.2673999999999999E-2</v>
      </c>
    </row>
    <row r="15" spans="1:30">
      <c r="A15">
        <v>14</v>
      </c>
      <c r="B15" t="s">
        <v>162</v>
      </c>
      <c r="C15" t="s">
        <v>193</v>
      </c>
      <c r="D15">
        <v>878.88763400000005</v>
      </c>
      <c r="E15">
        <v>875.65039100000001</v>
      </c>
      <c r="F15">
        <v>871.08074999999997</v>
      </c>
      <c r="G15">
        <v>869.02667199999996</v>
      </c>
      <c r="H15">
        <v>869.54315199999996</v>
      </c>
      <c r="I15">
        <v>875.71343999999999</v>
      </c>
      <c r="J15">
        <v>881.18335000000002</v>
      </c>
      <c r="K15">
        <v>888.25006099999996</v>
      </c>
      <c r="L15">
        <v>894.75604199999998</v>
      </c>
      <c r="M15">
        <v>903.64483600000005</v>
      </c>
      <c r="N15">
        <v>913.00457800000004</v>
      </c>
      <c r="O15">
        <v>922.39703399999996</v>
      </c>
      <c r="P15">
        <v>933.17083700000001</v>
      </c>
      <c r="Q15">
        <v>945.58709699999997</v>
      </c>
      <c r="R15">
        <v>958.87097200000005</v>
      </c>
      <c r="S15">
        <v>973.38940400000001</v>
      </c>
      <c r="T15">
        <v>985.79107699999997</v>
      </c>
      <c r="U15">
        <v>995.680969</v>
      </c>
      <c r="V15">
        <v>1001.945801</v>
      </c>
      <c r="W15">
        <v>1005.547119</v>
      </c>
      <c r="X15">
        <v>1008.816467</v>
      </c>
      <c r="Y15">
        <v>1012.5261839999999</v>
      </c>
      <c r="Z15">
        <v>1017.279541</v>
      </c>
      <c r="AA15">
        <v>1020.632507</v>
      </c>
      <c r="AB15">
        <v>1024.576538</v>
      </c>
      <c r="AC15">
        <v>1027.469971</v>
      </c>
      <c r="AD15">
        <v>0.62674700000000005</v>
      </c>
    </row>
    <row r="16" spans="1:30">
      <c r="A16">
        <v>15</v>
      </c>
      <c r="B16" t="s">
        <v>163</v>
      </c>
      <c r="C16" t="s">
        <v>193</v>
      </c>
      <c r="D16">
        <v>860.75140399999998</v>
      </c>
      <c r="E16">
        <v>840.025757</v>
      </c>
      <c r="F16">
        <v>822.00860599999999</v>
      </c>
      <c r="G16">
        <v>805.75439500000005</v>
      </c>
      <c r="H16">
        <v>788.99200399999995</v>
      </c>
      <c r="I16">
        <v>775.35064699999998</v>
      </c>
      <c r="J16">
        <v>760.34320100000002</v>
      </c>
      <c r="K16">
        <v>747.52923599999997</v>
      </c>
      <c r="L16">
        <v>734.25006099999996</v>
      </c>
      <c r="M16">
        <v>723.48461899999995</v>
      </c>
      <c r="N16">
        <v>714.30389400000001</v>
      </c>
      <c r="O16">
        <v>706.76306199999999</v>
      </c>
      <c r="P16">
        <v>700.919128</v>
      </c>
      <c r="Q16">
        <v>696.08160399999997</v>
      </c>
      <c r="R16">
        <v>692.39318800000001</v>
      </c>
      <c r="S16">
        <v>689.86663799999997</v>
      </c>
      <c r="T16">
        <v>687.68890399999998</v>
      </c>
      <c r="U16">
        <v>686.25061000000005</v>
      </c>
      <c r="V16">
        <v>685.214111</v>
      </c>
      <c r="W16">
        <v>684.96173099999999</v>
      </c>
      <c r="X16">
        <v>686.162598</v>
      </c>
      <c r="Y16">
        <v>687.87030000000004</v>
      </c>
      <c r="Z16">
        <v>690.09887700000002</v>
      </c>
      <c r="AA16">
        <v>691.63452099999995</v>
      </c>
      <c r="AB16">
        <v>693.48486300000002</v>
      </c>
      <c r="AC16">
        <v>694.85797100000002</v>
      </c>
      <c r="AD16">
        <v>-0.85273600000000005</v>
      </c>
    </row>
    <row r="17" spans="1:30">
      <c r="A17">
        <v>16</v>
      </c>
      <c r="B17" t="s">
        <v>234</v>
      </c>
      <c r="C17" t="s">
        <v>193</v>
      </c>
      <c r="D17">
        <v>4027.273193</v>
      </c>
      <c r="E17">
        <v>4038.0285640000002</v>
      </c>
      <c r="F17">
        <v>4053.5085450000001</v>
      </c>
      <c r="G17">
        <v>4064.0180660000001</v>
      </c>
      <c r="H17">
        <v>4065.3833009999998</v>
      </c>
      <c r="I17">
        <v>4075.1293949999999</v>
      </c>
      <c r="J17">
        <v>4070.336182</v>
      </c>
      <c r="K17">
        <v>4058.4052729999999</v>
      </c>
      <c r="L17">
        <v>4038.1535640000002</v>
      </c>
      <c r="M17">
        <v>4026.4360350000002</v>
      </c>
      <c r="N17">
        <v>4018.4240719999998</v>
      </c>
      <c r="O17">
        <v>4012.578125</v>
      </c>
      <c r="P17">
        <v>4009.0737300000001</v>
      </c>
      <c r="Q17">
        <v>4005.8706050000001</v>
      </c>
      <c r="R17">
        <v>4003.7158199999999</v>
      </c>
      <c r="S17">
        <v>4004.6220699999999</v>
      </c>
      <c r="T17">
        <v>4007.7807619999999</v>
      </c>
      <c r="U17">
        <v>4012.6723630000001</v>
      </c>
      <c r="V17">
        <v>4017.0659179999998</v>
      </c>
      <c r="W17">
        <v>4024.931885</v>
      </c>
      <c r="X17">
        <v>4041.463135</v>
      </c>
      <c r="Y17">
        <v>4060.169922</v>
      </c>
      <c r="Z17">
        <v>4079.8955080000001</v>
      </c>
      <c r="AA17">
        <v>4093.4448240000002</v>
      </c>
      <c r="AB17">
        <v>4107.7216799999997</v>
      </c>
      <c r="AC17">
        <v>4121.0078119999998</v>
      </c>
      <c r="AD17">
        <v>9.2075000000000004E-2</v>
      </c>
    </row>
    <row r="18" spans="1:30">
      <c r="A18">
        <v>17</v>
      </c>
    </row>
    <row r="19" spans="1:30">
      <c r="A19">
        <v>18</v>
      </c>
      <c r="B19" t="s">
        <v>164</v>
      </c>
    </row>
    <row r="20" spans="1:30">
      <c r="A20">
        <v>19</v>
      </c>
      <c r="B20" t="s">
        <v>165</v>
      </c>
      <c r="C20" t="s">
        <v>193</v>
      </c>
      <c r="D20">
        <v>3252.4882809999999</v>
      </c>
      <c r="E20">
        <v>3298.36499</v>
      </c>
      <c r="F20">
        <v>3324.9204100000002</v>
      </c>
      <c r="G20">
        <v>3326.1455080000001</v>
      </c>
      <c r="H20">
        <v>3341.0751949999999</v>
      </c>
      <c r="I20">
        <v>3366.914307</v>
      </c>
      <c r="J20">
        <v>3390.1228030000002</v>
      </c>
      <c r="K20">
        <v>3422.7402339999999</v>
      </c>
      <c r="L20">
        <v>3457.8706050000001</v>
      </c>
      <c r="M20">
        <v>3500.2690429999998</v>
      </c>
      <c r="N20">
        <v>3550.9953609999998</v>
      </c>
      <c r="O20">
        <v>3586.7416990000002</v>
      </c>
      <c r="P20">
        <v>3625.8691410000001</v>
      </c>
      <c r="Q20">
        <v>3663.3786620000001</v>
      </c>
      <c r="R20">
        <v>3699.4719239999999</v>
      </c>
      <c r="S20">
        <v>3736.006836</v>
      </c>
      <c r="T20">
        <v>3768.031982</v>
      </c>
      <c r="U20">
        <v>3803.091797</v>
      </c>
      <c r="V20">
        <v>3839.498779</v>
      </c>
      <c r="W20">
        <v>3874.8383789999998</v>
      </c>
      <c r="X20">
        <v>3910.0573730000001</v>
      </c>
      <c r="Y20">
        <v>3941.4396969999998</v>
      </c>
      <c r="Z20">
        <v>3967.9187010000001</v>
      </c>
      <c r="AA20">
        <v>3994.1921390000002</v>
      </c>
      <c r="AB20">
        <v>4016.1320799999999</v>
      </c>
      <c r="AC20">
        <v>4039.7954100000002</v>
      </c>
      <c r="AD20">
        <v>0.870865</v>
      </c>
    </row>
    <row r="21" spans="1:30">
      <c r="A21">
        <v>20</v>
      </c>
      <c r="B21" t="s">
        <v>166</v>
      </c>
      <c r="C21" t="s">
        <v>193</v>
      </c>
      <c r="D21">
        <v>176.20799299999999</v>
      </c>
      <c r="E21">
        <v>178.38659699999999</v>
      </c>
      <c r="F21">
        <v>179.646332</v>
      </c>
      <c r="G21">
        <v>179.700424</v>
      </c>
      <c r="H21">
        <v>180.40808100000001</v>
      </c>
      <c r="I21">
        <v>181.63563500000001</v>
      </c>
      <c r="J21">
        <v>182.73869300000001</v>
      </c>
      <c r="K21">
        <v>184.28993199999999</v>
      </c>
      <c r="L21">
        <v>185.96112099999999</v>
      </c>
      <c r="M21">
        <v>187.97880599999999</v>
      </c>
      <c r="N21">
        <v>190.39344800000001</v>
      </c>
      <c r="O21">
        <v>192.09466599999999</v>
      </c>
      <c r="P21">
        <v>193.95716899999999</v>
      </c>
      <c r="Q21">
        <v>195.742661</v>
      </c>
      <c r="R21">
        <v>197.46087600000001</v>
      </c>
      <c r="S21">
        <v>199.20019500000001</v>
      </c>
      <c r="T21">
        <v>200.724976</v>
      </c>
      <c r="U21">
        <v>202.394104</v>
      </c>
      <c r="V21">
        <v>204.12750199999999</v>
      </c>
      <c r="W21">
        <v>205.81014999999999</v>
      </c>
      <c r="X21">
        <v>207.48722799999999</v>
      </c>
      <c r="Y21">
        <v>208.98147599999999</v>
      </c>
      <c r="Z21">
        <v>210.242096</v>
      </c>
      <c r="AA21">
        <v>211.493225</v>
      </c>
      <c r="AB21">
        <v>212.53782699999999</v>
      </c>
      <c r="AC21">
        <v>213.664703</v>
      </c>
      <c r="AD21">
        <v>0.77395099999999994</v>
      </c>
    </row>
    <row r="22" spans="1:30">
      <c r="A22">
        <v>21</v>
      </c>
      <c r="B22" t="s">
        <v>195</v>
      </c>
      <c r="C22" t="s">
        <v>193</v>
      </c>
      <c r="D22">
        <v>1624.5133060000001</v>
      </c>
      <c r="E22">
        <v>1656.613525</v>
      </c>
      <c r="F22">
        <v>1671.571655</v>
      </c>
      <c r="G22">
        <v>1669.4704589999999</v>
      </c>
      <c r="H22">
        <v>1675.536865</v>
      </c>
      <c r="I22">
        <v>1687.411621</v>
      </c>
      <c r="J22">
        <v>1697.76001</v>
      </c>
      <c r="K22">
        <v>1713.393188</v>
      </c>
      <c r="L22">
        <v>1731.0535890000001</v>
      </c>
      <c r="M22">
        <v>1752.3201899999999</v>
      </c>
      <c r="N22">
        <v>1777.0566409999999</v>
      </c>
      <c r="O22">
        <v>1791.954712</v>
      </c>
      <c r="P22">
        <v>1807.276245</v>
      </c>
      <c r="Q22">
        <v>1821.9957280000001</v>
      </c>
      <c r="R22">
        <v>1835.5120850000001</v>
      </c>
      <c r="S22">
        <v>1849.4420170000001</v>
      </c>
      <c r="T22">
        <v>1861.0673830000001</v>
      </c>
      <c r="U22">
        <v>1874.024658</v>
      </c>
      <c r="V22">
        <v>1888.1870120000001</v>
      </c>
      <c r="W22">
        <v>1902.1076660000001</v>
      </c>
      <c r="X22">
        <v>1915.905884</v>
      </c>
      <c r="Y22">
        <v>1928.1072999999999</v>
      </c>
      <c r="Z22">
        <v>1937.5356449999999</v>
      </c>
      <c r="AA22">
        <v>1946.9343260000001</v>
      </c>
      <c r="AB22">
        <v>1954.6110839999999</v>
      </c>
      <c r="AC22">
        <v>1962.684448</v>
      </c>
      <c r="AD22">
        <v>0.75928799999999996</v>
      </c>
    </row>
    <row r="23" spans="1:30">
      <c r="A23">
        <v>22</v>
      </c>
      <c r="B23" t="s">
        <v>196</v>
      </c>
      <c r="C23" t="s">
        <v>193</v>
      </c>
      <c r="D23">
        <v>899.942993</v>
      </c>
      <c r="E23">
        <v>910.18627900000001</v>
      </c>
      <c r="F23">
        <v>917.91662599999995</v>
      </c>
      <c r="G23">
        <v>920.09997599999997</v>
      </c>
      <c r="H23">
        <v>925.556152</v>
      </c>
      <c r="I23">
        <v>934.01568599999996</v>
      </c>
      <c r="J23">
        <v>941.74292000000003</v>
      </c>
      <c r="K23">
        <v>951.96069299999999</v>
      </c>
      <c r="L23">
        <v>962.53558299999997</v>
      </c>
      <c r="M23">
        <v>975.22216800000001</v>
      </c>
      <c r="N23">
        <v>990.63781700000004</v>
      </c>
      <c r="O23">
        <v>1002.695923</v>
      </c>
      <c r="P23">
        <v>1016.302002</v>
      </c>
      <c r="Q23">
        <v>1029.3204350000001</v>
      </c>
      <c r="R23">
        <v>1042.1243899999999</v>
      </c>
      <c r="S23">
        <v>1054.9742429999999</v>
      </c>
      <c r="T23">
        <v>1066.517212</v>
      </c>
      <c r="U23">
        <v>1079.037231</v>
      </c>
      <c r="V23">
        <v>1091.7166749999999</v>
      </c>
      <c r="W23">
        <v>1103.942139</v>
      </c>
      <c r="X23">
        <v>1116.1640620000001</v>
      </c>
      <c r="Y23">
        <v>1127.104736</v>
      </c>
      <c r="Z23">
        <v>1136.748047</v>
      </c>
      <c r="AA23">
        <v>1146.3001710000001</v>
      </c>
      <c r="AB23">
        <v>1154.3604740000001</v>
      </c>
      <c r="AC23">
        <v>1163.1541749999999</v>
      </c>
      <c r="AD23">
        <v>1.0315209999999999</v>
      </c>
    </row>
    <row r="24" spans="1:30">
      <c r="A24">
        <v>23</v>
      </c>
      <c r="B24" t="s">
        <v>197</v>
      </c>
      <c r="C24" t="s">
        <v>193</v>
      </c>
      <c r="D24">
        <v>551.82409700000005</v>
      </c>
      <c r="E24">
        <v>553.17852800000003</v>
      </c>
      <c r="F24">
        <v>555.78558299999997</v>
      </c>
      <c r="G24">
        <v>556.87463400000001</v>
      </c>
      <c r="H24">
        <v>559.57428000000004</v>
      </c>
      <c r="I24">
        <v>563.85137899999995</v>
      </c>
      <c r="J24">
        <v>567.88116500000001</v>
      </c>
      <c r="K24">
        <v>573.09655799999996</v>
      </c>
      <c r="L24">
        <v>578.32043499999997</v>
      </c>
      <c r="M24">
        <v>584.748108</v>
      </c>
      <c r="N24">
        <v>592.90741000000003</v>
      </c>
      <c r="O24">
        <v>599.99664299999995</v>
      </c>
      <c r="P24">
        <v>608.33374000000003</v>
      </c>
      <c r="Q24">
        <v>616.31976299999997</v>
      </c>
      <c r="R24">
        <v>624.37469499999997</v>
      </c>
      <c r="S24">
        <v>632.390625</v>
      </c>
      <c r="T24">
        <v>639.72241199999996</v>
      </c>
      <c r="U24">
        <v>647.63568099999998</v>
      </c>
      <c r="V24">
        <v>655.46752900000001</v>
      </c>
      <c r="W24">
        <v>662.97851600000001</v>
      </c>
      <c r="X24">
        <v>670.50030500000003</v>
      </c>
      <c r="Y24">
        <v>677.24615500000004</v>
      </c>
      <c r="Z24">
        <v>683.39276099999995</v>
      </c>
      <c r="AA24">
        <v>689.46453899999995</v>
      </c>
      <c r="AB24">
        <v>694.62286400000005</v>
      </c>
      <c r="AC24">
        <v>700.29211399999997</v>
      </c>
      <c r="AD24">
        <v>0.95762899999999995</v>
      </c>
    </row>
    <row r="25" spans="1:30">
      <c r="A25">
        <v>24</v>
      </c>
      <c r="B25" t="s">
        <v>167</v>
      </c>
      <c r="C25" t="s">
        <v>193</v>
      </c>
      <c r="D25">
        <v>1088.643433</v>
      </c>
      <c r="E25">
        <v>1079.899414</v>
      </c>
      <c r="F25">
        <v>1093.3542480000001</v>
      </c>
      <c r="G25">
        <v>1107.2332759999999</v>
      </c>
      <c r="H25">
        <v>1118.578125</v>
      </c>
      <c r="I25">
        <v>1131.110596</v>
      </c>
      <c r="J25">
        <v>1142.2551269999999</v>
      </c>
      <c r="K25">
        <v>1155.580811</v>
      </c>
      <c r="L25">
        <v>1169.3226320000001</v>
      </c>
      <c r="M25">
        <v>1183.8562010000001</v>
      </c>
      <c r="N25">
        <v>1199.438721</v>
      </c>
      <c r="O25">
        <v>1210.858643</v>
      </c>
      <c r="P25">
        <v>1219.343384</v>
      </c>
      <c r="Q25">
        <v>1227.7210689999999</v>
      </c>
      <c r="R25">
        <v>1235.010986</v>
      </c>
      <c r="S25">
        <v>1242.330688</v>
      </c>
      <c r="T25">
        <v>1249.1145019999999</v>
      </c>
      <c r="U25">
        <v>1256.836914</v>
      </c>
      <c r="V25">
        <v>1264.2082519999999</v>
      </c>
      <c r="W25">
        <v>1271.3983149999999</v>
      </c>
      <c r="X25">
        <v>1279.665405</v>
      </c>
      <c r="Y25">
        <v>1287.9039310000001</v>
      </c>
      <c r="Z25">
        <v>1296.10376</v>
      </c>
      <c r="AA25">
        <v>1303.567505</v>
      </c>
      <c r="AB25">
        <v>1310.6357419999999</v>
      </c>
      <c r="AC25">
        <v>1318.9021</v>
      </c>
      <c r="AD25">
        <v>0.77042200000000005</v>
      </c>
    </row>
    <row r="26" spans="1:30">
      <c r="A26">
        <v>25</v>
      </c>
      <c r="B26" t="s">
        <v>168</v>
      </c>
      <c r="C26" t="s">
        <v>193</v>
      </c>
      <c r="D26">
        <v>880.48278800000003</v>
      </c>
      <c r="E26">
        <v>871.10613999999998</v>
      </c>
      <c r="F26">
        <v>885.40618900000004</v>
      </c>
      <c r="G26">
        <v>901.37884499999996</v>
      </c>
      <c r="H26">
        <v>914.31396500000005</v>
      </c>
      <c r="I26">
        <v>927.96319600000004</v>
      </c>
      <c r="J26">
        <v>940.31597899999997</v>
      </c>
      <c r="K26">
        <v>954.36621100000002</v>
      </c>
      <c r="L26">
        <v>968.58581500000003</v>
      </c>
      <c r="M26">
        <v>983.34008800000004</v>
      </c>
      <c r="N26">
        <v>998.87329099999999</v>
      </c>
      <c r="O26">
        <v>1010.870422</v>
      </c>
      <c r="P26">
        <v>1019.927734</v>
      </c>
      <c r="Q26">
        <v>1028.915894</v>
      </c>
      <c r="R26">
        <v>1036.834595</v>
      </c>
      <c r="S26">
        <v>1044.766846</v>
      </c>
      <c r="T26">
        <v>1052.3226320000001</v>
      </c>
      <c r="U26">
        <v>1060.7307129999999</v>
      </c>
      <c r="V26">
        <v>1068.728149</v>
      </c>
      <c r="W26">
        <v>1076.5471190000001</v>
      </c>
      <c r="X26">
        <v>1085.4528809999999</v>
      </c>
      <c r="Y26">
        <v>1094.4326169999999</v>
      </c>
      <c r="Z26">
        <v>1103.5150149999999</v>
      </c>
      <c r="AA26">
        <v>1111.8948969999999</v>
      </c>
      <c r="AB26">
        <v>1119.962769</v>
      </c>
      <c r="AC26">
        <v>1129.174561</v>
      </c>
      <c r="AD26">
        <v>1.0000549999999999</v>
      </c>
    </row>
    <row r="27" spans="1:30">
      <c r="A27">
        <v>26</v>
      </c>
      <c r="B27" t="s">
        <v>147</v>
      </c>
      <c r="C27" t="s">
        <v>193</v>
      </c>
      <c r="D27">
        <v>98.803618999999998</v>
      </c>
      <c r="E27">
        <v>99.316399000000004</v>
      </c>
      <c r="F27">
        <v>98.358688000000001</v>
      </c>
      <c r="G27">
        <v>97.612862000000007</v>
      </c>
      <c r="H27">
        <v>96.659233</v>
      </c>
      <c r="I27">
        <v>96.369911000000002</v>
      </c>
      <c r="J27">
        <v>95.604354999999998</v>
      </c>
      <c r="K27">
        <v>95.185721999999998</v>
      </c>
      <c r="L27">
        <v>94.527596000000003</v>
      </c>
      <c r="M27">
        <v>94.112457000000006</v>
      </c>
      <c r="N27">
        <v>93.649520999999993</v>
      </c>
      <c r="O27">
        <v>93.040108000000004</v>
      </c>
      <c r="P27">
        <v>92.384003000000007</v>
      </c>
      <c r="Q27">
        <v>91.701141000000007</v>
      </c>
      <c r="R27">
        <v>91.18383</v>
      </c>
      <c r="S27">
        <v>90.719489999999993</v>
      </c>
      <c r="T27">
        <v>90.371978999999996</v>
      </c>
      <c r="U27">
        <v>89.852524000000003</v>
      </c>
      <c r="V27">
        <v>89.239898999999994</v>
      </c>
      <c r="W27">
        <v>88.577019000000007</v>
      </c>
      <c r="X27">
        <v>87.940781000000001</v>
      </c>
      <c r="Y27">
        <v>87.447838000000004</v>
      </c>
      <c r="Z27">
        <v>87.030777</v>
      </c>
      <c r="AA27">
        <v>86.401756000000006</v>
      </c>
      <c r="AB27">
        <v>85.715187</v>
      </c>
      <c r="AC27">
        <v>85.029067999999995</v>
      </c>
      <c r="AD27">
        <v>-0.59876399999999996</v>
      </c>
    </row>
    <row r="28" spans="1:30">
      <c r="A28">
        <v>27</v>
      </c>
      <c r="B28" t="s">
        <v>148</v>
      </c>
      <c r="C28" t="s">
        <v>193</v>
      </c>
      <c r="D28">
        <v>781.67913799999997</v>
      </c>
      <c r="E28">
        <v>771.78973399999995</v>
      </c>
      <c r="F28">
        <v>787.04748500000005</v>
      </c>
      <c r="G28">
        <v>803.76599099999999</v>
      </c>
      <c r="H28">
        <v>817.65472399999999</v>
      </c>
      <c r="I28">
        <v>831.59326199999998</v>
      </c>
      <c r="J28">
        <v>844.71160899999995</v>
      </c>
      <c r="K28">
        <v>859.18048099999999</v>
      </c>
      <c r="L28">
        <v>874.05822799999999</v>
      </c>
      <c r="M28">
        <v>889.22766100000001</v>
      </c>
      <c r="N28">
        <v>905.22375499999998</v>
      </c>
      <c r="O28">
        <v>917.83032200000002</v>
      </c>
      <c r="P28">
        <v>927.54376200000002</v>
      </c>
      <c r="Q28">
        <v>937.21472200000005</v>
      </c>
      <c r="R28">
        <v>945.650757</v>
      </c>
      <c r="S28">
        <v>954.04736300000002</v>
      </c>
      <c r="T28">
        <v>961.95062299999995</v>
      </c>
      <c r="U28">
        <v>970.87823500000002</v>
      </c>
      <c r="V28">
        <v>979.48828100000003</v>
      </c>
      <c r="W28">
        <v>987.97015399999998</v>
      </c>
      <c r="X28">
        <v>997.51214600000003</v>
      </c>
      <c r="Y28">
        <v>1006.984741</v>
      </c>
      <c r="Z28">
        <v>1016.484192</v>
      </c>
      <c r="AA28">
        <v>1025.493164</v>
      </c>
      <c r="AB28">
        <v>1034.2475589999999</v>
      </c>
      <c r="AC28">
        <v>1044.1455080000001</v>
      </c>
      <c r="AD28">
        <v>1.1647700000000001</v>
      </c>
    </row>
    <row r="29" spans="1:30">
      <c r="A29">
        <v>28</v>
      </c>
      <c r="B29" t="s">
        <v>169</v>
      </c>
      <c r="C29" t="s">
        <v>193</v>
      </c>
      <c r="D29">
        <v>208.160629</v>
      </c>
      <c r="E29">
        <v>208.79321300000001</v>
      </c>
      <c r="F29">
        <v>207.948059</v>
      </c>
      <c r="G29">
        <v>205.85446200000001</v>
      </c>
      <c r="H29">
        <v>204.26417499999999</v>
      </c>
      <c r="I29">
        <v>203.147369</v>
      </c>
      <c r="J29">
        <v>201.93911700000001</v>
      </c>
      <c r="K29">
        <v>201.214584</v>
      </c>
      <c r="L29">
        <v>200.736816</v>
      </c>
      <c r="M29">
        <v>200.51611299999999</v>
      </c>
      <c r="N29">
        <v>200.56538399999999</v>
      </c>
      <c r="O29">
        <v>199.98819</v>
      </c>
      <c r="P29">
        <v>199.415604</v>
      </c>
      <c r="Q29">
        <v>198.80512999999999</v>
      </c>
      <c r="R29">
        <v>198.17640700000001</v>
      </c>
      <c r="S29">
        <v>197.56388899999999</v>
      </c>
      <c r="T29">
        <v>196.79184000000001</v>
      </c>
      <c r="U29">
        <v>196.106247</v>
      </c>
      <c r="V29">
        <v>195.480133</v>
      </c>
      <c r="W29">
        <v>194.85119599999999</v>
      </c>
      <c r="X29">
        <v>194.21250900000001</v>
      </c>
      <c r="Y29">
        <v>193.47126800000001</v>
      </c>
      <c r="Z29">
        <v>192.58871500000001</v>
      </c>
      <c r="AA29">
        <v>191.672607</v>
      </c>
      <c r="AB29">
        <v>190.67291299999999</v>
      </c>
      <c r="AC29">
        <v>189.727585</v>
      </c>
      <c r="AD29">
        <v>-0.37019600000000003</v>
      </c>
    </row>
    <row r="30" spans="1:30">
      <c r="A30">
        <v>29</v>
      </c>
      <c r="B30" t="s">
        <v>170</v>
      </c>
      <c r="C30" t="s">
        <v>193</v>
      </c>
      <c r="D30">
        <v>516.72363299999995</v>
      </c>
      <c r="E30">
        <v>507.19360399999999</v>
      </c>
      <c r="F30">
        <v>522.60821499999997</v>
      </c>
      <c r="G30">
        <v>513.34301800000003</v>
      </c>
      <c r="H30">
        <v>509.96374500000002</v>
      </c>
      <c r="I30">
        <v>513.24719200000004</v>
      </c>
      <c r="J30">
        <v>501.59112499999998</v>
      </c>
      <c r="K30">
        <v>503.76962300000002</v>
      </c>
      <c r="L30">
        <v>506.10992399999998</v>
      </c>
      <c r="M30">
        <v>505.166809</v>
      </c>
      <c r="N30">
        <v>507.21087599999998</v>
      </c>
      <c r="O30">
        <v>508.85015900000002</v>
      </c>
      <c r="P30">
        <v>511.177032</v>
      </c>
      <c r="Q30">
        <v>511.90670799999998</v>
      </c>
      <c r="R30">
        <v>513.26159700000005</v>
      </c>
      <c r="S30">
        <v>514.15649399999995</v>
      </c>
      <c r="T30">
        <v>514.13348399999995</v>
      </c>
      <c r="U30">
        <v>513.11389199999996</v>
      </c>
      <c r="V30">
        <v>512.32818599999996</v>
      </c>
      <c r="W30">
        <v>512.73803699999996</v>
      </c>
      <c r="X30">
        <v>512.89343299999996</v>
      </c>
      <c r="Y30">
        <v>514.17419400000006</v>
      </c>
      <c r="Z30">
        <v>517.23004200000003</v>
      </c>
      <c r="AA30">
        <v>518.95605499999999</v>
      </c>
      <c r="AB30">
        <v>517.89581299999998</v>
      </c>
      <c r="AC30">
        <v>517.12731900000006</v>
      </c>
      <c r="AD30">
        <v>3.124E-3</v>
      </c>
    </row>
    <row r="31" spans="1:30">
      <c r="A31">
        <v>30</v>
      </c>
      <c r="B31" t="s">
        <v>168</v>
      </c>
      <c r="C31" t="s">
        <v>193</v>
      </c>
      <c r="D31">
        <v>468.92568999999997</v>
      </c>
      <c r="E31">
        <v>458.27090500000003</v>
      </c>
      <c r="F31">
        <v>473.03973400000001</v>
      </c>
      <c r="G31">
        <v>463.32836900000001</v>
      </c>
      <c r="H31">
        <v>459.65716600000002</v>
      </c>
      <c r="I31">
        <v>462.70059199999997</v>
      </c>
      <c r="J31">
        <v>450.84088100000002</v>
      </c>
      <c r="K31">
        <v>452.73818999999997</v>
      </c>
      <c r="L31">
        <v>454.70459</v>
      </c>
      <c r="M31">
        <v>453.41677900000002</v>
      </c>
      <c r="N31">
        <v>454.898865</v>
      </c>
      <c r="O31">
        <v>455.97616599999998</v>
      </c>
      <c r="P31">
        <v>457.70022599999999</v>
      </c>
      <c r="Q31">
        <v>457.88241599999998</v>
      </c>
      <c r="R31">
        <v>458.80032299999999</v>
      </c>
      <c r="S31">
        <v>459.24939000000001</v>
      </c>
      <c r="T31">
        <v>458.83017000000001</v>
      </c>
      <c r="U31">
        <v>457.40924100000001</v>
      </c>
      <c r="V31">
        <v>456.28689600000001</v>
      </c>
      <c r="W31">
        <v>456.329407</v>
      </c>
      <c r="X31">
        <v>456.08932499999997</v>
      </c>
      <c r="Y31">
        <v>457.03701799999999</v>
      </c>
      <c r="Z31">
        <v>459.72207600000002</v>
      </c>
      <c r="AA31">
        <v>461.17038000000002</v>
      </c>
      <c r="AB31">
        <v>459.84771699999999</v>
      </c>
      <c r="AC31">
        <v>458.83840900000001</v>
      </c>
      <c r="AD31">
        <v>-8.6946999999999997E-2</v>
      </c>
    </row>
    <row r="32" spans="1:30">
      <c r="A32">
        <v>31</v>
      </c>
      <c r="B32" t="s">
        <v>171</v>
      </c>
      <c r="C32" t="s">
        <v>193</v>
      </c>
      <c r="D32">
        <v>47.797961999999998</v>
      </c>
      <c r="E32">
        <v>48.922688000000001</v>
      </c>
      <c r="F32">
        <v>49.568466000000001</v>
      </c>
      <c r="G32">
        <v>50.014671</v>
      </c>
      <c r="H32">
        <v>50.306564000000002</v>
      </c>
      <c r="I32">
        <v>50.546627000000001</v>
      </c>
      <c r="J32">
        <v>50.750252000000003</v>
      </c>
      <c r="K32">
        <v>51.031433</v>
      </c>
      <c r="L32">
        <v>51.405346000000002</v>
      </c>
      <c r="M32">
        <v>51.750042000000001</v>
      </c>
      <c r="N32">
        <v>52.312027</v>
      </c>
      <c r="O32">
        <v>52.873978000000001</v>
      </c>
      <c r="P32">
        <v>53.476795000000003</v>
      </c>
      <c r="Q32">
        <v>54.024284000000002</v>
      </c>
      <c r="R32">
        <v>54.461292</v>
      </c>
      <c r="S32">
        <v>54.907088999999999</v>
      </c>
      <c r="T32">
        <v>55.303336999999999</v>
      </c>
      <c r="U32">
        <v>55.704666000000003</v>
      </c>
      <c r="V32">
        <v>56.041283</v>
      </c>
      <c r="W32">
        <v>56.408633999999999</v>
      </c>
      <c r="X32">
        <v>56.804088999999998</v>
      </c>
      <c r="Y32">
        <v>57.137206999999997</v>
      </c>
      <c r="Z32">
        <v>57.507964999999999</v>
      </c>
      <c r="AA32">
        <v>57.785679000000002</v>
      </c>
      <c r="AB32">
        <v>58.048091999999997</v>
      </c>
      <c r="AC32">
        <v>58.288894999999997</v>
      </c>
      <c r="AD32">
        <v>0.79687300000000005</v>
      </c>
    </row>
    <row r="33" spans="1:30">
      <c r="A33">
        <v>32</v>
      </c>
      <c r="B33" t="s">
        <v>159</v>
      </c>
      <c r="C33" t="s">
        <v>193</v>
      </c>
      <c r="D33">
        <v>10.291304999999999</v>
      </c>
      <c r="E33">
        <v>10.375522</v>
      </c>
      <c r="F33">
        <v>10.456319000000001</v>
      </c>
      <c r="G33">
        <v>10.539427</v>
      </c>
      <c r="H33">
        <v>10.62567</v>
      </c>
      <c r="I33">
        <v>10.710639</v>
      </c>
      <c r="J33">
        <v>10.794048</v>
      </c>
      <c r="K33">
        <v>10.873578999999999</v>
      </c>
      <c r="L33">
        <v>10.948176</v>
      </c>
      <c r="M33">
        <v>11.018274999999999</v>
      </c>
      <c r="N33">
        <v>11.084428000000001</v>
      </c>
      <c r="O33">
        <v>11.145583</v>
      </c>
      <c r="P33">
        <v>11.20349</v>
      </c>
      <c r="Q33">
        <v>11.261288</v>
      </c>
      <c r="R33">
        <v>11.314209999999999</v>
      </c>
      <c r="S33">
        <v>11.365144000000001</v>
      </c>
      <c r="T33">
        <v>11.41733</v>
      </c>
      <c r="U33">
        <v>11.468310000000001</v>
      </c>
      <c r="V33">
        <v>11.518629000000001</v>
      </c>
      <c r="W33">
        <v>11.568477</v>
      </c>
      <c r="X33">
        <v>11.617742</v>
      </c>
      <c r="Y33">
        <v>11.666309</v>
      </c>
      <c r="Z33">
        <v>11.714332000000001</v>
      </c>
      <c r="AA33">
        <v>11.761891</v>
      </c>
      <c r="AB33">
        <v>11.809170999999999</v>
      </c>
      <c r="AC33">
        <v>11.856415</v>
      </c>
      <c r="AD33">
        <v>0.56788499999999997</v>
      </c>
    </row>
    <row r="34" spans="1:30">
      <c r="A34">
        <v>33</v>
      </c>
      <c r="B34" t="s">
        <v>158</v>
      </c>
      <c r="C34" t="s">
        <v>193</v>
      </c>
      <c r="D34">
        <v>15.340902</v>
      </c>
      <c r="E34">
        <v>15.924714</v>
      </c>
      <c r="F34">
        <v>16.390450999999999</v>
      </c>
      <c r="G34">
        <v>16.871880000000001</v>
      </c>
      <c r="H34">
        <v>17.291449</v>
      </c>
      <c r="I34">
        <v>17.680021</v>
      </c>
      <c r="J34">
        <v>17.998669</v>
      </c>
      <c r="K34">
        <v>18.281811000000001</v>
      </c>
      <c r="L34">
        <v>18.585245</v>
      </c>
      <c r="M34">
        <v>18.822433</v>
      </c>
      <c r="N34">
        <v>19.134668000000001</v>
      </c>
      <c r="O34">
        <v>19.403853999999999</v>
      </c>
      <c r="P34">
        <v>19.701650999999998</v>
      </c>
      <c r="Q34">
        <v>19.970364</v>
      </c>
      <c r="R34">
        <v>20.185044999999999</v>
      </c>
      <c r="S34">
        <v>20.403708000000002</v>
      </c>
      <c r="T34">
        <v>20.590519</v>
      </c>
      <c r="U34">
        <v>20.78002</v>
      </c>
      <c r="V34">
        <v>20.931851999999999</v>
      </c>
      <c r="W34">
        <v>21.098742000000001</v>
      </c>
      <c r="X34">
        <v>21.280412999999999</v>
      </c>
      <c r="Y34">
        <v>21.426705999999999</v>
      </c>
      <c r="Z34">
        <v>21.598884999999999</v>
      </c>
      <c r="AA34">
        <v>21.721876000000002</v>
      </c>
      <c r="AB34">
        <v>21.843810999999999</v>
      </c>
      <c r="AC34">
        <v>21.961637</v>
      </c>
      <c r="AD34">
        <v>1.4454450000000001</v>
      </c>
    </row>
    <row r="35" spans="1:30">
      <c r="A35">
        <v>34</v>
      </c>
      <c r="B35" t="s">
        <v>172</v>
      </c>
      <c r="C35" t="s">
        <v>193</v>
      </c>
      <c r="D35">
        <v>22.165752000000001</v>
      </c>
      <c r="E35">
        <v>22.622451999999999</v>
      </c>
      <c r="F35">
        <v>22.721696999999999</v>
      </c>
      <c r="G35">
        <v>22.603363000000002</v>
      </c>
      <c r="H35">
        <v>22.389446</v>
      </c>
      <c r="I35">
        <v>22.155965999999999</v>
      </c>
      <c r="J35">
        <v>21.957535</v>
      </c>
      <c r="K35">
        <v>21.876045000000001</v>
      </c>
      <c r="L35">
        <v>21.871922999999999</v>
      </c>
      <c r="M35">
        <v>21.909331999999999</v>
      </c>
      <c r="N35">
        <v>22.092934</v>
      </c>
      <c r="O35">
        <v>22.324539000000001</v>
      </c>
      <c r="P35">
        <v>22.571650999999999</v>
      </c>
      <c r="Q35">
        <v>22.792632999999999</v>
      </c>
      <c r="R35">
        <v>22.962038</v>
      </c>
      <c r="S35">
        <v>23.138241000000001</v>
      </c>
      <c r="T35">
        <v>23.295490000000001</v>
      </c>
      <c r="U35">
        <v>23.456334999999999</v>
      </c>
      <c r="V35">
        <v>23.590796999999998</v>
      </c>
      <c r="W35">
        <v>23.741415</v>
      </c>
      <c r="X35">
        <v>23.905937000000002</v>
      </c>
      <c r="Y35">
        <v>24.044193</v>
      </c>
      <c r="Z35">
        <v>24.194748000000001</v>
      </c>
      <c r="AA35">
        <v>24.301912000000002</v>
      </c>
      <c r="AB35">
        <v>24.395106999999999</v>
      </c>
      <c r="AC35">
        <v>24.470844</v>
      </c>
      <c r="AD35">
        <v>0.39651999999999998</v>
      </c>
    </row>
    <row r="36" spans="1:30">
      <c r="A36">
        <v>35</v>
      </c>
      <c r="B36" t="s">
        <v>173</v>
      </c>
      <c r="C36" t="s">
        <v>193</v>
      </c>
      <c r="D36">
        <v>89.237289000000004</v>
      </c>
      <c r="E36">
        <v>89.304610999999994</v>
      </c>
      <c r="F36">
        <v>89.436661000000001</v>
      </c>
      <c r="G36">
        <v>89.620934000000005</v>
      </c>
      <c r="H36">
        <v>89.835068000000007</v>
      </c>
      <c r="I36">
        <v>90.127808000000002</v>
      </c>
      <c r="J36">
        <v>90.388962000000006</v>
      </c>
      <c r="K36">
        <v>90.646591000000001</v>
      </c>
      <c r="L36">
        <v>90.874008000000003</v>
      </c>
      <c r="M36">
        <v>91.105034000000003</v>
      </c>
      <c r="N36">
        <v>91.325821000000005</v>
      </c>
      <c r="O36">
        <v>91.503319000000005</v>
      </c>
      <c r="P36">
        <v>91.676781000000005</v>
      </c>
      <c r="Q36">
        <v>91.845580999999996</v>
      </c>
      <c r="R36">
        <v>92.006157000000002</v>
      </c>
      <c r="S36">
        <v>92.163200000000003</v>
      </c>
      <c r="T36">
        <v>92.298409000000007</v>
      </c>
      <c r="U36">
        <v>92.413787999999997</v>
      </c>
      <c r="V36">
        <v>92.506454000000005</v>
      </c>
      <c r="W36">
        <v>92.593238999999997</v>
      </c>
      <c r="X36">
        <v>92.697021000000007</v>
      </c>
      <c r="Y36">
        <v>92.799789000000004</v>
      </c>
      <c r="Z36">
        <v>92.905288999999996</v>
      </c>
      <c r="AA36">
        <v>92.984549999999999</v>
      </c>
      <c r="AB36">
        <v>93.058082999999996</v>
      </c>
      <c r="AC36">
        <v>93.105536999999998</v>
      </c>
      <c r="AD36">
        <v>0.16988300000000001</v>
      </c>
    </row>
    <row r="37" spans="1:30">
      <c r="A37">
        <v>36</v>
      </c>
      <c r="B37" t="s">
        <v>174</v>
      </c>
      <c r="C37" t="s">
        <v>193</v>
      </c>
      <c r="D37">
        <v>734.60199</v>
      </c>
      <c r="E37">
        <v>681.25598100000002</v>
      </c>
      <c r="F37">
        <v>684.28692599999999</v>
      </c>
      <c r="G37">
        <v>673.98980700000004</v>
      </c>
      <c r="H37">
        <v>683.41693099999998</v>
      </c>
      <c r="I37">
        <v>712.55456500000003</v>
      </c>
      <c r="J37">
        <v>732.71130400000004</v>
      </c>
      <c r="K37">
        <v>744.84387200000003</v>
      </c>
      <c r="L37">
        <v>749.81542999999999</v>
      </c>
      <c r="M37">
        <v>757.92114300000003</v>
      </c>
      <c r="N37">
        <v>770.47119099999998</v>
      </c>
      <c r="O37">
        <v>793.58917199999996</v>
      </c>
      <c r="P37">
        <v>821.20849599999997</v>
      </c>
      <c r="Q37">
        <v>845.46813999999995</v>
      </c>
      <c r="R37">
        <v>872.15417500000001</v>
      </c>
      <c r="S37">
        <v>890.66058299999997</v>
      </c>
      <c r="T37">
        <v>906.70764199999996</v>
      </c>
      <c r="U37">
        <v>924.74493399999994</v>
      </c>
      <c r="V37">
        <v>943.75726299999997</v>
      </c>
      <c r="W37">
        <v>957.82116699999995</v>
      </c>
      <c r="X37">
        <v>965.947632</v>
      </c>
      <c r="Y37">
        <v>975.11267099999998</v>
      </c>
      <c r="Z37">
        <v>984.19189500000005</v>
      </c>
      <c r="AA37">
        <v>992.79992700000003</v>
      </c>
      <c r="AB37">
        <v>996.04656999999997</v>
      </c>
      <c r="AC37">
        <v>1001.5481569999999</v>
      </c>
      <c r="AD37">
        <v>1.2476119999999999</v>
      </c>
    </row>
    <row r="38" spans="1:30">
      <c r="A38">
        <v>37</v>
      </c>
      <c r="B38" t="s">
        <v>332</v>
      </c>
      <c r="C38" t="s">
        <v>193</v>
      </c>
      <c r="D38">
        <v>590.71014400000001</v>
      </c>
      <c r="E38">
        <v>589.92114300000003</v>
      </c>
      <c r="F38">
        <v>673.66332999999997</v>
      </c>
      <c r="G38">
        <v>722.36029099999996</v>
      </c>
      <c r="H38">
        <v>770.13201900000001</v>
      </c>
      <c r="I38">
        <v>911.09674099999995</v>
      </c>
      <c r="J38">
        <v>975.370361</v>
      </c>
      <c r="K38">
        <v>1036.7476810000001</v>
      </c>
      <c r="L38">
        <v>1082.8173830000001</v>
      </c>
      <c r="M38">
        <v>1159.0126949999999</v>
      </c>
      <c r="N38">
        <v>1212.578857</v>
      </c>
      <c r="O38">
        <v>1254.067139</v>
      </c>
      <c r="P38">
        <v>1275.980591</v>
      </c>
      <c r="Q38">
        <v>1297.4061280000001</v>
      </c>
      <c r="R38">
        <v>1319.5187989999999</v>
      </c>
      <c r="S38">
        <v>1340.399658</v>
      </c>
      <c r="T38">
        <v>1363.283936</v>
      </c>
      <c r="U38">
        <v>1385.059937</v>
      </c>
      <c r="V38">
        <v>1406.8359379999999</v>
      </c>
      <c r="W38">
        <v>1431.3625489999999</v>
      </c>
      <c r="X38">
        <v>1450.387817</v>
      </c>
      <c r="Y38">
        <v>1472.163818</v>
      </c>
      <c r="Z38">
        <v>1493.9398189999999</v>
      </c>
      <c r="AA38">
        <v>1507.5783690000001</v>
      </c>
      <c r="AB38">
        <v>1504.827759</v>
      </c>
      <c r="AC38">
        <v>1504.827759</v>
      </c>
      <c r="AD38">
        <v>3.8112680000000001</v>
      </c>
    </row>
    <row r="39" spans="1:30">
      <c r="A39">
        <v>38</v>
      </c>
    </row>
    <row r="40" spans="1:30">
      <c r="A40">
        <v>39</v>
      </c>
      <c r="B40" t="s">
        <v>175</v>
      </c>
      <c r="C40" t="s">
        <v>193</v>
      </c>
      <c r="D40">
        <v>444.00161700000001</v>
      </c>
      <c r="E40">
        <v>456.269318</v>
      </c>
      <c r="F40">
        <v>456.97198500000002</v>
      </c>
      <c r="G40">
        <v>451.95935100000003</v>
      </c>
      <c r="H40">
        <v>450.42767300000003</v>
      </c>
      <c r="I40">
        <v>448.71444700000001</v>
      </c>
      <c r="J40">
        <v>447.92675800000001</v>
      </c>
      <c r="K40">
        <v>447.756348</v>
      </c>
      <c r="L40">
        <v>447.646118</v>
      </c>
      <c r="M40">
        <v>447.70373499999999</v>
      </c>
      <c r="N40">
        <v>447.87530500000003</v>
      </c>
      <c r="O40">
        <v>448.21966600000002</v>
      </c>
      <c r="P40">
        <v>448.65875199999999</v>
      </c>
      <c r="Q40">
        <v>449.08792099999999</v>
      </c>
      <c r="R40">
        <v>449.511169</v>
      </c>
      <c r="S40">
        <v>449.928223</v>
      </c>
      <c r="T40">
        <v>450.340149</v>
      </c>
      <c r="U40">
        <v>450.75048800000002</v>
      </c>
      <c r="V40">
        <v>451.16143799999998</v>
      </c>
      <c r="W40">
        <v>451.57293700000002</v>
      </c>
      <c r="X40">
        <v>451.984375</v>
      </c>
      <c r="Y40">
        <v>452.39999399999999</v>
      </c>
      <c r="Z40">
        <v>452.819366</v>
      </c>
      <c r="AA40">
        <v>453.24035600000002</v>
      </c>
      <c r="AB40">
        <v>453.66583300000002</v>
      </c>
      <c r="AC40">
        <v>454.09600799999998</v>
      </c>
      <c r="AD40">
        <v>8.9962E-2</v>
      </c>
    </row>
    <row r="41" spans="1:30">
      <c r="A41">
        <v>40</v>
      </c>
      <c r="B41" t="s">
        <v>176</v>
      </c>
      <c r="C41" t="s">
        <v>193</v>
      </c>
      <c r="D41">
        <v>329.568085</v>
      </c>
      <c r="E41">
        <v>338.67413299999998</v>
      </c>
      <c r="F41">
        <v>339.19570900000002</v>
      </c>
      <c r="G41">
        <v>335.47497600000003</v>
      </c>
      <c r="H41">
        <v>334.33807400000001</v>
      </c>
      <c r="I41">
        <v>333.06640599999997</v>
      </c>
      <c r="J41">
        <v>332.48172</v>
      </c>
      <c r="K41">
        <v>332.35522500000002</v>
      </c>
      <c r="L41">
        <v>332.273438</v>
      </c>
      <c r="M41">
        <v>332.316193</v>
      </c>
      <c r="N41">
        <v>332.44354199999998</v>
      </c>
      <c r="O41">
        <v>332.69915800000001</v>
      </c>
      <c r="P41">
        <v>333.02505500000001</v>
      </c>
      <c r="Q41">
        <v>333.34359699999999</v>
      </c>
      <c r="R41">
        <v>333.65777600000001</v>
      </c>
      <c r="S41">
        <v>333.96734600000002</v>
      </c>
      <c r="T41">
        <v>334.27310199999999</v>
      </c>
      <c r="U41">
        <v>334.577698</v>
      </c>
      <c r="V41">
        <v>334.882721</v>
      </c>
      <c r="W41">
        <v>335.18817100000001</v>
      </c>
      <c r="X41">
        <v>335.493561</v>
      </c>
      <c r="Y41">
        <v>335.80206299999998</v>
      </c>
      <c r="Z41">
        <v>336.11334199999999</v>
      </c>
      <c r="AA41">
        <v>336.42584199999999</v>
      </c>
      <c r="AB41">
        <v>336.74163800000002</v>
      </c>
      <c r="AC41">
        <v>337.06097399999999</v>
      </c>
      <c r="AD41">
        <v>8.9964000000000002E-2</v>
      </c>
    </row>
    <row r="42" spans="1:30">
      <c r="A42">
        <v>41</v>
      </c>
      <c r="B42" t="s">
        <v>177</v>
      </c>
      <c r="C42" t="s">
        <v>193</v>
      </c>
      <c r="D42">
        <v>2.6093000000000002E-2</v>
      </c>
      <c r="E42">
        <v>2.6637999999999998E-2</v>
      </c>
      <c r="F42">
        <v>2.6679000000000001E-2</v>
      </c>
      <c r="G42">
        <v>2.6386E-2</v>
      </c>
      <c r="H42">
        <v>2.6297000000000001E-2</v>
      </c>
      <c r="I42">
        <v>2.6197000000000002E-2</v>
      </c>
      <c r="J42">
        <v>2.6151000000000001E-2</v>
      </c>
      <c r="K42">
        <v>2.6141000000000001E-2</v>
      </c>
      <c r="L42">
        <v>2.6134999999999999E-2</v>
      </c>
      <c r="M42">
        <v>2.6138000000000002E-2</v>
      </c>
      <c r="N42">
        <v>2.6148000000000001E-2</v>
      </c>
      <c r="O42">
        <v>2.6168E-2</v>
      </c>
      <c r="P42">
        <v>2.6193999999999999E-2</v>
      </c>
      <c r="Q42">
        <v>2.6218999999999999E-2</v>
      </c>
      <c r="R42">
        <v>2.6242999999999999E-2</v>
      </c>
      <c r="S42">
        <v>2.6268E-2</v>
      </c>
      <c r="T42">
        <v>2.6291999999999999E-2</v>
      </c>
      <c r="U42">
        <v>2.6315999999999999E-2</v>
      </c>
      <c r="V42">
        <v>2.6339999999999999E-2</v>
      </c>
      <c r="W42">
        <v>2.6363999999999999E-2</v>
      </c>
      <c r="X42">
        <v>2.6388000000000002E-2</v>
      </c>
      <c r="Y42">
        <v>2.6412000000000001E-2</v>
      </c>
      <c r="Z42">
        <v>2.6436999999999999E-2</v>
      </c>
      <c r="AA42">
        <v>2.6460999999999998E-2</v>
      </c>
      <c r="AB42">
        <v>2.6485999999999999E-2</v>
      </c>
      <c r="AC42">
        <v>2.6511E-2</v>
      </c>
      <c r="AD42">
        <v>6.3589999999999994E-2</v>
      </c>
    </row>
    <row r="43" spans="1:30">
      <c r="A43">
        <v>42</v>
      </c>
      <c r="B43" t="s">
        <v>178</v>
      </c>
      <c r="C43" t="s">
        <v>193</v>
      </c>
      <c r="D43">
        <v>114.407448</v>
      </c>
      <c r="E43">
        <v>117.56855</v>
      </c>
      <c r="F43">
        <v>117.749611</v>
      </c>
      <c r="G43">
        <v>116.45797</v>
      </c>
      <c r="H43">
        <v>116.063293</v>
      </c>
      <c r="I43">
        <v>115.62185700000001</v>
      </c>
      <c r="J43">
        <v>115.41888400000001</v>
      </c>
      <c r="K43">
        <v>115.37496899999999</v>
      </c>
      <c r="L43">
        <v>115.34657300000001</v>
      </c>
      <c r="M43">
        <v>115.361412</v>
      </c>
      <c r="N43">
        <v>115.405624</v>
      </c>
      <c r="O43">
        <v>115.494362</v>
      </c>
      <c r="P43">
        <v>115.607506</v>
      </c>
      <c r="Q43">
        <v>115.718102</v>
      </c>
      <c r="R43">
        <v>115.82714799999999</v>
      </c>
      <c r="S43">
        <v>115.93461600000001</v>
      </c>
      <c r="T43">
        <v>116.04074900000001</v>
      </c>
      <c r="U43">
        <v>116.1465</v>
      </c>
      <c r="V43">
        <v>116.252365</v>
      </c>
      <c r="W43">
        <v>116.358406</v>
      </c>
      <c r="X43">
        <v>116.464432</v>
      </c>
      <c r="Y43">
        <v>116.57152600000001</v>
      </c>
      <c r="Z43">
        <v>116.679588</v>
      </c>
      <c r="AA43">
        <v>116.78806299999999</v>
      </c>
      <c r="AB43">
        <v>116.89769</v>
      </c>
      <c r="AC43">
        <v>117.008522</v>
      </c>
      <c r="AD43">
        <v>8.9963000000000001E-2</v>
      </c>
    </row>
    <row r="44" spans="1:30">
      <c r="A44">
        <v>43</v>
      </c>
    </row>
    <row r="45" spans="1:30">
      <c r="A45">
        <v>44</v>
      </c>
      <c r="B45" t="s">
        <v>138</v>
      </c>
      <c r="C45" t="s">
        <v>193</v>
      </c>
      <c r="D45">
        <v>28348.960938</v>
      </c>
      <c r="E45">
        <v>28212.208984000001</v>
      </c>
      <c r="F45">
        <v>28235.708984000001</v>
      </c>
      <c r="G45">
        <v>28091.810547000001</v>
      </c>
      <c r="H45">
        <v>27945.398438</v>
      </c>
      <c r="I45">
        <v>27933.087890999999</v>
      </c>
      <c r="J45">
        <v>27807.011718999998</v>
      </c>
      <c r="K45">
        <v>27724.958984000001</v>
      </c>
      <c r="L45">
        <v>27602.046875</v>
      </c>
      <c r="M45">
        <v>27601.414062</v>
      </c>
      <c r="N45">
        <v>27588.166015999999</v>
      </c>
      <c r="O45">
        <v>27528.226562</v>
      </c>
      <c r="P45">
        <v>27459.425781000002</v>
      </c>
      <c r="Q45">
        <v>27411.304688</v>
      </c>
      <c r="R45">
        <v>27370.958984000001</v>
      </c>
      <c r="S45">
        <v>27353.699218999998</v>
      </c>
      <c r="T45">
        <v>27336.271484000001</v>
      </c>
      <c r="U45">
        <v>27301.832031000002</v>
      </c>
      <c r="V45">
        <v>27306.962890999999</v>
      </c>
      <c r="W45">
        <v>27300.847656000002</v>
      </c>
      <c r="X45">
        <v>27306.462890999999</v>
      </c>
      <c r="Y45">
        <v>27305.654297000001</v>
      </c>
      <c r="Z45">
        <v>27321.873047000001</v>
      </c>
      <c r="AA45">
        <v>27288.986327999999</v>
      </c>
      <c r="AB45">
        <v>27227.949218999998</v>
      </c>
      <c r="AC45">
        <v>27204.541015999999</v>
      </c>
      <c r="AD45">
        <v>-0.16469</v>
      </c>
    </row>
    <row r="46" spans="1:30">
      <c r="A46">
        <v>45</v>
      </c>
    </row>
    <row r="47" spans="1:30">
      <c r="A47">
        <v>46</v>
      </c>
      <c r="B47" t="s">
        <v>139</v>
      </c>
    </row>
    <row r="48" spans="1:30">
      <c r="A48">
        <v>47</v>
      </c>
      <c r="B48" t="s">
        <v>179</v>
      </c>
      <c r="C48" t="s">
        <v>193</v>
      </c>
      <c r="D48">
        <v>15912.545898</v>
      </c>
      <c r="E48">
        <v>15784.615234000001</v>
      </c>
      <c r="F48">
        <v>15640.821289</v>
      </c>
      <c r="G48">
        <v>15437.544921999999</v>
      </c>
      <c r="H48">
        <v>15199.519531</v>
      </c>
      <c r="I48">
        <v>14948.945312</v>
      </c>
      <c r="J48">
        <v>14713.698242</v>
      </c>
      <c r="K48">
        <v>14514.947265999999</v>
      </c>
      <c r="L48">
        <v>14306.855469</v>
      </c>
      <c r="M48">
        <v>14172.370117</v>
      </c>
      <c r="N48">
        <v>14027.951171999999</v>
      </c>
      <c r="O48">
        <v>13854.288086</v>
      </c>
      <c r="P48">
        <v>13681.721680000001</v>
      </c>
      <c r="Q48">
        <v>13536.066406</v>
      </c>
      <c r="R48">
        <v>13394.969727</v>
      </c>
      <c r="S48">
        <v>13281.940430000001</v>
      </c>
      <c r="T48">
        <v>13177.488281</v>
      </c>
      <c r="U48">
        <v>13050.000977</v>
      </c>
      <c r="V48">
        <v>12960.864258</v>
      </c>
      <c r="W48">
        <v>12858.638671999999</v>
      </c>
      <c r="X48">
        <v>12769.253906</v>
      </c>
      <c r="Y48">
        <v>12667.771484000001</v>
      </c>
      <c r="Z48">
        <v>12582.331055000001</v>
      </c>
      <c r="AA48">
        <v>12464.904296999999</v>
      </c>
      <c r="AB48">
        <v>12346.143555000001</v>
      </c>
      <c r="AC48">
        <v>12257.273438</v>
      </c>
      <c r="AD48">
        <v>-1.0385230000000001</v>
      </c>
    </row>
    <row r="49" spans="1:30">
      <c r="A49">
        <v>48</v>
      </c>
      <c r="B49" t="s">
        <v>180</v>
      </c>
      <c r="C49" t="s">
        <v>193</v>
      </c>
      <c r="D49">
        <v>40.421616</v>
      </c>
      <c r="E49">
        <v>32.259579000000002</v>
      </c>
      <c r="F49">
        <v>30.551463999999999</v>
      </c>
      <c r="G49">
        <v>28.584264999999998</v>
      </c>
      <c r="H49">
        <v>26.260186999999998</v>
      </c>
      <c r="I49">
        <v>27.269714</v>
      </c>
      <c r="J49">
        <v>23.394123</v>
      </c>
      <c r="K49">
        <v>21.378817000000002</v>
      </c>
      <c r="L49">
        <v>19.473015</v>
      </c>
      <c r="M49">
        <v>18.049637000000001</v>
      </c>
      <c r="N49">
        <v>16.224371000000001</v>
      </c>
      <c r="O49">
        <v>14.691770999999999</v>
      </c>
      <c r="P49">
        <v>13.182299</v>
      </c>
      <c r="Q49">
        <v>11.966215</v>
      </c>
      <c r="R49">
        <v>10.911787</v>
      </c>
      <c r="S49">
        <v>10.092917999999999</v>
      </c>
      <c r="T49">
        <v>9.1700929999999996</v>
      </c>
      <c r="U49">
        <v>8.6288400000000003</v>
      </c>
      <c r="V49">
        <v>8.1100549999999991</v>
      </c>
      <c r="W49">
        <v>7.7448170000000003</v>
      </c>
      <c r="X49">
        <v>7.0061419999999996</v>
      </c>
      <c r="Y49">
        <v>6.7423149999999996</v>
      </c>
      <c r="Z49">
        <v>6.6771560000000001</v>
      </c>
      <c r="AA49">
        <v>6.8729639999999996</v>
      </c>
      <c r="AB49">
        <v>6.3687149999999999</v>
      </c>
      <c r="AC49">
        <v>6.064648</v>
      </c>
      <c r="AD49">
        <v>-7.3068419999999996</v>
      </c>
    </row>
    <row r="50" spans="1:30">
      <c r="A50">
        <v>49</v>
      </c>
      <c r="B50" t="s">
        <v>181</v>
      </c>
      <c r="C50" t="s">
        <v>193</v>
      </c>
      <c r="D50">
        <v>6602.3701170000004</v>
      </c>
      <c r="E50">
        <v>6581.65625</v>
      </c>
      <c r="F50">
        <v>6579.4697269999997</v>
      </c>
      <c r="G50">
        <v>6540.5322269999997</v>
      </c>
      <c r="H50">
        <v>6512.4794920000004</v>
      </c>
      <c r="I50">
        <v>6503.8862300000001</v>
      </c>
      <c r="J50">
        <v>6465.640625</v>
      </c>
      <c r="K50">
        <v>6431.7128910000001</v>
      </c>
      <c r="L50">
        <v>6386.3789059999999</v>
      </c>
      <c r="M50">
        <v>6349.1650390000004</v>
      </c>
      <c r="N50">
        <v>6320.048828</v>
      </c>
      <c r="O50">
        <v>6289.2910160000001</v>
      </c>
      <c r="P50">
        <v>6261.6948240000002</v>
      </c>
      <c r="Q50">
        <v>6233.6713870000003</v>
      </c>
      <c r="R50">
        <v>6207.7036129999997</v>
      </c>
      <c r="S50">
        <v>6186.8466799999997</v>
      </c>
      <c r="T50">
        <v>6163.8706050000001</v>
      </c>
      <c r="U50">
        <v>6139.4106449999999</v>
      </c>
      <c r="V50">
        <v>6113.6010740000002</v>
      </c>
      <c r="W50">
        <v>6091.4311520000001</v>
      </c>
      <c r="X50">
        <v>6077.9252930000002</v>
      </c>
      <c r="Y50">
        <v>6068.8867190000001</v>
      </c>
      <c r="Z50">
        <v>6063.6245120000003</v>
      </c>
      <c r="AA50">
        <v>6048.6025390000004</v>
      </c>
      <c r="AB50">
        <v>6031.2827150000003</v>
      </c>
      <c r="AC50">
        <v>6012.7753910000001</v>
      </c>
      <c r="AD50">
        <v>-0.37347000000000002</v>
      </c>
    </row>
    <row r="51" spans="1:30">
      <c r="A51">
        <v>50</v>
      </c>
      <c r="B51" t="s">
        <v>182</v>
      </c>
      <c r="C51" t="s">
        <v>193</v>
      </c>
      <c r="D51">
        <v>3559.6623540000001</v>
      </c>
      <c r="E51">
        <v>3614.6511230000001</v>
      </c>
      <c r="F51">
        <v>3641.7333979999999</v>
      </c>
      <c r="G51">
        <v>3639.2421880000002</v>
      </c>
      <c r="H51">
        <v>3653.0385740000002</v>
      </c>
      <c r="I51">
        <v>3677.6088869999999</v>
      </c>
      <c r="J51">
        <v>3700.2348630000001</v>
      </c>
      <c r="K51">
        <v>3732.7280270000001</v>
      </c>
      <c r="L51">
        <v>3767.7783199999999</v>
      </c>
      <c r="M51">
        <v>3810.2211910000001</v>
      </c>
      <c r="N51">
        <v>3861.0754390000002</v>
      </c>
      <c r="O51">
        <v>3897.078857</v>
      </c>
      <c r="P51">
        <v>3936.532471</v>
      </c>
      <c r="Q51">
        <v>3974.3610840000001</v>
      </c>
      <c r="R51">
        <v>4010.7692870000001</v>
      </c>
      <c r="S51">
        <v>4047.6145019999999</v>
      </c>
      <c r="T51">
        <v>4079.9453119999998</v>
      </c>
      <c r="U51">
        <v>4115.3100590000004</v>
      </c>
      <c r="V51">
        <v>4152.0224609999996</v>
      </c>
      <c r="W51">
        <v>4187.6674800000001</v>
      </c>
      <c r="X51">
        <v>4223.1923829999996</v>
      </c>
      <c r="Y51">
        <v>4254.8833009999998</v>
      </c>
      <c r="Z51">
        <v>4281.6733400000003</v>
      </c>
      <c r="AA51">
        <v>4308.2597660000001</v>
      </c>
      <c r="AB51">
        <v>4330.515625</v>
      </c>
      <c r="AC51">
        <v>4354.498047</v>
      </c>
      <c r="AD51">
        <v>0.80943299999999996</v>
      </c>
    </row>
    <row r="52" spans="1:30">
      <c r="A52">
        <v>51</v>
      </c>
      <c r="B52" t="s">
        <v>177</v>
      </c>
      <c r="C52" t="s">
        <v>193</v>
      </c>
      <c r="D52">
        <v>553.284851</v>
      </c>
      <c r="E52">
        <v>535.05981399999996</v>
      </c>
      <c r="F52">
        <v>549.44720500000005</v>
      </c>
      <c r="G52">
        <v>570.97705099999996</v>
      </c>
      <c r="H52">
        <v>576.15386999999998</v>
      </c>
      <c r="I52">
        <v>582.14502000000005</v>
      </c>
      <c r="J52">
        <v>584.48767099999998</v>
      </c>
      <c r="K52">
        <v>592.03533900000002</v>
      </c>
      <c r="L52">
        <v>601.27868699999999</v>
      </c>
      <c r="M52">
        <v>610.74041699999998</v>
      </c>
      <c r="N52">
        <v>618.85406499999999</v>
      </c>
      <c r="O52">
        <v>626.73156700000004</v>
      </c>
      <c r="P52">
        <v>632.526611</v>
      </c>
      <c r="Q52">
        <v>638.38006600000006</v>
      </c>
      <c r="R52">
        <v>643.49389599999995</v>
      </c>
      <c r="S52">
        <v>647.66851799999995</v>
      </c>
      <c r="T52">
        <v>651.53601100000003</v>
      </c>
      <c r="U52">
        <v>658.490906</v>
      </c>
      <c r="V52">
        <v>665.69030799999996</v>
      </c>
      <c r="W52">
        <v>672.42864999999995</v>
      </c>
      <c r="X52">
        <v>679.74371299999996</v>
      </c>
      <c r="Y52">
        <v>686.50836200000003</v>
      </c>
      <c r="Z52">
        <v>692.76769999999999</v>
      </c>
      <c r="AA52">
        <v>698.81671100000005</v>
      </c>
      <c r="AB52">
        <v>705.27038600000003</v>
      </c>
      <c r="AC52">
        <v>712.21289100000001</v>
      </c>
      <c r="AD52">
        <v>1.0151330000000001</v>
      </c>
    </row>
    <row r="53" spans="1:30">
      <c r="A53">
        <v>52</v>
      </c>
      <c r="B53" t="s">
        <v>183</v>
      </c>
      <c r="C53" t="s">
        <v>193</v>
      </c>
      <c r="D53">
        <v>22.394031999999999</v>
      </c>
      <c r="E53">
        <v>22.387812</v>
      </c>
      <c r="F53">
        <v>22.382666</v>
      </c>
      <c r="G53">
        <v>22.378406999999999</v>
      </c>
      <c r="H53">
        <v>22.374884000000002</v>
      </c>
      <c r="I53">
        <v>22.371969</v>
      </c>
      <c r="J53">
        <v>22.369558000000001</v>
      </c>
      <c r="K53">
        <v>22.367563000000001</v>
      </c>
      <c r="L53">
        <v>22.365911000000001</v>
      </c>
      <c r="M53">
        <v>22.364546000000001</v>
      </c>
      <c r="N53">
        <v>22.363416999999998</v>
      </c>
      <c r="O53">
        <v>22.362480000000001</v>
      </c>
      <c r="P53">
        <v>22.361708</v>
      </c>
      <c r="Q53">
        <v>22.361066999999998</v>
      </c>
      <c r="R53">
        <v>22.360537999999998</v>
      </c>
      <c r="S53">
        <v>22.360099999999999</v>
      </c>
      <c r="T53">
        <v>22.359736999999999</v>
      </c>
      <c r="U53">
        <v>22.359438000000001</v>
      </c>
      <c r="V53">
        <v>22.359190000000002</v>
      </c>
      <c r="W53">
        <v>22.358984</v>
      </c>
      <c r="X53">
        <v>22.358813999999999</v>
      </c>
      <c r="Y53">
        <v>22.358673</v>
      </c>
      <c r="Z53">
        <v>22.358557000000001</v>
      </c>
      <c r="AA53">
        <v>22.358460999999998</v>
      </c>
      <c r="AB53">
        <v>22.358381000000001</v>
      </c>
      <c r="AC53">
        <v>22.358315000000001</v>
      </c>
      <c r="AD53">
        <v>-6.3850000000000001E-3</v>
      </c>
    </row>
    <row r="54" spans="1:30">
      <c r="A54">
        <v>53</v>
      </c>
      <c r="B54" t="s">
        <v>184</v>
      </c>
      <c r="C54" t="s">
        <v>193</v>
      </c>
      <c r="D54">
        <v>10.834009999999999</v>
      </c>
      <c r="E54">
        <v>10.579373</v>
      </c>
      <c r="F54">
        <v>10.310888</v>
      </c>
      <c r="G54">
        <v>10.076195999999999</v>
      </c>
      <c r="H54">
        <v>9.8488939999999996</v>
      </c>
      <c r="I54">
        <v>9.6416439999999994</v>
      </c>
      <c r="J54">
        <v>9.4272760000000009</v>
      </c>
      <c r="K54">
        <v>9.2253019999999992</v>
      </c>
      <c r="L54">
        <v>9.0478070000000006</v>
      </c>
      <c r="M54">
        <v>8.8730480000000007</v>
      </c>
      <c r="N54">
        <v>8.7130220000000005</v>
      </c>
      <c r="O54">
        <v>8.5669640000000005</v>
      </c>
      <c r="P54">
        <v>8.4324580000000005</v>
      </c>
      <c r="Q54">
        <v>8.3014240000000008</v>
      </c>
      <c r="R54">
        <v>8.1844479999999997</v>
      </c>
      <c r="S54">
        <v>8.0761409999999998</v>
      </c>
      <c r="T54">
        <v>7.9630429999999999</v>
      </c>
      <c r="U54">
        <v>7.8532089999999997</v>
      </c>
      <c r="V54">
        <v>7.7414509999999996</v>
      </c>
      <c r="W54">
        <v>7.632002</v>
      </c>
      <c r="X54">
        <v>7.5258830000000003</v>
      </c>
      <c r="Y54">
        <v>7.4196980000000003</v>
      </c>
      <c r="Z54">
        <v>7.3186450000000001</v>
      </c>
      <c r="AA54">
        <v>7.2103679999999999</v>
      </c>
      <c r="AB54">
        <v>7.097823</v>
      </c>
      <c r="AC54">
        <v>6.9871220000000003</v>
      </c>
      <c r="AD54">
        <v>-1.739185</v>
      </c>
    </row>
    <row r="55" spans="1:30">
      <c r="A55">
        <v>54</v>
      </c>
      <c r="B55" t="s">
        <v>173</v>
      </c>
      <c r="C55" t="s">
        <v>193</v>
      </c>
      <c r="D55">
        <v>89.237289000000004</v>
      </c>
      <c r="E55">
        <v>89.304610999999994</v>
      </c>
      <c r="F55">
        <v>89.436661000000001</v>
      </c>
      <c r="G55">
        <v>89.620934000000005</v>
      </c>
      <c r="H55">
        <v>89.835068000000007</v>
      </c>
      <c r="I55">
        <v>90.127808000000002</v>
      </c>
      <c r="J55">
        <v>90.388962000000006</v>
      </c>
      <c r="K55">
        <v>90.646591000000001</v>
      </c>
      <c r="L55">
        <v>90.874008000000003</v>
      </c>
      <c r="M55">
        <v>91.105034000000003</v>
      </c>
      <c r="N55">
        <v>91.325821000000005</v>
      </c>
      <c r="O55">
        <v>91.503319000000005</v>
      </c>
      <c r="P55">
        <v>91.676781000000005</v>
      </c>
      <c r="Q55">
        <v>91.845580999999996</v>
      </c>
      <c r="R55">
        <v>92.006157000000002</v>
      </c>
      <c r="S55">
        <v>92.163200000000003</v>
      </c>
      <c r="T55">
        <v>92.298409000000007</v>
      </c>
      <c r="U55">
        <v>92.413787999999997</v>
      </c>
      <c r="V55">
        <v>92.506454000000005</v>
      </c>
      <c r="W55">
        <v>92.593238999999997</v>
      </c>
      <c r="X55">
        <v>92.697021000000007</v>
      </c>
      <c r="Y55">
        <v>92.799789000000004</v>
      </c>
      <c r="Z55">
        <v>92.905288999999996</v>
      </c>
      <c r="AA55">
        <v>92.984549999999999</v>
      </c>
      <c r="AB55">
        <v>93.058082999999996</v>
      </c>
      <c r="AC55">
        <v>93.105536999999998</v>
      </c>
      <c r="AD55">
        <v>0.16988300000000001</v>
      </c>
    </row>
    <row r="56" spans="1:30">
      <c r="A56">
        <v>55</v>
      </c>
      <c r="B56" t="s">
        <v>185</v>
      </c>
      <c r="C56" t="s">
        <v>193</v>
      </c>
      <c r="D56">
        <v>26790.75</v>
      </c>
      <c r="E56">
        <v>26670.515625</v>
      </c>
      <c r="F56">
        <v>26564.152343999998</v>
      </c>
      <c r="G56">
        <v>26338.957031000002</v>
      </c>
      <c r="H56">
        <v>26089.513672000001</v>
      </c>
      <c r="I56">
        <v>25861.996093999998</v>
      </c>
      <c r="J56">
        <v>25609.642577999999</v>
      </c>
      <c r="K56">
        <v>25415.041015999999</v>
      </c>
      <c r="L56">
        <v>25204.048827999999</v>
      </c>
      <c r="M56">
        <v>25082.888672000001</v>
      </c>
      <c r="N56">
        <v>24966.556640999999</v>
      </c>
      <c r="O56">
        <v>24804.513672000001</v>
      </c>
      <c r="P56">
        <v>24648.128906000002</v>
      </c>
      <c r="Q56">
        <v>24516.955077999999</v>
      </c>
      <c r="R56">
        <v>24390.400390999999</v>
      </c>
      <c r="S56">
        <v>24296.763672000001</v>
      </c>
      <c r="T56">
        <v>24204.630859000001</v>
      </c>
      <c r="U56">
        <v>24094.46875</v>
      </c>
      <c r="V56">
        <v>24022.894531000002</v>
      </c>
      <c r="W56">
        <v>23940.496093999998</v>
      </c>
      <c r="X56">
        <v>23879.703125</v>
      </c>
      <c r="Y56">
        <v>23807.369140999999</v>
      </c>
      <c r="Z56">
        <v>23749.658202999999</v>
      </c>
      <c r="AA56">
        <v>23650.011718999998</v>
      </c>
      <c r="AB56">
        <v>23542.09375</v>
      </c>
      <c r="AC56">
        <v>23465.273438</v>
      </c>
      <c r="AD56">
        <v>-0.52873800000000004</v>
      </c>
    </row>
    <row r="57" spans="1:30">
      <c r="A57">
        <v>56</v>
      </c>
      <c r="B57" t="s">
        <v>186</v>
      </c>
      <c r="C57" t="s">
        <v>193</v>
      </c>
      <c r="D57">
        <v>126.333862</v>
      </c>
      <c r="E57">
        <v>158.18392900000001</v>
      </c>
      <c r="F57">
        <v>198.283096</v>
      </c>
      <c r="G57">
        <v>242.79750100000001</v>
      </c>
      <c r="H57">
        <v>286.83575400000001</v>
      </c>
      <c r="I57">
        <v>328.32742300000001</v>
      </c>
      <c r="J57">
        <v>364.83084100000002</v>
      </c>
      <c r="K57">
        <v>398.36636399999998</v>
      </c>
      <c r="L57">
        <v>431.75955199999999</v>
      </c>
      <c r="M57">
        <v>465.76574699999998</v>
      </c>
      <c r="N57">
        <v>500.54605099999998</v>
      </c>
      <c r="O57">
        <v>535.51873799999998</v>
      </c>
      <c r="P57">
        <v>570.81878700000004</v>
      </c>
      <c r="Q57">
        <v>606.01574700000003</v>
      </c>
      <c r="R57">
        <v>640.45648200000005</v>
      </c>
      <c r="S57">
        <v>674.75988800000005</v>
      </c>
      <c r="T57">
        <v>708.37646500000005</v>
      </c>
      <c r="U57">
        <v>742.10528599999998</v>
      </c>
      <c r="V57">
        <v>775.94305399999996</v>
      </c>
      <c r="W57">
        <v>810.49035600000002</v>
      </c>
      <c r="X57">
        <v>845.73944100000006</v>
      </c>
      <c r="Y57">
        <v>880.67303500000003</v>
      </c>
      <c r="Z57">
        <v>915.15441899999996</v>
      </c>
      <c r="AA57">
        <v>949.57195999999999</v>
      </c>
      <c r="AB57">
        <v>983.60022000000004</v>
      </c>
      <c r="AC57">
        <v>1017.370361</v>
      </c>
      <c r="AD57">
        <v>8.7022099999999991</v>
      </c>
    </row>
    <row r="58" spans="1:30">
      <c r="A58">
        <v>57</v>
      </c>
      <c r="B58" t="s">
        <v>187</v>
      </c>
      <c r="C58" t="s">
        <v>193</v>
      </c>
      <c r="D58">
        <v>87.022368999999998</v>
      </c>
      <c r="E58">
        <v>90.491241000000002</v>
      </c>
      <c r="F58">
        <v>92.752701000000002</v>
      </c>
      <c r="G58">
        <v>94.260909999999996</v>
      </c>
      <c r="H58">
        <v>96.066909999999993</v>
      </c>
      <c r="I58">
        <v>97.446655000000007</v>
      </c>
      <c r="J58">
        <v>98.788039999999995</v>
      </c>
      <c r="K58">
        <v>100.022949</v>
      </c>
      <c r="L58">
        <v>101.19045300000001</v>
      </c>
      <c r="M58">
        <v>102.38602400000001</v>
      </c>
      <c r="N58">
        <v>103.75979599999999</v>
      </c>
      <c r="O58">
        <v>105.181076</v>
      </c>
      <c r="P58">
        <v>106.977654</v>
      </c>
      <c r="Q58">
        <v>109.01370199999999</v>
      </c>
      <c r="R58">
        <v>111.246635</v>
      </c>
      <c r="S58">
        <v>114.16430699999999</v>
      </c>
      <c r="T58">
        <v>117.46447000000001</v>
      </c>
      <c r="U58">
        <v>121.207176</v>
      </c>
      <c r="V58">
        <v>125.408264</v>
      </c>
      <c r="W58">
        <v>130.36140399999999</v>
      </c>
      <c r="X58">
        <v>137.252319</v>
      </c>
      <c r="Y58">
        <v>144.946136</v>
      </c>
      <c r="Z58">
        <v>154.61889600000001</v>
      </c>
      <c r="AA58">
        <v>165.034943</v>
      </c>
      <c r="AB58">
        <v>176.93248</v>
      </c>
      <c r="AC58">
        <v>190.800476</v>
      </c>
      <c r="AD58">
        <v>3.1900780000000002</v>
      </c>
    </row>
    <row r="59" spans="1:30">
      <c r="A59">
        <v>58</v>
      </c>
      <c r="B59" t="s">
        <v>188</v>
      </c>
      <c r="C59" t="s">
        <v>193</v>
      </c>
      <c r="D59">
        <v>0.41617799999999999</v>
      </c>
      <c r="E59">
        <v>0.400306</v>
      </c>
      <c r="F59">
        <v>0.381853</v>
      </c>
      <c r="G59">
        <v>0.36261399999999999</v>
      </c>
      <c r="H59">
        <v>0.344055</v>
      </c>
      <c r="I59">
        <v>0.32390200000000002</v>
      </c>
      <c r="J59">
        <v>0.30468099999999998</v>
      </c>
      <c r="K59">
        <v>0.28415000000000001</v>
      </c>
      <c r="L59">
        <v>0.264181</v>
      </c>
      <c r="M59">
        <v>0.244198</v>
      </c>
      <c r="N59">
        <v>0.224356</v>
      </c>
      <c r="O59">
        <v>0.20507300000000001</v>
      </c>
      <c r="P59">
        <v>0.18600800000000001</v>
      </c>
      <c r="Q59">
        <v>0.16796</v>
      </c>
      <c r="R59">
        <v>0.15053800000000001</v>
      </c>
      <c r="S59">
        <v>0.13458300000000001</v>
      </c>
      <c r="T59">
        <v>0.119393</v>
      </c>
      <c r="U59">
        <v>0.10710699999999999</v>
      </c>
      <c r="V59">
        <v>9.6465999999999996E-2</v>
      </c>
      <c r="W59">
        <v>8.8358999999999993E-2</v>
      </c>
      <c r="X59">
        <v>7.9124E-2</v>
      </c>
      <c r="Y59">
        <v>7.2557999999999997E-2</v>
      </c>
      <c r="Z59">
        <v>6.8018999999999996E-2</v>
      </c>
      <c r="AA59">
        <v>6.3277E-2</v>
      </c>
      <c r="AB59">
        <v>6.0082999999999998E-2</v>
      </c>
      <c r="AC59">
        <v>5.7231999999999998E-2</v>
      </c>
      <c r="AD59">
        <v>-7.6292439999999999</v>
      </c>
    </row>
    <row r="60" spans="1:30">
      <c r="A60">
        <v>59</v>
      </c>
      <c r="B60" t="s">
        <v>174</v>
      </c>
      <c r="C60" t="s">
        <v>193</v>
      </c>
      <c r="D60">
        <v>734.60199</v>
      </c>
      <c r="E60">
        <v>681.25598100000002</v>
      </c>
      <c r="F60">
        <v>684.28692599999999</v>
      </c>
      <c r="G60">
        <v>673.98980700000004</v>
      </c>
      <c r="H60">
        <v>683.41693099999998</v>
      </c>
      <c r="I60">
        <v>712.55456500000003</v>
      </c>
      <c r="J60">
        <v>732.71130400000004</v>
      </c>
      <c r="K60">
        <v>744.84387200000003</v>
      </c>
      <c r="L60">
        <v>749.81542999999999</v>
      </c>
      <c r="M60">
        <v>757.92114300000003</v>
      </c>
      <c r="N60">
        <v>770.47119099999998</v>
      </c>
      <c r="O60">
        <v>793.58917199999996</v>
      </c>
      <c r="P60">
        <v>821.20849599999997</v>
      </c>
      <c r="Q60">
        <v>845.46813999999995</v>
      </c>
      <c r="R60">
        <v>872.15417500000001</v>
      </c>
      <c r="S60">
        <v>890.66058299999997</v>
      </c>
      <c r="T60">
        <v>906.70764199999996</v>
      </c>
      <c r="U60">
        <v>924.74493399999994</v>
      </c>
      <c r="V60">
        <v>943.75726299999997</v>
      </c>
      <c r="W60">
        <v>957.82116699999995</v>
      </c>
      <c r="X60">
        <v>965.947632</v>
      </c>
      <c r="Y60">
        <v>975.11267099999998</v>
      </c>
      <c r="Z60">
        <v>984.19189500000005</v>
      </c>
      <c r="AA60">
        <v>992.79992700000003</v>
      </c>
      <c r="AB60">
        <v>996.04656999999997</v>
      </c>
      <c r="AC60">
        <v>1001.5481569999999</v>
      </c>
      <c r="AD60">
        <v>1.2476119999999999</v>
      </c>
    </row>
    <row r="61" spans="1:30">
      <c r="A61">
        <v>60</v>
      </c>
      <c r="B61" t="s">
        <v>332</v>
      </c>
      <c r="C61" t="s">
        <v>193</v>
      </c>
      <c r="D61">
        <v>590.71014400000001</v>
      </c>
      <c r="E61">
        <v>589.92114300000003</v>
      </c>
      <c r="F61">
        <v>673.66332999999997</v>
      </c>
      <c r="G61">
        <v>722.36029099999996</v>
      </c>
      <c r="H61">
        <v>770.13201900000001</v>
      </c>
      <c r="I61">
        <v>911.09674099999995</v>
      </c>
      <c r="J61">
        <v>975.370361</v>
      </c>
      <c r="K61">
        <v>1036.7476810000001</v>
      </c>
      <c r="L61">
        <v>1082.8173830000001</v>
      </c>
      <c r="M61">
        <v>1159.0126949999999</v>
      </c>
      <c r="N61">
        <v>1212.578857</v>
      </c>
      <c r="O61">
        <v>1254.067139</v>
      </c>
      <c r="P61">
        <v>1275.980591</v>
      </c>
      <c r="Q61">
        <v>1297.4061280000001</v>
      </c>
      <c r="R61">
        <v>1319.5187989999999</v>
      </c>
      <c r="S61">
        <v>1340.399658</v>
      </c>
      <c r="T61">
        <v>1363.283936</v>
      </c>
      <c r="U61">
        <v>1385.059937</v>
      </c>
      <c r="V61">
        <v>1406.8359379999999</v>
      </c>
      <c r="W61">
        <v>1431.3625489999999</v>
      </c>
      <c r="X61">
        <v>1450.387817</v>
      </c>
      <c r="Y61">
        <v>1472.163818</v>
      </c>
      <c r="Z61">
        <v>1493.9398189999999</v>
      </c>
      <c r="AA61">
        <v>1507.5783690000001</v>
      </c>
      <c r="AB61">
        <v>1504.827759</v>
      </c>
      <c r="AC61">
        <v>1504.827759</v>
      </c>
      <c r="AD61">
        <v>3.8112680000000001</v>
      </c>
    </row>
    <row r="62" spans="1:30">
      <c r="A62">
        <v>61</v>
      </c>
    </row>
    <row r="63" spans="1:30">
      <c r="A63">
        <v>62</v>
      </c>
      <c r="B63" t="s">
        <v>140</v>
      </c>
      <c r="C63" t="s">
        <v>193</v>
      </c>
      <c r="D63">
        <v>28329.833984000001</v>
      </c>
      <c r="E63">
        <v>28190.769531000002</v>
      </c>
      <c r="F63">
        <v>28213.521484000001</v>
      </c>
      <c r="G63">
        <v>28072.728515999999</v>
      </c>
      <c r="H63">
        <v>27926.308593999998</v>
      </c>
      <c r="I63">
        <v>27911.748047000001</v>
      </c>
      <c r="J63">
        <v>27781.646484000001</v>
      </c>
      <c r="K63">
        <v>27695.306640999999</v>
      </c>
      <c r="L63">
        <v>27569.894531000002</v>
      </c>
      <c r="M63">
        <v>27568.21875</v>
      </c>
      <c r="N63">
        <v>27554.136718999998</v>
      </c>
      <c r="O63">
        <v>27493.076172000001</v>
      </c>
      <c r="P63">
        <v>27423.300781000002</v>
      </c>
      <c r="Q63">
        <v>27375.027343999998</v>
      </c>
      <c r="R63">
        <v>27333.927734000001</v>
      </c>
      <c r="S63">
        <v>27316.882812</v>
      </c>
      <c r="T63">
        <v>27300.582031000002</v>
      </c>
      <c r="U63">
        <v>27267.693359000001</v>
      </c>
      <c r="V63">
        <v>27274.935547000001</v>
      </c>
      <c r="W63">
        <v>27270.619140999999</v>
      </c>
      <c r="X63">
        <v>27279.111327999999</v>
      </c>
      <c r="Y63">
        <v>27280.337890999999</v>
      </c>
      <c r="Z63">
        <v>27297.630859000001</v>
      </c>
      <c r="AA63">
        <v>27265.060547000001</v>
      </c>
      <c r="AB63">
        <v>27203.560547000001</v>
      </c>
      <c r="AC63">
        <v>27179.878906000002</v>
      </c>
      <c r="AD63">
        <v>-0.16561699999999999</v>
      </c>
    </row>
    <row r="64" spans="1:30">
      <c r="A64">
        <v>63</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A5B8A-B68B-44B8-AF2C-531820EDF434}">
  <dimension ref="A1:AE51"/>
  <sheetViews>
    <sheetView workbookViewId="0"/>
  </sheetViews>
  <sheetFormatPr defaultRowHeight="14.25"/>
  <cols>
    <col min="1" max="1" width="39.265625" customWidth="1"/>
  </cols>
  <sheetData>
    <row r="1" spans="1:31">
      <c r="A1" t="s">
        <v>2235</v>
      </c>
    </row>
    <row r="2" spans="1:31">
      <c r="A2" t="s">
        <v>2234</v>
      </c>
    </row>
    <row r="3" spans="1:31">
      <c r="A3" t="s">
        <v>2233</v>
      </c>
    </row>
    <row r="4" spans="1:31">
      <c r="A4" t="s">
        <v>143</v>
      </c>
    </row>
    <row r="5" spans="1:31">
      <c r="B5" t="s">
        <v>190</v>
      </c>
      <c r="C5" t="s">
        <v>191</v>
      </c>
      <c r="D5" t="s">
        <v>192</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2232</v>
      </c>
    </row>
    <row r="6" spans="1:31">
      <c r="A6" t="s">
        <v>2231</v>
      </c>
    </row>
    <row r="7" spans="1:31">
      <c r="A7" t="s">
        <v>296</v>
      </c>
    </row>
    <row r="8" spans="1:31">
      <c r="A8" t="s">
        <v>297</v>
      </c>
      <c r="B8" t="s">
        <v>2230</v>
      </c>
      <c r="C8" t="s">
        <v>2229</v>
      </c>
      <c r="D8" t="s">
        <v>261</v>
      </c>
      <c r="E8">
        <v>5200.4526370000003</v>
      </c>
      <c r="F8">
        <v>4904.3383789999998</v>
      </c>
      <c r="G8">
        <v>4575.9521480000003</v>
      </c>
      <c r="H8">
        <v>4294.0498049999997</v>
      </c>
      <c r="I8">
        <v>4068.2460940000001</v>
      </c>
      <c r="J8">
        <v>3891.0559079999998</v>
      </c>
      <c r="K8">
        <v>3732.8234859999998</v>
      </c>
      <c r="L8">
        <v>3585.3479000000002</v>
      </c>
      <c r="M8">
        <v>3451.063232</v>
      </c>
      <c r="N8">
        <v>3324.0463869999999</v>
      </c>
      <c r="O8">
        <v>3205.0349120000001</v>
      </c>
      <c r="P8">
        <v>3085.6713869999999</v>
      </c>
      <c r="Q8">
        <v>2977.6857909999999</v>
      </c>
      <c r="R8">
        <v>2880.26001</v>
      </c>
      <c r="S8">
        <v>2790.3771969999998</v>
      </c>
      <c r="T8">
        <v>2705.3110350000002</v>
      </c>
      <c r="U8">
        <v>2623.4365229999999</v>
      </c>
      <c r="V8">
        <v>2544.8808589999999</v>
      </c>
      <c r="W8">
        <v>2468.8469239999999</v>
      </c>
      <c r="X8">
        <v>2396.1611330000001</v>
      </c>
      <c r="Y8">
        <v>2328.1196289999998</v>
      </c>
      <c r="Z8">
        <v>2262.810547</v>
      </c>
      <c r="AA8">
        <v>2201.946289</v>
      </c>
      <c r="AB8">
        <v>2142.6889649999998</v>
      </c>
      <c r="AC8">
        <v>2084.9838869999999</v>
      </c>
      <c r="AD8">
        <v>2026.2230219999999</v>
      </c>
      <c r="AE8" s="9">
        <v>-3.6999999999999998E-2</v>
      </c>
    </row>
    <row r="9" spans="1:31">
      <c r="A9" t="s">
        <v>298</v>
      </c>
      <c r="B9" t="s">
        <v>2228</v>
      </c>
      <c r="C9" t="s">
        <v>2227</v>
      </c>
      <c r="D9" t="s">
        <v>261</v>
      </c>
      <c r="E9">
        <v>15.814128</v>
      </c>
      <c r="F9">
        <v>13.938295</v>
      </c>
      <c r="G9">
        <v>12.193137999999999</v>
      </c>
      <c r="H9">
        <v>10.563546000000001</v>
      </c>
      <c r="I9">
        <v>9.060416</v>
      </c>
      <c r="J9">
        <v>7.7072770000000004</v>
      </c>
      <c r="K9">
        <v>6.508159</v>
      </c>
      <c r="L9">
        <v>5.4618039999999999</v>
      </c>
      <c r="M9">
        <v>4.5752329999999999</v>
      </c>
      <c r="N9">
        <v>3.8418739999999998</v>
      </c>
      <c r="O9">
        <v>3.24966</v>
      </c>
      <c r="P9">
        <v>2.7814649999999999</v>
      </c>
      <c r="Q9">
        <v>2.4158300000000001</v>
      </c>
      <c r="R9">
        <v>2.1348009999999999</v>
      </c>
      <c r="S9">
        <v>1.9174310000000001</v>
      </c>
      <c r="T9">
        <v>1.7362839999999999</v>
      </c>
      <c r="U9">
        <v>1.5769500000000001</v>
      </c>
      <c r="V9">
        <v>1.4361980000000001</v>
      </c>
      <c r="W9">
        <v>1.310303</v>
      </c>
      <c r="X9">
        <v>1.196242</v>
      </c>
      <c r="Y9">
        <v>1.0923799999999999</v>
      </c>
      <c r="Z9">
        <v>0.99778800000000001</v>
      </c>
      <c r="AA9">
        <v>0.91162299999999996</v>
      </c>
      <c r="AB9">
        <v>0.83311800000000003</v>
      </c>
      <c r="AC9">
        <v>0.76157900000000001</v>
      </c>
      <c r="AD9">
        <v>0.69637400000000005</v>
      </c>
      <c r="AE9" s="9">
        <v>-0.11700000000000001</v>
      </c>
    </row>
    <row r="10" spans="1:31">
      <c r="A10" t="s">
        <v>299</v>
      </c>
      <c r="B10" t="s">
        <v>2226</v>
      </c>
      <c r="C10" t="s">
        <v>2225</v>
      </c>
      <c r="D10" t="s">
        <v>261</v>
      </c>
      <c r="E10">
        <v>5216.2666019999997</v>
      </c>
      <c r="F10">
        <v>4918.2768550000001</v>
      </c>
      <c r="G10">
        <v>4588.1455079999996</v>
      </c>
      <c r="H10">
        <v>4304.6132809999999</v>
      </c>
      <c r="I10">
        <v>4077.3063959999999</v>
      </c>
      <c r="J10">
        <v>3898.7631839999999</v>
      </c>
      <c r="K10">
        <v>3739.3315429999998</v>
      </c>
      <c r="L10">
        <v>3590.8098140000002</v>
      </c>
      <c r="M10">
        <v>3455.6384280000002</v>
      </c>
      <c r="N10">
        <v>3327.8881839999999</v>
      </c>
      <c r="O10">
        <v>3208.2846679999998</v>
      </c>
      <c r="P10">
        <v>3088.4528810000002</v>
      </c>
      <c r="Q10">
        <v>2980.1015619999998</v>
      </c>
      <c r="R10">
        <v>2882.3947750000002</v>
      </c>
      <c r="S10">
        <v>2792.2946780000002</v>
      </c>
      <c r="T10">
        <v>2707.0473630000001</v>
      </c>
      <c r="U10">
        <v>2625.0134280000002</v>
      </c>
      <c r="V10">
        <v>2546.3171390000002</v>
      </c>
      <c r="W10">
        <v>2470.1572270000001</v>
      </c>
      <c r="X10">
        <v>2397.357422</v>
      </c>
      <c r="Y10">
        <v>2329.211914</v>
      </c>
      <c r="Z10">
        <v>2263.8083499999998</v>
      </c>
      <c r="AA10">
        <v>2202.8579100000002</v>
      </c>
      <c r="AB10">
        <v>2143.5219729999999</v>
      </c>
      <c r="AC10">
        <v>2085.7453609999998</v>
      </c>
      <c r="AD10">
        <v>2026.9194339999999</v>
      </c>
      <c r="AE10" s="9">
        <v>-3.6999999999999998E-2</v>
      </c>
    </row>
    <row r="11" spans="1:31">
      <c r="A11" t="s">
        <v>300</v>
      </c>
    </row>
    <row r="12" spans="1:31">
      <c r="A12" t="s">
        <v>301</v>
      </c>
      <c r="B12" t="s">
        <v>2224</v>
      </c>
      <c r="C12" t="s">
        <v>2223</v>
      </c>
      <c r="D12" t="s">
        <v>261</v>
      </c>
      <c r="E12">
        <v>193.21745300000001</v>
      </c>
      <c r="F12">
        <v>159.50981100000001</v>
      </c>
      <c r="G12">
        <v>136.48272700000001</v>
      </c>
      <c r="H12">
        <v>116.07923099999999</v>
      </c>
      <c r="I12">
        <v>97.928757000000004</v>
      </c>
      <c r="J12">
        <v>81.966224999999994</v>
      </c>
      <c r="K12">
        <v>68.266495000000006</v>
      </c>
      <c r="L12">
        <v>56.709991000000002</v>
      </c>
      <c r="M12">
        <v>47.370358000000003</v>
      </c>
      <c r="N12">
        <v>39.852268000000002</v>
      </c>
      <c r="O12">
        <v>33.936233999999999</v>
      </c>
      <c r="P12">
        <v>29.400445999999999</v>
      </c>
      <c r="Q12">
        <v>25.805008000000001</v>
      </c>
      <c r="R12">
        <v>22.915279000000002</v>
      </c>
      <c r="S12">
        <v>20.616271999999999</v>
      </c>
      <c r="T12">
        <v>18.729714999999999</v>
      </c>
      <c r="U12">
        <v>17.147815999999999</v>
      </c>
      <c r="V12">
        <v>15.794521</v>
      </c>
      <c r="W12">
        <v>14.636535</v>
      </c>
      <c r="X12">
        <v>13.635636</v>
      </c>
      <c r="Y12">
        <v>12.752481</v>
      </c>
      <c r="Z12">
        <v>11.956232999999999</v>
      </c>
      <c r="AA12">
        <v>11.247208000000001</v>
      </c>
      <c r="AB12">
        <v>10.631876</v>
      </c>
      <c r="AC12">
        <v>10.063699</v>
      </c>
      <c r="AD12">
        <v>9.5388710000000003</v>
      </c>
      <c r="AE12" s="9">
        <v>-0.113</v>
      </c>
    </row>
    <row r="13" spans="1:31">
      <c r="A13" t="s">
        <v>333</v>
      </c>
      <c r="B13" t="s">
        <v>2222</v>
      </c>
      <c r="C13" t="s">
        <v>2221</v>
      </c>
      <c r="D13" t="s">
        <v>261</v>
      </c>
      <c r="E13">
        <v>12.823667</v>
      </c>
      <c r="F13">
        <v>12.981208000000001</v>
      </c>
      <c r="G13">
        <v>12.843882000000001</v>
      </c>
      <c r="H13">
        <v>12.388824</v>
      </c>
      <c r="I13">
        <v>12.017113</v>
      </c>
      <c r="J13">
        <v>11.894691</v>
      </c>
      <c r="K13">
        <v>11.852228</v>
      </c>
      <c r="L13">
        <v>11.957542999999999</v>
      </c>
      <c r="M13">
        <v>12.171066</v>
      </c>
      <c r="N13">
        <v>12.487912</v>
      </c>
      <c r="O13">
        <v>12.924792999999999</v>
      </c>
      <c r="P13">
        <v>13.402991999999999</v>
      </c>
      <c r="Q13">
        <v>13.933009</v>
      </c>
      <c r="R13">
        <v>14.512439000000001</v>
      </c>
      <c r="S13">
        <v>15.111438</v>
      </c>
      <c r="T13">
        <v>15.709825</v>
      </c>
      <c r="U13">
        <v>16.255154000000001</v>
      </c>
      <c r="V13">
        <v>16.760593</v>
      </c>
      <c r="W13">
        <v>17.227582999999999</v>
      </c>
      <c r="X13">
        <v>17.645254000000001</v>
      </c>
      <c r="Y13">
        <v>18.057563999999999</v>
      </c>
      <c r="Z13">
        <v>18.413550999999998</v>
      </c>
      <c r="AA13">
        <v>18.755607999999999</v>
      </c>
      <c r="AB13">
        <v>19.067126999999999</v>
      </c>
      <c r="AC13">
        <v>19.337585000000001</v>
      </c>
      <c r="AD13">
        <v>19.542180999999999</v>
      </c>
      <c r="AE13" s="9">
        <v>1.7000000000000001E-2</v>
      </c>
    </row>
    <row r="14" spans="1:31">
      <c r="A14" t="s">
        <v>334</v>
      </c>
      <c r="B14" t="s">
        <v>2220</v>
      </c>
      <c r="C14" t="s">
        <v>2219</v>
      </c>
      <c r="D14" t="s">
        <v>261</v>
      </c>
      <c r="E14">
        <v>49.358566000000003</v>
      </c>
      <c r="F14">
        <v>58.074745</v>
      </c>
      <c r="G14">
        <v>76.353797999999998</v>
      </c>
      <c r="H14">
        <v>89.212097</v>
      </c>
      <c r="I14">
        <v>96.488158999999996</v>
      </c>
      <c r="J14">
        <v>97.371002000000004</v>
      </c>
      <c r="K14">
        <v>99.096671999999998</v>
      </c>
      <c r="L14">
        <v>101.127747</v>
      </c>
      <c r="M14">
        <v>105.95017199999999</v>
      </c>
      <c r="N14">
        <v>112.026802</v>
      </c>
      <c r="O14">
        <v>119.13988500000001</v>
      </c>
      <c r="P14">
        <v>125.43132</v>
      </c>
      <c r="Q14">
        <v>131.71814000000001</v>
      </c>
      <c r="R14">
        <v>137.85169999999999</v>
      </c>
      <c r="S14">
        <v>143.69639599999999</v>
      </c>
      <c r="T14">
        <v>148.72257999999999</v>
      </c>
      <c r="U14">
        <v>153.47375500000001</v>
      </c>
      <c r="V14">
        <v>157.991928</v>
      </c>
      <c r="W14">
        <v>162.17263800000001</v>
      </c>
      <c r="X14">
        <v>165.96719400000001</v>
      </c>
      <c r="Y14">
        <v>169.20832799999999</v>
      </c>
      <c r="Z14">
        <v>172.418488</v>
      </c>
      <c r="AA14">
        <v>175.729904</v>
      </c>
      <c r="AB14">
        <v>178.67451500000001</v>
      </c>
      <c r="AC14">
        <v>181.32904099999999</v>
      </c>
      <c r="AD14">
        <v>183.35115099999999</v>
      </c>
      <c r="AE14" s="9">
        <v>5.3999999999999999E-2</v>
      </c>
    </row>
    <row r="15" spans="1:31">
      <c r="A15" t="s">
        <v>335</v>
      </c>
      <c r="B15" t="s">
        <v>2218</v>
      </c>
      <c r="C15" t="s">
        <v>2217</v>
      </c>
      <c r="D15" t="s">
        <v>261</v>
      </c>
      <c r="E15">
        <v>263.59167500000001</v>
      </c>
      <c r="F15">
        <v>300.86673000000002</v>
      </c>
      <c r="G15">
        <v>348.64984099999998</v>
      </c>
      <c r="H15">
        <v>384.50433299999997</v>
      </c>
      <c r="I15">
        <v>434.91430700000001</v>
      </c>
      <c r="J15">
        <v>488.20208700000001</v>
      </c>
      <c r="K15">
        <v>545.43536400000005</v>
      </c>
      <c r="L15">
        <v>600.52862500000003</v>
      </c>
      <c r="M15">
        <v>657.31561299999998</v>
      </c>
      <c r="N15">
        <v>711.00707999999997</v>
      </c>
      <c r="O15">
        <v>764.95623799999998</v>
      </c>
      <c r="P15">
        <v>812.79351799999995</v>
      </c>
      <c r="Q15">
        <v>858.64794900000004</v>
      </c>
      <c r="R15">
        <v>902.62231399999996</v>
      </c>
      <c r="S15">
        <v>944.09613000000002</v>
      </c>
      <c r="T15">
        <v>981.47760000000005</v>
      </c>
      <c r="U15">
        <v>1014.757324</v>
      </c>
      <c r="V15">
        <v>1044.864014</v>
      </c>
      <c r="W15">
        <v>1071.6549070000001</v>
      </c>
      <c r="X15">
        <v>1095.3256839999999</v>
      </c>
      <c r="Y15">
        <v>1117.124268</v>
      </c>
      <c r="Z15">
        <v>1136.2901609999999</v>
      </c>
      <c r="AA15">
        <v>1154.9223629999999</v>
      </c>
      <c r="AB15">
        <v>1171.0825199999999</v>
      </c>
      <c r="AC15">
        <v>1184.9039310000001</v>
      </c>
      <c r="AD15">
        <v>1194.463501</v>
      </c>
      <c r="AE15" s="9">
        <v>6.2E-2</v>
      </c>
    </row>
    <row r="16" spans="1:31">
      <c r="A16" t="s">
        <v>302</v>
      </c>
      <c r="B16" t="s">
        <v>2216</v>
      </c>
      <c r="C16" t="s">
        <v>2215</v>
      </c>
      <c r="D16" t="s">
        <v>261</v>
      </c>
      <c r="E16">
        <v>34.596752000000002</v>
      </c>
      <c r="F16">
        <v>30.608488000000001</v>
      </c>
      <c r="G16">
        <v>27.326747999999998</v>
      </c>
      <c r="H16">
        <v>26.614899000000001</v>
      </c>
      <c r="I16">
        <v>25.900884999999999</v>
      </c>
      <c r="J16">
        <v>25.315301999999999</v>
      </c>
      <c r="K16">
        <v>24.233877</v>
      </c>
      <c r="L16">
        <v>23.190698999999999</v>
      </c>
      <c r="M16">
        <v>22.490473000000001</v>
      </c>
      <c r="N16">
        <v>21.979679000000001</v>
      </c>
      <c r="O16">
        <v>21.573813999999999</v>
      </c>
      <c r="P16">
        <v>21.041139999999999</v>
      </c>
      <c r="Q16">
        <v>20.545705999999999</v>
      </c>
      <c r="R16">
        <v>20.059356999999999</v>
      </c>
      <c r="S16">
        <v>19.597324</v>
      </c>
      <c r="T16">
        <v>19.087015000000001</v>
      </c>
      <c r="U16">
        <v>18.624936999999999</v>
      </c>
      <c r="V16">
        <v>18.216771999999999</v>
      </c>
      <c r="W16">
        <v>17.840681</v>
      </c>
      <c r="X16">
        <v>17.466495999999999</v>
      </c>
      <c r="Y16">
        <v>17.061406999999999</v>
      </c>
      <c r="Z16">
        <v>16.704312999999999</v>
      </c>
      <c r="AA16">
        <v>16.385477000000002</v>
      </c>
      <c r="AB16">
        <v>16.069012000000001</v>
      </c>
      <c r="AC16">
        <v>15.745203</v>
      </c>
      <c r="AD16">
        <v>15.398971</v>
      </c>
      <c r="AE16" s="9">
        <v>-3.2000000000000001E-2</v>
      </c>
    </row>
    <row r="17" spans="1:31">
      <c r="A17" t="s">
        <v>303</v>
      </c>
      <c r="B17" t="s">
        <v>2214</v>
      </c>
      <c r="C17" t="s">
        <v>2213</v>
      </c>
      <c r="D17" t="s">
        <v>261</v>
      </c>
      <c r="E17">
        <v>19.589473999999999</v>
      </c>
      <c r="F17">
        <v>24.650236</v>
      </c>
      <c r="G17">
        <v>32.934142999999999</v>
      </c>
      <c r="H17">
        <v>39.004486</v>
      </c>
      <c r="I17">
        <v>37.118403999999998</v>
      </c>
      <c r="J17">
        <v>33.069083999999997</v>
      </c>
      <c r="K17">
        <v>29.835768000000002</v>
      </c>
      <c r="L17">
        <v>27.469379</v>
      </c>
      <c r="M17">
        <v>26.310110000000002</v>
      </c>
      <c r="N17">
        <v>25.836098</v>
      </c>
      <c r="O17">
        <v>25.827770000000001</v>
      </c>
      <c r="P17">
        <v>25.819583999999999</v>
      </c>
      <c r="Q17">
        <v>25.847314999999998</v>
      </c>
      <c r="R17">
        <v>25.905812999999998</v>
      </c>
      <c r="S17">
        <v>26.000364000000001</v>
      </c>
      <c r="T17">
        <v>26.069088000000001</v>
      </c>
      <c r="U17">
        <v>26.039117999999998</v>
      </c>
      <c r="V17">
        <v>25.966374999999999</v>
      </c>
      <c r="W17">
        <v>25.866949000000002</v>
      </c>
      <c r="X17">
        <v>25.739273000000001</v>
      </c>
      <c r="Y17">
        <v>25.665237000000001</v>
      </c>
      <c r="Z17">
        <v>25.554262000000001</v>
      </c>
      <c r="AA17">
        <v>25.507757000000002</v>
      </c>
      <c r="AB17">
        <v>25.466749</v>
      </c>
      <c r="AC17">
        <v>25.447727</v>
      </c>
      <c r="AD17">
        <v>25.379066000000002</v>
      </c>
      <c r="AE17" s="9">
        <v>0.01</v>
      </c>
    </row>
    <row r="18" spans="1:31">
      <c r="A18" t="s">
        <v>305</v>
      </c>
      <c r="B18" t="s">
        <v>2212</v>
      </c>
      <c r="C18" t="s">
        <v>2211</v>
      </c>
      <c r="D18" t="s">
        <v>261</v>
      </c>
      <c r="E18">
        <v>287.18548600000003</v>
      </c>
      <c r="F18">
        <v>318.717468</v>
      </c>
      <c r="G18">
        <v>342.02923600000003</v>
      </c>
      <c r="H18">
        <v>352.974152</v>
      </c>
      <c r="I18">
        <v>359.95718399999998</v>
      </c>
      <c r="J18">
        <v>369.39511099999999</v>
      </c>
      <c r="K18">
        <v>381.55920400000002</v>
      </c>
      <c r="L18">
        <v>393.66665599999999</v>
      </c>
      <c r="M18">
        <v>407.05731200000002</v>
      </c>
      <c r="N18">
        <v>419.79788200000002</v>
      </c>
      <c r="O18">
        <v>432.14248700000002</v>
      </c>
      <c r="P18">
        <v>441.824341</v>
      </c>
      <c r="Q18">
        <v>451.03738399999997</v>
      </c>
      <c r="R18">
        <v>459.88000499999998</v>
      </c>
      <c r="S18">
        <v>468.02075200000002</v>
      </c>
      <c r="T18">
        <v>475.06469700000002</v>
      </c>
      <c r="U18">
        <v>480.99243200000001</v>
      </c>
      <c r="V18">
        <v>485.98745700000001</v>
      </c>
      <c r="W18">
        <v>489.92266799999999</v>
      </c>
      <c r="X18">
        <v>493.09201000000002</v>
      </c>
      <c r="Y18">
        <v>496.01275600000002</v>
      </c>
      <c r="Z18">
        <v>498.50320399999998</v>
      </c>
      <c r="AA18">
        <v>501.18487499999998</v>
      </c>
      <c r="AB18">
        <v>503.39868200000001</v>
      </c>
      <c r="AC18">
        <v>505.07394399999998</v>
      </c>
      <c r="AD18">
        <v>505.58981299999999</v>
      </c>
      <c r="AE18" s="9">
        <v>2.3E-2</v>
      </c>
    </row>
    <row r="19" spans="1:31">
      <c r="A19" t="s">
        <v>311</v>
      </c>
      <c r="B19" t="s">
        <v>2210</v>
      </c>
      <c r="C19" t="s">
        <v>2209</v>
      </c>
      <c r="D19" t="s">
        <v>261</v>
      </c>
      <c r="E19">
        <v>0.94905200000000001</v>
      </c>
      <c r="F19">
        <v>0.86499800000000004</v>
      </c>
      <c r="G19">
        <v>0.79672200000000004</v>
      </c>
      <c r="H19">
        <v>0.73566900000000002</v>
      </c>
      <c r="I19">
        <v>0.67683400000000005</v>
      </c>
      <c r="J19">
        <v>0.61955700000000002</v>
      </c>
      <c r="K19">
        <v>0.56139300000000003</v>
      </c>
      <c r="L19">
        <v>0.50201200000000001</v>
      </c>
      <c r="M19">
        <v>0.44347799999999998</v>
      </c>
      <c r="N19">
        <v>0.38567699999999999</v>
      </c>
      <c r="O19">
        <v>0.33099800000000001</v>
      </c>
      <c r="P19">
        <v>0.27989199999999997</v>
      </c>
      <c r="Q19">
        <v>0.233957</v>
      </c>
      <c r="R19">
        <v>0.19358700000000001</v>
      </c>
      <c r="S19">
        <v>0.15939300000000001</v>
      </c>
      <c r="T19">
        <v>0.13141</v>
      </c>
      <c r="U19">
        <v>0.109955</v>
      </c>
      <c r="V19">
        <v>9.3901999999999999E-2</v>
      </c>
      <c r="W19">
        <v>8.1648999999999999E-2</v>
      </c>
      <c r="X19">
        <v>7.2316000000000005E-2</v>
      </c>
      <c r="Y19">
        <v>6.5349000000000004E-2</v>
      </c>
      <c r="Z19">
        <v>6.0263999999999998E-2</v>
      </c>
      <c r="AA19">
        <v>5.6443E-2</v>
      </c>
      <c r="AB19">
        <v>5.3207999999999998E-2</v>
      </c>
      <c r="AC19">
        <v>5.0312999999999997E-2</v>
      </c>
      <c r="AD19">
        <v>4.7671999999999999E-2</v>
      </c>
      <c r="AE19" s="9">
        <v>-0.113</v>
      </c>
    </row>
    <row r="20" spans="1:31">
      <c r="A20" t="s">
        <v>312</v>
      </c>
      <c r="B20" t="s">
        <v>2208</v>
      </c>
      <c r="C20" t="s">
        <v>2207</v>
      </c>
      <c r="D20" t="s">
        <v>261</v>
      </c>
      <c r="E20">
        <v>874.46881099999996</v>
      </c>
      <c r="F20">
        <v>918.14514199999996</v>
      </c>
      <c r="G20">
        <v>988.16137700000002</v>
      </c>
      <c r="H20">
        <v>1031.1884769999999</v>
      </c>
      <c r="I20">
        <v>1073.679077</v>
      </c>
      <c r="J20">
        <v>1115.6639399999999</v>
      </c>
      <c r="K20">
        <v>1167.8726810000001</v>
      </c>
      <c r="L20">
        <v>1221.4689940000001</v>
      </c>
      <c r="M20">
        <v>1284.7955320000001</v>
      </c>
      <c r="N20">
        <v>1348.522827</v>
      </c>
      <c r="O20">
        <v>1415.518311</v>
      </c>
      <c r="P20">
        <v>1474.282471</v>
      </c>
      <c r="Q20">
        <v>1531.7611079999999</v>
      </c>
      <c r="R20">
        <v>1587.6694339999999</v>
      </c>
      <c r="S20">
        <v>1640.795654</v>
      </c>
      <c r="T20">
        <v>1688.278442</v>
      </c>
      <c r="U20">
        <v>1730.4884030000001</v>
      </c>
      <c r="V20">
        <v>1768.576904</v>
      </c>
      <c r="W20">
        <v>1802.1297609999999</v>
      </c>
      <c r="X20">
        <v>1831.505371</v>
      </c>
      <c r="Y20">
        <v>1858.354126</v>
      </c>
      <c r="Z20">
        <v>1882.1621090000001</v>
      </c>
      <c r="AA20">
        <v>1905.9145510000001</v>
      </c>
      <c r="AB20">
        <v>1926.440308</v>
      </c>
      <c r="AC20">
        <v>1943.827393</v>
      </c>
      <c r="AD20">
        <v>1955.073975</v>
      </c>
      <c r="AE20" s="9">
        <v>3.3000000000000002E-2</v>
      </c>
    </row>
    <row r="21" spans="1:31">
      <c r="A21" t="s">
        <v>2206</v>
      </c>
      <c r="B21" t="s">
        <v>2205</v>
      </c>
      <c r="C21" t="s">
        <v>2204</v>
      </c>
      <c r="D21" t="s">
        <v>261</v>
      </c>
      <c r="E21">
        <v>6090.7353519999997</v>
      </c>
      <c r="F21">
        <v>5836.421875</v>
      </c>
      <c r="G21">
        <v>5576.3066410000001</v>
      </c>
      <c r="H21">
        <v>5335.8017579999996</v>
      </c>
      <c r="I21">
        <v>5150.9853519999997</v>
      </c>
      <c r="J21">
        <v>5014.4272460000002</v>
      </c>
      <c r="K21">
        <v>4907.2041019999997</v>
      </c>
      <c r="L21">
        <v>4812.2788090000004</v>
      </c>
      <c r="M21">
        <v>4740.4340819999998</v>
      </c>
      <c r="N21">
        <v>4676.4111329999996</v>
      </c>
      <c r="O21">
        <v>4623.8027339999999</v>
      </c>
      <c r="P21">
        <v>4562.7353519999997</v>
      </c>
      <c r="Q21">
        <v>4511.8627930000002</v>
      </c>
      <c r="R21">
        <v>4470.064453</v>
      </c>
      <c r="S21">
        <v>4433.0903319999998</v>
      </c>
      <c r="T21">
        <v>4395.3256840000004</v>
      </c>
      <c r="U21">
        <v>4355.501953</v>
      </c>
      <c r="V21">
        <v>4314.8940430000002</v>
      </c>
      <c r="W21">
        <v>4272.2871089999999</v>
      </c>
      <c r="X21">
        <v>4228.8627930000002</v>
      </c>
      <c r="Y21">
        <v>4187.5659180000002</v>
      </c>
      <c r="Z21">
        <v>4145.970703</v>
      </c>
      <c r="AA21">
        <v>4108.7724609999996</v>
      </c>
      <c r="AB21">
        <v>4069.9624020000001</v>
      </c>
      <c r="AC21">
        <v>4029.5727539999998</v>
      </c>
      <c r="AD21">
        <v>3981.9934079999998</v>
      </c>
      <c r="AE21" s="9">
        <v>-1.7000000000000001E-2</v>
      </c>
    </row>
    <row r="22" spans="1:31">
      <c r="A22" t="s">
        <v>2203</v>
      </c>
    </row>
    <row r="23" spans="1:31">
      <c r="A23" t="s">
        <v>314</v>
      </c>
    </row>
    <row r="24" spans="1:31">
      <c r="A24" t="s">
        <v>297</v>
      </c>
      <c r="B24" t="s">
        <v>2202</v>
      </c>
      <c r="C24" t="s">
        <v>2201</v>
      </c>
      <c r="D24" t="s">
        <v>261</v>
      </c>
      <c r="E24">
        <v>9500.2548829999996</v>
      </c>
      <c r="F24">
        <v>9485.5742190000001</v>
      </c>
      <c r="G24">
        <v>9426.8271480000003</v>
      </c>
      <c r="H24">
        <v>9374.4472659999992</v>
      </c>
      <c r="I24">
        <v>9420.6513670000004</v>
      </c>
      <c r="J24">
        <v>9537.3740230000003</v>
      </c>
      <c r="K24">
        <v>9692.0546880000002</v>
      </c>
      <c r="L24">
        <v>9842.9267579999996</v>
      </c>
      <c r="M24">
        <v>9938.6142579999996</v>
      </c>
      <c r="N24">
        <v>9986.3017579999996</v>
      </c>
      <c r="O24">
        <v>9994.7919920000004</v>
      </c>
      <c r="P24">
        <v>9961.7373050000006</v>
      </c>
      <c r="Q24">
        <v>9912.3681639999995</v>
      </c>
      <c r="R24">
        <v>9851.3710940000001</v>
      </c>
      <c r="S24">
        <v>9766.0888670000004</v>
      </c>
      <c r="T24">
        <v>9673.0341800000006</v>
      </c>
      <c r="U24">
        <v>9571.8486329999996</v>
      </c>
      <c r="V24">
        <v>9462.0810550000006</v>
      </c>
      <c r="W24">
        <v>9347.71875</v>
      </c>
      <c r="X24">
        <v>9230.7568360000005</v>
      </c>
      <c r="Y24">
        <v>9111.1757809999999</v>
      </c>
      <c r="Z24">
        <v>8989.4072269999997</v>
      </c>
      <c r="AA24">
        <v>8862.6318360000005</v>
      </c>
      <c r="AB24">
        <v>8731.4199219999991</v>
      </c>
      <c r="AC24">
        <v>8593.6181639999995</v>
      </c>
      <c r="AD24">
        <v>8447.0302730000003</v>
      </c>
      <c r="AE24" s="9">
        <v>-5.0000000000000001E-3</v>
      </c>
    </row>
    <row r="25" spans="1:31">
      <c r="A25" t="s">
        <v>298</v>
      </c>
      <c r="B25" t="s">
        <v>2200</v>
      </c>
      <c r="C25" t="s">
        <v>2199</v>
      </c>
      <c r="D25" t="s">
        <v>261</v>
      </c>
      <c r="E25">
        <v>110.019302</v>
      </c>
      <c r="F25">
        <v>122.51950100000001</v>
      </c>
      <c r="G25">
        <v>132.054855</v>
      </c>
      <c r="H25">
        <v>139.49691799999999</v>
      </c>
      <c r="I25">
        <v>146.40074200000001</v>
      </c>
      <c r="J25">
        <v>153.456253</v>
      </c>
      <c r="K25">
        <v>160.04946899999999</v>
      </c>
      <c r="L25">
        <v>166.039658</v>
      </c>
      <c r="M25">
        <v>171.30578600000001</v>
      </c>
      <c r="N25">
        <v>176.157532</v>
      </c>
      <c r="O25">
        <v>180.27542099999999</v>
      </c>
      <c r="P25">
        <v>183.361176</v>
      </c>
      <c r="Q25">
        <v>185.92254600000001</v>
      </c>
      <c r="R25">
        <v>188.11433400000001</v>
      </c>
      <c r="S25">
        <v>189.850662</v>
      </c>
      <c r="T25">
        <v>191.04046600000001</v>
      </c>
      <c r="U25">
        <v>191.84402499999999</v>
      </c>
      <c r="V25">
        <v>192.33519000000001</v>
      </c>
      <c r="W25">
        <v>192.52586400000001</v>
      </c>
      <c r="X25">
        <v>192.42022700000001</v>
      </c>
      <c r="Y25">
        <v>191.956772</v>
      </c>
      <c r="Z25">
        <v>191.46833799999999</v>
      </c>
      <c r="AA25">
        <v>190.80848700000001</v>
      </c>
      <c r="AB25">
        <v>190.02398700000001</v>
      </c>
      <c r="AC25">
        <v>188.938232</v>
      </c>
      <c r="AD25">
        <v>187.627792</v>
      </c>
      <c r="AE25" s="9">
        <v>2.1999999999999999E-2</v>
      </c>
    </row>
    <row r="26" spans="1:31">
      <c r="A26" t="s">
        <v>315</v>
      </c>
      <c r="B26" t="s">
        <v>2198</v>
      </c>
      <c r="C26" t="s">
        <v>2197</v>
      </c>
      <c r="D26" t="s">
        <v>261</v>
      </c>
      <c r="E26">
        <v>9610.2744139999995</v>
      </c>
      <c r="F26">
        <v>9608.09375</v>
      </c>
      <c r="G26">
        <v>9558.8818360000005</v>
      </c>
      <c r="H26">
        <v>9513.9443360000005</v>
      </c>
      <c r="I26">
        <v>9567.0517579999996</v>
      </c>
      <c r="J26">
        <v>9690.8300780000009</v>
      </c>
      <c r="K26">
        <v>9852.1044920000004</v>
      </c>
      <c r="L26">
        <v>10008.966796999999</v>
      </c>
      <c r="M26">
        <v>10109.919921999999</v>
      </c>
      <c r="N26">
        <v>10162.458984000001</v>
      </c>
      <c r="O26">
        <v>10175.067383</v>
      </c>
      <c r="P26">
        <v>10145.098633</v>
      </c>
      <c r="Q26">
        <v>10098.291015999999</v>
      </c>
      <c r="R26">
        <v>10039.485352</v>
      </c>
      <c r="S26">
        <v>9955.9394530000009</v>
      </c>
      <c r="T26">
        <v>9864.0742190000001</v>
      </c>
      <c r="U26">
        <v>9763.6923829999996</v>
      </c>
      <c r="V26">
        <v>9654.4160159999992</v>
      </c>
      <c r="W26">
        <v>9540.2441409999992</v>
      </c>
      <c r="X26">
        <v>9423.1767579999996</v>
      </c>
      <c r="Y26">
        <v>9303.1328119999998</v>
      </c>
      <c r="Z26">
        <v>9180.8759769999997</v>
      </c>
      <c r="AA26">
        <v>9053.4404300000006</v>
      </c>
      <c r="AB26">
        <v>8921.4443360000005</v>
      </c>
      <c r="AC26">
        <v>8782.5566409999992</v>
      </c>
      <c r="AD26">
        <v>8634.6582030000009</v>
      </c>
      <c r="AE26" s="9">
        <v>-4.0000000000000001E-3</v>
      </c>
    </row>
    <row r="27" spans="1:31">
      <c r="A27" t="s">
        <v>316</v>
      </c>
    </row>
    <row r="28" spans="1:31">
      <c r="A28" t="s">
        <v>301</v>
      </c>
      <c r="B28" t="s">
        <v>2196</v>
      </c>
      <c r="C28" t="s">
        <v>2195</v>
      </c>
      <c r="D28" t="s">
        <v>261</v>
      </c>
      <c r="E28">
        <v>1007.255554</v>
      </c>
      <c r="F28">
        <v>870.78906199999994</v>
      </c>
      <c r="G28">
        <v>771.02258300000005</v>
      </c>
      <c r="H28">
        <v>680.44830300000001</v>
      </c>
      <c r="I28">
        <v>596.84429899999998</v>
      </c>
      <c r="J28">
        <v>520.00268600000004</v>
      </c>
      <c r="K28">
        <v>450.61560100000003</v>
      </c>
      <c r="L28">
        <v>388.65585299999998</v>
      </c>
      <c r="M28">
        <v>333.94754</v>
      </c>
      <c r="N28">
        <v>286.29788200000002</v>
      </c>
      <c r="O28">
        <v>245.38308699999999</v>
      </c>
      <c r="P28">
        <v>210.63995399999999</v>
      </c>
      <c r="Q28">
        <v>181.587524</v>
      </c>
      <c r="R28">
        <v>157.65450999999999</v>
      </c>
      <c r="S28">
        <v>137.725235</v>
      </c>
      <c r="T28">
        <v>120.985809</v>
      </c>
      <c r="U28">
        <v>107.050179</v>
      </c>
      <c r="V28">
        <v>95.466614000000007</v>
      </c>
      <c r="W28">
        <v>85.941581999999997</v>
      </c>
      <c r="X28">
        <v>78.031693000000004</v>
      </c>
      <c r="Y28">
        <v>71.333115000000006</v>
      </c>
      <c r="Z28">
        <v>65.642509000000004</v>
      </c>
      <c r="AA28">
        <v>60.793464999999998</v>
      </c>
      <c r="AB28">
        <v>56.536845999999997</v>
      </c>
      <c r="AC28">
        <v>52.695965000000001</v>
      </c>
      <c r="AD28">
        <v>49.226734</v>
      </c>
      <c r="AE28" s="9">
        <v>-0.114</v>
      </c>
    </row>
    <row r="29" spans="1:31">
      <c r="A29" t="s">
        <v>333</v>
      </c>
      <c r="B29" t="s">
        <v>2194</v>
      </c>
      <c r="C29" t="s">
        <v>2193</v>
      </c>
      <c r="D29" t="s">
        <v>261</v>
      </c>
      <c r="E29">
        <v>0.99804599999999999</v>
      </c>
      <c r="F29">
        <v>1.224324</v>
      </c>
      <c r="G29">
        <v>1.434016</v>
      </c>
      <c r="H29">
        <v>1.612743</v>
      </c>
      <c r="I29">
        <v>1.8100099999999999</v>
      </c>
      <c r="J29">
        <v>2.0570149999999998</v>
      </c>
      <c r="K29">
        <v>2.332481</v>
      </c>
      <c r="L29">
        <v>2.6388989999999999</v>
      </c>
      <c r="M29">
        <v>2.970936</v>
      </c>
      <c r="N29">
        <v>3.3122240000000001</v>
      </c>
      <c r="O29">
        <v>3.6698230000000001</v>
      </c>
      <c r="P29">
        <v>4.0246930000000001</v>
      </c>
      <c r="Q29">
        <v>4.3832880000000003</v>
      </c>
      <c r="R29">
        <v>4.7455730000000003</v>
      </c>
      <c r="S29">
        <v>5.1117439999999998</v>
      </c>
      <c r="T29">
        <v>5.4787889999999999</v>
      </c>
      <c r="U29">
        <v>5.8319679999999998</v>
      </c>
      <c r="V29">
        <v>6.1734770000000001</v>
      </c>
      <c r="W29">
        <v>6.5046939999999998</v>
      </c>
      <c r="X29">
        <v>6.8261250000000002</v>
      </c>
      <c r="Y29">
        <v>7.1459489999999999</v>
      </c>
      <c r="Z29">
        <v>7.4453849999999999</v>
      </c>
      <c r="AA29">
        <v>7.7333720000000001</v>
      </c>
      <c r="AB29">
        <v>8.0039040000000004</v>
      </c>
      <c r="AC29">
        <v>8.2576420000000006</v>
      </c>
      <c r="AD29">
        <v>8.4837360000000004</v>
      </c>
      <c r="AE29" s="9">
        <v>8.8999999999999996E-2</v>
      </c>
    </row>
    <row r="30" spans="1:31">
      <c r="A30" t="s">
        <v>334</v>
      </c>
      <c r="B30" t="s">
        <v>2192</v>
      </c>
      <c r="C30" t="s">
        <v>2191</v>
      </c>
      <c r="D30" t="s">
        <v>261</v>
      </c>
      <c r="E30">
        <v>31.350508000000001</v>
      </c>
      <c r="F30">
        <v>74.368172000000001</v>
      </c>
      <c r="G30">
        <v>136.70588699999999</v>
      </c>
      <c r="H30">
        <v>204.58422899999999</v>
      </c>
      <c r="I30">
        <v>264.52899200000002</v>
      </c>
      <c r="J30">
        <v>302.96585099999999</v>
      </c>
      <c r="K30">
        <v>327.23052999999999</v>
      </c>
      <c r="L30">
        <v>339.48434400000002</v>
      </c>
      <c r="M30">
        <v>359.057007</v>
      </c>
      <c r="N30">
        <v>385</v>
      </c>
      <c r="O30">
        <v>416.31106599999998</v>
      </c>
      <c r="P30">
        <v>447.93218999999999</v>
      </c>
      <c r="Q30">
        <v>480.79113799999999</v>
      </c>
      <c r="R30">
        <v>514.51483199999996</v>
      </c>
      <c r="S30">
        <v>547.89514199999996</v>
      </c>
      <c r="T30">
        <v>581.354736</v>
      </c>
      <c r="U30">
        <v>613.887878</v>
      </c>
      <c r="V30">
        <v>645.62731900000006</v>
      </c>
      <c r="W30">
        <v>676.58795199999997</v>
      </c>
      <c r="X30">
        <v>706.87475600000005</v>
      </c>
      <c r="Y30">
        <v>736.98785399999997</v>
      </c>
      <c r="Z30">
        <v>765.62231399999996</v>
      </c>
      <c r="AA30">
        <v>793.84613000000002</v>
      </c>
      <c r="AB30">
        <v>820.58819600000004</v>
      </c>
      <c r="AC30">
        <v>846.394409</v>
      </c>
      <c r="AD30">
        <v>869.89202899999998</v>
      </c>
      <c r="AE30" s="9">
        <v>0.14199999999999999</v>
      </c>
    </row>
    <row r="31" spans="1:31">
      <c r="A31" t="s">
        <v>335</v>
      </c>
      <c r="B31" t="s">
        <v>2190</v>
      </c>
      <c r="C31" t="s">
        <v>2189</v>
      </c>
      <c r="D31" t="s">
        <v>261</v>
      </c>
      <c r="E31">
        <v>131.89450099999999</v>
      </c>
      <c r="F31">
        <v>218.22766100000001</v>
      </c>
      <c r="G31">
        <v>319.21444700000001</v>
      </c>
      <c r="H31">
        <v>427.61621100000002</v>
      </c>
      <c r="I31">
        <v>519.14703399999996</v>
      </c>
      <c r="J31">
        <v>598.87750200000005</v>
      </c>
      <c r="K31">
        <v>652.34124799999995</v>
      </c>
      <c r="L31">
        <v>703.941284</v>
      </c>
      <c r="M31">
        <v>767.26275599999997</v>
      </c>
      <c r="N31">
        <v>840.14691200000004</v>
      </c>
      <c r="O31">
        <v>920.04553199999998</v>
      </c>
      <c r="P31">
        <v>998.25732400000004</v>
      </c>
      <c r="Q31">
        <v>1077.3264160000001</v>
      </c>
      <c r="R31">
        <v>1156.8516850000001</v>
      </c>
      <c r="S31">
        <v>1235.584351</v>
      </c>
      <c r="T31">
        <v>1313.3093260000001</v>
      </c>
      <c r="U31">
        <v>1387.3438719999999</v>
      </c>
      <c r="V31">
        <v>1458.1967770000001</v>
      </c>
      <c r="W31">
        <v>1526.086914</v>
      </c>
      <c r="X31">
        <v>1591.306274</v>
      </c>
      <c r="Y31">
        <v>1655.256836</v>
      </c>
      <c r="Z31">
        <v>1714.775269</v>
      </c>
      <c r="AA31">
        <v>1772.1116939999999</v>
      </c>
      <c r="AB31">
        <v>1825.3831789999999</v>
      </c>
      <c r="AC31">
        <v>1875.292725</v>
      </c>
      <c r="AD31">
        <v>1919.2891850000001</v>
      </c>
      <c r="AE31" s="9">
        <v>0.113</v>
      </c>
    </row>
    <row r="32" spans="1:31">
      <c r="A32" t="s">
        <v>302</v>
      </c>
      <c r="B32" t="s">
        <v>2188</v>
      </c>
      <c r="C32" t="s">
        <v>2187</v>
      </c>
      <c r="D32" t="s">
        <v>261</v>
      </c>
      <c r="E32">
        <v>122.127838</v>
      </c>
      <c r="F32">
        <v>109.80188</v>
      </c>
      <c r="G32">
        <v>105.263847</v>
      </c>
      <c r="H32">
        <v>112.534042</v>
      </c>
      <c r="I32">
        <v>120.325958</v>
      </c>
      <c r="J32">
        <v>128.97657799999999</v>
      </c>
      <c r="K32">
        <v>138.96319600000001</v>
      </c>
      <c r="L32">
        <v>149.43585200000001</v>
      </c>
      <c r="M32">
        <v>160.94911200000001</v>
      </c>
      <c r="N32">
        <v>173.17796300000001</v>
      </c>
      <c r="O32">
        <v>186.355774</v>
      </c>
      <c r="P32">
        <v>198.10780299999999</v>
      </c>
      <c r="Q32">
        <v>209.28947400000001</v>
      </c>
      <c r="R32">
        <v>220.11480700000001</v>
      </c>
      <c r="S32">
        <v>230.61596700000001</v>
      </c>
      <c r="T32">
        <v>240.00814800000001</v>
      </c>
      <c r="U32">
        <v>248.149124</v>
      </c>
      <c r="V32">
        <v>255.412048</v>
      </c>
      <c r="W32">
        <v>262.11166400000002</v>
      </c>
      <c r="X32">
        <v>268.10058600000002</v>
      </c>
      <c r="Y32">
        <v>273.49014299999999</v>
      </c>
      <c r="Z32">
        <v>278.107574</v>
      </c>
      <c r="AA32">
        <v>282.30191000000002</v>
      </c>
      <c r="AB32">
        <v>285.72100799999998</v>
      </c>
      <c r="AC32">
        <v>288.57199100000003</v>
      </c>
      <c r="AD32">
        <v>290.41790800000001</v>
      </c>
      <c r="AE32" s="9">
        <v>3.5000000000000003E-2</v>
      </c>
    </row>
    <row r="33" spans="1:31">
      <c r="A33" t="s">
        <v>303</v>
      </c>
      <c r="B33" t="s">
        <v>2186</v>
      </c>
      <c r="C33" t="s">
        <v>2185</v>
      </c>
      <c r="D33" t="s">
        <v>261</v>
      </c>
      <c r="E33">
        <v>21.128171999999999</v>
      </c>
      <c r="F33">
        <v>63.923274999999997</v>
      </c>
      <c r="G33">
        <v>127.469025</v>
      </c>
      <c r="H33">
        <v>198.099594</v>
      </c>
      <c r="I33">
        <v>204.474808</v>
      </c>
      <c r="J33">
        <v>194.68615700000001</v>
      </c>
      <c r="K33">
        <v>177.24061599999999</v>
      </c>
      <c r="L33">
        <v>158.29658499999999</v>
      </c>
      <c r="M33">
        <v>146.72889699999999</v>
      </c>
      <c r="N33">
        <v>141.22395299999999</v>
      </c>
      <c r="O33">
        <v>138.79693599999999</v>
      </c>
      <c r="P33">
        <v>136.70372</v>
      </c>
      <c r="Q33">
        <v>134.75311300000001</v>
      </c>
      <c r="R33">
        <v>132.777863</v>
      </c>
      <c r="S33">
        <v>130.82496599999999</v>
      </c>
      <c r="T33">
        <v>128.747467</v>
      </c>
      <c r="U33">
        <v>126.181534</v>
      </c>
      <c r="V33">
        <v>123.228302</v>
      </c>
      <c r="W33">
        <v>120.0466</v>
      </c>
      <c r="X33">
        <v>116.776009</v>
      </c>
      <c r="Y33">
        <v>113.73335299999999</v>
      </c>
      <c r="Z33">
        <v>110.68338</v>
      </c>
      <c r="AA33">
        <v>107.94883</v>
      </c>
      <c r="AB33">
        <v>105.443512</v>
      </c>
      <c r="AC33">
        <v>103.29975899999999</v>
      </c>
      <c r="AD33">
        <v>101.364166</v>
      </c>
      <c r="AE33" s="9">
        <v>6.5000000000000002E-2</v>
      </c>
    </row>
    <row r="34" spans="1:31">
      <c r="A34" t="s">
        <v>305</v>
      </c>
      <c r="B34" t="s">
        <v>2184</v>
      </c>
      <c r="C34" t="s">
        <v>2183</v>
      </c>
      <c r="D34" t="s">
        <v>261</v>
      </c>
      <c r="E34">
        <v>532.14843800000006</v>
      </c>
      <c r="F34">
        <v>776.49652100000003</v>
      </c>
      <c r="G34">
        <v>993.47314500000005</v>
      </c>
      <c r="H34">
        <v>1195.952393</v>
      </c>
      <c r="I34">
        <v>1387.879639</v>
      </c>
      <c r="J34">
        <v>1573.0736079999999</v>
      </c>
      <c r="K34">
        <v>1745.1660159999999</v>
      </c>
      <c r="L34">
        <v>1900.5805660000001</v>
      </c>
      <c r="M34">
        <v>2044.6385499999999</v>
      </c>
      <c r="N34">
        <v>2176.8999020000001</v>
      </c>
      <c r="O34">
        <v>2298.9689939999998</v>
      </c>
      <c r="P34">
        <v>2405.2585450000001</v>
      </c>
      <c r="Q34">
        <v>2503.7341310000002</v>
      </c>
      <c r="R34">
        <v>2594.5646969999998</v>
      </c>
      <c r="S34">
        <v>2690.914307</v>
      </c>
      <c r="T34">
        <v>2777.670654</v>
      </c>
      <c r="U34">
        <v>2850.610596</v>
      </c>
      <c r="V34">
        <v>2910.7866210000002</v>
      </c>
      <c r="W34">
        <v>2963.3217770000001</v>
      </c>
      <c r="X34">
        <v>3010.3771969999998</v>
      </c>
      <c r="Y34">
        <v>3053.2241210000002</v>
      </c>
      <c r="Z34">
        <v>3091.217529</v>
      </c>
      <c r="AA34">
        <v>3124.9641109999998</v>
      </c>
      <c r="AB34">
        <v>3153.6447750000002</v>
      </c>
      <c r="AC34">
        <v>3178.025635</v>
      </c>
      <c r="AD34">
        <v>3196.3552249999998</v>
      </c>
      <c r="AE34" s="9">
        <v>7.3999999999999996E-2</v>
      </c>
    </row>
    <row r="35" spans="1:31">
      <c r="A35" t="s">
        <v>311</v>
      </c>
      <c r="B35" t="s">
        <v>2182</v>
      </c>
      <c r="C35" t="s">
        <v>2181</v>
      </c>
      <c r="D35" t="s">
        <v>261</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t="s">
        <v>110</v>
      </c>
    </row>
    <row r="36" spans="1:31">
      <c r="A36" t="s">
        <v>317</v>
      </c>
      <c r="B36" t="s">
        <v>2180</v>
      </c>
      <c r="C36" t="s">
        <v>2179</v>
      </c>
      <c r="D36" t="s">
        <v>261</v>
      </c>
      <c r="E36">
        <v>1858.9742429999999</v>
      </c>
      <c r="F36">
        <v>2126.1035160000001</v>
      </c>
      <c r="G36">
        <v>2465.1501459999999</v>
      </c>
      <c r="H36">
        <v>2830.7666020000001</v>
      </c>
      <c r="I36">
        <v>3104.3303219999998</v>
      </c>
      <c r="J36">
        <v>3329.3942870000001</v>
      </c>
      <c r="K36">
        <v>3502.1110840000001</v>
      </c>
      <c r="L36">
        <v>3650.7509770000001</v>
      </c>
      <c r="M36">
        <v>3822.797607</v>
      </c>
      <c r="N36">
        <v>4012.8557129999999</v>
      </c>
      <c r="O36">
        <v>4215.9091799999997</v>
      </c>
      <c r="P36">
        <v>4406.9121089999999</v>
      </c>
      <c r="Q36">
        <v>4597.4941410000001</v>
      </c>
      <c r="R36">
        <v>4786.5161129999997</v>
      </c>
      <c r="S36">
        <v>4983.6494140000004</v>
      </c>
      <c r="T36">
        <v>5172.2368159999996</v>
      </c>
      <c r="U36">
        <v>5343.4589839999999</v>
      </c>
      <c r="V36">
        <v>5499.033203</v>
      </c>
      <c r="W36">
        <v>5644.4970700000003</v>
      </c>
      <c r="X36">
        <v>5781.9575199999999</v>
      </c>
      <c r="Y36">
        <v>5914.6186520000001</v>
      </c>
      <c r="Z36">
        <v>6036.7368159999996</v>
      </c>
      <c r="AA36">
        <v>6152.7495120000003</v>
      </c>
      <c r="AB36">
        <v>6258.1904299999997</v>
      </c>
      <c r="AC36">
        <v>6355.236328</v>
      </c>
      <c r="AD36">
        <v>6437.5668949999999</v>
      </c>
      <c r="AE36" s="9">
        <v>5.0999999999999997E-2</v>
      </c>
    </row>
    <row r="37" spans="1:31">
      <c r="A37" t="s">
        <v>2178</v>
      </c>
      <c r="B37" t="s">
        <v>2177</v>
      </c>
      <c r="C37" t="s">
        <v>2176</v>
      </c>
      <c r="D37" t="s">
        <v>261</v>
      </c>
      <c r="E37">
        <v>11469.249023</v>
      </c>
      <c r="F37">
        <v>11734.197265999999</v>
      </c>
      <c r="G37">
        <v>12024.032227</v>
      </c>
      <c r="H37">
        <v>12344.710938</v>
      </c>
      <c r="I37">
        <v>12671.381836</v>
      </c>
      <c r="J37">
        <v>13020.224609000001</v>
      </c>
      <c r="K37">
        <v>13354.215819999999</v>
      </c>
      <c r="L37">
        <v>13659.717773</v>
      </c>
      <c r="M37">
        <v>13932.717773</v>
      </c>
      <c r="N37">
        <v>14175.314453000001</v>
      </c>
      <c r="O37">
        <v>14390.976562</v>
      </c>
      <c r="P37">
        <v>14552.010742</v>
      </c>
      <c r="Q37">
        <v>14695.785156</v>
      </c>
      <c r="R37">
        <v>14826.001953000001</v>
      </c>
      <c r="S37">
        <v>14939.588867</v>
      </c>
      <c r="T37">
        <v>15036.310546999999</v>
      </c>
      <c r="U37">
        <v>15107.151367</v>
      </c>
      <c r="V37">
        <v>15153.449219</v>
      </c>
      <c r="W37">
        <v>15184.741211</v>
      </c>
      <c r="X37">
        <v>15205.134765999999</v>
      </c>
      <c r="Y37">
        <v>15217.751953000001</v>
      </c>
      <c r="Z37">
        <v>15217.613281</v>
      </c>
      <c r="AA37">
        <v>15206.189453000001</v>
      </c>
      <c r="AB37">
        <v>15179.634765999999</v>
      </c>
      <c r="AC37">
        <v>15137.792969</v>
      </c>
      <c r="AD37">
        <v>15072.224609000001</v>
      </c>
      <c r="AE37" s="9">
        <v>1.0999999999999999E-2</v>
      </c>
    </row>
    <row r="38" spans="1:31">
      <c r="A38" t="s">
        <v>287</v>
      </c>
      <c r="B38" t="s">
        <v>2175</v>
      </c>
      <c r="C38" t="s">
        <v>2174</v>
      </c>
      <c r="D38" t="s">
        <v>261</v>
      </c>
      <c r="E38">
        <v>17559.984375</v>
      </c>
      <c r="F38">
        <v>17570.619140999999</v>
      </c>
      <c r="G38">
        <v>17600.339843999998</v>
      </c>
      <c r="H38">
        <v>17680.511718999998</v>
      </c>
      <c r="I38">
        <v>17822.367188</v>
      </c>
      <c r="J38">
        <v>18034.652343999998</v>
      </c>
      <c r="K38">
        <v>18261.419922000001</v>
      </c>
      <c r="L38">
        <v>18471.996093999998</v>
      </c>
      <c r="M38">
        <v>18673.152343999998</v>
      </c>
      <c r="N38">
        <v>18851.726562</v>
      </c>
      <c r="O38">
        <v>19014.779297000001</v>
      </c>
      <c r="P38">
        <v>19114.746093999998</v>
      </c>
      <c r="Q38">
        <v>19207.648438</v>
      </c>
      <c r="R38">
        <v>19296.066406000002</v>
      </c>
      <c r="S38">
        <v>19372.679688</v>
      </c>
      <c r="T38">
        <v>19431.636718999998</v>
      </c>
      <c r="U38">
        <v>19462.652343999998</v>
      </c>
      <c r="V38">
        <v>19468.34375</v>
      </c>
      <c r="W38">
        <v>19457.027343999998</v>
      </c>
      <c r="X38">
        <v>19433.998047000001</v>
      </c>
      <c r="Y38">
        <v>19405.318359000001</v>
      </c>
      <c r="Z38">
        <v>19363.583984000001</v>
      </c>
      <c r="AA38">
        <v>19314.960938</v>
      </c>
      <c r="AB38">
        <v>19249.597656000002</v>
      </c>
      <c r="AC38">
        <v>19167.365234000001</v>
      </c>
      <c r="AD38">
        <v>19054.21875</v>
      </c>
      <c r="AE38" s="9">
        <v>3.0000000000000001E-3</v>
      </c>
    </row>
    <row r="39" spans="1:31">
      <c r="A39" t="s">
        <v>226</v>
      </c>
      <c r="B39" t="s">
        <v>2173</v>
      </c>
      <c r="C39" t="s">
        <v>2172</v>
      </c>
      <c r="D39" t="s">
        <v>261</v>
      </c>
      <c r="E39">
        <v>7882.263672</v>
      </c>
      <c r="F39">
        <v>7718.1157229999999</v>
      </c>
      <c r="G39">
        <v>7629.0815430000002</v>
      </c>
      <c r="H39">
        <v>7589.3720700000003</v>
      </c>
      <c r="I39">
        <v>7590.8134769999997</v>
      </c>
      <c r="J39">
        <v>7633.5</v>
      </c>
      <c r="K39">
        <v>7698.8798829999996</v>
      </c>
      <c r="L39">
        <v>7782.9262699999999</v>
      </c>
      <c r="M39">
        <v>7859.0766599999997</v>
      </c>
      <c r="N39">
        <v>7919.330078</v>
      </c>
      <c r="O39">
        <v>7952.2817379999997</v>
      </c>
      <c r="P39">
        <v>7956.8364259999998</v>
      </c>
      <c r="Q39">
        <v>7931.2661129999997</v>
      </c>
      <c r="R39">
        <v>7882.0209960000002</v>
      </c>
      <c r="S39">
        <v>7812.3657229999999</v>
      </c>
      <c r="T39">
        <v>7721.033203</v>
      </c>
      <c r="U39">
        <v>7608.1904299999997</v>
      </c>
      <c r="V39">
        <v>7477.1328119999998</v>
      </c>
      <c r="W39">
        <v>7346.2534180000002</v>
      </c>
      <c r="X39">
        <v>7216.3901370000003</v>
      </c>
      <c r="Y39">
        <v>7075.6992190000001</v>
      </c>
      <c r="Z39">
        <v>6920.3642579999996</v>
      </c>
      <c r="AA39">
        <v>6762.7626950000003</v>
      </c>
      <c r="AB39">
        <v>6594.4472660000001</v>
      </c>
      <c r="AC39">
        <v>6411.7973629999997</v>
      </c>
      <c r="AD39">
        <v>6213.7128910000001</v>
      </c>
      <c r="AE39" s="9">
        <v>-8.9999999999999993E-3</v>
      </c>
    </row>
    <row r="40" spans="1:31">
      <c r="A40" t="s">
        <v>181</v>
      </c>
      <c r="B40" t="s">
        <v>2171</v>
      </c>
      <c r="C40" t="s">
        <v>2170</v>
      </c>
      <c r="D40" t="s">
        <v>261</v>
      </c>
      <c r="E40">
        <v>5002.9780270000001</v>
      </c>
      <c r="F40">
        <v>4920.6372069999998</v>
      </c>
      <c r="G40">
        <v>4838.4228519999997</v>
      </c>
      <c r="H40">
        <v>4754.9169920000004</v>
      </c>
      <c r="I40">
        <v>4667.830078</v>
      </c>
      <c r="J40">
        <v>4577.2856449999999</v>
      </c>
      <c r="K40">
        <v>4477.2270509999998</v>
      </c>
      <c r="L40">
        <v>4384.5673829999996</v>
      </c>
      <c r="M40">
        <v>4277.0864259999998</v>
      </c>
      <c r="N40">
        <v>4162.5893550000001</v>
      </c>
      <c r="O40">
        <v>4032.804443</v>
      </c>
      <c r="P40">
        <v>3892.8220209999999</v>
      </c>
      <c r="Q40">
        <v>3743.9099120000001</v>
      </c>
      <c r="R40">
        <v>3586.1232909999999</v>
      </c>
      <c r="S40">
        <v>3426.6826169999999</v>
      </c>
      <c r="T40">
        <v>3261.099365</v>
      </c>
      <c r="U40">
        <v>3103.415039</v>
      </c>
      <c r="V40">
        <v>2952.226318</v>
      </c>
      <c r="W40">
        <v>2821.366943</v>
      </c>
      <c r="X40">
        <v>2704.1667480000001</v>
      </c>
      <c r="Y40">
        <v>2587.6079100000002</v>
      </c>
      <c r="Z40">
        <v>2472.360107</v>
      </c>
      <c r="AA40">
        <v>2362.5249020000001</v>
      </c>
      <c r="AB40">
        <v>2255.0485840000001</v>
      </c>
      <c r="AC40">
        <v>2139.474365</v>
      </c>
      <c r="AD40">
        <v>2021.7506100000001</v>
      </c>
      <c r="AE40" s="9">
        <v>-3.5999999999999997E-2</v>
      </c>
    </row>
    <row r="41" spans="1:31">
      <c r="A41" t="s">
        <v>184</v>
      </c>
      <c r="B41" t="s">
        <v>2169</v>
      </c>
      <c r="C41" t="s">
        <v>2168</v>
      </c>
      <c r="D41" t="s">
        <v>261</v>
      </c>
      <c r="E41">
        <v>2.9389999999999999E-2</v>
      </c>
      <c r="F41">
        <v>2.8049999999999999E-2</v>
      </c>
      <c r="G41">
        <v>2.8767000000000001E-2</v>
      </c>
      <c r="H41">
        <v>3.0852999999999998E-2</v>
      </c>
      <c r="I41">
        <v>3.3989999999999999E-2</v>
      </c>
      <c r="J41">
        <v>3.7803000000000003E-2</v>
      </c>
      <c r="K41">
        <v>4.2110000000000002E-2</v>
      </c>
      <c r="L41">
        <v>4.6904000000000001E-2</v>
      </c>
      <c r="M41">
        <v>5.1970000000000002E-2</v>
      </c>
      <c r="N41">
        <v>5.6926999999999998E-2</v>
      </c>
      <c r="O41">
        <v>6.1940000000000002E-2</v>
      </c>
      <c r="P41">
        <v>6.6980999999999999E-2</v>
      </c>
      <c r="Q41">
        <v>7.2059999999999999E-2</v>
      </c>
      <c r="R41">
        <v>7.7115000000000003E-2</v>
      </c>
      <c r="S41">
        <v>8.2075999999999996E-2</v>
      </c>
      <c r="T41">
        <v>8.6895E-2</v>
      </c>
      <c r="U41">
        <v>9.1471999999999998E-2</v>
      </c>
      <c r="V41">
        <v>9.579E-2</v>
      </c>
      <c r="W41">
        <v>9.9874000000000004E-2</v>
      </c>
      <c r="X41">
        <v>0.103683</v>
      </c>
      <c r="Y41">
        <v>0.10724599999999999</v>
      </c>
      <c r="Z41">
        <v>0.110537</v>
      </c>
      <c r="AA41">
        <v>0.113551</v>
      </c>
      <c r="AB41">
        <v>0.116289</v>
      </c>
      <c r="AC41">
        <v>0.11874800000000001</v>
      </c>
      <c r="AD41">
        <v>0.120917</v>
      </c>
      <c r="AE41" s="9">
        <v>5.8000000000000003E-2</v>
      </c>
    </row>
    <row r="42" spans="1:31">
      <c r="A42" t="s">
        <v>187</v>
      </c>
      <c r="B42" t="s">
        <v>2167</v>
      </c>
      <c r="C42" t="s">
        <v>2166</v>
      </c>
      <c r="D42" t="s">
        <v>261</v>
      </c>
      <c r="E42">
        <v>14.123592</v>
      </c>
      <c r="F42">
        <v>17.557981000000002</v>
      </c>
      <c r="G42">
        <v>19.892175999999999</v>
      </c>
      <c r="H42">
        <v>21.965724999999999</v>
      </c>
      <c r="I42">
        <v>23.452375</v>
      </c>
      <c r="J42">
        <v>25.092058000000002</v>
      </c>
      <c r="K42">
        <v>26.851216999999998</v>
      </c>
      <c r="L42">
        <v>29.061223999999999</v>
      </c>
      <c r="M42">
        <v>31.537631999999999</v>
      </c>
      <c r="N42">
        <v>34.389294</v>
      </c>
      <c r="O42">
        <v>38.135089999999998</v>
      </c>
      <c r="P42">
        <v>42.418118</v>
      </c>
      <c r="Q42">
        <v>47.842067999999998</v>
      </c>
      <c r="R42">
        <v>54.623900999999996</v>
      </c>
      <c r="S42">
        <v>62.418179000000002</v>
      </c>
      <c r="T42">
        <v>72.016266000000002</v>
      </c>
      <c r="U42">
        <v>82.636161999999999</v>
      </c>
      <c r="V42">
        <v>94.554366999999999</v>
      </c>
      <c r="W42">
        <v>107.83039100000001</v>
      </c>
      <c r="X42">
        <v>122.378212</v>
      </c>
      <c r="Y42">
        <v>138.17295799999999</v>
      </c>
      <c r="Z42">
        <v>155.49026499999999</v>
      </c>
      <c r="AA42">
        <v>173.50885</v>
      </c>
      <c r="AB42">
        <v>192.23400899999999</v>
      </c>
      <c r="AC42">
        <v>211.13888499999999</v>
      </c>
      <c r="AD42">
        <v>230.721405</v>
      </c>
      <c r="AE42" s="9">
        <v>0.11799999999999999</v>
      </c>
    </row>
    <row r="43" spans="1:31">
      <c r="A43" t="s">
        <v>227</v>
      </c>
      <c r="B43" t="s">
        <v>2165</v>
      </c>
      <c r="C43" t="s">
        <v>2164</v>
      </c>
      <c r="D43" t="s">
        <v>261</v>
      </c>
      <c r="E43">
        <v>1585.904663</v>
      </c>
      <c r="F43">
        <v>1550.989746</v>
      </c>
      <c r="G43">
        <v>1511.92688</v>
      </c>
      <c r="H43">
        <v>1469.2751459999999</v>
      </c>
      <c r="I43">
        <v>1421.6933590000001</v>
      </c>
      <c r="J43">
        <v>1369.3641359999999</v>
      </c>
      <c r="K43">
        <v>1312.347168</v>
      </c>
      <c r="L43">
        <v>1251.104126</v>
      </c>
      <c r="M43">
        <v>1187.103638</v>
      </c>
      <c r="N43">
        <v>1120.3492429999999</v>
      </c>
      <c r="O43">
        <v>1052.594971</v>
      </c>
      <c r="P43">
        <v>985.46447799999999</v>
      </c>
      <c r="Q43">
        <v>919.91101100000003</v>
      </c>
      <c r="R43">
        <v>856.78521699999999</v>
      </c>
      <c r="S43">
        <v>796.59527600000001</v>
      </c>
      <c r="T43">
        <v>740.64648399999999</v>
      </c>
      <c r="U43">
        <v>689.74896200000001</v>
      </c>
      <c r="V43">
        <v>644.09655799999996</v>
      </c>
      <c r="W43">
        <v>603.90698199999997</v>
      </c>
      <c r="X43">
        <v>562.473206</v>
      </c>
      <c r="Y43">
        <v>520.17755099999999</v>
      </c>
      <c r="Z43">
        <v>480.65725700000002</v>
      </c>
      <c r="AA43">
        <v>438.79760700000003</v>
      </c>
      <c r="AB43">
        <v>395.525848</v>
      </c>
      <c r="AC43">
        <v>348.95233200000001</v>
      </c>
      <c r="AD43">
        <v>302.43563799999998</v>
      </c>
      <c r="AE43" s="9">
        <v>-6.4000000000000001E-2</v>
      </c>
    </row>
    <row r="44" spans="1:31">
      <c r="A44" t="s">
        <v>228</v>
      </c>
      <c r="B44" t="s">
        <v>2163</v>
      </c>
      <c r="C44" t="s">
        <v>2162</v>
      </c>
      <c r="D44" t="s">
        <v>261</v>
      </c>
      <c r="E44">
        <v>130.89210499999999</v>
      </c>
      <c r="F44">
        <v>184.41905199999999</v>
      </c>
      <c r="G44">
        <v>240.56279000000001</v>
      </c>
      <c r="H44">
        <v>297.98135400000001</v>
      </c>
      <c r="I44">
        <v>357.10168499999997</v>
      </c>
      <c r="J44">
        <v>418.34268200000002</v>
      </c>
      <c r="K44">
        <v>481.03695699999997</v>
      </c>
      <c r="L44">
        <v>544.87823500000002</v>
      </c>
      <c r="M44">
        <v>608.86669900000004</v>
      </c>
      <c r="N44">
        <v>672.64398200000005</v>
      </c>
      <c r="O44">
        <v>735.47906499999999</v>
      </c>
      <c r="P44">
        <v>796.13580300000001</v>
      </c>
      <c r="Q44">
        <v>855.44586200000003</v>
      </c>
      <c r="R44">
        <v>912.94464100000005</v>
      </c>
      <c r="S44">
        <v>968.20538299999998</v>
      </c>
      <c r="T44">
        <v>1024.2092290000001</v>
      </c>
      <c r="U44">
        <v>1077.5192870000001</v>
      </c>
      <c r="V44">
        <v>1124.5135499999999</v>
      </c>
      <c r="W44">
        <v>1169.1032709999999</v>
      </c>
      <c r="X44">
        <v>1212.96228</v>
      </c>
      <c r="Y44">
        <v>1256.3027340000001</v>
      </c>
      <c r="Z44">
        <v>1298.7155760000001</v>
      </c>
      <c r="AA44">
        <v>1340.112061</v>
      </c>
      <c r="AB44">
        <v>1380.203125</v>
      </c>
      <c r="AC44">
        <v>1420.7426760000001</v>
      </c>
      <c r="AD44">
        <v>1463.7196039999999</v>
      </c>
      <c r="AE44" s="9">
        <v>0.10100000000000001</v>
      </c>
    </row>
    <row r="45" spans="1:31">
      <c r="A45" t="s">
        <v>230</v>
      </c>
      <c r="B45" t="s">
        <v>2161</v>
      </c>
      <c r="C45" t="s">
        <v>2160</v>
      </c>
      <c r="D45" t="s">
        <v>261</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110</v>
      </c>
    </row>
    <row r="46" spans="1:31">
      <c r="A46" t="s">
        <v>229</v>
      </c>
      <c r="B46" t="s">
        <v>2159</v>
      </c>
      <c r="C46" t="s">
        <v>2158</v>
      </c>
      <c r="D46" t="s">
        <v>261</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110</v>
      </c>
    </row>
    <row r="47" spans="1:31">
      <c r="A47" t="s">
        <v>231</v>
      </c>
      <c r="B47" t="s">
        <v>2157</v>
      </c>
      <c r="C47" t="s">
        <v>2156</v>
      </c>
      <c r="D47" t="s">
        <v>261</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110</v>
      </c>
    </row>
    <row r="48" spans="1:31">
      <c r="A48" t="s">
        <v>574</v>
      </c>
      <c r="B48" t="s">
        <v>2155</v>
      </c>
      <c r="C48" t="s">
        <v>2154</v>
      </c>
      <c r="D48" t="s">
        <v>261</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110</v>
      </c>
    </row>
    <row r="49" spans="1:31">
      <c r="A49" t="s">
        <v>571</v>
      </c>
      <c r="B49" t="s">
        <v>2153</v>
      </c>
      <c r="C49" t="s">
        <v>2152</v>
      </c>
      <c r="D49" t="s">
        <v>261</v>
      </c>
      <c r="E49">
        <v>1.9456169999999999</v>
      </c>
      <c r="F49">
        <v>5.2897660000000002</v>
      </c>
      <c r="G49">
        <v>10.007407000000001</v>
      </c>
      <c r="H49">
        <v>16.609016</v>
      </c>
      <c r="I49">
        <v>26.195983999999999</v>
      </c>
      <c r="J49">
        <v>41.144137999999998</v>
      </c>
      <c r="K49">
        <v>62.356422000000002</v>
      </c>
      <c r="L49">
        <v>95.123328999999998</v>
      </c>
      <c r="M49">
        <v>143.916382</v>
      </c>
      <c r="N49">
        <v>208.263474</v>
      </c>
      <c r="O49">
        <v>302.78372200000001</v>
      </c>
      <c r="P49">
        <v>423.18008400000002</v>
      </c>
      <c r="Q49">
        <v>572.72717299999999</v>
      </c>
      <c r="R49">
        <v>744.17895499999997</v>
      </c>
      <c r="S49">
        <v>939.29534899999999</v>
      </c>
      <c r="T49">
        <v>1154.361206</v>
      </c>
      <c r="U49">
        <v>1395.0466309999999</v>
      </c>
      <c r="V49">
        <v>1656.190186</v>
      </c>
      <c r="W49">
        <v>1923.7260739999999</v>
      </c>
      <c r="X49">
        <v>2200.1877439999998</v>
      </c>
      <c r="Y49">
        <v>2485.5327149999998</v>
      </c>
      <c r="Z49">
        <v>2771.07251</v>
      </c>
      <c r="AA49">
        <v>3051.8728030000002</v>
      </c>
      <c r="AB49">
        <v>3335.4335940000001</v>
      </c>
      <c r="AC49">
        <v>3618.0688479999999</v>
      </c>
      <c r="AD49">
        <v>3892.0656739999999</v>
      </c>
      <c r="AE49" s="9">
        <v>0.35499999999999998</v>
      </c>
    </row>
    <row r="50" spans="1:31">
      <c r="A50" t="s">
        <v>568</v>
      </c>
      <c r="B50" t="s">
        <v>2151</v>
      </c>
      <c r="C50" t="s">
        <v>2150</v>
      </c>
      <c r="D50" t="s">
        <v>261</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110</v>
      </c>
    </row>
    <row r="51" spans="1:31">
      <c r="A51" t="s">
        <v>2149</v>
      </c>
      <c r="B51" t="s">
        <v>2148</v>
      </c>
      <c r="C51" t="s">
        <v>2147</v>
      </c>
      <c r="D51" t="s">
        <v>261</v>
      </c>
      <c r="E51">
        <v>14618.137694999999</v>
      </c>
      <c r="F51">
        <v>14397.037109000001</v>
      </c>
      <c r="G51">
        <v>14249.921875</v>
      </c>
      <c r="H51">
        <v>14150.152344</v>
      </c>
      <c r="I51">
        <v>14087.121094</v>
      </c>
      <c r="J51">
        <v>14064.766602</v>
      </c>
      <c r="K51">
        <v>14058.741211</v>
      </c>
      <c r="L51">
        <v>14087.708008</v>
      </c>
      <c r="M51">
        <v>14107.638671999999</v>
      </c>
      <c r="N51">
        <v>14117.623046999999</v>
      </c>
      <c r="O51">
        <v>14114.140625</v>
      </c>
      <c r="P51">
        <v>14096.923828000001</v>
      </c>
      <c r="Q51">
        <v>14071.174805000001</v>
      </c>
      <c r="R51">
        <v>14036.753906</v>
      </c>
      <c r="S51">
        <v>14005.644531</v>
      </c>
      <c r="T51">
        <v>13973.453125</v>
      </c>
      <c r="U51">
        <v>13956.648438</v>
      </c>
      <c r="V51">
        <v>13948.810546999999</v>
      </c>
      <c r="W51">
        <v>13972.287109000001</v>
      </c>
      <c r="X51">
        <v>14018.661133</v>
      </c>
      <c r="Y51">
        <v>14063.599609000001</v>
      </c>
      <c r="Z51">
        <v>14098.770508</v>
      </c>
      <c r="AA51">
        <v>14129.692383</v>
      </c>
      <c r="AB51">
        <v>14153.008789</v>
      </c>
      <c r="AC51">
        <v>14150.292969</v>
      </c>
      <c r="AD51">
        <v>14124.527344</v>
      </c>
      <c r="AE51" s="9">
        <v>-1E-3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703BC-32F9-434D-A53A-B7E59427CD6A}">
  <dimension ref="A1:AD56"/>
  <sheetViews>
    <sheetView workbookViewId="0"/>
  </sheetViews>
  <sheetFormatPr defaultRowHeight="14.25"/>
  <sheetData>
    <row r="1" spans="1:30">
      <c r="A1" t="s">
        <v>2115</v>
      </c>
      <c r="B1" t="s">
        <v>2116</v>
      </c>
      <c r="C1" t="s">
        <v>192</v>
      </c>
      <c r="D1" t="s">
        <v>2117</v>
      </c>
      <c r="E1" t="s">
        <v>2118</v>
      </c>
      <c r="F1" t="s">
        <v>2119</v>
      </c>
      <c r="G1" t="s">
        <v>2120</v>
      </c>
      <c r="H1" t="s">
        <v>2121</v>
      </c>
      <c r="I1" t="s">
        <v>2122</v>
      </c>
      <c r="J1" t="s">
        <v>2123</v>
      </c>
      <c r="K1" t="s">
        <v>2124</v>
      </c>
      <c r="L1" t="s">
        <v>2125</v>
      </c>
      <c r="M1" t="s">
        <v>2126</v>
      </c>
      <c r="N1" t="s">
        <v>2127</v>
      </c>
      <c r="O1" t="s">
        <v>2128</v>
      </c>
      <c r="P1" t="s">
        <v>2129</v>
      </c>
      <c r="Q1" t="s">
        <v>2130</v>
      </c>
      <c r="R1" t="s">
        <v>2131</v>
      </c>
      <c r="S1" t="s">
        <v>2132</v>
      </c>
      <c r="T1" t="s">
        <v>2133</v>
      </c>
      <c r="U1" t="s">
        <v>2134</v>
      </c>
      <c r="V1" t="s">
        <v>2135</v>
      </c>
      <c r="W1" t="s">
        <v>2136</v>
      </c>
      <c r="X1" t="s">
        <v>2137</v>
      </c>
      <c r="Y1" t="s">
        <v>2138</v>
      </c>
      <c r="Z1" t="s">
        <v>2139</v>
      </c>
      <c r="AA1" t="s">
        <v>2140</v>
      </c>
      <c r="AB1" t="s">
        <v>2141</v>
      </c>
      <c r="AC1" t="s">
        <v>2142</v>
      </c>
      <c r="AD1" t="s">
        <v>2143</v>
      </c>
    </row>
    <row r="2" spans="1:30">
      <c r="A2">
        <v>1</v>
      </c>
    </row>
    <row r="3" spans="1:30">
      <c r="A3">
        <v>2</v>
      </c>
      <c r="B3" t="s">
        <v>295</v>
      </c>
    </row>
    <row r="4" spans="1:30">
      <c r="A4">
        <v>3</v>
      </c>
      <c r="B4" t="s">
        <v>296</v>
      </c>
    </row>
    <row r="5" spans="1:30">
      <c r="A5">
        <v>4</v>
      </c>
      <c r="B5" t="s">
        <v>297</v>
      </c>
      <c r="C5" t="s">
        <v>194</v>
      </c>
      <c r="D5">
        <v>81.430267000000001</v>
      </c>
      <c r="E5">
        <v>76.890822999999997</v>
      </c>
      <c r="F5">
        <v>71.970993000000007</v>
      </c>
      <c r="G5">
        <v>67.921088999999995</v>
      </c>
      <c r="H5">
        <v>64.808014</v>
      </c>
      <c r="I5">
        <v>62.461823000000003</v>
      </c>
      <c r="J5">
        <v>60.352088999999999</v>
      </c>
      <c r="K5">
        <v>58.345897999999998</v>
      </c>
      <c r="L5">
        <v>56.505558000000001</v>
      </c>
      <c r="M5">
        <v>54.746814999999998</v>
      </c>
      <c r="N5">
        <v>53.085583</v>
      </c>
      <c r="O5">
        <v>51.379188999999997</v>
      </c>
      <c r="P5">
        <v>49.829754000000001</v>
      </c>
      <c r="Q5">
        <v>48.426186000000001</v>
      </c>
      <c r="R5">
        <v>47.121178</v>
      </c>
      <c r="S5">
        <v>45.871108999999997</v>
      </c>
      <c r="T5">
        <v>44.655296</v>
      </c>
      <c r="U5">
        <v>43.480578999999999</v>
      </c>
      <c r="V5">
        <v>42.336857000000002</v>
      </c>
      <c r="W5">
        <v>41.240662</v>
      </c>
      <c r="X5">
        <v>40.215598999999997</v>
      </c>
      <c r="Y5">
        <v>39.231304000000002</v>
      </c>
      <c r="Z5">
        <v>38.317055000000003</v>
      </c>
      <c r="AA5">
        <v>37.424652000000002</v>
      </c>
      <c r="AB5">
        <v>36.553452</v>
      </c>
      <c r="AC5">
        <v>35.659367000000003</v>
      </c>
      <c r="AD5">
        <v>-3.2489889999999999</v>
      </c>
    </row>
    <row r="6" spans="1:30">
      <c r="A6">
        <v>5</v>
      </c>
      <c r="B6" t="s">
        <v>298</v>
      </c>
      <c r="C6" t="s">
        <v>194</v>
      </c>
      <c r="D6">
        <v>0.226383</v>
      </c>
      <c r="E6">
        <v>0.19944799999999999</v>
      </c>
      <c r="F6">
        <v>0.17438699999999999</v>
      </c>
      <c r="G6">
        <v>0.15098500000000001</v>
      </c>
      <c r="H6">
        <v>0.12939800000000001</v>
      </c>
      <c r="I6">
        <v>0.109968</v>
      </c>
      <c r="J6">
        <v>9.2751E-2</v>
      </c>
      <c r="K6">
        <v>7.7730999999999995E-2</v>
      </c>
      <c r="L6">
        <v>6.5012E-2</v>
      </c>
      <c r="M6">
        <v>5.4496999999999997E-2</v>
      </c>
      <c r="N6">
        <v>4.6012999999999998E-2</v>
      </c>
      <c r="O6">
        <v>3.9314000000000002E-2</v>
      </c>
      <c r="P6">
        <v>3.4090000000000002E-2</v>
      </c>
      <c r="Q6">
        <v>3.0082999999999999E-2</v>
      </c>
      <c r="R6">
        <v>2.6991000000000001E-2</v>
      </c>
      <c r="S6">
        <v>2.4417999999999999E-2</v>
      </c>
      <c r="T6">
        <v>2.2158000000000001E-2</v>
      </c>
      <c r="U6">
        <v>2.0163E-2</v>
      </c>
      <c r="V6">
        <v>1.8380000000000001E-2</v>
      </c>
      <c r="W6">
        <v>1.6764999999999999E-2</v>
      </c>
      <c r="X6">
        <v>1.5296000000000001E-2</v>
      </c>
      <c r="Y6">
        <v>1.3958999999999999E-2</v>
      </c>
      <c r="Z6">
        <v>1.2742E-2</v>
      </c>
      <c r="AA6">
        <v>1.1634E-2</v>
      </c>
      <c r="AB6">
        <v>1.0624E-2</v>
      </c>
      <c r="AC6">
        <v>9.7050000000000001E-3</v>
      </c>
      <c r="AD6">
        <v>-11.836981</v>
      </c>
    </row>
    <row r="7" spans="1:30">
      <c r="A7">
        <v>6</v>
      </c>
      <c r="B7" t="s">
        <v>299</v>
      </c>
      <c r="C7" t="s">
        <v>194</v>
      </c>
      <c r="D7">
        <v>81.656647000000007</v>
      </c>
      <c r="E7">
        <v>77.090271000000001</v>
      </c>
      <c r="F7">
        <v>72.145377999999994</v>
      </c>
      <c r="G7">
        <v>68.072074999999998</v>
      </c>
      <c r="H7">
        <v>64.937415999999999</v>
      </c>
      <c r="I7">
        <v>62.571789000000003</v>
      </c>
      <c r="J7">
        <v>60.444839000000002</v>
      </c>
      <c r="K7">
        <v>58.423630000000003</v>
      </c>
      <c r="L7">
        <v>56.570568000000002</v>
      </c>
      <c r="M7">
        <v>54.801310999999998</v>
      </c>
      <c r="N7">
        <v>53.131596000000002</v>
      </c>
      <c r="O7">
        <v>51.418503000000001</v>
      </c>
      <c r="P7">
        <v>49.863846000000002</v>
      </c>
      <c r="Q7">
        <v>48.456268000000001</v>
      </c>
      <c r="R7">
        <v>47.14817</v>
      </c>
      <c r="S7">
        <v>45.895527000000001</v>
      </c>
      <c r="T7">
        <v>44.677455999999999</v>
      </c>
      <c r="U7">
        <v>43.500743999999997</v>
      </c>
      <c r="V7">
        <v>42.355235999999998</v>
      </c>
      <c r="W7">
        <v>41.257427</v>
      </c>
      <c r="X7">
        <v>40.230896000000001</v>
      </c>
      <c r="Y7">
        <v>39.245261999999997</v>
      </c>
      <c r="Z7">
        <v>38.329796000000002</v>
      </c>
      <c r="AA7">
        <v>37.436287</v>
      </c>
      <c r="AB7">
        <v>36.564075000000003</v>
      </c>
      <c r="AC7">
        <v>35.669071000000002</v>
      </c>
      <c r="AD7">
        <v>-3.25868</v>
      </c>
    </row>
    <row r="8" spans="1:30">
      <c r="A8">
        <v>7</v>
      </c>
    </row>
    <row r="9" spans="1:30">
      <c r="A9">
        <v>8</v>
      </c>
      <c r="B9" t="s">
        <v>300</v>
      </c>
    </row>
    <row r="10" spans="1:30">
      <c r="A10">
        <v>9</v>
      </c>
      <c r="B10" t="s">
        <v>301</v>
      </c>
      <c r="C10" t="s">
        <v>194</v>
      </c>
      <c r="D10">
        <v>2.7600739999999999</v>
      </c>
      <c r="E10">
        <v>2.2337500000000001</v>
      </c>
      <c r="F10">
        <v>1.9149499999999999</v>
      </c>
      <c r="G10">
        <v>1.640979</v>
      </c>
      <c r="H10">
        <v>1.4012629999999999</v>
      </c>
      <c r="I10">
        <v>1.1919550000000001</v>
      </c>
      <c r="J10">
        <v>1.0125219999999999</v>
      </c>
      <c r="K10">
        <v>0.86182499999999995</v>
      </c>
      <c r="L10">
        <v>0.74045399999999995</v>
      </c>
      <c r="M10">
        <v>0.64316799999999996</v>
      </c>
      <c r="N10">
        <v>0.56685799999999997</v>
      </c>
      <c r="O10">
        <v>0.50846000000000002</v>
      </c>
      <c r="P10">
        <v>0.46231899999999998</v>
      </c>
      <c r="Q10">
        <v>0.42546200000000001</v>
      </c>
      <c r="R10">
        <v>0.39624500000000001</v>
      </c>
      <c r="S10">
        <v>0.372361</v>
      </c>
      <c r="T10">
        <v>0.35239100000000001</v>
      </c>
      <c r="U10">
        <v>0.33537299999999998</v>
      </c>
      <c r="V10">
        <v>0.320851</v>
      </c>
      <c r="W10">
        <v>0.30832999999999999</v>
      </c>
      <c r="X10">
        <v>0.29730400000000001</v>
      </c>
      <c r="Y10">
        <v>0.28738799999999998</v>
      </c>
      <c r="Z10">
        <v>0.27857300000000002</v>
      </c>
      <c r="AA10">
        <v>0.27093299999999998</v>
      </c>
      <c r="AB10">
        <v>0.26388299999999998</v>
      </c>
      <c r="AC10">
        <v>0.257382</v>
      </c>
      <c r="AD10">
        <v>-9.0534379999999999</v>
      </c>
    </row>
    <row r="11" spans="1:30">
      <c r="A11">
        <v>10</v>
      </c>
      <c r="B11" t="s">
        <v>333</v>
      </c>
      <c r="C11" t="s">
        <v>194</v>
      </c>
      <c r="D11">
        <v>0.17866399999999999</v>
      </c>
      <c r="E11">
        <v>0.18451300000000001</v>
      </c>
      <c r="F11">
        <v>0.18490000000000001</v>
      </c>
      <c r="G11">
        <v>0.179928</v>
      </c>
      <c r="H11">
        <v>0.17632900000000001</v>
      </c>
      <c r="I11">
        <v>0.176623</v>
      </c>
      <c r="J11">
        <v>0.17802499999999999</v>
      </c>
      <c r="K11">
        <v>0.18146399999999999</v>
      </c>
      <c r="L11">
        <v>0.18618399999999999</v>
      </c>
      <c r="M11">
        <v>0.192305</v>
      </c>
      <c r="N11">
        <v>0.200158</v>
      </c>
      <c r="O11">
        <v>0.20849000000000001</v>
      </c>
      <c r="P11">
        <v>0.217478</v>
      </c>
      <c r="Q11">
        <v>0.227134</v>
      </c>
      <c r="R11">
        <v>0.237007</v>
      </c>
      <c r="S11">
        <v>0.24676999999999999</v>
      </c>
      <c r="T11">
        <v>0.25557999999999997</v>
      </c>
      <c r="U11">
        <v>0.26368999999999998</v>
      </c>
      <c r="V11">
        <v>0.271152</v>
      </c>
      <c r="W11">
        <v>0.27779300000000001</v>
      </c>
      <c r="X11">
        <v>0.28434599999999999</v>
      </c>
      <c r="Y11">
        <v>0.28996699999999997</v>
      </c>
      <c r="Z11">
        <v>0.29537000000000002</v>
      </c>
      <c r="AA11">
        <v>0.300288</v>
      </c>
      <c r="AB11">
        <v>0.30453799999999998</v>
      </c>
      <c r="AC11">
        <v>0.30771199999999999</v>
      </c>
      <c r="AD11">
        <v>2.1984569999999999</v>
      </c>
    </row>
    <row r="12" spans="1:30">
      <c r="A12">
        <v>11</v>
      </c>
      <c r="B12" t="s">
        <v>334</v>
      </c>
      <c r="C12" t="s">
        <v>194</v>
      </c>
      <c r="D12">
        <v>0.71263500000000002</v>
      </c>
      <c r="E12">
        <v>0.86419800000000002</v>
      </c>
      <c r="F12">
        <v>1.1857359999999999</v>
      </c>
      <c r="G12">
        <v>1.409656</v>
      </c>
      <c r="H12">
        <v>1.53366</v>
      </c>
      <c r="I12">
        <v>1.5446340000000001</v>
      </c>
      <c r="J12">
        <v>1.5709310000000001</v>
      </c>
      <c r="K12">
        <v>1.60239</v>
      </c>
      <c r="L12">
        <v>1.6811229999999999</v>
      </c>
      <c r="M12">
        <v>1.7801849999999999</v>
      </c>
      <c r="N12">
        <v>1.8958999999999999</v>
      </c>
      <c r="O12">
        <v>1.996977</v>
      </c>
      <c r="P12">
        <v>2.0982229999999999</v>
      </c>
      <c r="Q12">
        <v>2.1976290000000001</v>
      </c>
      <c r="R12">
        <v>2.2928739999999999</v>
      </c>
      <c r="S12">
        <v>2.3745129999999999</v>
      </c>
      <c r="T12">
        <v>2.451819</v>
      </c>
      <c r="U12">
        <v>2.5255190000000001</v>
      </c>
      <c r="V12">
        <v>2.5935890000000001</v>
      </c>
      <c r="W12">
        <v>2.6550129999999998</v>
      </c>
      <c r="X12">
        <v>2.70695</v>
      </c>
      <c r="Y12">
        <v>2.7584369999999998</v>
      </c>
      <c r="Z12">
        <v>2.8117529999999999</v>
      </c>
      <c r="AA12">
        <v>2.858838</v>
      </c>
      <c r="AB12">
        <v>2.9010669999999998</v>
      </c>
      <c r="AC12">
        <v>2.9327030000000001</v>
      </c>
      <c r="AD12">
        <v>5.8220150000000004</v>
      </c>
    </row>
    <row r="13" spans="1:30">
      <c r="A13">
        <v>12</v>
      </c>
      <c r="B13" t="s">
        <v>335</v>
      </c>
      <c r="C13" t="s">
        <v>194</v>
      </c>
      <c r="D13">
        <v>3.9527960000000002</v>
      </c>
      <c r="E13">
        <v>4.5460570000000002</v>
      </c>
      <c r="F13">
        <v>5.333164</v>
      </c>
      <c r="G13">
        <v>5.9182889999999997</v>
      </c>
      <c r="H13">
        <v>6.763452</v>
      </c>
      <c r="I13">
        <v>7.6441489999999996</v>
      </c>
      <c r="J13">
        <v>8.5882609999999993</v>
      </c>
      <c r="K13">
        <v>9.4880139999999997</v>
      </c>
      <c r="L13">
        <v>10.409840000000001</v>
      </c>
      <c r="M13">
        <v>11.276294999999999</v>
      </c>
      <c r="N13">
        <v>12.146246</v>
      </c>
      <c r="O13">
        <v>12.913501999999999</v>
      </c>
      <c r="P13">
        <v>13.647614000000001</v>
      </c>
      <c r="Q13">
        <v>14.350970999999999</v>
      </c>
      <c r="R13">
        <v>15.013216</v>
      </c>
      <c r="S13">
        <v>15.606446</v>
      </c>
      <c r="T13">
        <v>16.131933</v>
      </c>
      <c r="U13">
        <v>16.606263999999999</v>
      </c>
      <c r="V13">
        <v>17.027069000000001</v>
      </c>
      <c r="W13">
        <v>17.397478</v>
      </c>
      <c r="X13">
        <v>17.738201</v>
      </c>
      <c r="Y13">
        <v>18.037312</v>
      </c>
      <c r="Z13">
        <v>18.330342999999999</v>
      </c>
      <c r="AA13">
        <v>18.584419</v>
      </c>
      <c r="AB13">
        <v>18.801786</v>
      </c>
      <c r="AC13">
        <v>18.949629000000002</v>
      </c>
      <c r="AD13">
        <v>6.4701459999999997</v>
      </c>
    </row>
    <row r="14" spans="1:30">
      <c r="A14">
        <v>13</v>
      </c>
      <c r="B14" t="s">
        <v>302</v>
      </c>
      <c r="C14" t="s">
        <v>194</v>
      </c>
      <c r="D14">
        <v>0.51268800000000003</v>
      </c>
      <c r="E14">
        <v>0.445882</v>
      </c>
      <c r="F14">
        <v>0.39179000000000003</v>
      </c>
      <c r="G14">
        <v>0.38426500000000002</v>
      </c>
      <c r="H14">
        <v>0.37635200000000002</v>
      </c>
      <c r="I14">
        <v>0.37056499999999998</v>
      </c>
      <c r="J14">
        <v>0.35606900000000002</v>
      </c>
      <c r="K14">
        <v>0.342026</v>
      </c>
      <c r="L14">
        <v>0.333619</v>
      </c>
      <c r="M14">
        <v>0.32821400000000001</v>
      </c>
      <c r="N14">
        <v>0.324208</v>
      </c>
      <c r="O14">
        <v>0.31773699999999999</v>
      </c>
      <c r="P14">
        <v>0.31159300000000001</v>
      </c>
      <c r="Q14">
        <v>0.30531799999999998</v>
      </c>
      <c r="R14">
        <v>0.29919099999999998</v>
      </c>
      <c r="S14">
        <v>0.29197899999999999</v>
      </c>
      <c r="T14">
        <v>0.28536</v>
      </c>
      <c r="U14">
        <v>0.27944400000000003</v>
      </c>
      <c r="V14">
        <v>0.27391100000000002</v>
      </c>
      <c r="W14">
        <v>0.26826800000000001</v>
      </c>
      <c r="X14">
        <v>0.26201400000000002</v>
      </c>
      <c r="Y14">
        <v>0.25653799999999999</v>
      </c>
      <c r="Z14">
        <v>0.251693</v>
      </c>
      <c r="AA14">
        <v>0.24688099999999999</v>
      </c>
      <c r="AB14">
        <v>0.24193000000000001</v>
      </c>
      <c r="AC14">
        <v>0.236619</v>
      </c>
      <c r="AD14">
        <v>-3.0455260000000002</v>
      </c>
    </row>
    <row r="15" spans="1:30">
      <c r="A15">
        <v>14</v>
      </c>
      <c r="B15" t="s">
        <v>303</v>
      </c>
      <c r="C15" t="s">
        <v>194</v>
      </c>
      <c r="D15">
        <v>0.27100099999999999</v>
      </c>
      <c r="E15">
        <v>0.36241800000000002</v>
      </c>
      <c r="F15">
        <v>0.50768000000000002</v>
      </c>
      <c r="G15">
        <v>0.61428000000000005</v>
      </c>
      <c r="H15">
        <v>0.58589000000000002</v>
      </c>
      <c r="I15">
        <v>0.52126899999999998</v>
      </c>
      <c r="J15">
        <v>0.47136699999999998</v>
      </c>
      <c r="K15">
        <v>0.43528699999999998</v>
      </c>
      <c r="L15">
        <v>0.41706199999999999</v>
      </c>
      <c r="M15">
        <v>0.40843600000000002</v>
      </c>
      <c r="N15">
        <v>0.40653499999999998</v>
      </c>
      <c r="O15">
        <v>0.40450399999999997</v>
      </c>
      <c r="P15">
        <v>0.40385700000000002</v>
      </c>
      <c r="Q15">
        <v>0.40477200000000002</v>
      </c>
      <c r="R15">
        <v>0.40715000000000001</v>
      </c>
      <c r="S15">
        <v>0.40963899999999998</v>
      </c>
      <c r="T15">
        <v>0.41070600000000002</v>
      </c>
      <c r="U15">
        <v>0.411076</v>
      </c>
      <c r="V15">
        <v>0.41089900000000001</v>
      </c>
      <c r="W15">
        <v>0.41004000000000002</v>
      </c>
      <c r="X15">
        <v>0.40983000000000003</v>
      </c>
      <c r="Y15">
        <v>0.40870899999999999</v>
      </c>
      <c r="Z15">
        <v>0.40839300000000001</v>
      </c>
      <c r="AA15">
        <v>0.407941</v>
      </c>
      <c r="AB15">
        <v>0.407694</v>
      </c>
      <c r="AC15">
        <v>0.40649200000000002</v>
      </c>
      <c r="AD15">
        <v>1.634978</v>
      </c>
    </row>
    <row r="16" spans="1:30">
      <c r="A16">
        <v>15</v>
      </c>
      <c r="B16" t="s">
        <v>305</v>
      </c>
      <c r="C16" t="s">
        <v>194</v>
      </c>
      <c r="D16">
        <v>4.4875069999999999</v>
      </c>
      <c r="E16">
        <v>5.0415929999999998</v>
      </c>
      <c r="F16">
        <v>5.4621170000000001</v>
      </c>
      <c r="G16">
        <v>5.6743670000000002</v>
      </c>
      <c r="H16">
        <v>5.8187170000000004</v>
      </c>
      <c r="I16">
        <v>6.0021909999999998</v>
      </c>
      <c r="J16">
        <v>6.2267549999999998</v>
      </c>
      <c r="K16">
        <v>6.4426800000000002</v>
      </c>
      <c r="L16">
        <v>6.6719290000000004</v>
      </c>
      <c r="M16">
        <v>6.8836820000000003</v>
      </c>
      <c r="N16">
        <v>7.0835470000000003</v>
      </c>
      <c r="O16">
        <v>7.2348699999999999</v>
      </c>
      <c r="P16">
        <v>7.3761520000000003</v>
      </c>
      <c r="Q16">
        <v>7.5100040000000003</v>
      </c>
      <c r="R16">
        <v>7.6315210000000002</v>
      </c>
      <c r="S16">
        <v>7.7344020000000002</v>
      </c>
      <c r="T16">
        <v>7.8192329999999997</v>
      </c>
      <c r="U16">
        <v>7.8895989999999996</v>
      </c>
      <c r="V16">
        <v>7.9436229999999997</v>
      </c>
      <c r="W16">
        <v>7.9863920000000004</v>
      </c>
      <c r="X16">
        <v>8.0265369999999994</v>
      </c>
      <c r="Y16">
        <v>8.0610560000000007</v>
      </c>
      <c r="Z16">
        <v>8.100187</v>
      </c>
      <c r="AA16">
        <v>8.1326680000000007</v>
      </c>
      <c r="AB16">
        <v>8.1571999999999996</v>
      </c>
      <c r="AC16">
        <v>8.1631549999999997</v>
      </c>
      <c r="AD16">
        <v>2.4222030000000001</v>
      </c>
    </row>
    <row r="17" spans="1:30">
      <c r="A17">
        <v>20</v>
      </c>
      <c r="B17" t="s">
        <v>311</v>
      </c>
      <c r="C17" t="s">
        <v>194</v>
      </c>
      <c r="D17">
        <v>1.2982E-2</v>
      </c>
      <c r="E17">
        <v>1.1873999999999999E-2</v>
      </c>
      <c r="F17">
        <v>1.0966999999999999E-2</v>
      </c>
      <c r="G17">
        <v>1.0144E-2</v>
      </c>
      <c r="H17">
        <v>9.3509999999999999E-3</v>
      </c>
      <c r="I17">
        <v>8.5780000000000006E-3</v>
      </c>
      <c r="J17">
        <v>7.7879999999999998E-3</v>
      </c>
      <c r="K17">
        <v>6.9750000000000003E-3</v>
      </c>
      <c r="L17">
        <v>6.1700000000000001E-3</v>
      </c>
      <c r="M17">
        <v>5.372E-3</v>
      </c>
      <c r="N17">
        <v>4.6179999999999997E-3</v>
      </c>
      <c r="O17">
        <v>3.9139999999999999E-3</v>
      </c>
      <c r="P17">
        <v>3.2820000000000002E-3</v>
      </c>
      <c r="Q17">
        <v>2.7269999999999998E-3</v>
      </c>
      <c r="R17">
        <v>2.2569999999999999E-3</v>
      </c>
      <c r="S17">
        <v>1.872E-3</v>
      </c>
      <c r="T17">
        <v>1.5770000000000001E-3</v>
      </c>
      <c r="U17">
        <v>1.3550000000000001E-3</v>
      </c>
      <c r="V17">
        <v>1.1850000000000001E-3</v>
      </c>
      <c r="W17">
        <v>1.0549999999999999E-3</v>
      </c>
      <c r="X17">
        <v>9.5799999999999998E-4</v>
      </c>
      <c r="Y17">
        <v>8.8699999999999998E-4</v>
      </c>
      <c r="Z17">
        <v>8.3299999999999997E-4</v>
      </c>
      <c r="AA17">
        <v>7.8700000000000005E-4</v>
      </c>
      <c r="AB17">
        <v>7.4600000000000003E-4</v>
      </c>
      <c r="AC17">
        <v>7.0899999999999999E-4</v>
      </c>
      <c r="AD17">
        <v>-10.980494</v>
      </c>
    </row>
    <row r="18" spans="1:30">
      <c r="A18">
        <v>21</v>
      </c>
      <c r="B18" t="s">
        <v>312</v>
      </c>
      <c r="C18" t="s">
        <v>194</v>
      </c>
      <c r="D18">
        <v>13.061911</v>
      </c>
      <c r="E18">
        <v>13.846887000000001</v>
      </c>
      <c r="F18">
        <v>15.132989999999999</v>
      </c>
      <c r="G18">
        <v>15.959448999999999</v>
      </c>
      <c r="H18">
        <v>16.779371000000001</v>
      </c>
      <c r="I18">
        <v>17.563133000000001</v>
      </c>
      <c r="J18">
        <v>18.504324</v>
      </c>
      <c r="K18">
        <v>19.443825</v>
      </c>
      <c r="L18">
        <v>20.521242000000001</v>
      </c>
      <c r="M18">
        <v>21.585425999999998</v>
      </c>
      <c r="N18">
        <v>22.689727999999999</v>
      </c>
      <c r="O18">
        <v>23.644877999999999</v>
      </c>
      <c r="P18">
        <v>24.573035999999998</v>
      </c>
      <c r="Q18">
        <v>25.473061000000001</v>
      </c>
      <c r="R18">
        <v>26.325457</v>
      </c>
      <c r="S18">
        <v>27.081195999999998</v>
      </c>
      <c r="T18">
        <v>27.749205</v>
      </c>
      <c r="U18">
        <v>28.350470999999999</v>
      </c>
      <c r="V18">
        <v>28.878126000000002</v>
      </c>
      <c r="W18">
        <v>29.338049000000002</v>
      </c>
      <c r="X18">
        <v>29.757785999999999</v>
      </c>
      <c r="Y18">
        <v>30.130026000000001</v>
      </c>
      <c r="Z18">
        <v>30.505085000000001</v>
      </c>
      <c r="AA18">
        <v>30.829004000000001</v>
      </c>
      <c r="AB18">
        <v>31.103505999999999</v>
      </c>
      <c r="AC18">
        <v>31.277573</v>
      </c>
      <c r="AD18">
        <v>3.5545179999999998</v>
      </c>
    </row>
    <row r="19" spans="1:30">
      <c r="A19">
        <v>22</v>
      </c>
    </row>
    <row r="20" spans="1:30">
      <c r="A20">
        <v>23</v>
      </c>
      <c r="B20" t="s">
        <v>313</v>
      </c>
      <c r="C20" t="s">
        <v>194</v>
      </c>
      <c r="D20">
        <v>94.718558999999999</v>
      </c>
      <c r="E20">
        <v>90.937156999999999</v>
      </c>
      <c r="F20">
        <v>87.278366000000005</v>
      </c>
      <c r="G20">
        <v>84.031525000000002</v>
      </c>
      <c r="H20">
        <v>81.716789000000006</v>
      </c>
      <c r="I20">
        <v>80.134917999999999</v>
      </c>
      <c r="J20">
        <v>78.949164999999994</v>
      </c>
      <c r="K20">
        <v>77.867455000000007</v>
      </c>
      <c r="L20">
        <v>77.091812000000004</v>
      </c>
      <c r="M20">
        <v>76.386734000000004</v>
      </c>
      <c r="N20">
        <v>75.82132</v>
      </c>
      <c r="O20">
        <v>75.063384999999997</v>
      </c>
      <c r="P20">
        <v>74.436881999999997</v>
      </c>
      <c r="Q20">
        <v>73.929328999999996</v>
      </c>
      <c r="R20">
        <v>73.473624999999998</v>
      </c>
      <c r="S20">
        <v>72.976723000000007</v>
      </c>
      <c r="T20">
        <v>72.426659000000001</v>
      </c>
      <c r="U20">
        <v>71.851212000000004</v>
      </c>
      <c r="V20">
        <v>71.233360000000005</v>
      </c>
      <c r="W20">
        <v>70.595473999999996</v>
      </c>
      <c r="X20">
        <v>69.988677999999993</v>
      </c>
      <c r="Y20">
        <v>69.375290000000007</v>
      </c>
      <c r="Z20">
        <v>68.834885</v>
      </c>
      <c r="AA20">
        <v>68.265288999999996</v>
      </c>
      <c r="AB20">
        <v>67.667580000000001</v>
      </c>
      <c r="AC20">
        <v>66.946640000000002</v>
      </c>
      <c r="AD20">
        <v>-1.3784670000000001</v>
      </c>
    </row>
    <row r="21" spans="1:30">
      <c r="A21">
        <v>24</v>
      </c>
    </row>
    <row r="22" spans="1:30">
      <c r="A22">
        <v>25</v>
      </c>
      <c r="B22" t="s">
        <v>154</v>
      </c>
    </row>
    <row r="23" spans="1:30">
      <c r="A23">
        <v>26</v>
      </c>
      <c r="B23" t="s">
        <v>314</v>
      </c>
    </row>
    <row r="24" spans="1:30">
      <c r="A24">
        <v>27</v>
      </c>
      <c r="B24" t="s">
        <v>297</v>
      </c>
      <c r="C24" t="s">
        <v>194</v>
      </c>
      <c r="D24">
        <v>167.00500500000001</v>
      </c>
      <c r="E24">
        <v>166.531937</v>
      </c>
      <c r="F24">
        <v>165.52387999999999</v>
      </c>
      <c r="G24">
        <v>164.682739</v>
      </c>
      <c r="H24">
        <v>165.50878900000001</v>
      </c>
      <c r="I24">
        <v>167.487762</v>
      </c>
      <c r="J24">
        <v>170.07295199999999</v>
      </c>
      <c r="K24">
        <v>172.575424</v>
      </c>
      <c r="L24">
        <v>174.15362500000001</v>
      </c>
      <c r="M24">
        <v>174.95210299999999</v>
      </c>
      <c r="N24">
        <v>175.10659799999999</v>
      </c>
      <c r="O24">
        <v>174.54852299999999</v>
      </c>
      <c r="P24">
        <v>173.693512</v>
      </c>
      <c r="Q24">
        <v>172.61067199999999</v>
      </c>
      <c r="R24">
        <v>171.078903</v>
      </c>
      <c r="S24">
        <v>169.39399700000001</v>
      </c>
      <c r="T24">
        <v>167.561249</v>
      </c>
      <c r="U24">
        <v>165.583099</v>
      </c>
      <c r="V24">
        <v>163.53587300000001</v>
      </c>
      <c r="W24">
        <v>161.45813000000001</v>
      </c>
      <c r="X24">
        <v>159.35067699999999</v>
      </c>
      <c r="Y24">
        <v>157.22135900000001</v>
      </c>
      <c r="Z24">
        <v>155.019012</v>
      </c>
      <c r="AA24">
        <v>152.751587</v>
      </c>
      <c r="AB24">
        <v>150.37882999999999</v>
      </c>
      <c r="AC24">
        <v>147.860748</v>
      </c>
      <c r="AD24">
        <v>-0.48582700000000001</v>
      </c>
    </row>
    <row r="25" spans="1:30">
      <c r="A25">
        <v>28</v>
      </c>
      <c r="B25" t="s">
        <v>298</v>
      </c>
      <c r="C25" t="s">
        <v>194</v>
      </c>
      <c r="D25">
        <v>1.9142520000000001</v>
      </c>
      <c r="E25">
        <v>2.1664249999999998</v>
      </c>
      <c r="F25">
        <v>2.3634539999999999</v>
      </c>
      <c r="G25">
        <v>2.5211440000000001</v>
      </c>
      <c r="H25">
        <v>2.6683490000000001</v>
      </c>
      <c r="I25">
        <v>2.816802</v>
      </c>
      <c r="J25">
        <v>2.9531559999999999</v>
      </c>
      <c r="K25">
        <v>3.0733700000000002</v>
      </c>
      <c r="L25">
        <v>3.1749390000000002</v>
      </c>
      <c r="M25">
        <v>3.2649270000000001</v>
      </c>
      <c r="N25">
        <v>3.3388849999999999</v>
      </c>
      <c r="O25">
        <v>3.3924439999999998</v>
      </c>
      <c r="P25">
        <v>3.4358520000000001</v>
      </c>
      <c r="Q25">
        <v>3.4723470000000001</v>
      </c>
      <c r="R25">
        <v>3.5003860000000002</v>
      </c>
      <c r="S25">
        <v>3.5184150000000001</v>
      </c>
      <c r="T25">
        <v>3.5295679999999998</v>
      </c>
      <c r="U25">
        <v>3.5352790000000001</v>
      </c>
      <c r="V25">
        <v>3.5357919999999998</v>
      </c>
      <c r="W25">
        <v>3.5311840000000001</v>
      </c>
      <c r="X25">
        <v>3.520197</v>
      </c>
      <c r="Y25">
        <v>3.5090979999999998</v>
      </c>
      <c r="Z25">
        <v>3.4950890000000001</v>
      </c>
      <c r="AA25">
        <v>3.479079</v>
      </c>
      <c r="AB25">
        <v>3.4576799999999999</v>
      </c>
      <c r="AC25">
        <v>3.43228</v>
      </c>
      <c r="AD25">
        <v>2.3630789999999999</v>
      </c>
    </row>
    <row r="26" spans="1:30">
      <c r="A26">
        <v>29</v>
      </c>
      <c r="B26" t="s">
        <v>315</v>
      </c>
      <c r="C26" t="s">
        <v>194</v>
      </c>
      <c r="D26">
        <v>168.91925000000001</v>
      </c>
      <c r="E26">
        <v>168.698364</v>
      </c>
      <c r="F26">
        <v>167.88732899999999</v>
      </c>
      <c r="G26">
        <v>167.20388800000001</v>
      </c>
      <c r="H26">
        <v>168.17713900000001</v>
      </c>
      <c r="I26">
        <v>170.304565</v>
      </c>
      <c r="J26">
        <v>173.02610799999999</v>
      </c>
      <c r="K26">
        <v>175.648788</v>
      </c>
      <c r="L26">
        <v>177.32856799999999</v>
      </c>
      <c r="M26">
        <v>178.217026</v>
      </c>
      <c r="N26">
        <v>178.44548</v>
      </c>
      <c r="O26">
        <v>177.94096400000001</v>
      </c>
      <c r="P26">
        <v>177.12936400000001</v>
      </c>
      <c r="Q26">
        <v>176.083023</v>
      </c>
      <c r="R26">
        <v>174.579285</v>
      </c>
      <c r="S26">
        <v>172.91241500000001</v>
      </c>
      <c r="T26">
        <v>171.09082000000001</v>
      </c>
      <c r="U26">
        <v>169.11837800000001</v>
      </c>
      <c r="V26">
        <v>167.07167100000001</v>
      </c>
      <c r="W26">
        <v>164.98931899999999</v>
      </c>
      <c r="X26">
        <v>162.87088</v>
      </c>
      <c r="Y26">
        <v>160.73045300000001</v>
      </c>
      <c r="Z26">
        <v>158.51409899999999</v>
      </c>
      <c r="AA26">
        <v>156.23066700000001</v>
      </c>
      <c r="AB26">
        <v>153.83651699999999</v>
      </c>
      <c r="AC26">
        <v>151.29302999999999</v>
      </c>
      <c r="AD26">
        <v>-0.43983899999999998</v>
      </c>
    </row>
    <row r="27" spans="1:30">
      <c r="A27">
        <v>30</v>
      </c>
    </row>
    <row r="28" spans="1:30">
      <c r="A28">
        <v>31</v>
      </c>
      <c r="B28" t="s">
        <v>316</v>
      </c>
    </row>
    <row r="29" spans="1:30">
      <c r="A29">
        <v>32</v>
      </c>
      <c r="B29" t="s">
        <v>301</v>
      </c>
      <c r="C29" t="s">
        <v>194</v>
      </c>
      <c r="D29">
        <v>17.296944</v>
      </c>
      <c r="E29">
        <v>14.764518000000001</v>
      </c>
      <c r="F29">
        <v>12.998991999999999</v>
      </c>
      <c r="G29">
        <v>11.457039999999999</v>
      </c>
      <c r="H29">
        <v>10.064844000000001</v>
      </c>
      <c r="I29">
        <v>8.8010359999999999</v>
      </c>
      <c r="J29">
        <v>7.6723160000000004</v>
      </c>
      <c r="K29">
        <v>6.6780140000000001</v>
      </c>
      <c r="L29">
        <v>5.8100550000000002</v>
      </c>
      <c r="M29">
        <v>5.0605960000000003</v>
      </c>
      <c r="N29">
        <v>4.4202969999999997</v>
      </c>
      <c r="O29">
        <v>3.8783159999999999</v>
      </c>
      <c r="P29">
        <v>3.4259119999999998</v>
      </c>
      <c r="Q29">
        <v>3.0538219999999998</v>
      </c>
      <c r="R29">
        <v>2.7440009999999999</v>
      </c>
      <c r="S29">
        <v>2.4838939999999998</v>
      </c>
      <c r="T29">
        <v>2.267417</v>
      </c>
      <c r="U29">
        <v>2.0876549999999998</v>
      </c>
      <c r="V29">
        <v>1.939886</v>
      </c>
      <c r="W29">
        <v>1.8172140000000001</v>
      </c>
      <c r="X29">
        <v>1.7133929999999999</v>
      </c>
      <c r="Y29">
        <v>1.6252949999999999</v>
      </c>
      <c r="Z29">
        <v>1.5502290000000001</v>
      </c>
      <c r="AA29">
        <v>1.484383</v>
      </c>
      <c r="AB29">
        <v>1.4249719999999999</v>
      </c>
      <c r="AC29">
        <v>1.3713489999999999</v>
      </c>
      <c r="AD29">
        <v>-9.6418900000000001</v>
      </c>
    </row>
    <row r="30" spans="1:30">
      <c r="A30">
        <v>33</v>
      </c>
      <c r="B30" t="s">
        <v>333</v>
      </c>
      <c r="C30" t="s">
        <v>194</v>
      </c>
      <c r="D30">
        <v>1.6740000000000001E-2</v>
      </c>
      <c r="E30">
        <v>2.0895E-2</v>
      </c>
      <c r="F30">
        <v>2.4788000000000001E-2</v>
      </c>
      <c r="G30">
        <v>2.8171999999999999E-2</v>
      </c>
      <c r="H30">
        <v>3.1891999999999997E-2</v>
      </c>
      <c r="I30">
        <v>3.6473999999999999E-2</v>
      </c>
      <c r="J30">
        <v>4.1522999999999997E-2</v>
      </c>
      <c r="K30">
        <v>4.7069E-2</v>
      </c>
      <c r="L30">
        <v>5.3018999999999997E-2</v>
      </c>
      <c r="M30">
        <v>5.9102000000000002E-2</v>
      </c>
      <c r="N30">
        <v>6.5460000000000004E-2</v>
      </c>
      <c r="O30">
        <v>7.1761000000000005E-2</v>
      </c>
      <c r="P30">
        <v>7.8118999999999994E-2</v>
      </c>
      <c r="Q30">
        <v>8.4530999999999995E-2</v>
      </c>
      <c r="R30">
        <v>9.0995999999999994E-2</v>
      </c>
      <c r="S30">
        <v>9.7462999999999994E-2</v>
      </c>
      <c r="T30">
        <v>0.103668</v>
      </c>
      <c r="U30">
        <v>0.109651</v>
      </c>
      <c r="V30">
        <v>0.115441</v>
      </c>
      <c r="W30">
        <v>0.121047</v>
      </c>
      <c r="X30">
        <v>0.12661600000000001</v>
      </c>
      <c r="Y30">
        <v>0.13181499999999999</v>
      </c>
      <c r="Z30">
        <v>0.13680500000000001</v>
      </c>
      <c r="AA30">
        <v>0.14147999999999999</v>
      </c>
      <c r="AB30">
        <v>0.14585300000000001</v>
      </c>
      <c r="AC30">
        <v>0.14973400000000001</v>
      </c>
      <c r="AD30">
        <v>9.1596910000000005</v>
      </c>
    </row>
    <row r="31" spans="1:30">
      <c r="A31">
        <v>34</v>
      </c>
      <c r="B31" t="s">
        <v>334</v>
      </c>
      <c r="C31" t="s">
        <v>194</v>
      </c>
      <c r="D31">
        <v>0.53218200000000004</v>
      </c>
      <c r="E31">
        <v>1.3081199999999999</v>
      </c>
      <c r="F31">
        <v>2.4345300000000001</v>
      </c>
      <c r="G31">
        <v>3.6659259999999998</v>
      </c>
      <c r="H31">
        <v>4.7672220000000003</v>
      </c>
      <c r="I31">
        <v>5.488067</v>
      </c>
      <c r="J31">
        <v>5.9544740000000003</v>
      </c>
      <c r="K31">
        <v>6.1994189999999998</v>
      </c>
      <c r="L31">
        <v>6.5614319999999999</v>
      </c>
      <c r="M31">
        <v>7.021039</v>
      </c>
      <c r="N31">
        <v>7.563466</v>
      </c>
      <c r="O31">
        <v>8.1044280000000004</v>
      </c>
      <c r="P31">
        <v>8.6677549999999997</v>
      </c>
      <c r="Q31">
        <v>9.2514920000000007</v>
      </c>
      <c r="R31">
        <v>9.835426</v>
      </c>
      <c r="S31">
        <v>10.426372000000001</v>
      </c>
      <c r="T31">
        <v>11.004276000000001</v>
      </c>
      <c r="U31">
        <v>11.569582</v>
      </c>
      <c r="V31">
        <v>12.1212</v>
      </c>
      <c r="W31">
        <v>12.660157999999999</v>
      </c>
      <c r="X31">
        <v>13.194995</v>
      </c>
      <c r="Y31">
        <v>13.701971</v>
      </c>
      <c r="Z31">
        <v>14.200227999999999</v>
      </c>
      <c r="AA31">
        <v>14.670595</v>
      </c>
      <c r="AB31">
        <v>15.123021</v>
      </c>
      <c r="AC31">
        <v>15.532781999999999</v>
      </c>
      <c r="AD31">
        <v>14.447827999999999</v>
      </c>
    </row>
    <row r="32" spans="1:30">
      <c r="A32">
        <v>35</v>
      </c>
      <c r="B32" t="s">
        <v>335</v>
      </c>
      <c r="C32" t="s">
        <v>194</v>
      </c>
      <c r="D32">
        <v>2.2525520000000001</v>
      </c>
      <c r="E32">
        <v>3.813396</v>
      </c>
      <c r="F32">
        <v>5.6479229999999996</v>
      </c>
      <c r="G32">
        <v>7.6287919999999998</v>
      </c>
      <c r="H32">
        <v>9.3221399999999992</v>
      </c>
      <c r="I32">
        <v>10.806817000000001</v>
      </c>
      <c r="J32">
        <v>11.812588</v>
      </c>
      <c r="K32">
        <v>12.773016999999999</v>
      </c>
      <c r="L32">
        <v>13.919634</v>
      </c>
      <c r="M32">
        <v>15.213635999999999</v>
      </c>
      <c r="N32">
        <v>16.616240000000001</v>
      </c>
      <c r="O32">
        <v>17.980879000000002</v>
      </c>
      <c r="P32">
        <v>19.361295999999999</v>
      </c>
      <c r="Q32">
        <v>20.754852</v>
      </c>
      <c r="R32">
        <v>22.139523000000001</v>
      </c>
      <c r="S32">
        <v>23.509962000000002</v>
      </c>
      <c r="T32">
        <v>24.815746000000001</v>
      </c>
      <c r="U32">
        <v>26.064253000000001</v>
      </c>
      <c r="V32">
        <v>27.258573999999999</v>
      </c>
      <c r="W32">
        <v>28.403348999999999</v>
      </c>
      <c r="X32">
        <v>29.523624000000002</v>
      </c>
      <c r="Y32">
        <v>30.562677000000001</v>
      </c>
      <c r="Z32">
        <v>31.561146000000001</v>
      </c>
      <c r="AA32">
        <v>32.485695</v>
      </c>
      <c r="AB32">
        <v>33.349339000000001</v>
      </c>
      <c r="AC32">
        <v>34.106440999999997</v>
      </c>
      <c r="AD32">
        <v>11.482438999999999</v>
      </c>
    </row>
    <row r="33" spans="1:30">
      <c r="A33">
        <v>36</v>
      </c>
      <c r="B33" t="s">
        <v>302</v>
      </c>
      <c r="C33" t="s">
        <v>194</v>
      </c>
      <c r="D33">
        <v>2.0657860000000001</v>
      </c>
      <c r="E33">
        <v>1.862412</v>
      </c>
      <c r="F33">
        <v>1.795018</v>
      </c>
      <c r="G33">
        <v>1.9327970000000001</v>
      </c>
      <c r="H33">
        <v>2.0793599999999999</v>
      </c>
      <c r="I33">
        <v>2.2394180000000001</v>
      </c>
      <c r="J33">
        <v>2.4202859999999999</v>
      </c>
      <c r="K33">
        <v>2.6063149999999999</v>
      </c>
      <c r="L33">
        <v>2.807439</v>
      </c>
      <c r="M33">
        <v>3.0191940000000002</v>
      </c>
      <c r="N33">
        <v>3.2469459999999999</v>
      </c>
      <c r="O33">
        <v>3.4499300000000002</v>
      </c>
      <c r="P33">
        <v>3.643313</v>
      </c>
      <c r="Q33">
        <v>3.8307699999999998</v>
      </c>
      <c r="R33">
        <v>4.012562</v>
      </c>
      <c r="S33">
        <v>4.1749219999999996</v>
      </c>
      <c r="T33">
        <v>4.3151109999999999</v>
      </c>
      <c r="U33">
        <v>4.4395119999999997</v>
      </c>
      <c r="V33">
        <v>4.5536000000000003</v>
      </c>
      <c r="W33">
        <v>4.6548299999999996</v>
      </c>
      <c r="X33">
        <v>4.7452290000000001</v>
      </c>
      <c r="Y33">
        <v>4.8218870000000003</v>
      </c>
      <c r="Z33">
        <v>4.8910150000000003</v>
      </c>
      <c r="AA33">
        <v>4.946625</v>
      </c>
      <c r="AB33">
        <v>4.9924179999999998</v>
      </c>
      <c r="AC33">
        <v>5.0208810000000001</v>
      </c>
      <c r="AD33">
        <v>3.6162290000000001</v>
      </c>
    </row>
    <row r="34" spans="1:30">
      <c r="A34">
        <v>37</v>
      </c>
      <c r="B34" t="s">
        <v>303</v>
      </c>
      <c r="C34" t="s">
        <v>194</v>
      </c>
      <c r="D34">
        <v>0.35441299999999998</v>
      </c>
      <c r="E34">
        <v>1.111755</v>
      </c>
      <c r="F34">
        <v>2.2391079999999999</v>
      </c>
      <c r="G34">
        <v>3.4980720000000001</v>
      </c>
      <c r="H34">
        <v>3.629696</v>
      </c>
      <c r="I34">
        <v>3.4786060000000001</v>
      </c>
      <c r="J34">
        <v>3.1869960000000002</v>
      </c>
      <c r="K34">
        <v>2.8573300000000001</v>
      </c>
      <c r="L34">
        <v>2.6432509999999998</v>
      </c>
      <c r="M34">
        <v>2.5225230000000001</v>
      </c>
      <c r="N34">
        <v>2.4475980000000002</v>
      </c>
      <c r="O34">
        <v>2.3775849999999998</v>
      </c>
      <c r="P34">
        <v>2.3157420000000002</v>
      </c>
      <c r="Q34">
        <v>2.2622779999999998</v>
      </c>
      <c r="R34">
        <v>2.218045</v>
      </c>
      <c r="S34">
        <v>2.1787580000000002</v>
      </c>
      <c r="T34">
        <v>2.135726</v>
      </c>
      <c r="U34">
        <v>2.0886420000000001</v>
      </c>
      <c r="V34">
        <v>2.038926</v>
      </c>
      <c r="W34">
        <v>1.9878880000000001</v>
      </c>
      <c r="X34">
        <v>1.940509</v>
      </c>
      <c r="Y34">
        <v>1.8923220000000001</v>
      </c>
      <c r="Z34">
        <v>1.8487899999999999</v>
      </c>
      <c r="AA34">
        <v>1.8083739999999999</v>
      </c>
      <c r="AB34">
        <v>1.7734840000000001</v>
      </c>
      <c r="AC34">
        <v>1.7414700000000001</v>
      </c>
      <c r="AD34">
        <v>6.5752240000000004</v>
      </c>
    </row>
    <row r="35" spans="1:30">
      <c r="A35">
        <v>38</v>
      </c>
      <c r="B35" t="s">
        <v>305</v>
      </c>
      <c r="C35" t="s">
        <v>194</v>
      </c>
      <c r="D35">
        <v>9.3962810000000001</v>
      </c>
      <c r="E35">
        <v>13.724565999999999</v>
      </c>
      <c r="F35">
        <v>17.591308999999999</v>
      </c>
      <c r="G35">
        <v>21.208586</v>
      </c>
      <c r="H35">
        <v>24.637710999999999</v>
      </c>
      <c r="I35">
        <v>27.933847</v>
      </c>
      <c r="J35">
        <v>30.972721</v>
      </c>
      <c r="K35">
        <v>33.684638999999997</v>
      </c>
      <c r="L35">
        <v>36.163272999999997</v>
      </c>
      <c r="M35">
        <v>38.406624000000001</v>
      </c>
      <c r="N35">
        <v>40.450417000000002</v>
      </c>
      <c r="O35">
        <v>42.204661999999999</v>
      </c>
      <c r="P35">
        <v>43.815319000000002</v>
      </c>
      <c r="Q35">
        <v>45.291004000000001</v>
      </c>
      <c r="R35">
        <v>46.867516000000002</v>
      </c>
      <c r="S35">
        <v>48.284927000000003</v>
      </c>
      <c r="T35">
        <v>49.472735999999998</v>
      </c>
      <c r="U35">
        <v>50.450096000000002</v>
      </c>
      <c r="V35">
        <v>51.305461999999999</v>
      </c>
      <c r="W35">
        <v>52.074863000000001</v>
      </c>
      <c r="X35">
        <v>52.778255000000001</v>
      </c>
      <c r="Y35">
        <v>53.402828</v>
      </c>
      <c r="Z35">
        <v>53.957889999999999</v>
      </c>
      <c r="AA35">
        <v>54.428584999999998</v>
      </c>
      <c r="AB35">
        <v>54.827736000000002</v>
      </c>
      <c r="AC35">
        <v>55.124062000000002</v>
      </c>
      <c r="AD35">
        <v>7.3335290000000004</v>
      </c>
    </row>
    <row r="36" spans="1:30">
      <c r="A36">
        <v>43</v>
      </c>
      <c r="B36" t="s">
        <v>311</v>
      </c>
      <c r="C36" t="s">
        <v>194</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row>
    <row r="37" spans="1:30">
      <c r="A37">
        <v>44</v>
      </c>
      <c r="B37" t="s">
        <v>317</v>
      </c>
      <c r="C37" t="s">
        <v>194</v>
      </c>
      <c r="D37">
        <v>32.101089000000002</v>
      </c>
      <c r="E37">
        <v>36.779460999999998</v>
      </c>
      <c r="F37">
        <v>42.894505000000002</v>
      </c>
      <c r="G37">
        <v>49.572166000000003</v>
      </c>
      <c r="H37">
        <v>54.676399000000004</v>
      </c>
      <c r="I37">
        <v>58.919105999999999</v>
      </c>
      <c r="J37">
        <v>62.187522999999999</v>
      </c>
      <c r="K37">
        <v>64.964675999999997</v>
      </c>
      <c r="L37">
        <v>68.069678999999994</v>
      </c>
      <c r="M37">
        <v>71.407425000000003</v>
      </c>
      <c r="N37">
        <v>74.908698999999999</v>
      </c>
      <c r="O37">
        <v>78.159835999999999</v>
      </c>
      <c r="P37">
        <v>81.394210999999999</v>
      </c>
      <c r="Q37">
        <v>84.610320999999999</v>
      </c>
      <c r="R37">
        <v>87.984802000000002</v>
      </c>
      <c r="S37">
        <v>91.228470000000002</v>
      </c>
      <c r="T37">
        <v>94.182570999999996</v>
      </c>
      <c r="U37">
        <v>96.873260000000002</v>
      </c>
      <c r="V37">
        <v>99.393173000000004</v>
      </c>
      <c r="W37">
        <v>101.775879</v>
      </c>
      <c r="X37">
        <v>104.07579</v>
      </c>
      <c r="Y37">
        <v>106.188812</v>
      </c>
      <c r="Z37">
        <v>108.193161</v>
      </c>
      <c r="AA37">
        <v>110.010002</v>
      </c>
      <c r="AB37">
        <v>111.678467</v>
      </c>
      <c r="AC37">
        <v>113.085892</v>
      </c>
      <c r="AD37">
        <v>5.1660459999999997</v>
      </c>
    </row>
    <row r="38" spans="1:30">
      <c r="A38">
        <v>45</v>
      </c>
    </row>
    <row r="39" spans="1:30">
      <c r="A39">
        <v>46</v>
      </c>
      <c r="B39" t="s">
        <v>318</v>
      </c>
      <c r="C39" t="s">
        <v>194</v>
      </c>
      <c r="D39">
        <v>201.02034</v>
      </c>
      <c r="E39">
        <v>205.47782900000001</v>
      </c>
      <c r="F39">
        <v>210.78183000000001</v>
      </c>
      <c r="G39">
        <v>216.776062</v>
      </c>
      <c r="H39">
        <v>222.85354599999999</v>
      </c>
      <c r="I39">
        <v>229.22366299999999</v>
      </c>
      <c r="J39">
        <v>235.21362300000001</v>
      </c>
      <c r="K39">
        <v>240.61346399999999</v>
      </c>
      <c r="L39">
        <v>245.39825400000001</v>
      </c>
      <c r="M39">
        <v>249.62445099999999</v>
      </c>
      <c r="N39">
        <v>253.354187</v>
      </c>
      <c r="O39">
        <v>256.10079999999999</v>
      </c>
      <c r="P39">
        <v>258.52355999999997</v>
      </c>
      <c r="Q39">
        <v>260.69335899999999</v>
      </c>
      <c r="R39">
        <v>262.56408699999997</v>
      </c>
      <c r="S39">
        <v>264.14086900000001</v>
      </c>
      <c r="T39">
        <v>265.27337599999998</v>
      </c>
      <c r="U39">
        <v>265.99163800000002</v>
      </c>
      <c r="V39">
        <v>266.46484400000003</v>
      </c>
      <c r="W39">
        <v>266.765198</v>
      </c>
      <c r="X39">
        <v>266.94665500000002</v>
      </c>
      <c r="Y39">
        <v>266.91924999999998</v>
      </c>
      <c r="Z39">
        <v>266.70727499999998</v>
      </c>
      <c r="AA39">
        <v>266.24066199999999</v>
      </c>
      <c r="AB39">
        <v>265.51498400000003</v>
      </c>
      <c r="AC39">
        <v>264.37890599999997</v>
      </c>
      <c r="AD39">
        <v>1.101936</v>
      </c>
    </row>
    <row r="40" spans="1:30">
      <c r="A40">
        <v>47</v>
      </c>
    </row>
    <row r="41" spans="1:30">
      <c r="A41">
        <v>48</v>
      </c>
      <c r="B41" t="s">
        <v>287</v>
      </c>
      <c r="C41" t="s">
        <v>194</v>
      </c>
      <c r="D41">
        <v>295.73889200000002</v>
      </c>
      <c r="E41">
        <v>296.41497800000002</v>
      </c>
      <c r="F41">
        <v>298.060181</v>
      </c>
      <c r="G41">
        <v>300.80758700000001</v>
      </c>
      <c r="H41">
        <v>304.57034299999998</v>
      </c>
      <c r="I41">
        <v>309.35858200000001</v>
      </c>
      <c r="J41">
        <v>314.162781</v>
      </c>
      <c r="K41">
        <v>318.48092700000001</v>
      </c>
      <c r="L41">
        <v>322.49005099999999</v>
      </c>
      <c r="M41">
        <v>326.011169</v>
      </c>
      <c r="N41">
        <v>329.17550699999998</v>
      </c>
      <c r="O41">
        <v>331.16418499999997</v>
      </c>
      <c r="P41">
        <v>332.96044899999998</v>
      </c>
      <c r="Q41">
        <v>334.622681</v>
      </c>
      <c r="R41">
        <v>336.03771999999998</v>
      </c>
      <c r="S41">
        <v>337.11758400000002</v>
      </c>
      <c r="T41">
        <v>337.70004299999999</v>
      </c>
      <c r="U41">
        <v>337.84283399999998</v>
      </c>
      <c r="V41">
        <v>337.69821200000001</v>
      </c>
      <c r="W41">
        <v>337.360657</v>
      </c>
      <c r="X41">
        <v>336.93533300000001</v>
      </c>
      <c r="Y41">
        <v>336.294556</v>
      </c>
      <c r="Z41">
        <v>335.54217499999999</v>
      </c>
      <c r="AA41">
        <v>334.50595099999998</v>
      </c>
      <c r="AB41">
        <v>333.18255599999998</v>
      </c>
      <c r="AC41">
        <v>331.32556199999999</v>
      </c>
      <c r="AD41">
        <v>0.45553199999999999</v>
      </c>
    </row>
    <row r="42" spans="1:30">
      <c r="A42">
        <v>49</v>
      </c>
    </row>
    <row r="43" spans="1:30">
      <c r="A43">
        <v>51</v>
      </c>
      <c r="B43" t="s">
        <v>226</v>
      </c>
      <c r="C43" t="s">
        <v>194</v>
      </c>
      <c r="D43">
        <v>45.668312</v>
      </c>
      <c r="E43">
        <v>46.357264999999998</v>
      </c>
      <c r="F43">
        <v>47.821770000000001</v>
      </c>
      <c r="G43">
        <v>49.201450000000001</v>
      </c>
      <c r="H43">
        <v>50.608902</v>
      </c>
      <c r="I43">
        <v>52.265681999999998</v>
      </c>
      <c r="J43">
        <v>53.900599999999997</v>
      </c>
      <c r="K43">
        <v>55.446601999999999</v>
      </c>
      <c r="L43">
        <v>56.751739999999998</v>
      </c>
      <c r="M43">
        <v>57.897007000000002</v>
      </c>
      <c r="N43">
        <v>58.775993</v>
      </c>
      <c r="O43">
        <v>59.366371000000001</v>
      </c>
      <c r="P43">
        <v>59.652434999999997</v>
      </c>
      <c r="Q43">
        <v>59.769196000000001</v>
      </c>
      <c r="R43">
        <v>59.593322999999998</v>
      </c>
      <c r="S43">
        <v>59.095073999999997</v>
      </c>
      <c r="T43">
        <v>58.264912000000002</v>
      </c>
      <c r="U43">
        <v>57.170940000000002</v>
      </c>
      <c r="V43">
        <v>55.749290000000002</v>
      </c>
      <c r="W43">
        <v>54.215336000000001</v>
      </c>
      <c r="X43">
        <v>52.587597000000002</v>
      </c>
      <c r="Y43">
        <v>50.900329999999997</v>
      </c>
      <c r="Z43">
        <v>49.229762999999998</v>
      </c>
      <c r="AA43">
        <v>47.421149999999997</v>
      </c>
      <c r="AB43">
        <v>45.628104999999998</v>
      </c>
      <c r="AC43">
        <v>43.816947999999996</v>
      </c>
      <c r="AD43">
        <v>-0.16539899999999999</v>
      </c>
    </row>
    <row r="44" spans="1:30">
      <c r="A44">
        <v>52</v>
      </c>
      <c r="B44" t="s">
        <v>181</v>
      </c>
      <c r="C44" t="s">
        <v>194</v>
      </c>
      <c r="D44">
        <v>32.412315</v>
      </c>
      <c r="E44">
        <v>31.964763999999999</v>
      </c>
      <c r="F44">
        <v>31.725176000000001</v>
      </c>
      <c r="G44">
        <v>31.199442000000001</v>
      </c>
      <c r="H44">
        <v>30.602293</v>
      </c>
      <c r="I44">
        <v>29.997312999999998</v>
      </c>
      <c r="J44">
        <v>29.296707000000001</v>
      </c>
      <c r="K44">
        <v>28.616931999999998</v>
      </c>
      <c r="L44">
        <v>27.912497999999999</v>
      </c>
      <c r="M44">
        <v>27.191734</v>
      </c>
      <c r="N44">
        <v>26.445685999999998</v>
      </c>
      <c r="O44">
        <v>25.670007999999999</v>
      </c>
      <c r="P44">
        <v>24.881304</v>
      </c>
      <c r="Q44">
        <v>24.046313999999999</v>
      </c>
      <c r="R44">
        <v>23.183928999999999</v>
      </c>
      <c r="S44">
        <v>22.276710999999999</v>
      </c>
      <c r="T44">
        <v>21.341470999999999</v>
      </c>
      <c r="U44">
        <v>20.396567999999998</v>
      </c>
      <c r="V44">
        <v>19.460270000000001</v>
      </c>
      <c r="W44">
        <v>18.568922000000001</v>
      </c>
      <c r="X44">
        <v>17.698269</v>
      </c>
      <c r="Y44">
        <v>16.864875999999999</v>
      </c>
      <c r="Z44">
        <v>16.068259999999999</v>
      </c>
      <c r="AA44">
        <v>15.288949000000001</v>
      </c>
      <c r="AB44">
        <v>14.518247000000001</v>
      </c>
      <c r="AC44">
        <v>13.765950999999999</v>
      </c>
      <c r="AD44">
        <v>-3.3673600000000001</v>
      </c>
    </row>
    <row r="45" spans="1:30">
      <c r="A45">
        <v>53</v>
      </c>
      <c r="B45" t="s">
        <v>184</v>
      </c>
      <c r="C45" t="s">
        <v>194</v>
      </c>
      <c r="D45">
        <v>1.2999999999999999E-4</v>
      </c>
      <c r="E45">
        <v>1.6200000000000001E-4</v>
      </c>
      <c r="F45">
        <v>2.04E-4</v>
      </c>
      <c r="G45">
        <v>2.4800000000000001E-4</v>
      </c>
      <c r="H45">
        <v>2.9500000000000001E-4</v>
      </c>
      <c r="I45">
        <v>3.4299999999999999E-4</v>
      </c>
      <c r="J45">
        <v>3.9399999999999998E-4</v>
      </c>
      <c r="K45">
        <v>4.44E-4</v>
      </c>
      <c r="L45">
        <v>4.9399999999999997E-4</v>
      </c>
      <c r="M45">
        <v>5.4199999999999995E-4</v>
      </c>
      <c r="N45">
        <v>5.9100000000000005E-4</v>
      </c>
      <c r="O45">
        <v>6.3900000000000003E-4</v>
      </c>
      <c r="P45">
        <v>6.8499999999999995E-4</v>
      </c>
      <c r="Q45">
        <v>7.2999999999999996E-4</v>
      </c>
      <c r="R45">
        <v>7.7200000000000001E-4</v>
      </c>
      <c r="S45">
        <v>8.1300000000000003E-4</v>
      </c>
      <c r="T45">
        <v>8.5099999999999998E-4</v>
      </c>
      <c r="U45">
        <v>8.8500000000000004E-4</v>
      </c>
      <c r="V45">
        <v>9.1500000000000001E-4</v>
      </c>
      <c r="W45">
        <v>9.3999999999999997E-4</v>
      </c>
      <c r="X45">
        <v>9.6500000000000004E-4</v>
      </c>
      <c r="Y45">
        <v>9.8900000000000008E-4</v>
      </c>
      <c r="Z45">
        <v>1.01E-3</v>
      </c>
      <c r="AA45">
        <v>1.0300000000000001E-3</v>
      </c>
      <c r="AB45">
        <v>1.049E-3</v>
      </c>
      <c r="AC45">
        <v>1.0679999999999999E-3</v>
      </c>
      <c r="AD45">
        <v>8.7864979999999999</v>
      </c>
    </row>
    <row r="46" spans="1:30">
      <c r="A46">
        <v>54</v>
      </c>
      <c r="B46" t="s">
        <v>187</v>
      </c>
      <c r="C46" t="s">
        <v>194</v>
      </c>
      <c r="D46">
        <v>9.6806000000000003E-2</v>
      </c>
      <c r="E46">
        <v>0.13337499999999999</v>
      </c>
      <c r="F46">
        <v>0.16139800000000001</v>
      </c>
      <c r="G46">
        <v>0.18407000000000001</v>
      </c>
      <c r="H46">
        <v>0.19942299999999999</v>
      </c>
      <c r="I46">
        <v>0.214668</v>
      </c>
      <c r="J46">
        <v>0.230737</v>
      </c>
      <c r="K46">
        <v>0.25209700000000002</v>
      </c>
      <c r="L46">
        <v>0.27643600000000002</v>
      </c>
      <c r="M46">
        <v>0.30591200000000002</v>
      </c>
      <c r="N46">
        <v>0.34505599999999997</v>
      </c>
      <c r="O46">
        <v>0.38989400000000002</v>
      </c>
      <c r="P46">
        <v>0.447687</v>
      </c>
      <c r="Q46">
        <v>0.52021499999999998</v>
      </c>
      <c r="R46">
        <v>0.60428800000000005</v>
      </c>
      <c r="S46">
        <v>0.70905499999999999</v>
      </c>
      <c r="T46">
        <v>0.82494000000000001</v>
      </c>
      <c r="U46">
        <v>0.95457599999999998</v>
      </c>
      <c r="V46">
        <v>1.094177</v>
      </c>
      <c r="W46">
        <v>1.245317</v>
      </c>
      <c r="X46">
        <v>1.410852</v>
      </c>
      <c r="Y46">
        <v>1.5939490000000001</v>
      </c>
      <c r="Z46">
        <v>1.7852859999999999</v>
      </c>
      <c r="AA46">
        <v>1.9818480000000001</v>
      </c>
      <c r="AB46">
        <v>2.18215</v>
      </c>
      <c r="AC46">
        <v>2.3912279999999999</v>
      </c>
      <c r="AD46">
        <v>13.68646</v>
      </c>
    </row>
    <row r="47" spans="1:30">
      <c r="A47">
        <v>55</v>
      </c>
      <c r="B47" t="s">
        <v>227</v>
      </c>
      <c r="C47" t="s">
        <v>194</v>
      </c>
      <c r="D47">
        <v>11.853073999999999</v>
      </c>
      <c r="E47">
        <v>11.366961</v>
      </c>
      <c r="F47">
        <v>10.910501</v>
      </c>
      <c r="G47">
        <v>10.293333000000001</v>
      </c>
      <c r="H47">
        <v>9.6379160000000006</v>
      </c>
      <c r="I47">
        <v>8.958888</v>
      </c>
      <c r="J47">
        <v>8.2078600000000002</v>
      </c>
      <c r="K47">
        <v>7.4868730000000001</v>
      </c>
      <c r="L47">
        <v>6.6811090000000002</v>
      </c>
      <c r="M47">
        <v>5.9732500000000002</v>
      </c>
      <c r="N47">
        <v>5.2751440000000001</v>
      </c>
      <c r="O47">
        <v>4.6475499999999998</v>
      </c>
      <c r="P47">
        <v>4.1049889999999998</v>
      </c>
      <c r="Q47">
        <v>3.6560220000000001</v>
      </c>
      <c r="R47">
        <v>3.2610459999999999</v>
      </c>
      <c r="S47">
        <v>2.9248989999999999</v>
      </c>
      <c r="T47">
        <v>2.624898</v>
      </c>
      <c r="U47">
        <v>2.4160499999999998</v>
      </c>
      <c r="V47">
        <v>2.2309199999999998</v>
      </c>
      <c r="W47">
        <v>2.0466850000000001</v>
      </c>
      <c r="X47">
        <v>1.9097980000000001</v>
      </c>
      <c r="Y47">
        <v>1.752048</v>
      </c>
      <c r="Z47">
        <v>1.607774</v>
      </c>
      <c r="AA47">
        <v>1.4493100000000001</v>
      </c>
      <c r="AB47">
        <v>1.2856019999999999</v>
      </c>
      <c r="AC47">
        <v>1.12114</v>
      </c>
      <c r="AD47">
        <v>-9.0017270000000007</v>
      </c>
    </row>
    <row r="48" spans="1:30">
      <c r="A48">
        <v>56</v>
      </c>
      <c r="B48" t="s">
        <v>228</v>
      </c>
      <c r="C48" t="s">
        <v>194</v>
      </c>
      <c r="D48">
        <v>1.3474390000000001</v>
      </c>
      <c r="E48">
        <v>1.901772</v>
      </c>
      <c r="F48">
        <v>2.4978120000000001</v>
      </c>
      <c r="G48">
        <v>3.0878030000000001</v>
      </c>
      <c r="H48">
        <v>3.6859540000000002</v>
      </c>
      <c r="I48">
        <v>4.2954939999999997</v>
      </c>
      <c r="J48">
        <v>4.9019240000000002</v>
      </c>
      <c r="K48">
        <v>5.5046210000000002</v>
      </c>
      <c r="L48">
        <v>6.0878379999999996</v>
      </c>
      <c r="M48">
        <v>6.6608349999999996</v>
      </c>
      <c r="N48">
        <v>7.2249759999999998</v>
      </c>
      <c r="O48">
        <v>7.7656689999999999</v>
      </c>
      <c r="P48">
        <v>8.2985559999999996</v>
      </c>
      <c r="Q48">
        <v>8.8137810000000005</v>
      </c>
      <c r="R48">
        <v>9.2997530000000008</v>
      </c>
      <c r="S48">
        <v>9.7925749999999994</v>
      </c>
      <c r="T48">
        <v>10.228865000000001</v>
      </c>
      <c r="U48">
        <v>10.568204</v>
      </c>
      <c r="V48">
        <v>10.84966</v>
      </c>
      <c r="W48">
        <v>11.118406</v>
      </c>
      <c r="X48">
        <v>11.402348999999999</v>
      </c>
      <c r="Y48">
        <v>11.707549</v>
      </c>
      <c r="Z48">
        <v>12.009741999999999</v>
      </c>
      <c r="AA48">
        <v>12.305374</v>
      </c>
      <c r="AB48">
        <v>12.649692</v>
      </c>
      <c r="AC48">
        <v>13.06096</v>
      </c>
      <c r="AD48">
        <v>9.5112249999999996</v>
      </c>
    </row>
    <row r="49" spans="1:30">
      <c r="A49">
        <v>57</v>
      </c>
      <c r="B49" t="s">
        <v>230</v>
      </c>
      <c r="C49" t="s">
        <v>194</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row>
    <row r="50" spans="1:30">
      <c r="A50">
        <v>58</v>
      </c>
      <c r="B50" t="s">
        <v>229</v>
      </c>
      <c r="C50" t="s">
        <v>194</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row>
    <row r="51" spans="1:30">
      <c r="A51">
        <v>59</v>
      </c>
      <c r="B51" t="s">
        <v>231</v>
      </c>
      <c r="C51" t="s">
        <v>194</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row>
    <row r="52" spans="1:30">
      <c r="A52">
        <v>60</v>
      </c>
      <c r="B52" t="s">
        <v>574</v>
      </c>
      <c r="C52" t="s">
        <v>194</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row>
    <row r="53" spans="1:30">
      <c r="A53">
        <v>61</v>
      </c>
      <c r="B53" t="s">
        <v>571</v>
      </c>
      <c r="C53" t="s">
        <v>194</v>
      </c>
      <c r="D53">
        <v>2.0056999999999998E-2</v>
      </c>
      <c r="E53">
        <v>5.4696000000000002E-2</v>
      </c>
      <c r="F53">
        <v>0.104488</v>
      </c>
      <c r="G53">
        <v>0.173875</v>
      </c>
      <c r="H53">
        <v>0.27503499999999997</v>
      </c>
      <c r="I53">
        <v>0.43381799999999998</v>
      </c>
      <c r="J53">
        <v>0.65872200000000003</v>
      </c>
      <c r="K53">
        <v>1.0080100000000001</v>
      </c>
      <c r="L53">
        <v>1.5284869999999999</v>
      </c>
      <c r="M53">
        <v>2.2142390000000001</v>
      </c>
      <c r="N53">
        <v>3.2344349999999999</v>
      </c>
      <c r="O53">
        <v>4.5384260000000003</v>
      </c>
      <c r="P53">
        <v>6.1679190000000004</v>
      </c>
      <c r="Q53">
        <v>8.0348419999999994</v>
      </c>
      <c r="R53">
        <v>10.154251</v>
      </c>
      <c r="S53">
        <v>12.487011000000001</v>
      </c>
      <c r="T53">
        <v>15.073817999999999</v>
      </c>
      <c r="U53">
        <v>17.865134999999999</v>
      </c>
      <c r="V53">
        <v>20.622091000000001</v>
      </c>
      <c r="W53">
        <v>23.400600000000001</v>
      </c>
      <c r="X53">
        <v>26.256392999999999</v>
      </c>
      <c r="Y53">
        <v>29.085794</v>
      </c>
      <c r="Z53">
        <v>31.802050000000001</v>
      </c>
      <c r="AA53">
        <v>34.500720999999999</v>
      </c>
      <c r="AB53">
        <v>37.228282999999998</v>
      </c>
      <c r="AC53">
        <v>39.879288000000003</v>
      </c>
      <c r="AD53">
        <v>35.500028999999998</v>
      </c>
    </row>
    <row r="54" spans="1:30">
      <c r="A54">
        <v>62</v>
      </c>
      <c r="B54" t="s">
        <v>568</v>
      </c>
      <c r="C54" t="s">
        <v>194</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row>
    <row r="55" spans="1:30">
      <c r="A55">
        <v>63</v>
      </c>
      <c r="B55" t="s">
        <v>319</v>
      </c>
      <c r="C55" t="s">
        <v>194</v>
      </c>
      <c r="D55">
        <v>91.398139999999998</v>
      </c>
      <c r="E55">
        <v>91.778992000000002</v>
      </c>
      <c r="F55">
        <v>93.221351999999996</v>
      </c>
      <c r="G55">
        <v>94.140213000000003</v>
      </c>
      <c r="H55">
        <v>95.009818999999993</v>
      </c>
      <c r="I55">
        <v>96.166199000000006</v>
      </c>
      <c r="J55">
        <v>97.196952999999993</v>
      </c>
      <c r="K55">
        <v>98.315582000000006</v>
      </c>
      <c r="L55">
        <v>99.238602</v>
      </c>
      <c r="M55">
        <v>100.243523</v>
      </c>
      <c r="N55">
        <v>101.30188</v>
      </c>
      <c r="O55">
        <v>102.378563</v>
      </c>
      <c r="P55">
        <v>103.553574</v>
      </c>
      <c r="Q55">
        <v>104.841103</v>
      </c>
      <c r="R55">
        <v>106.097359</v>
      </c>
      <c r="S55">
        <v>107.28613300000001</v>
      </c>
      <c r="T55">
        <v>108.359756</v>
      </c>
      <c r="U55">
        <v>109.37236</v>
      </c>
      <c r="V55">
        <v>110.00733200000001</v>
      </c>
      <c r="W55">
        <v>110.59620700000001</v>
      </c>
      <c r="X55">
        <v>111.266228</v>
      </c>
      <c r="Y55">
        <v>111.90553300000001</v>
      </c>
      <c r="Z55">
        <v>112.50387600000001</v>
      </c>
      <c r="AA55">
        <v>112.94838</v>
      </c>
      <c r="AB55">
        <v>113.493134</v>
      </c>
      <c r="AC55">
        <v>114.03658299999999</v>
      </c>
      <c r="AD55">
        <v>0.88910599999999995</v>
      </c>
    </row>
    <row r="56" spans="1:30">
      <c r="A56">
        <v>64</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CE8B3-2156-435E-BD2D-BE75CF07F311}">
  <dimension ref="A1:AD319"/>
  <sheetViews>
    <sheetView workbookViewId="0"/>
  </sheetViews>
  <sheetFormatPr defaultRowHeight="14.25"/>
  <cols>
    <col min="2" max="2" width="35.265625" bestFit="1" customWidth="1"/>
  </cols>
  <sheetData>
    <row r="1" spans="1:30">
      <c r="A1" t="s">
        <v>2115</v>
      </c>
      <c r="B1" t="s">
        <v>2116</v>
      </c>
      <c r="C1" t="s">
        <v>192</v>
      </c>
      <c r="D1" t="s">
        <v>2117</v>
      </c>
      <c r="E1" t="s">
        <v>2118</v>
      </c>
      <c r="F1" t="s">
        <v>2119</v>
      </c>
      <c r="G1" t="s">
        <v>2120</v>
      </c>
      <c r="H1" t="s">
        <v>2121</v>
      </c>
      <c r="I1" t="s">
        <v>2122</v>
      </c>
      <c r="J1" t="s">
        <v>2123</v>
      </c>
      <c r="K1" t="s">
        <v>2124</v>
      </c>
      <c r="L1" t="s">
        <v>2125</v>
      </c>
      <c r="M1" t="s">
        <v>2126</v>
      </c>
      <c r="N1" t="s">
        <v>2127</v>
      </c>
      <c r="O1" t="s">
        <v>2128</v>
      </c>
      <c r="P1" t="s">
        <v>2129</v>
      </c>
      <c r="Q1" t="s">
        <v>2130</v>
      </c>
      <c r="R1" t="s">
        <v>2131</v>
      </c>
      <c r="S1" t="s">
        <v>2132</v>
      </c>
      <c r="T1" t="s">
        <v>2133</v>
      </c>
      <c r="U1" t="s">
        <v>2134</v>
      </c>
      <c r="V1" t="s">
        <v>2135</v>
      </c>
      <c r="W1" t="s">
        <v>2136</v>
      </c>
      <c r="X1" t="s">
        <v>2137</v>
      </c>
      <c r="Y1" t="s">
        <v>2138</v>
      </c>
      <c r="Z1" t="s">
        <v>2139</v>
      </c>
      <c r="AA1" t="s">
        <v>2140</v>
      </c>
      <c r="AB1" t="s">
        <v>2141</v>
      </c>
      <c r="AC1" t="s">
        <v>2142</v>
      </c>
      <c r="AD1" t="s">
        <v>2143</v>
      </c>
    </row>
    <row r="2" spans="1:30">
      <c r="A2">
        <v>1</v>
      </c>
    </row>
    <row r="3" spans="1:30">
      <c r="A3">
        <v>2</v>
      </c>
      <c r="B3" t="s">
        <v>144</v>
      </c>
    </row>
    <row r="4" spans="1:30">
      <c r="A4">
        <v>3</v>
      </c>
    </row>
    <row r="5" spans="1:30">
      <c r="A5">
        <v>4</v>
      </c>
      <c r="B5" t="s">
        <v>225</v>
      </c>
    </row>
    <row r="6" spans="1:30">
      <c r="A6">
        <v>5</v>
      </c>
      <c r="B6" t="s">
        <v>162</v>
      </c>
    </row>
    <row r="7" spans="1:30">
      <c r="A7">
        <v>6</v>
      </c>
      <c r="B7" t="s">
        <v>181</v>
      </c>
      <c r="C7" t="s">
        <v>194</v>
      </c>
      <c r="D7">
        <v>58.413017000000004</v>
      </c>
      <c r="E7">
        <v>57.420310999999998</v>
      </c>
      <c r="F7">
        <v>56.362800999999997</v>
      </c>
      <c r="G7">
        <v>55.456158000000002</v>
      </c>
      <c r="H7">
        <v>54.686531000000002</v>
      </c>
      <c r="I7">
        <v>54.216652000000003</v>
      </c>
      <c r="J7">
        <v>53.628971</v>
      </c>
      <c r="K7">
        <v>53.071381000000002</v>
      </c>
      <c r="L7">
        <v>52.386211000000003</v>
      </c>
      <c r="M7">
        <v>51.729412000000004</v>
      </c>
      <c r="N7">
        <v>50.979725000000002</v>
      </c>
      <c r="O7">
        <v>50.103706000000003</v>
      </c>
      <c r="P7">
        <v>49.202807999999997</v>
      </c>
      <c r="Q7">
        <v>48.319229</v>
      </c>
      <c r="R7">
        <v>47.434058999999998</v>
      </c>
      <c r="S7">
        <v>46.587254000000001</v>
      </c>
      <c r="T7">
        <v>45.608745999999996</v>
      </c>
      <c r="U7">
        <v>44.484791000000001</v>
      </c>
      <c r="V7">
        <v>43.169189000000003</v>
      </c>
      <c r="W7">
        <v>41.718536</v>
      </c>
      <c r="X7">
        <v>40.212212000000001</v>
      </c>
      <c r="Y7">
        <v>38.761288</v>
      </c>
      <c r="Z7">
        <v>37.372833</v>
      </c>
      <c r="AA7">
        <v>35.951756000000003</v>
      </c>
      <c r="AB7">
        <v>34.608257000000002</v>
      </c>
      <c r="AC7">
        <v>33.299495999999998</v>
      </c>
      <c r="AD7">
        <v>-2.2229070000000002</v>
      </c>
    </row>
    <row r="8" spans="1:30">
      <c r="A8">
        <v>7</v>
      </c>
      <c r="B8" t="s">
        <v>226</v>
      </c>
      <c r="C8" t="s">
        <v>194</v>
      </c>
      <c r="D8">
        <v>27.328077</v>
      </c>
      <c r="E8">
        <v>28.272638000000001</v>
      </c>
      <c r="F8">
        <v>29.206049</v>
      </c>
      <c r="G8">
        <v>30.198536000000001</v>
      </c>
      <c r="H8">
        <v>31.257954000000002</v>
      </c>
      <c r="I8">
        <v>32.472884999999998</v>
      </c>
      <c r="J8">
        <v>33.565792000000002</v>
      </c>
      <c r="K8">
        <v>34.629910000000002</v>
      </c>
      <c r="L8">
        <v>35.530155000000001</v>
      </c>
      <c r="M8">
        <v>36.361716999999999</v>
      </c>
      <c r="N8">
        <v>37.028927000000003</v>
      </c>
      <c r="O8">
        <v>37.488135999999997</v>
      </c>
      <c r="P8">
        <v>37.843646999999997</v>
      </c>
      <c r="Q8">
        <v>38.147227999999998</v>
      </c>
      <c r="R8">
        <v>38.407978</v>
      </c>
      <c r="S8">
        <v>38.634765999999999</v>
      </c>
      <c r="T8">
        <v>38.685001</v>
      </c>
      <c r="U8">
        <v>38.508476000000002</v>
      </c>
      <c r="V8">
        <v>38.076014999999998</v>
      </c>
      <c r="W8">
        <v>37.432986999999997</v>
      </c>
      <c r="X8">
        <v>36.696804</v>
      </c>
      <c r="Y8">
        <v>35.933998000000003</v>
      </c>
      <c r="Z8">
        <v>35.163811000000003</v>
      </c>
      <c r="AA8">
        <v>34.305832000000002</v>
      </c>
      <c r="AB8">
        <v>33.493918999999998</v>
      </c>
      <c r="AC8">
        <v>32.678134999999997</v>
      </c>
      <c r="AD8">
        <v>0.71772999999999998</v>
      </c>
    </row>
    <row r="9" spans="1:30">
      <c r="A9">
        <v>8</v>
      </c>
      <c r="B9" t="s">
        <v>184</v>
      </c>
      <c r="C9" t="s">
        <v>194</v>
      </c>
      <c r="D9">
        <v>6.2399999999999999E-4</v>
      </c>
      <c r="E9">
        <v>6.2500000000000001E-4</v>
      </c>
      <c r="F9">
        <v>6.3199999999999997E-4</v>
      </c>
      <c r="G9">
        <v>6.5200000000000002E-4</v>
      </c>
      <c r="H9">
        <v>6.7299999999999999E-4</v>
      </c>
      <c r="I9">
        <v>6.96E-4</v>
      </c>
      <c r="J9">
        <v>7.2099999999999996E-4</v>
      </c>
      <c r="K9">
        <v>7.4700000000000005E-4</v>
      </c>
      <c r="L9">
        <v>7.4700000000000005E-4</v>
      </c>
      <c r="M9">
        <v>7.3999999999999999E-4</v>
      </c>
      <c r="N9">
        <v>7.4700000000000005E-4</v>
      </c>
      <c r="O9">
        <v>7.6400000000000003E-4</v>
      </c>
      <c r="P9">
        <v>7.8799999999999996E-4</v>
      </c>
      <c r="Q9">
        <v>8.1700000000000002E-4</v>
      </c>
      <c r="R9">
        <v>8.4900000000000004E-4</v>
      </c>
      <c r="S9">
        <v>8.8400000000000002E-4</v>
      </c>
      <c r="T9">
        <v>9.1799999999999998E-4</v>
      </c>
      <c r="U9">
        <v>9.5100000000000002E-4</v>
      </c>
      <c r="V9">
        <v>9.8200000000000002E-4</v>
      </c>
      <c r="W9">
        <v>1.0120000000000001E-3</v>
      </c>
      <c r="X9">
        <v>1.0430000000000001E-3</v>
      </c>
      <c r="Y9">
        <v>1.075E-3</v>
      </c>
      <c r="Z9">
        <v>1.1069999999999999E-3</v>
      </c>
      <c r="AA9">
        <v>1.1379999999999999E-3</v>
      </c>
      <c r="AB9">
        <v>1.168E-3</v>
      </c>
      <c r="AC9">
        <v>1.194E-3</v>
      </c>
      <c r="AD9">
        <v>2.6297109999999999</v>
      </c>
    </row>
    <row r="10" spans="1:30">
      <c r="A10">
        <v>9</v>
      </c>
      <c r="B10" t="s">
        <v>187</v>
      </c>
      <c r="C10" t="s">
        <v>194</v>
      </c>
      <c r="D10">
        <v>0.1018</v>
      </c>
      <c r="E10">
        <v>0.14121</v>
      </c>
      <c r="F10">
        <v>0.143647</v>
      </c>
      <c r="G10">
        <v>0.13892299999999999</v>
      </c>
      <c r="H10">
        <v>0.13481599999999999</v>
      </c>
      <c r="I10">
        <v>0.13215399999999999</v>
      </c>
      <c r="J10">
        <v>0.13029099999999999</v>
      </c>
      <c r="K10">
        <v>0.130465</v>
      </c>
      <c r="L10">
        <v>0.13180600000000001</v>
      </c>
      <c r="M10">
        <v>0.134191</v>
      </c>
      <c r="N10">
        <v>0.138595</v>
      </c>
      <c r="O10">
        <v>0.14476</v>
      </c>
      <c r="P10">
        <v>0.157973</v>
      </c>
      <c r="Q10">
        <v>0.17305100000000001</v>
      </c>
      <c r="R10">
        <v>0.19067700000000001</v>
      </c>
      <c r="S10">
        <v>0.21778900000000001</v>
      </c>
      <c r="T10">
        <v>0.252384</v>
      </c>
      <c r="U10">
        <v>0.30060399999999998</v>
      </c>
      <c r="V10">
        <v>0.35725000000000001</v>
      </c>
      <c r="W10">
        <v>0.42241699999999999</v>
      </c>
      <c r="X10">
        <v>0.50091600000000003</v>
      </c>
      <c r="Y10">
        <v>0.58230499999999996</v>
      </c>
      <c r="Z10">
        <v>0.68046799999999996</v>
      </c>
      <c r="AA10">
        <v>0.79107400000000005</v>
      </c>
      <c r="AB10">
        <v>0.906443</v>
      </c>
      <c r="AC10">
        <v>1.0415190000000001</v>
      </c>
      <c r="AD10">
        <v>9.7480550000000008</v>
      </c>
    </row>
    <row r="11" spans="1:30">
      <c r="A11">
        <v>10</v>
      </c>
      <c r="B11" t="s">
        <v>227</v>
      </c>
      <c r="C11" t="s">
        <v>194</v>
      </c>
      <c r="D11">
        <v>2.7343039999999998</v>
      </c>
      <c r="E11">
        <v>2.4784830000000002</v>
      </c>
      <c r="F11">
        <v>2.2343510000000002</v>
      </c>
      <c r="G11">
        <v>2.0132509999999999</v>
      </c>
      <c r="H11">
        <v>1.81403</v>
      </c>
      <c r="I11">
        <v>1.6366449999999999</v>
      </c>
      <c r="J11">
        <v>1.472175</v>
      </c>
      <c r="K11">
        <v>1.3237030000000001</v>
      </c>
      <c r="L11">
        <v>1.1870419999999999</v>
      </c>
      <c r="M11">
        <v>1.0674490000000001</v>
      </c>
      <c r="N11">
        <v>0.95843500000000004</v>
      </c>
      <c r="O11">
        <v>0.85985999999999996</v>
      </c>
      <c r="P11">
        <v>0.76878999999999997</v>
      </c>
      <c r="Q11">
        <v>0.688141</v>
      </c>
      <c r="R11">
        <v>0.61310200000000004</v>
      </c>
      <c r="S11">
        <v>0.54715899999999995</v>
      </c>
      <c r="T11">
        <v>0.49035299999999998</v>
      </c>
      <c r="U11">
        <v>0.43975999999999998</v>
      </c>
      <c r="V11">
        <v>0.39577800000000002</v>
      </c>
      <c r="W11">
        <v>0.35375499999999999</v>
      </c>
      <c r="X11">
        <v>0.311554</v>
      </c>
      <c r="Y11">
        <v>0.27208399999999999</v>
      </c>
      <c r="Z11">
        <v>0.236563</v>
      </c>
      <c r="AA11">
        <v>0.19941500000000001</v>
      </c>
      <c r="AB11">
        <v>0.163905</v>
      </c>
      <c r="AC11">
        <v>0.13014300000000001</v>
      </c>
      <c r="AD11">
        <v>-11.467461999999999</v>
      </c>
    </row>
    <row r="12" spans="1:30">
      <c r="A12">
        <v>11</v>
      </c>
      <c r="B12" t="s">
        <v>228</v>
      </c>
      <c r="C12" t="s">
        <v>194</v>
      </c>
      <c r="D12">
        <v>0.201876</v>
      </c>
      <c r="E12">
        <v>0.23502300000000001</v>
      </c>
      <c r="F12">
        <v>0.26545099999999999</v>
      </c>
      <c r="G12">
        <v>0.29352699999999998</v>
      </c>
      <c r="H12">
        <v>0.32103100000000001</v>
      </c>
      <c r="I12">
        <v>0.34932299999999999</v>
      </c>
      <c r="J12">
        <v>0.37564500000000001</v>
      </c>
      <c r="K12">
        <v>0.401731</v>
      </c>
      <c r="L12">
        <v>0.426124</v>
      </c>
      <c r="M12">
        <v>0.45052900000000001</v>
      </c>
      <c r="N12">
        <v>0.47388799999999998</v>
      </c>
      <c r="O12">
        <v>0.49602499999999999</v>
      </c>
      <c r="P12">
        <v>0.51796600000000004</v>
      </c>
      <c r="Q12">
        <v>0.540045</v>
      </c>
      <c r="R12">
        <v>0.56184699999999999</v>
      </c>
      <c r="S12">
        <v>0.65988899999999995</v>
      </c>
      <c r="T12">
        <v>0.97650199999999998</v>
      </c>
      <c r="U12">
        <v>1.636871</v>
      </c>
      <c r="V12">
        <v>2.6317840000000001</v>
      </c>
      <c r="W12">
        <v>4.0087950000000001</v>
      </c>
      <c r="X12">
        <v>5.7281060000000004</v>
      </c>
      <c r="Y12">
        <v>7.6052670000000004</v>
      </c>
      <c r="Z12">
        <v>9.642061</v>
      </c>
      <c r="AA12">
        <v>11.816639</v>
      </c>
      <c r="AB12">
        <v>14.05707</v>
      </c>
      <c r="AC12">
        <v>16.278846999999999</v>
      </c>
      <c r="AD12">
        <v>19.195974</v>
      </c>
    </row>
    <row r="13" spans="1:30">
      <c r="A13">
        <v>12</v>
      </c>
      <c r="B13" t="s">
        <v>229</v>
      </c>
      <c r="C13" t="s">
        <v>194</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row>
    <row r="14" spans="1:30">
      <c r="A14">
        <v>13</v>
      </c>
      <c r="B14" t="s">
        <v>230</v>
      </c>
      <c r="C14" t="s">
        <v>194</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row>
    <row r="15" spans="1:30">
      <c r="A15">
        <v>14</v>
      </c>
      <c r="B15" t="s">
        <v>231</v>
      </c>
      <c r="C15" t="s">
        <v>194</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row>
    <row r="16" spans="1:30">
      <c r="A16">
        <v>15</v>
      </c>
      <c r="B16" t="s">
        <v>574</v>
      </c>
      <c r="C16" t="s">
        <v>194</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row>
    <row r="17" spans="1:30">
      <c r="A17">
        <v>16</v>
      </c>
      <c r="B17" t="s">
        <v>571</v>
      </c>
      <c r="C17" t="s">
        <v>194</v>
      </c>
      <c r="D17">
        <v>9.7702999999999998E-2</v>
      </c>
      <c r="E17">
        <v>0.26397500000000002</v>
      </c>
      <c r="F17">
        <v>0.48310999999999998</v>
      </c>
      <c r="G17">
        <v>0.75416000000000005</v>
      </c>
      <c r="H17">
        <v>1.1008020000000001</v>
      </c>
      <c r="I17">
        <v>1.58399</v>
      </c>
      <c r="J17">
        <v>2.203856</v>
      </c>
      <c r="K17">
        <v>2.9952920000000001</v>
      </c>
      <c r="L17">
        <v>4.0117510000000003</v>
      </c>
      <c r="M17">
        <v>5.2986370000000003</v>
      </c>
      <c r="N17">
        <v>6.892163</v>
      </c>
      <c r="O17">
        <v>8.8374550000000003</v>
      </c>
      <c r="P17">
        <v>11.058460999999999</v>
      </c>
      <c r="Q17">
        <v>13.483864000000001</v>
      </c>
      <c r="R17">
        <v>16.040925999999999</v>
      </c>
      <c r="S17">
        <v>18.654706999999998</v>
      </c>
      <c r="T17">
        <v>21.234294999999999</v>
      </c>
      <c r="U17">
        <v>23.733827999999999</v>
      </c>
      <c r="V17">
        <v>26.101175000000001</v>
      </c>
      <c r="W17">
        <v>28.37425</v>
      </c>
      <c r="X17">
        <v>30.614744000000002</v>
      </c>
      <c r="Y17">
        <v>32.802284</v>
      </c>
      <c r="Z17">
        <v>34.960982999999999</v>
      </c>
      <c r="AA17">
        <v>37.017426</v>
      </c>
      <c r="AB17">
        <v>38.974670000000003</v>
      </c>
      <c r="AC17">
        <v>40.763081</v>
      </c>
      <c r="AD17">
        <v>27.295866</v>
      </c>
    </row>
    <row r="18" spans="1:30">
      <c r="A18">
        <v>17</v>
      </c>
      <c r="B18" t="s">
        <v>568</v>
      </c>
      <c r="C18" t="s">
        <v>194</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row>
    <row r="19" spans="1:30" s="5" customFormat="1">
      <c r="A19" s="5">
        <v>18</v>
      </c>
      <c r="B19" s="5" t="s">
        <v>232</v>
      </c>
      <c r="C19" s="5" t="s">
        <v>194</v>
      </c>
      <c r="D19" s="5">
        <v>88.877380000000002</v>
      </c>
      <c r="E19" s="5">
        <v>88.812179999999998</v>
      </c>
      <c r="F19" s="5">
        <v>88.695930000000004</v>
      </c>
      <c r="G19" s="5">
        <v>88.855186000000003</v>
      </c>
      <c r="H19" s="5">
        <v>89.315735000000004</v>
      </c>
      <c r="I19" s="5">
        <v>90.392150999999998</v>
      </c>
      <c r="J19" s="5">
        <v>91.377357000000003</v>
      </c>
      <c r="K19" s="5">
        <v>92.553032000000002</v>
      </c>
      <c r="L19" s="5">
        <v>93.673728999999994</v>
      </c>
      <c r="M19" s="5">
        <v>95.042548999999994</v>
      </c>
      <c r="N19" s="5">
        <v>96.472305000000006</v>
      </c>
      <c r="O19" s="5">
        <v>97.930556999999993</v>
      </c>
      <c r="P19" s="5">
        <v>99.550017999999994</v>
      </c>
      <c r="Q19" s="5">
        <v>101.352165</v>
      </c>
      <c r="R19" s="5">
        <v>103.24904600000001</v>
      </c>
      <c r="S19" s="5">
        <v>105.302139</v>
      </c>
      <c r="T19" s="5">
        <v>107.247711</v>
      </c>
      <c r="U19" s="5">
        <v>109.10485799999999</v>
      </c>
      <c r="V19" s="5">
        <v>110.73187299999999</v>
      </c>
      <c r="W19" s="5">
        <v>112.311317</v>
      </c>
      <c r="X19" s="5">
        <v>114.064941</v>
      </c>
      <c r="Y19" s="5">
        <v>115.957893</v>
      </c>
      <c r="Z19" s="5">
        <v>118.05729700000001</v>
      </c>
      <c r="AA19" s="5">
        <v>120.082573</v>
      </c>
      <c r="AB19" s="5">
        <v>122.204697</v>
      </c>
      <c r="AC19" s="5">
        <v>124.19182600000001</v>
      </c>
      <c r="AD19" s="5">
        <v>1.3472740000000001</v>
      </c>
    </row>
    <row r="20" spans="1:30">
      <c r="A20">
        <v>19</v>
      </c>
      <c r="B20" t="s">
        <v>163</v>
      </c>
    </row>
    <row r="21" spans="1:30">
      <c r="A21">
        <v>20</v>
      </c>
      <c r="B21" t="s">
        <v>181</v>
      </c>
      <c r="C21" t="s">
        <v>194</v>
      </c>
      <c r="D21">
        <v>35.473877000000002</v>
      </c>
      <c r="E21">
        <v>34.636177000000004</v>
      </c>
      <c r="F21">
        <v>33.951636999999998</v>
      </c>
      <c r="G21">
        <v>33.342804000000001</v>
      </c>
      <c r="H21">
        <v>32.749153</v>
      </c>
      <c r="I21">
        <v>32.298198999999997</v>
      </c>
      <c r="J21">
        <v>31.770659999999999</v>
      </c>
      <c r="K21">
        <v>31.311335</v>
      </c>
      <c r="L21">
        <v>30.799313999999999</v>
      </c>
      <c r="M21">
        <v>30.333715000000002</v>
      </c>
      <c r="N21">
        <v>29.880741</v>
      </c>
      <c r="O21">
        <v>29.443608999999999</v>
      </c>
      <c r="P21">
        <v>29.022797000000001</v>
      </c>
      <c r="Q21">
        <v>28.609694000000001</v>
      </c>
      <c r="R21">
        <v>28.222280999999999</v>
      </c>
      <c r="S21">
        <v>27.871524999999998</v>
      </c>
      <c r="T21">
        <v>27.527695000000001</v>
      </c>
      <c r="U21">
        <v>27.212862000000001</v>
      </c>
      <c r="V21">
        <v>26.924488</v>
      </c>
      <c r="W21">
        <v>26.683699000000001</v>
      </c>
      <c r="X21">
        <v>26.514278000000001</v>
      </c>
      <c r="Y21">
        <v>26.380215</v>
      </c>
      <c r="Z21">
        <v>26.283073000000002</v>
      </c>
      <c r="AA21">
        <v>26.171040000000001</v>
      </c>
      <c r="AB21">
        <v>26.082260000000002</v>
      </c>
      <c r="AC21">
        <v>25.990124000000002</v>
      </c>
      <c r="AD21">
        <v>-1.23661</v>
      </c>
    </row>
    <row r="22" spans="1:30">
      <c r="A22">
        <v>21</v>
      </c>
      <c r="B22" t="s">
        <v>226</v>
      </c>
      <c r="C22" t="s">
        <v>194</v>
      </c>
      <c r="D22">
        <v>22.472100999999999</v>
      </c>
      <c r="E22">
        <v>22.273154999999999</v>
      </c>
      <c r="F22">
        <v>22.199646000000001</v>
      </c>
      <c r="G22">
        <v>22.199470999999999</v>
      </c>
      <c r="H22">
        <v>22.203886000000001</v>
      </c>
      <c r="I22">
        <v>22.291554999999999</v>
      </c>
      <c r="J22">
        <v>22.325485</v>
      </c>
      <c r="K22">
        <v>22.409365000000001</v>
      </c>
      <c r="L22">
        <v>22.439425</v>
      </c>
      <c r="M22">
        <v>22.504622000000001</v>
      </c>
      <c r="N22">
        <v>22.556878999999999</v>
      </c>
      <c r="O22">
        <v>22.584263</v>
      </c>
      <c r="P22">
        <v>22.614751999999999</v>
      </c>
      <c r="Q22">
        <v>22.633869000000001</v>
      </c>
      <c r="R22">
        <v>22.657530000000001</v>
      </c>
      <c r="S22">
        <v>22.692263000000001</v>
      </c>
      <c r="T22">
        <v>22.726047999999999</v>
      </c>
      <c r="U22">
        <v>22.763574999999999</v>
      </c>
      <c r="V22">
        <v>22.784922000000002</v>
      </c>
      <c r="W22">
        <v>22.818722000000001</v>
      </c>
      <c r="X22">
        <v>22.893072</v>
      </c>
      <c r="Y22">
        <v>22.978221999999999</v>
      </c>
      <c r="Z22">
        <v>23.073374000000001</v>
      </c>
      <c r="AA22">
        <v>23.140879000000002</v>
      </c>
      <c r="AB22">
        <v>23.219425000000001</v>
      </c>
      <c r="AC22">
        <v>23.281679</v>
      </c>
      <c r="AD22">
        <v>0.14166899999999999</v>
      </c>
    </row>
    <row r="23" spans="1:30">
      <c r="A23">
        <v>22</v>
      </c>
      <c r="B23" t="s">
        <v>184</v>
      </c>
      <c r="C23" t="s">
        <v>194</v>
      </c>
      <c r="D23">
        <v>2.1876E-2</v>
      </c>
      <c r="E23">
        <v>1.9477000000000001E-2</v>
      </c>
      <c r="F23">
        <v>1.7259E-2</v>
      </c>
      <c r="G23">
        <v>1.5325E-2</v>
      </c>
      <c r="H23">
        <v>1.2689000000000001E-2</v>
      </c>
      <c r="I23">
        <v>1.1285E-2</v>
      </c>
      <c r="J23">
        <v>9.9690000000000004E-3</v>
      </c>
      <c r="K23">
        <v>8.8690000000000001E-3</v>
      </c>
      <c r="L23">
        <v>7.9019999999999993E-3</v>
      </c>
      <c r="M23">
        <v>6.9049999999999997E-3</v>
      </c>
      <c r="N23">
        <v>6.1570000000000001E-3</v>
      </c>
      <c r="O23">
        <v>5.5669999999999999E-3</v>
      </c>
      <c r="P23">
        <v>5.097E-3</v>
      </c>
      <c r="Q23">
        <v>4.6909999999999999E-3</v>
      </c>
      <c r="R23">
        <v>4.3449999999999999E-3</v>
      </c>
      <c r="S23">
        <v>4.065E-3</v>
      </c>
      <c r="T23">
        <v>3.8070000000000001E-3</v>
      </c>
      <c r="U23">
        <v>3.581E-3</v>
      </c>
      <c r="V23">
        <v>3.3760000000000001E-3</v>
      </c>
      <c r="W23">
        <v>3.1779999999999998E-3</v>
      </c>
      <c r="X23">
        <v>3.0569999999999998E-3</v>
      </c>
      <c r="Y23">
        <v>2.9190000000000002E-3</v>
      </c>
      <c r="Z23">
        <v>2.794E-3</v>
      </c>
      <c r="AA23">
        <v>2.4719999999999998E-3</v>
      </c>
      <c r="AB23">
        <v>1.9599999999999999E-3</v>
      </c>
      <c r="AC23">
        <v>1.5579999999999999E-3</v>
      </c>
      <c r="AD23">
        <v>-10.028781</v>
      </c>
    </row>
    <row r="24" spans="1:30">
      <c r="A24">
        <v>23</v>
      </c>
      <c r="B24" t="s">
        <v>187</v>
      </c>
      <c r="C24" t="s">
        <v>194</v>
      </c>
      <c r="D24">
        <v>0.198516</v>
      </c>
      <c r="E24">
        <v>0.227574</v>
      </c>
      <c r="F24">
        <v>0.25463400000000003</v>
      </c>
      <c r="G24">
        <v>0.27815600000000001</v>
      </c>
      <c r="H24">
        <v>0.29812</v>
      </c>
      <c r="I24">
        <v>0.317631</v>
      </c>
      <c r="J24">
        <v>0.33446799999999999</v>
      </c>
      <c r="K24">
        <v>0.35050100000000001</v>
      </c>
      <c r="L24">
        <v>0.36430600000000002</v>
      </c>
      <c r="M24">
        <v>0.37732300000000002</v>
      </c>
      <c r="N24">
        <v>0.38946399999999998</v>
      </c>
      <c r="O24">
        <v>0.40045599999999998</v>
      </c>
      <c r="P24">
        <v>0.41007700000000002</v>
      </c>
      <c r="Q24">
        <v>0.418767</v>
      </c>
      <c r="R24">
        <v>0.42690800000000001</v>
      </c>
      <c r="S24">
        <v>0.43569200000000002</v>
      </c>
      <c r="T24">
        <v>0.44372400000000001</v>
      </c>
      <c r="U24">
        <v>0.45105200000000001</v>
      </c>
      <c r="V24">
        <v>0.45788400000000001</v>
      </c>
      <c r="W24">
        <v>0.46533799999999997</v>
      </c>
      <c r="X24">
        <v>0.47402899999999998</v>
      </c>
      <c r="Y24">
        <v>0.48351699999999997</v>
      </c>
      <c r="Z24">
        <v>0.493363</v>
      </c>
      <c r="AA24">
        <v>0.50212400000000001</v>
      </c>
      <c r="AB24">
        <v>0.51022999999999996</v>
      </c>
      <c r="AC24">
        <v>0.51827199999999995</v>
      </c>
      <c r="AD24">
        <v>3.913151</v>
      </c>
    </row>
    <row r="25" spans="1:30">
      <c r="A25">
        <v>24</v>
      </c>
      <c r="B25" t="s">
        <v>227</v>
      </c>
      <c r="C25" t="s">
        <v>194</v>
      </c>
      <c r="D25">
        <v>0.47174700000000003</v>
      </c>
      <c r="E25">
        <v>0.42419499999999999</v>
      </c>
      <c r="F25">
        <v>0.37902999999999998</v>
      </c>
      <c r="G25">
        <v>0.338592</v>
      </c>
      <c r="H25">
        <v>0.30352600000000002</v>
      </c>
      <c r="I25">
        <v>0.27228999999999998</v>
      </c>
      <c r="J25">
        <v>0.24334900000000001</v>
      </c>
      <c r="K25">
        <v>0.218305</v>
      </c>
      <c r="L25">
        <v>0.194632</v>
      </c>
      <c r="M25">
        <v>0.17452799999999999</v>
      </c>
      <c r="N25">
        <v>0.15762399999999999</v>
      </c>
      <c r="O25">
        <v>0.143036</v>
      </c>
      <c r="P25">
        <v>0.13103000000000001</v>
      </c>
      <c r="Q25">
        <v>0.12087100000000001</v>
      </c>
      <c r="R25">
        <v>0.112196</v>
      </c>
      <c r="S25">
        <v>0.10491200000000001</v>
      </c>
      <c r="T25">
        <v>9.8112000000000005E-2</v>
      </c>
      <c r="U25">
        <v>9.1596999999999998E-2</v>
      </c>
      <c r="V25">
        <v>8.5259000000000001E-2</v>
      </c>
      <c r="W25">
        <v>7.9066999999999998E-2</v>
      </c>
      <c r="X25">
        <v>7.2945999999999997E-2</v>
      </c>
      <c r="Y25">
        <v>6.6669999999999993E-2</v>
      </c>
      <c r="Z25">
        <v>5.9991999999999997E-2</v>
      </c>
      <c r="AA25">
        <v>5.3041999999999999E-2</v>
      </c>
      <c r="AB25">
        <v>4.6259000000000002E-2</v>
      </c>
      <c r="AC25">
        <v>3.9100999999999997E-2</v>
      </c>
      <c r="AD25">
        <v>-9.4811399999999999</v>
      </c>
    </row>
    <row r="26" spans="1:30">
      <c r="A26">
        <v>25</v>
      </c>
      <c r="B26" t="s">
        <v>228</v>
      </c>
      <c r="C26" t="s">
        <v>194</v>
      </c>
      <c r="D26">
        <v>3.286E-2</v>
      </c>
      <c r="E26">
        <v>3.8334E-2</v>
      </c>
      <c r="F26">
        <v>4.3722999999999998E-2</v>
      </c>
      <c r="G26">
        <v>4.8564999999999997E-2</v>
      </c>
      <c r="H26">
        <v>5.2797999999999998E-2</v>
      </c>
      <c r="I26">
        <v>5.6869000000000003E-2</v>
      </c>
      <c r="J26">
        <v>6.0378000000000001E-2</v>
      </c>
      <c r="K26">
        <v>6.3791E-2</v>
      </c>
      <c r="L26">
        <v>6.6864000000000007E-2</v>
      </c>
      <c r="M26">
        <v>6.9821999999999995E-2</v>
      </c>
      <c r="N26">
        <v>7.2529999999999997E-2</v>
      </c>
      <c r="O26">
        <v>7.4931999999999999E-2</v>
      </c>
      <c r="P26">
        <v>7.7126E-2</v>
      </c>
      <c r="Q26">
        <v>7.9027E-2</v>
      </c>
      <c r="R26">
        <v>8.0831E-2</v>
      </c>
      <c r="S26">
        <v>8.2580000000000001E-2</v>
      </c>
      <c r="T26">
        <v>8.4229999999999999E-2</v>
      </c>
      <c r="U26">
        <v>8.5760000000000003E-2</v>
      </c>
      <c r="V26">
        <v>8.7097999999999995E-2</v>
      </c>
      <c r="W26">
        <v>8.8384000000000004E-2</v>
      </c>
      <c r="X26">
        <v>8.9767E-2</v>
      </c>
      <c r="Y26">
        <v>9.1136999999999996E-2</v>
      </c>
      <c r="Z26">
        <v>9.2493000000000006E-2</v>
      </c>
      <c r="AA26">
        <v>9.3718999999999997E-2</v>
      </c>
      <c r="AB26">
        <v>9.4978999999999994E-2</v>
      </c>
      <c r="AC26">
        <v>9.6184000000000006E-2</v>
      </c>
      <c r="AD26">
        <v>4.3896940000000004</v>
      </c>
    </row>
    <row r="27" spans="1:30">
      <c r="A27">
        <v>26</v>
      </c>
      <c r="B27" t="s">
        <v>229</v>
      </c>
      <c r="C27" t="s">
        <v>194</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row>
    <row r="28" spans="1:30">
      <c r="A28">
        <v>27</v>
      </c>
      <c r="B28" t="s">
        <v>230</v>
      </c>
      <c r="C28" t="s">
        <v>194</v>
      </c>
      <c r="D28">
        <v>7.038E-3</v>
      </c>
      <c r="E28">
        <v>6.4260000000000003E-3</v>
      </c>
      <c r="F28">
        <v>5.8599999999999998E-3</v>
      </c>
      <c r="G28">
        <v>5.3169999999999997E-3</v>
      </c>
      <c r="H28">
        <v>4.8580000000000003E-3</v>
      </c>
      <c r="I28">
        <v>4.444E-3</v>
      </c>
      <c r="J28">
        <v>4.071E-3</v>
      </c>
      <c r="K28">
        <v>3.7720000000000002E-3</v>
      </c>
      <c r="L28">
        <v>3.4489999999999998E-3</v>
      </c>
      <c r="M28">
        <v>3.1610000000000002E-3</v>
      </c>
      <c r="N28">
        <v>2.8479999999999998E-3</v>
      </c>
      <c r="O28">
        <v>2.6020000000000001E-3</v>
      </c>
      <c r="P28">
        <v>2.382E-3</v>
      </c>
      <c r="Q28">
        <v>2.1840000000000002E-3</v>
      </c>
      <c r="R28">
        <v>2.0119999999999999E-3</v>
      </c>
      <c r="S28">
        <v>1.8450000000000001E-3</v>
      </c>
      <c r="T28">
        <v>1.676E-3</v>
      </c>
      <c r="U28">
        <v>1.5319999999999999E-3</v>
      </c>
      <c r="V28">
        <v>1.382E-3</v>
      </c>
      <c r="W28">
        <v>1.2409999999999999E-3</v>
      </c>
      <c r="X28">
        <v>1.165E-3</v>
      </c>
      <c r="Y28">
        <v>1.0790000000000001E-3</v>
      </c>
      <c r="Z28">
        <v>1.0059999999999999E-3</v>
      </c>
      <c r="AA28">
        <v>9.3499999999999996E-4</v>
      </c>
      <c r="AB28">
        <v>8.6499999999999999E-4</v>
      </c>
      <c r="AC28">
        <v>8.0099999999999995E-4</v>
      </c>
      <c r="AD28">
        <v>-8.3260699999999996</v>
      </c>
    </row>
    <row r="29" spans="1:30">
      <c r="A29">
        <v>28</v>
      </c>
      <c r="B29" t="s">
        <v>231</v>
      </c>
      <c r="C29" t="s">
        <v>194</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row>
    <row r="30" spans="1:30">
      <c r="A30">
        <v>29</v>
      </c>
      <c r="B30" t="s">
        <v>574</v>
      </c>
      <c r="C30" t="s">
        <v>194</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row>
    <row r="31" spans="1:30">
      <c r="A31">
        <v>30</v>
      </c>
      <c r="B31" t="s">
        <v>571</v>
      </c>
      <c r="C31" t="s">
        <v>194</v>
      </c>
      <c r="D31">
        <v>4.6002000000000001E-2</v>
      </c>
      <c r="E31">
        <v>0.107735</v>
      </c>
      <c r="F31">
        <v>0.18451600000000001</v>
      </c>
      <c r="G31">
        <v>0.27027800000000002</v>
      </c>
      <c r="H31">
        <v>0.36375800000000003</v>
      </c>
      <c r="I31">
        <v>0.475325</v>
      </c>
      <c r="J31">
        <v>0.61287899999999995</v>
      </c>
      <c r="K31">
        <v>0.79170300000000005</v>
      </c>
      <c r="L31">
        <v>1.023004</v>
      </c>
      <c r="M31">
        <v>1.3176159999999999</v>
      </c>
      <c r="N31">
        <v>1.6784289999999999</v>
      </c>
      <c r="O31">
        <v>2.094684</v>
      </c>
      <c r="P31">
        <v>2.5524879999999999</v>
      </c>
      <c r="Q31">
        <v>3.0349550000000001</v>
      </c>
      <c r="R31">
        <v>3.528108</v>
      </c>
      <c r="S31">
        <v>4.0255799999999997</v>
      </c>
      <c r="T31">
        <v>4.513166</v>
      </c>
      <c r="U31">
        <v>4.9802679999999997</v>
      </c>
      <c r="V31">
        <v>5.4193300000000004</v>
      </c>
      <c r="W31">
        <v>5.8347619999999996</v>
      </c>
      <c r="X31">
        <v>6.2338940000000003</v>
      </c>
      <c r="Y31">
        <v>6.6080959999999997</v>
      </c>
      <c r="Z31">
        <v>6.9560550000000001</v>
      </c>
      <c r="AA31">
        <v>7.2674459999999996</v>
      </c>
      <c r="AB31">
        <v>7.5584730000000002</v>
      </c>
      <c r="AC31">
        <v>7.8266819999999999</v>
      </c>
      <c r="AD31">
        <v>22.809479</v>
      </c>
    </row>
    <row r="32" spans="1:30">
      <c r="A32">
        <v>31</v>
      </c>
      <c r="B32" t="s">
        <v>568</v>
      </c>
      <c r="C32" t="s">
        <v>194</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row>
    <row r="33" spans="1:30" s="5" customFormat="1">
      <c r="A33" s="5">
        <v>32</v>
      </c>
      <c r="B33" s="5" t="s">
        <v>233</v>
      </c>
      <c r="C33" s="5" t="s">
        <v>194</v>
      </c>
      <c r="D33" s="5">
        <v>58.723937999999997</v>
      </c>
      <c r="E33" s="5">
        <v>57.732970999999999</v>
      </c>
      <c r="F33" s="5">
        <v>57.036320000000003</v>
      </c>
      <c r="G33" s="5">
        <v>56.498382999999997</v>
      </c>
      <c r="H33" s="5">
        <v>55.988700999999999</v>
      </c>
      <c r="I33" s="5">
        <v>55.72757</v>
      </c>
      <c r="J33" s="5">
        <v>55.361136999999999</v>
      </c>
      <c r="K33" s="5">
        <v>55.157550999999998</v>
      </c>
      <c r="L33" s="5">
        <v>54.898758000000001</v>
      </c>
      <c r="M33" s="5">
        <v>54.787543999999997</v>
      </c>
      <c r="N33" s="5">
        <v>54.744613999999999</v>
      </c>
      <c r="O33" s="5">
        <v>54.748992999999999</v>
      </c>
      <c r="P33" s="5">
        <v>54.815586000000003</v>
      </c>
      <c r="Q33" s="5">
        <v>54.903838999999998</v>
      </c>
      <c r="R33" s="5">
        <v>55.034004000000003</v>
      </c>
      <c r="S33" s="5">
        <v>55.218201000000001</v>
      </c>
      <c r="T33" s="5">
        <v>55.398125</v>
      </c>
      <c r="U33" s="5">
        <v>55.589947000000002</v>
      </c>
      <c r="V33" s="5">
        <v>55.763373999999999</v>
      </c>
      <c r="W33" s="5">
        <v>55.974079000000003</v>
      </c>
      <c r="X33" s="5">
        <v>56.281857000000002</v>
      </c>
      <c r="Y33" s="5">
        <v>56.611491999999998</v>
      </c>
      <c r="Z33" s="5">
        <v>56.961727000000003</v>
      </c>
      <c r="AA33" s="5">
        <v>57.231262000000001</v>
      </c>
      <c r="AB33" s="5">
        <v>57.514015000000001</v>
      </c>
      <c r="AC33" s="5">
        <v>57.753993999999999</v>
      </c>
      <c r="AD33" s="5">
        <v>-6.6598000000000004E-2</v>
      </c>
    </row>
    <row r="34" spans="1:30">
      <c r="A34">
        <v>33</v>
      </c>
      <c r="B34" t="s">
        <v>234</v>
      </c>
    </row>
    <row r="35" spans="1:30">
      <c r="A35">
        <v>34</v>
      </c>
      <c r="B35" t="s">
        <v>181</v>
      </c>
      <c r="C35" t="s">
        <v>194</v>
      </c>
      <c r="D35">
        <v>187.04557800000001</v>
      </c>
      <c r="E35">
        <v>189.13751199999999</v>
      </c>
      <c r="F35">
        <v>192.07028199999999</v>
      </c>
      <c r="G35">
        <v>194.86042800000001</v>
      </c>
      <c r="H35">
        <v>197.172211</v>
      </c>
      <c r="I35">
        <v>199.93974299999999</v>
      </c>
      <c r="J35">
        <v>201.88610800000001</v>
      </c>
      <c r="K35">
        <v>204.01026899999999</v>
      </c>
      <c r="L35">
        <v>205.725403</v>
      </c>
      <c r="M35">
        <v>207.68255600000001</v>
      </c>
      <c r="N35">
        <v>209.619247</v>
      </c>
      <c r="O35">
        <v>211.40707399999999</v>
      </c>
      <c r="P35">
        <v>213.059158</v>
      </c>
      <c r="Q35">
        <v>214.51824999999999</v>
      </c>
      <c r="R35">
        <v>215.864182</v>
      </c>
      <c r="S35">
        <v>217.23760999999999</v>
      </c>
      <c r="T35">
        <v>218.55920399999999</v>
      </c>
      <c r="U35">
        <v>219.76907299999999</v>
      </c>
      <c r="V35">
        <v>220.76521299999999</v>
      </c>
      <c r="W35">
        <v>221.80159</v>
      </c>
      <c r="X35">
        <v>223.12463399999999</v>
      </c>
      <c r="Y35">
        <v>224.456131</v>
      </c>
      <c r="Z35">
        <v>225.67697100000001</v>
      </c>
      <c r="AA35">
        <v>226.43829299999999</v>
      </c>
      <c r="AB35">
        <v>227.10455300000001</v>
      </c>
      <c r="AC35">
        <v>227.55908199999999</v>
      </c>
      <c r="AD35">
        <v>0.78731300000000004</v>
      </c>
    </row>
    <row r="36" spans="1:30">
      <c r="A36">
        <v>35</v>
      </c>
      <c r="B36" t="s">
        <v>226</v>
      </c>
      <c r="C36" t="s">
        <v>194</v>
      </c>
      <c r="D36">
        <v>0.165662</v>
      </c>
      <c r="E36">
        <v>0.14393700000000001</v>
      </c>
      <c r="F36">
        <v>0.12726799999999999</v>
      </c>
      <c r="G36">
        <v>0.11486399999999999</v>
      </c>
      <c r="H36">
        <v>0.105215</v>
      </c>
      <c r="I36">
        <v>9.8040000000000002E-2</v>
      </c>
      <c r="J36">
        <v>9.2852000000000004E-2</v>
      </c>
      <c r="K36">
        <v>8.8692999999999994E-2</v>
      </c>
      <c r="L36">
        <v>8.4903000000000006E-2</v>
      </c>
      <c r="M36">
        <v>8.2496E-2</v>
      </c>
      <c r="N36">
        <v>8.0517000000000005E-2</v>
      </c>
      <c r="O36">
        <v>7.9051999999999997E-2</v>
      </c>
      <c r="P36">
        <v>7.7437000000000006E-2</v>
      </c>
      <c r="Q36">
        <v>7.5494000000000006E-2</v>
      </c>
      <c r="R36">
        <v>7.2832999999999995E-2</v>
      </c>
      <c r="S36">
        <v>7.1006E-2</v>
      </c>
      <c r="T36">
        <v>6.9542000000000007E-2</v>
      </c>
      <c r="U36">
        <v>6.8474999999999994E-2</v>
      </c>
      <c r="V36">
        <v>6.7472000000000004E-2</v>
      </c>
      <c r="W36">
        <v>6.6792000000000004E-2</v>
      </c>
      <c r="X36">
        <v>6.6505999999999996E-2</v>
      </c>
      <c r="Y36">
        <v>6.6525000000000001E-2</v>
      </c>
      <c r="Z36">
        <v>6.6572000000000006E-2</v>
      </c>
      <c r="AA36">
        <v>6.6626000000000005E-2</v>
      </c>
      <c r="AB36">
        <v>6.6720000000000002E-2</v>
      </c>
      <c r="AC36">
        <v>6.6768999999999995E-2</v>
      </c>
      <c r="AD36">
        <v>-3.5695749999999999</v>
      </c>
    </row>
    <row r="37" spans="1:30">
      <c r="A37">
        <v>36</v>
      </c>
      <c r="B37" t="s">
        <v>184</v>
      </c>
      <c r="C37" t="s">
        <v>194</v>
      </c>
      <c r="D37">
        <v>3.0492999999999999E-2</v>
      </c>
      <c r="E37">
        <v>2.8195999999999999E-2</v>
      </c>
      <c r="F37">
        <v>2.6203000000000001E-2</v>
      </c>
      <c r="G37">
        <v>2.4306999999999999E-2</v>
      </c>
      <c r="H37">
        <v>2.2731000000000001E-2</v>
      </c>
      <c r="I37">
        <v>2.1214E-2</v>
      </c>
      <c r="J37">
        <v>1.9474000000000002E-2</v>
      </c>
      <c r="K37">
        <v>1.7863E-2</v>
      </c>
      <c r="L37">
        <v>1.6195999999999999E-2</v>
      </c>
      <c r="M37">
        <v>1.4772E-2</v>
      </c>
      <c r="N37">
        <v>1.3275E-2</v>
      </c>
      <c r="O37">
        <v>1.183E-2</v>
      </c>
      <c r="P37">
        <v>1.0407E-2</v>
      </c>
      <c r="Q37">
        <v>9.2250000000000006E-3</v>
      </c>
      <c r="R37">
        <v>8.2609999999999992E-3</v>
      </c>
      <c r="S37">
        <v>7.476E-3</v>
      </c>
      <c r="T37">
        <v>6.7320000000000001E-3</v>
      </c>
      <c r="U37">
        <v>6.0590000000000001E-3</v>
      </c>
      <c r="V37">
        <v>5.4349999999999997E-3</v>
      </c>
      <c r="W37">
        <v>4.9090000000000002E-3</v>
      </c>
      <c r="X37">
        <v>4.4710000000000001E-3</v>
      </c>
      <c r="Y37">
        <v>4.1180000000000001E-3</v>
      </c>
      <c r="Z37">
        <v>3.8070000000000001E-3</v>
      </c>
      <c r="AA37">
        <v>3.4589999999999998E-3</v>
      </c>
      <c r="AB37">
        <v>3.019E-3</v>
      </c>
      <c r="AC37">
        <v>2.6389999999999999E-3</v>
      </c>
      <c r="AD37">
        <v>-9.3240289999999995</v>
      </c>
    </row>
    <row r="38" spans="1:30">
      <c r="A38">
        <v>37</v>
      </c>
      <c r="B38" t="s">
        <v>187</v>
      </c>
      <c r="C38" t="s">
        <v>194</v>
      </c>
      <c r="D38">
        <v>2.1113170000000001</v>
      </c>
      <c r="E38">
        <v>2.2287050000000002</v>
      </c>
      <c r="F38">
        <v>2.310136</v>
      </c>
      <c r="G38">
        <v>2.3770319999999998</v>
      </c>
      <c r="H38">
        <v>2.4364699999999999</v>
      </c>
      <c r="I38">
        <v>2.4983179999999998</v>
      </c>
      <c r="J38">
        <v>2.552162</v>
      </c>
      <c r="K38">
        <v>2.6123880000000002</v>
      </c>
      <c r="L38">
        <v>2.672212</v>
      </c>
      <c r="M38">
        <v>2.739973</v>
      </c>
      <c r="N38">
        <v>2.811877</v>
      </c>
      <c r="O38">
        <v>2.8864510000000001</v>
      </c>
      <c r="P38">
        <v>2.970621</v>
      </c>
      <c r="Q38">
        <v>3.0586380000000002</v>
      </c>
      <c r="R38">
        <v>3.1548850000000002</v>
      </c>
      <c r="S38">
        <v>3.263404</v>
      </c>
      <c r="T38">
        <v>3.3801160000000001</v>
      </c>
      <c r="U38">
        <v>3.5095200000000002</v>
      </c>
      <c r="V38">
        <v>3.6568209999999999</v>
      </c>
      <c r="W38">
        <v>3.829383</v>
      </c>
      <c r="X38">
        <v>4.0910019999999996</v>
      </c>
      <c r="Y38">
        <v>4.3912399999999998</v>
      </c>
      <c r="Z38">
        <v>4.7886290000000002</v>
      </c>
      <c r="AA38">
        <v>5.2261090000000001</v>
      </c>
      <c r="AB38">
        <v>5.7467110000000003</v>
      </c>
      <c r="AC38">
        <v>6.3684960000000004</v>
      </c>
      <c r="AD38">
        <v>4.5151719999999997</v>
      </c>
    </row>
    <row r="39" spans="1:30">
      <c r="A39">
        <v>38</v>
      </c>
      <c r="B39" t="s">
        <v>227</v>
      </c>
      <c r="C39" t="s">
        <v>194</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row>
    <row r="40" spans="1:30">
      <c r="A40">
        <v>39</v>
      </c>
      <c r="B40" t="s">
        <v>228</v>
      </c>
      <c r="C40" t="s">
        <v>194</v>
      </c>
      <c r="D40">
        <v>0.24456700000000001</v>
      </c>
      <c r="E40">
        <v>0.303315</v>
      </c>
      <c r="F40">
        <v>0.36079699999999998</v>
      </c>
      <c r="G40">
        <v>0.41278900000000002</v>
      </c>
      <c r="H40">
        <v>0.45846500000000001</v>
      </c>
      <c r="I40">
        <v>0.50061299999999997</v>
      </c>
      <c r="J40">
        <v>0.53689299999999995</v>
      </c>
      <c r="K40">
        <v>0.56998000000000004</v>
      </c>
      <c r="L40">
        <v>0.59877599999999997</v>
      </c>
      <c r="M40">
        <v>0.62518700000000005</v>
      </c>
      <c r="N40">
        <v>0.64861999999999997</v>
      </c>
      <c r="O40">
        <v>0.669041</v>
      </c>
      <c r="P40">
        <v>0.68672999999999995</v>
      </c>
      <c r="Q40">
        <v>0.70204500000000003</v>
      </c>
      <c r="R40">
        <v>0.71543699999999999</v>
      </c>
      <c r="S40">
        <v>0.72790500000000002</v>
      </c>
      <c r="T40">
        <v>0.73904300000000001</v>
      </c>
      <c r="U40">
        <v>0.748973</v>
      </c>
      <c r="V40">
        <v>0.75750499999999998</v>
      </c>
      <c r="W40">
        <v>0.76573599999999997</v>
      </c>
      <c r="X40">
        <v>0.77509899999999998</v>
      </c>
      <c r="Y40">
        <v>0.78465399999999996</v>
      </c>
      <c r="Z40">
        <v>0.79425800000000002</v>
      </c>
      <c r="AA40">
        <v>0.80264000000000002</v>
      </c>
      <c r="AB40">
        <v>0.81125700000000001</v>
      </c>
      <c r="AC40">
        <v>0.81939799999999996</v>
      </c>
      <c r="AD40">
        <v>4.9551749999999997</v>
      </c>
    </row>
    <row r="41" spans="1:30">
      <c r="A41">
        <v>40</v>
      </c>
      <c r="B41" t="s">
        <v>229</v>
      </c>
      <c r="C41" t="s">
        <v>194</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row>
    <row r="42" spans="1:30">
      <c r="A42">
        <v>41</v>
      </c>
      <c r="B42" t="s">
        <v>230</v>
      </c>
      <c r="C42" t="s">
        <v>194</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row>
    <row r="43" spans="1:30">
      <c r="A43">
        <v>42</v>
      </c>
      <c r="B43" t="s">
        <v>231</v>
      </c>
      <c r="C43" t="s">
        <v>194</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row>
    <row r="44" spans="1:30">
      <c r="A44">
        <v>43</v>
      </c>
      <c r="B44" t="s">
        <v>574</v>
      </c>
      <c r="C44" t="s">
        <v>194</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row>
    <row r="45" spans="1:30">
      <c r="A45">
        <v>44</v>
      </c>
      <c r="B45" t="s">
        <v>571</v>
      </c>
      <c r="C45" t="s">
        <v>194</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row>
    <row r="46" spans="1:30">
      <c r="A46">
        <v>45</v>
      </c>
      <c r="B46" t="s">
        <v>568</v>
      </c>
      <c r="C46" t="s">
        <v>194</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row>
    <row r="47" spans="1:30">
      <c r="A47">
        <v>46</v>
      </c>
      <c r="B47" t="s">
        <v>235</v>
      </c>
      <c r="C47" t="s">
        <v>194</v>
      </c>
      <c r="D47">
        <v>189.59768700000001</v>
      </c>
      <c r="E47">
        <v>191.84149199999999</v>
      </c>
      <c r="F47">
        <v>194.89471399999999</v>
      </c>
      <c r="G47">
        <v>197.78938299999999</v>
      </c>
      <c r="H47">
        <v>200.19477800000001</v>
      </c>
      <c r="I47">
        <v>203.05796799999999</v>
      </c>
      <c r="J47">
        <v>205.08691400000001</v>
      </c>
      <c r="K47">
        <v>207.29878199999999</v>
      </c>
      <c r="L47">
        <v>209.09715299999999</v>
      </c>
      <c r="M47">
        <v>211.14454699999999</v>
      </c>
      <c r="N47">
        <v>213.17318700000001</v>
      </c>
      <c r="O47">
        <v>215.05342099999999</v>
      </c>
      <c r="P47">
        <v>216.80419900000001</v>
      </c>
      <c r="Q47">
        <v>218.36322000000001</v>
      </c>
      <c r="R47">
        <v>219.81549100000001</v>
      </c>
      <c r="S47">
        <v>221.30699200000001</v>
      </c>
      <c r="T47">
        <v>222.754242</v>
      </c>
      <c r="U47">
        <v>224.10157799999999</v>
      </c>
      <c r="V47">
        <v>225.25174000000001</v>
      </c>
      <c r="W47">
        <v>226.46798699999999</v>
      </c>
      <c r="X47">
        <v>228.06123400000001</v>
      </c>
      <c r="Y47">
        <v>229.702133</v>
      </c>
      <c r="Z47">
        <v>231.32983400000001</v>
      </c>
      <c r="AA47">
        <v>232.53666699999999</v>
      </c>
      <c r="AB47">
        <v>233.731628</v>
      </c>
      <c r="AC47">
        <v>234.816147</v>
      </c>
      <c r="AD47">
        <v>0.85926499999999995</v>
      </c>
    </row>
    <row r="48" spans="1:30">
      <c r="A48">
        <v>47</v>
      </c>
      <c r="B48" t="s">
        <v>236</v>
      </c>
      <c r="C48" t="s">
        <v>194</v>
      </c>
      <c r="D48">
        <v>337.19702100000001</v>
      </c>
      <c r="E48">
        <v>338.385895</v>
      </c>
      <c r="F48">
        <v>340.625336</v>
      </c>
      <c r="G48">
        <v>343.14169299999998</v>
      </c>
      <c r="H48">
        <v>345.498718</v>
      </c>
      <c r="I48">
        <v>349.17611699999998</v>
      </c>
      <c r="J48">
        <v>351.82409699999999</v>
      </c>
      <c r="K48">
        <v>355.00659200000001</v>
      </c>
      <c r="L48">
        <v>357.66717499999999</v>
      </c>
      <c r="M48">
        <v>360.97314499999999</v>
      </c>
      <c r="N48">
        <v>364.388733</v>
      </c>
      <c r="O48">
        <v>367.730774</v>
      </c>
      <c r="P48">
        <v>371.16729700000002</v>
      </c>
      <c r="Q48">
        <v>374.61730999999997</v>
      </c>
      <c r="R48">
        <v>378.09609999999998</v>
      </c>
      <c r="S48">
        <v>381.82568400000002</v>
      </c>
      <c r="T48">
        <v>385.39794899999998</v>
      </c>
      <c r="U48">
        <v>388.79470800000001</v>
      </c>
      <c r="V48">
        <v>391.74475100000001</v>
      </c>
      <c r="W48">
        <v>394.75170900000001</v>
      </c>
      <c r="X48">
        <v>398.40692100000001</v>
      </c>
      <c r="Y48">
        <v>402.26953099999997</v>
      </c>
      <c r="Z48">
        <v>406.34686299999998</v>
      </c>
      <c r="AA48">
        <v>409.84817500000003</v>
      </c>
      <c r="AB48">
        <v>413.44949300000002</v>
      </c>
      <c r="AC48">
        <v>416.75958300000002</v>
      </c>
      <c r="AD48">
        <v>0.85096899999999998</v>
      </c>
    </row>
    <row r="49" spans="1:30">
      <c r="A49">
        <v>48</v>
      </c>
    </row>
    <row r="50" spans="1:30">
      <c r="A50">
        <v>49</v>
      </c>
      <c r="B50" t="s">
        <v>237</v>
      </c>
    </row>
    <row r="51" spans="1:30">
      <c r="A51">
        <v>50</v>
      </c>
      <c r="B51" t="s">
        <v>162</v>
      </c>
    </row>
    <row r="52" spans="1:30">
      <c r="A52">
        <v>51</v>
      </c>
      <c r="B52" t="s">
        <v>181</v>
      </c>
      <c r="C52" t="s">
        <v>193</v>
      </c>
      <c r="D52">
        <v>559.32806400000004</v>
      </c>
      <c r="E52">
        <v>548.47369400000002</v>
      </c>
      <c r="F52">
        <v>536.50122099999999</v>
      </c>
      <c r="G52">
        <v>525.61968999999999</v>
      </c>
      <c r="H52">
        <v>515.81494099999998</v>
      </c>
      <c r="I52">
        <v>508.76144399999998</v>
      </c>
      <c r="J52">
        <v>500.73199499999998</v>
      </c>
      <c r="K52">
        <v>493.09927399999998</v>
      </c>
      <c r="L52">
        <v>484.52697799999999</v>
      </c>
      <c r="M52">
        <v>476.507294</v>
      </c>
      <c r="N52">
        <v>467.92550699999998</v>
      </c>
      <c r="O52">
        <v>458.43347199999999</v>
      </c>
      <c r="P52">
        <v>448.89547700000003</v>
      </c>
      <c r="Q52">
        <v>439.645081</v>
      </c>
      <c r="R52">
        <v>430.47848499999998</v>
      </c>
      <c r="S52">
        <v>421.82757600000002</v>
      </c>
      <c r="T52">
        <v>412.07046500000001</v>
      </c>
      <c r="U52">
        <v>401.17855800000001</v>
      </c>
      <c r="V52">
        <v>388.73263500000002</v>
      </c>
      <c r="W52">
        <v>375.16909800000002</v>
      </c>
      <c r="X52">
        <v>361.140106</v>
      </c>
      <c r="Y52">
        <v>347.658478</v>
      </c>
      <c r="Z52">
        <v>334.77767899999998</v>
      </c>
      <c r="AA52">
        <v>321.59347500000001</v>
      </c>
      <c r="AB52">
        <v>309.087311</v>
      </c>
      <c r="AC52">
        <v>296.88891599999999</v>
      </c>
      <c r="AD52">
        <v>-2.5016880000000001</v>
      </c>
    </row>
    <row r="53" spans="1:30">
      <c r="A53">
        <v>52</v>
      </c>
      <c r="B53" t="s">
        <v>226</v>
      </c>
      <c r="C53" t="s">
        <v>193</v>
      </c>
      <c r="D53">
        <v>281.99056999999999</v>
      </c>
      <c r="E53">
        <v>290.57605000000001</v>
      </c>
      <c r="F53">
        <v>299.06045499999999</v>
      </c>
      <c r="G53">
        <v>308.14880399999998</v>
      </c>
      <c r="H53">
        <v>317.93368500000003</v>
      </c>
      <c r="I53">
        <v>329.26113900000001</v>
      </c>
      <c r="J53">
        <v>339.386841</v>
      </c>
      <c r="K53">
        <v>349.26779199999999</v>
      </c>
      <c r="L53">
        <v>357.56308000000001</v>
      </c>
      <c r="M53">
        <v>365.23904399999998</v>
      </c>
      <c r="N53">
        <v>371.35327100000001</v>
      </c>
      <c r="O53">
        <v>375.45489500000002</v>
      </c>
      <c r="P53">
        <v>378.566711</v>
      </c>
      <c r="Q53">
        <v>381.20208700000001</v>
      </c>
      <c r="R53">
        <v>383.44101000000001</v>
      </c>
      <c r="S53">
        <v>385.38262900000001</v>
      </c>
      <c r="T53">
        <v>385.57369999999997</v>
      </c>
      <c r="U53">
        <v>383.51254299999999</v>
      </c>
      <c r="V53">
        <v>378.90652499999999</v>
      </c>
      <c r="W53">
        <v>372.17584199999999</v>
      </c>
      <c r="X53">
        <v>364.46542399999998</v>
      </c>
      <c r="Y53">
        <v>356.44775399999997</v>
      </c>
      <c r="Z53">
        <v>348.292236</v>
      </c>
      <c r="AA53">
        <v>339.18090799999999</v>
      </c>
      <c r="AB53">
        <v>330.47164900000001</v>
      </c>
      <c r="AC53">
        <v>321.69216899999998</v>
      </c>
      <c r="AD53">
        <v>0.52827599999999997</v>
      </c>
    </row>
    <row r="54" spans="1:30">
      <c r="A54">
        <v>53</v>
      </c>
      <c r="B54" t="s">
        <v>184</v>
      </c>
      <c r="C54" t="s">
        <v>193</v>
      </c>
      <c r="D54">
        <v>8.2419999999999993E-3</v>
      </c>
      <c r="E54">
        <v>8.0590000000000002E-3</v>
      </c>
      <c r="F54">
        <v>7.9559999999999995E-3</v>
      </c>
      <c r="G54">
        <v>8.0400000000000003E-3</v>
      </c>
      <c r="H54">
        <v>8.1620000000000009E-3</v>
      </c>
      <c r="I54">
        <v>8.3129999999999992E-3</v>
      </c>
      <c r="J54">
        <v>8.4840000000000002E-3</v>
      </c>
      <c r="K54">
        <v>8.6840000000000007E-3</v>
      </c>
      <c r="L54">
        <v>8.5450000000000005E-3</v>
      </c>
      <c r="M54">
        <v>8.2990000000000008E-3</v>
      </c>
      <c r="N54">
        <v>8.2489999999999994E-3</v>
      </c>
      <c r="O54">
        <v>8.3280000000000003E-3</v>
      </c>
      <c r="P54">
        <v>8.5079999999999999E-3</v>
      </c>
      <c r="Q54">
        <v>8.7559999999999999E-3</v>
      </c>
      <c r="R54">
        <v>9.0480000000000005E-3</v>
      </c>
      <c r="S54">
        <v>9.3679999999999996E-3</v>
      </c>
      <c r="T54">
        <v>9.6900000000000007E-3</v>
      </c>
      <c r="U54">
        <v>1.0005E-2</v>
      </c>
      <c r="V54">
        <v>1.0300999999999999E-2</v>
      </c>
      <c r="W54">
        <v>1.0592000000000001E-2</v>
      </c>
      <c r="X54">
        <v>1.0899000000000001E-2</v>
      </c>
      <c r="Y54">
        <v>1.1209E-2</v>
      </c>
      <c r="Z54">
        <v>1.1527000000000001E-2</v>
      </c>
      <c r="AA54">
        <v>1.183E-2</v>
      </c>
      <c r="AB54">
        <v>1.2118E-2</v>
      </c>
      <c r="AC54">
        <v>1.2370000000000001E-2</v>
      </c>
      <c r="AD54">
        <v>1.6376820000000001</v>
      </c>
    </row>
    <row r="55" spans="1:30">
      <c r="A55">
        <v>54</v>
      </c>
      <c r="B55" t="s">
        <v>187</v>
      </c>
      <c r="C55" t="s">
        <v>193</v>
      </c>
      <c r="D55">
        <v>1.133067</v>
      </c>
      <c r="E55">
        <v>1.563024</v>
      </c>
      <c r="F55">
        <v>1.587048</v>
      </c>
      <c r="G55">
        <v>1.5327919999999999</v>
      </c>
      <c r="H55">
        <v>1.484739</v>
      </c>
      <c r="I55">
        <v>1.452088</v>
      </c>
      <c r="J55">
        <v>1.427351</v>
      </c>
      <c r="K55">
        <v>1.423106</v>
      </c>
      <c r="L55">
        <v>1.430199</v>
      </c>
      <c r="M55">
        <v>1.447141</v>
      </c>
      <c r="N55">
        <v>1.4836400000000001</v>
      </c>
      <c r="O55">
        <v>1.5371049999999999</v>
      </c>
      <c r="P55">
        <v>1.6602589999999999</v>
      </c>
      <c r="Q55">
        <v>1.801264</v>
      </c>
      <c r="R55">
        <v>1.9681360000000001</v>
      </c>
      <c r="S55">
        <v>2.2290179999999999</v>
      </c>
      <c r="T55">
        <v>2.5649380000000002</v>
      </c>
      <c r="U55">
        <v>3.0347</v>
      </c>
      <c r="V55">
        <v>3.5866090000000002</v>
      </c>
      <c r="W55">
        <v>4.221781</v>
      </c>
      <c r="X55">
        <v>4.9877180000000001</v>
      </c>
      <c r="Y55">
        <v>5.7810139999999999</v>
      </c>
      <c r="Z55">
        <v>6.7387699999999997</v>
      </c>
      <c r="AA55">
        <v>7.8185089999999997</v>
      </c>
      <c r="AB55">
        <v>8.9442199999999996</v>
      </c>
      <c r="AC55">
        <v>10.26375</v>
      </c>
      <c r="AD55">
        <v>9.214931</v>
      </c>
    </row>
    <row r="56" spans="1:30">
      <c r="A56">
        <v>55</v>
      </c>
      <c r="B56" t="s">
        <v>227</v>
      </c>
      <c r="C56" t="s">
        <v>193</v>
      </c>
      <c r="D56">
        <v>32.525826000000002</v>
      </c>
      <c r="E56">
        <v>29.478151</v>
      </c>
      <c r="F56">
        <v>26.565994</v>
      </c>
      <c r="G56">
        <v>23.928398000000001</v>
      </c>
      <c r="H56">
        <v>21.550608</v>
      </c>
      <c r="I56">
        <v>19.435327999999998</v>
      </c>
      <c r="J56">
        <v>17.476296999999999</v>
      </c>
      <c r="K56">
        <v>15.711513999999999</v>
      </c>
      <c r="L56">
        <v>14.090517</v>
      </c>
      <c r="M56">
        <v>12.675261000000001</v>
      </c>
      <c r="N56">
        <v>11.383523</v>
      </c>
      <c r="O56">
        <v>10.210846</v>
      </c>
      <c r="P56">
        <v>9.1250269999999993</v>
      </c>
      <c r="Q56">
        <v>8.1622249999999994</v>
      </c>
      <c r="R56">
        <v>7.2673030000000001</v>
      </c>
      <c r="S56">
        <v>6.4840419999999996</v>
      </c>
      <c r="T56">
        <v>5.8108839999999997</v>
      </c>
      <c r="U56">
        <v>5.2108809999999997</v>
      </c>
      <c r="V56">
        <v>4.6878270000000004</v>
      </c>
      <c r="W56">
        <v>4.186725</v>
      </c>
      <c r="X56">
        <v>3.6905070000000002</v>
      </c>
      <c r="Y56">
        <v>3.2292550000000002</v>
      </c>
      <c r="Z56">
        <v>2.8129240000000002</v>
      </c>
      <c r="AA56">
        <v>2.3697859999999999</v>
      </c>
      <c r="AB56">
        <v>1.940977</v>
      </c>
      <c r="AC56">
        <v>1.532972</v>
      </c>
      <c r="AD56">
        <v>-11.502248</v>
      </c>
    </row>
    <row r="57" spans="1:30">
      <c r="A57">
        <v>56</v>
      </c>
      <c r="B57" t="s">
        <v>228</v>
      </c>
      <c r="C57" t="s">
        <v>193</v>
      </c>
      <c r="D57">
        <v>0.77779600000000004</v>
      </c>
      <c r="E57">
        <v>0.89676</v>
      </c>
      <c r="F57">
        <v>1.004183</v>
      </c>
      <c r="G57">
        <v>1.1018619999999999</v>
      </c>
      <c r="H57">
        <v>1.196472</v>
      </c>
      <c r="I57">
        <v>1.2930120000000001</v>
      </c>
      <c r="J57">
        <v>1.3814439999999999</v>
      </c>
      <c r="K57">
        <v>1.4680409999999999</v>
      </c>
      <c r="L57">
        <v>1.5560849999999999</v>
      </c>
      <c r="M57">
        <v>1.644188</v>
      </c>
      <c r="N57">
        <v>1.728561</v>
      </c>
      <c r="O57">
        <v>1.8084789999999999</v>
      </c>
      <c r="P57">
        <v>1.8877740000000001</v>
      </c>
      <c r="Q57">
        <v>1.9675879999999999</v>
      </c>
      <c r="R57">
        <v>2.046446</v>
      </c>
      <c r="S57">
        <v>2.402431</v>
      </c>
      <c r="T57">
        <v>3.5527769999999999</v>
      </c>
      <c r="U57">
        <v>5.9524439999999998</v>
      </c>
      <c r="V57">
        <v>9.5679540000000003</v>
      </c>
      <c r="W57">
        <v>14.571869</v>
      </c>
      <c r="X57">
        <v>20.820326000000001</v>
      </c>
      <c r="Y57">
        <v>27.642302000000001</v>
      </c>
      <c r="Z57">
        <v>35.043914999999998</v>
      </c>
      <c r="AA57">
        <v>42.947105000000001</v>
      </c>
      <c r="AB57">
        <v>51.088852000000003</v>
      </c>
      <c r="AC57">
        <v>59.163055</v>
      </c>
      <c r="AD57">
        <v>18.917942</v>
      </c>
    </row>
    <row r="58" spans="1:30">
      <c r="A58">
        <v>57</v>
      </c>
      <c r="B58" t="s">
        <v>229</v>
      </c>
      <c r="C58" t="s">
        <v>193</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row>
    <row r="59" spans="1:30">
      <c r="A59">
        <v>58</v>
      </c>
      <c r="B59" t="s">
        <v>230</v>
      </c>
      <c r="C59" t="s">
        <v>193</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row>
    <row r="60" spans="1:30">
      <c r="A60">
        <v>59</v>
      </c>
      <c r="B60" t="s">
        <v>231</v>
      </c>
      <c r="C60" t="s">
        <v>193</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row>
    <row r="61" spans="1:30">
      <c r="A61">
        <v>60</v>
      </c>
      <c r="B61" t="s">
        <v>574</v>
      </c>
      <c r="C61" t="s">
        <v>193</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row>
    <row r="62" spans="1:30">
      <c r="A62">
        <v>61</v>
      </c>
      <c r="B62" t="s">
        <v>571</v>
      </c>
      <c r="C62" t="s">
        <v>193</v>
      </c>
      <c r="D62">
        <v>0.83790100000000001</v>
      </c>
      <c r="E62">
        <v>2.2635839999999998</v>
      </c>
      <c r="F62">
        <v>4.1392189999999998</v>
      </c>
      <c r="G62">
        <v>6.4532670000000003</v>
      </c>
      <c r="H62">
        <v>9.4030660000000008</v>
      </c>
      <c r="I62">
        <v>13.499775</v>
      </c>
      <c r="J62">
        <v>18.724775000000001</v>
      </c>
      <c r="K62">
        <v>25.357942999999999</v>
      </c>
      <c r="L62">
        <v>33.825836000000002</v>
      </c>
      <c r="M62">
        <v>44.474449</v>
      </c>
      <c r="N62">
        <v>57.589202999999998</v>
      </c>
      <c r="O62">
        <v>73.550865000000002</v>
      </c>
      <c r="P62">
        <v>91.764167999999998</v>
      </c>
      <c r="Q62">
        <v>111.666718</v>
      </c>
      <c r="R62">
        <v>132.676804</v>
      </c>
      <c r="S62">
        <v>154.17559800000001</v>
      </c>
      <c r="T62">
        <v>175.414536</v>
      </c>
      <c r="U62">
        <v>196.01135300000001</v>
      </c>
      <c r="V62">
        <v>215.53469799999999</v>
      </c>
      <c r="W62">
        <v>234.29530299999999</v>
      </c>
      <c r="X62">
        <v>252.79953</v>
      </c>
      <c r="Y62">
        <v>270.87716699999999</v>
      </c>
      <c r="Z62">
        <v>288.724152</v>
      </c>
      <c r="AA62">
        <v>305.73019399999998</v>
      </c>
      <c r="AB62">
        <v>321.91485599999999</v>
      </c>
      <c r="AC62">
        <v>336.702789</v>
      </c>
      <c r="AD62">
        <v>27.104861</v>
      </c>
    </row>
    <row r="63" spans="1:30">
      <c r="A63">
        <v>62</v>
      </c>
      <c r="B63" t="s">
        <v>568</v>
      </c>
      <c r="C63" t="s">
        <v>193</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row>
    <row r="64" spans="1:30">
      <c r="A64">
        <v>63</v>
      </c>
      <c r="B64" t="s">
        <v>232</v>
      </c>
      <c r="C64" t="s">
        <v>193</v>
      </c>
      <c r="D64">
        <v>876.60131799999999</v>
      </c>
      <c r="E64">
        <v>873.25939900000003</v>
      </c>
      <c r="F64">
        <v>868.86621100000002</v>
      </c>
      <c r="G64">
        <v>866.79272500000002</v>
      </c>
      <c r="H64">
        <v>867.39160200000003</v>
      </c>
      <c r="I64">
        <v>873.71118200000001</v>
      </c>
      <c r="J64">
        <v>879.13708499999996</v>
      </c>
      <c r="K64">
        <v>886.33618200000001</v>
      </c>
      <c r="L64">
        <v>893.00109899999995</v>
      </c>
      <c r="M64">
        <v>901.995544</v>
      </c>
      <c r="N64">
        <v>911.47192399999994</v>
      </c>
      <c r="O64">
        <v>921.00402799999995</v>
      </c>
      <c r="P64">
        <v>931.90783699999997</v>
      </c>
      <c r="Q64">
        <v>944.45336899999995</v>
      </c>
      <c r="R64">
        <v>957.88720699999999</v>
      </c>
      <c r="S64">
        <v>972.51055899999994</v>
      </c>
      <c r="T64">
        <v>984.99719200000004</v>
      </c>
      <c r="U64">
        <v>994.91058299999997</v>
      </c>
      <c r="V64">
        <v>1001.026428</v>
      </c>
      <c r="W64">
        <v>1004.630981</v>
      </c>
      <c r="X64">
        <v>1007.91449</v>
      </c>
      <c r="Y64">
        <v>1011.647034</v>
      </c>
      <c r="Z64">
        <v>1016.4011839999999</v>
      </c>
      <c r="AA64">
        <v>1019.651733</v>
      </c>
      <c r="AB64">
        <v>1023.459473</v>
      </c>
      <c r="AC64">
        <v>1026.256226</v>
      </c>
      <c r="AD64">
        <v>0.63247299999999995</v>
      </c>
    </row>
    <row r="65" spans="1:30">
      <c r="A65">
        <v>64</v>
      </c>
      <c r="B65" t="s">
        <v>163</v>
      </c>
    </row>
    <row r="66" spans="1:30">
      <c r="A66">
        <v>65</v>
      </c>
      <c r="B66" t="s">
        <v>181</v>
      </c>
      <c r="C66" t="s">
        <v>193</v>
      </c>
      <c r="D66">
        <v>538.64502000000005</v>
      </c>
      <c r="E66">
        <v>520.90051300000005</v>
      </c>
      <c r="F66">
        <v>504.80529799999999</v>
      </c>
      <c r="G66">
        <v>489.66006499999997</v>
      </c>
      <c r="H66">
        <v>474.32492100000002</v>
      </c>
      <c r="I66">
        <v>461.08807400000001</v>
      </c>
      <c r="J66">
        <v>446.93624899999998</v>
      </c>
      <c r="K66">
        <v>434.01623499999999</v>
      </c>
      <c r="L66">
        <v>420.72662400000002</v>
      </c>
      <c r="M66">
        <v>408.564392</v>
      </c>
      <c r="N66">
        <v>397.19250499999998</v>
      </c>
      <c r="O66">
        <v>386.80505399999998</v>
      </c>
      <c r="P66">
        <v>377.308044</v>
      </c>
      <c r="Q66">
        <v>368.44412199999999</v>
      </c>
      <c r="R66">
        <v>360.36447099999998</v>
      </c>
      <c r="S66">
        <v>353.102844</v>
      </c>
      <c r="T66">
        <v>346.18734699999999</v>
      </c>
      <c r="U66">
        <v>340.00372299999998</v>
      </c>
      <c r="V66">
        <v>334.53411899999998</v>
      </c>
      <c r="W66">
        <v>329.969269</v>
      </c>
      <c r="X66">
        <v>326.47579999999999</v>
      </c>
      <c r="Y66">
        <v>323.56585699999999</v>
      </c>
      <c r="Z66">
        <v>321.26538099999999</v>
      </c>
      <c r="AA66">
        <v>318.91360500000002</v>
      </c>
      <c r="AB66">
        <v>316.91790800000001</v>
      </c>
      <c r="AC66">
        <v>314.91171300000002</v>
      </c>
      <c r="AD66">
        <v>-2.1241729999999999</v>
      </c>
    </row>
    <row r="67" spans="1:30">
      <c r="A67">
        <v>66</v>
      </c>
      <c r="B67" t="s">
        <v>226</v>
      </c>
      <c r="C67" t="s">
        <v>193</v>
      </c>
      <c r="D67">
        <v>308.45126299999998</v>
      </c>
      <c r="E67">
        <v>304.80548099999999</v>
      </c>
      <c r="F67">
        <v>302.31372099999999</v>
      </c>
      <c r="G67">
        <v>300.34561200000002</v>
      </c>
      <c r="H67">
        <v>298.06372099999999</v>
      </c>
      <c r="I67">
        <v>296.582764</v>
      </c>
      <c r="J67">
        <v>294.20575000000002</v>
      </c>
      <c r="K67">
        <v>292.43841600000002</v>
      </c>
      <c r="L67">
        <v>290.034943</v>
      </c>
      <c r="M67">
        <v>288.24084499999998</v>
      </c>
      <c r="N67">
        <v>286.46951300000001</v>
      </c>
      <c r="O67">
        <v>284.71582000000001</v>
      </c>
      <c r="P67">
        <v>283.27157599999998</v>
      </c>
      <c r="Q67">
        <v>281.90774499999998</v>
      </c>
      <c r="R67">
        <v>280.78604100000001</v>
      </c>
      <c r="S67">
        <v>279.90536500000002</v>
      </c>
      <c r="T67">
        <v>279.13348400000001</v>
      </c>
      <c r="U67">
        <v>278.56582600000002</v>
      </c>
      <c r="V67">
        <v>277.89999399999999</v>
      </c>
      <c r="W67">
        <v>277.45187399999998</v>
      </c>
      <c r="X67">
        <v>277.539062</v>
      </c>
      <c r="Y67">
        <v>277.82656900000001</v>
      </c>
      <c r="Z67">
        <v>278.30569500000001</v>
      </c>
      <c r="AA67">
        <v>278.51498400000003</v>
      </c>
      <c r="AB67">
        <v>278.89318800000001</v>
      </c>
      <c r="AC67">
        <v>279.08850100000001</v>
      </c>
      <c r="AD67">
        <v>-0.39933999999999997</v>
      </c>
    </row>
    <row r="68" spans="1:30">
      <c r="A68">
        <v>67</v>
      </c>
      <c r="B68" t="s">
        <v>184</v>
      </c>
      <c r="C68" t="s">
        <v>193</v>
      </c>
      <c r="D68">
        <v>0.37572800000000001</v>
      </c>
      <c r="E68">
        <v>0.33371899999999999</v>
      </c>
      <c r="F68">
        <v>0.29504900000000001</v>
      </c>
      <c r="G68">
        <v>0.26140099999999999</v>
      </c>
      <c r="H68">
        <v>0.215777</v>
      </c>
      <c r="I68">
        <v>0.191362</v>
      </c>
      <c r="J68">
        <v>0.168542</v>
      </c>
      <c r="K68">
        <v>0.149451</v>
      </c>
      <c r="L68">
        <v>0.13291</v>
      </c>
      <c r="M68">
        <v>0.11611299999999999</v>
      </c>
      <c r="N68">
        <v>0.103551</v>
      </c>
      <c r="O68">
        <v>9.3567999999999998E-2</v>
      </c>
      <c r="P68">
        <v>8.5558999999999996E-2</v>
      </c>
      <c r="Q68">
        <v>7.8580999999999998E-2</v>
      </c>
      <c r="R68">
        <v>7.2608000000000006E-2</v>
      </c>
      <c r="S68">
        <v>6.7738999999999994E-2</v>
      </c>
      <c r="T68">
        <v>6.3253000000000004E-2</v>
      </c>
      <c r="U68">
        <v>5.9290000000000002E-2</v>
      </c>
      <c r="V68">
        <v>5.57E-2</v>
      </c>
      <c r="W68">
        <v>5.2217E-2</v>
      </c>
      <c r="X68">
        <v>5.0057999999999998E-2</v>
      </c>
      <c r="Y68">
        <v>4.7621999999999998E-2</v>
      </c>
      <c r="Z68">
        <v>4.5400999999999997E-2</v>
      </c>
      <c r="AA68">
        <v>3.9812E-2</v>
      </c>
      <c r="AB68">
        <v>3.0988000000000002E-2</v>
      </c>
      <c r="AC68">
        <v>2.4039000000000001E-2</v>
      </c>
      <c r="AD68">
        <v>-10.413697000000001</v>
      </c>
    </row>
    <row r="69" spans="1:30">
      <c r="A69">
        <v>68</v>
      </c>
      <c r="B69" t="s">
        <v>187</v>
      </c>
      <c r="C69" t="s">
        <v>193</v>
      </c>
      <c r="D69">
        <v>3.3447429999999998</v>
      </c>
      <c r="E69">
        <v>3.7588469999999998</v>
      </c>
      <c r="F69">
        <v>4.1226560000000001</v>
      </c>
      <c r="G69">
        <v>4.4183050000000001</v>
      </c>
      <c r="H69">
        <v>4.6501599999999996</v>
      </c>
      <c r="I69">
        <v>4.8672079999999998</v>
      </c>
      <c r="J69">
        <v>5.0359449999999999</v>
      </c>
      <c r="K69">
        <v>5.1881339999999998</v>
      </c>
      <c r="L69">
        <v>5.3071390000000003</v>
      </c>
      <c r="M69">
        <v>5.4141690000000002</v>
      </c>
      <c r="N69">
        <v>5.5102679999999999</v>
      </c>
      <c r="O69">
        <v>5.5953989999999996</v>
      </c>
      <c r="P69">
        <v>5.6650200000000002</v>
      </c>
      <c r="Q69">
        <v>5.7272980000000002</v>
      </c>
      <c r="R69">
        <v>5.7875449999999997</v>
      </c>
      <c r="S69">
        <v>5.8608570000000002</v>
      </c>
      <c r="T69">
        <v>5.9285170000000003</v>
      </c>
      <c r="U69">
        <v>5.9903079999999997</v>
      </c>
      <c r="V69">
        <v>6.0495599999999996</v>
      </c>
      <c r="W69">
        <v>6.1191519999999997</v>
      </c>
      <c r="X69">
        <v>6.2082569999999997</v>
      </c>
      <c r="Y69">
        <v>6.3102939999999998</v>
      </c>
      <c r="Z69">
        <v>6.4193189999999998</v>
      </c>
      <c r="AA69">
        <v>6.5162810000000002</v>
      </c>
      <c r="AB69">
        <v>6.6074109999999999</v>
      </c>
      <c r="AC69">
        <v>6.6992820000000002</v>
      </c>
      <c r="AD69">
        <v>2.8174000000000001</v>
      </c>
    </row>
    <row r="70" spans="1:30">
      <c r="A70">
        <v>69</v>
      </c>
      <c r="B70" t="s">
        <v>227</v>
      </c>
      <c r="C70" t="s">
        <v>193</v>
      </c>
      <c r="D70">
        <v>7.2114789999999998</v>
      </c>
      <c r="E70">
        <v>6.4811940000000003</v>
      </c>
      <c r="F70">
        <v>5.7882530000000001</v>
      </c>
      <c r="G70">
        <v>5.1683669999999999</v>
      </c>
      <c r="H70">
        <v>4.6310760000000002</v>
      </c>
      <c r="I70">
        <v>4.1528580000000002</v>
      </c>
      <c r="J70">
        <v>3.7100749999999998</v>
      </c>
      <c r="K70">
        <v>3.3277399999999999</v>
      </c>
      <c r="L70">
        <v>2.9671620000000001</v>
      </c>
      <c r="M70">
        <v>2.661098</v>
      </c>
      <c r="N70">
        <v>2.403502</v>
      </c>
      <c r="O70">
        <v>2.1813250000000002</v>
      </c>
      <c r="P70">
        <v>1.9983219999999999</v>
      </c>
      <c r="Q70">
        <v>1.8433870000000001</v>
      </c>
      <c r="R70">
        <v>1.7108909999999999</v>
      </c>
      <c r="S70">
        <v>1.599372</v>
      </c>
      <c r="T70">
        <v>1.4952700000000001</v>
      </c>
      <c r="U70">
        <v>1.3955059999999999</v>
      </c>
      <c r="V70">
        <v>1.2983640000000001</v>
      </c>
      <c r="W70">
        <v>1.2031700000000001</v>
      </c>
      <c r="X70">
        <v>1.108185</v>
      </c>
      <c r="Y70">
        <v>1.0107189999999999</v>
      </c>
      <c r="Z70">
        <v>0.90755399999999997</v>
      </c>
      <c r="AA70">
        <v>0.80071899999999996</v>
      </c>
      <c r="AB70">
        <v>0.69689100000000004</v>
      </c>
      <c r="AC70">
        <v>0.58797699999999997</v>
      </c>
      <c r="AD70">
        <v>-9.5406549999999992</v>
      </c>
    </row>
    <row r="71" spans="1:30">
      <c r="A71">
        <v>70</v>
      </c>
      <c r="B71" t="s">
        <v>228</v>
      </c>
      <c r="C71" t="s">
        <v>193</v>
      </c>
      <c r="D71">
        <v>0.221221</v>
      </c>
      <c r="E71">
        <v>0.26406600000000002</v>
      </c>
      <c r="F71">
        <v>0.30513299999999999</v>
      </c>
      <c r="G71">
        <v>0.34103299999999998</v>
      </c>
      <c r="H71">
        <v>0.37149900000000002</v>
      </c>
      <c r="I71">
        <v>0.39978599999999997</v>
      </c>
      <c r="J71">
        <v>0.42355599999999999</v>
      </c>
      <c r="K71">
        <v>0.44601299999999999</v>
      </c>
      <c r="L71">
        <v>0.46821600000000002</v>
      </c>
      <c r="M71">
        <v>0.48943300000000001</v>
      </c>
      <c r="N71">
        <v>0.50885400000000003</v>
      </c>
      <c r="O71">
        <v>0.52612499999999995</v>
      </c>
      <c r="P71">
        <v>0.54190899999999997</v>
      </c>
      <c r="Q71">
        <v>0.55545999999999995</v>
      </c>
      <c r="R71">
        <v>0.56833199999999995</v>
      </c>
      <c r="S71">
        <v>0.58082999999999996</v>
      </c>
      <c r="T71">
        <v>0.59257800000000005</v>
      </c>
      <c r="U71">
        <v>0.60342200000000001</v>
      </c>
      <c r="V71">
        <v>0.61290299999999998</v>
      </c>
      <c r="W71">
        <v>0.62202599999999997</v>
      </c>
      <c r="X71">
        <v>0.631857</v>
      </c>
      <c r="Y71">
        <v>0.64161199999999996</v>
      </c>
      <c r="Z71">
        <v>0.651258</v>
      </c>
      <c r="AA71">
        <v>0.65997099999999997</v>
      </c>
      <c r="AB71">
        <v>0.66890499999999997</v>
      </c>
      <c r="AC71">
        <v>0.677477</v>
      </c>
      <c r="AD71">
        <v>4.578576</v>
      </c>
    </row>
    <row r="72" spans="1:30">
      <c r="A72">
        <v>71</v>
      </c>
      <c r="B72" t="s">
        <v>229</v>
      </c>
      <c r="C72" t="s">
        <v>193</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row>
    <row r="73" spans="1:30">
      <c r="A73">
        <v>72</v>
      </c>
      <c r="B73" t="s">
        <v>230</v>
      </c>
      <c r="C73" t="s">
        <v>193</v>
      </c>
      <c r="D73">
        <v>9.1743000000000005E-2</v>
      </c>
      <c r="E73">
        <v>8.3749000000000004E-2</v>
      </c>
      <c r="F73">
        <v>7.6347999999999999E-2</v>
      </c>
      <c r="G73">
        <v>6.9262000000000004E-2</v>
      </c>
      <c r="H73">
        <v>6.3265000000000002E-2</v>
      </c>
      <c r="I73">
        <v>5.7866000000000001E-2</v>
      </c>
      <c r="J73">
        <v>5.2988E-2</v>
      </c>
      <c r="K73">
        <v>4.9092999999999998E-2</v>
      </c>
      <c r="L73">
        <v>4.4872000000000002E-2</v>
      </c>
      <c r="M73">
        <v>4.1120999999999998E-2</v>
      </c>
      <c r="N73">
        <v>3.7033999999999997E-2</v>
      </c>
      <c r="O73">
        <v>3.3831E-2</v>
      </c>
      <c r="P73">
        <v>3.0966E-2</v>
      </c>
      <c r="Q73">
        <v>2.8389999999999999E-2</v>
      </c>
      <c r="R73">
        <v>2.614E-2</v>
      </c>
      <c r="S73">
        <v>2.3975E-2</v>
      </c>
      <c r="T73">
        <v>2.1774000000000002E-2</v>
      </c>
      <c r="U73">
        <v>1.9893000000000001E-2</v>
      </c>
      <c r="V73">
        <v>1.7947999999999999E-2</v>
      </c>
      <c r="W73">
        <v>1.6112000000000001E-2</v>
      </c>
      <c r="X73">
        <v>1.5117E-2</v>
      </c>
      <c r="Y73">
        <v>1.4002000000000001E-2</v>
      </c>
      <c r="Z73">
        <v>1.3051999999999999E-2</v>
      </c>
      <c r="AA73">
        <v>1.2132E-2</v>
      </c>
      <c r="AB73">
        <v>1.1224E-2</v>
      </c>
      <c r="AC73">
        <v>1.0387E-2</v>
      </c>
      <c r="AD73">
        <v>-8.3447510000000005</v>
      </c>
    </row>
    <row r="74" spans="1:30">
      <c r="A74">
        <v>73</v>
      </c>
      <c r="B74" t="s">
        <v>231</v>
      </c>
      <c r="C74" t="s">
        <v>193</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row>
    <row r="75" spans="1:30">
      <c r="A75">
        <v>74</v>
      </c>
      <c r="B75" t="s">
        <v>574</v>
      </c>
      <c r="C75" t="s">
        <v>193</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row>
    <row r="76" spans="1:30">
      <c r="A76">
        <v>75</v>
      </c>
      <c r="B76" t="s">
        <v>571</v>
      </c>
      <c r="C76" t="s">
        <v>193</v>
      </c>
      <c r="D76">
        <v>0.56146600000000002</v>
      </c>
      <c r="E76">
        <v>1.3097840000000001</v>
      </c>
      <c r="F76">
        <v>2.239366</v>
      </c>
      <c r="G76">
        <v>3.2759990000000001</v>
      </c>
      <c r="H76">
        <v>4.4040850000000002</v>
      </c>
      <c r="I76">
        <v>5.7467059999999996</v>
      </c>
      <c r="J76">
        <v>7.3809750000000003</v>
      </c>
      <c r="K76">
        <v>9.478567</v>
      </c>
      <c r="L76">
        <v>12.151581</v>
      </c>
      <c r="M76">
        <v>15.518043</v>
      </c>
      <c r="N76">
        <v>19.619717000000001</v>
      </c>
      <c r="O76">
        <v>24.337212000000001</v>
      </c>
      <c r="P76">
        <v>29.516897</v>
      </c>
      <c r="Q76">
        <v>34.967582999999998</v>
      </c>
      <c r="R76">
        <v>40.532393999999996</v>
      </c>
      <c r="S76">
        <v>46.140942000000003</v>
      </c>
      <c r="T76">
        <v>51.637431999999997</v>
      </c>
      <c r="U76">
        <v>56.900672999999998</v>
      </c>
      <c r="V76">
        <v>61.844920999999999</v>
      </c>
      <c r="W76">
        <v>66.521111000000005</v>
      </c>
      <c r="X76">
        <v>71.013214000000005</v>
      </c>
      <c r="Y76">
        <v>75.223206000000005</v>
      </c>
      <c r="Z76">
        <v>79.136634999999998</v>
      </c>
      <c r="AA76">
        <v>82.635941000000003</v>
      </c>
      <c r="AB76">
        <v>85.905379999999994</v>
      </c>
      <c r="AC76">
        <v>88.91713</v>
      </c>
      <c r="AD76">
        <v>22.457808</v>
      </c>
    </row>
    <row r="77" spans="1:30">
      <c r="A77">
        <v>76</v>
      </c>
      <c r="B77" t="s">
        <v>568</v>
      </c>
      <c r="C77" t="s">
        <v>193</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row>
    <row r="78" spans="1:30">
      <c r="A78">
        <v>77</v>
      </c>
      <c r="B78" t="s">
        <v>233</v>
      </c>
      <c r="C78" t="s">
        <v>193</v>
      </c>
      <c r="D78">
        <v>858.902466</v>
      </c>
      <c r="E78">
        <v>837.93743900000004</v>
      </c>
      <c r="F78">
        <v>819.94567900000004</v>
      </c>
      <c r="G78">
        <v>803.53991699999995</v>
      </c>
      <c r="H78">
        <v>786.72430399999996</v>
      </c>
      <c r="I78">
        <v>773.08642599999996</v>
      </c>
      <c r="J78">
        <v>757.91375700000003</v>
      </c>
      <c r="K78">
        <v>745.09356700000001</v>
      </c>
      <c r="L78">
        <v>731.83337400000005</v>
      </c>
      <c r="M78">
        <v>721.04522699999995</v>
      </c>
      <c r="N78">
        <v>711.84491000000003</v>
      </c>
      <c r="O78">
        <v>704.28845200000001</v>
      </c>
      <c r="P78">
        <v>698.41851799999995</v>
      </c>
      <c r="Q78">
        <v>693.55242899999996</v>
      </c>
      <c r="R78">
        <v>689.848389</v>
      </c>
      <c r="S78">
        <v>687.282104</v>
      </c>
      <c r="T78">
        <v>685.05987500000003</v>
      </c>
      <c r="U78">
        <v>683.53887899999995</v>
      </c>
      <c r="V78">
        <v>682.313354</v>
      </c>
      <c r="W78">
        <v>681.95477300000005</v>
      </c>
      <c r="X78">
        <v>683.04168700000002</v>
      </c>
      <c r="Y78">
        <v>684.639771</v>
      </c>
      <c r="Z78">
        <v>686.74438499999997</v>
      </c>
      <c r="AA78">
        <v>688.09338400000001</v>
      </c>
      <c r="AB78">
        <v>689.73199499999998</v>
      </c>
      <c r="AC78">
        <v>690.91625999999997</v>
      </c>
      <c r="AD78">
        <v>-0.86676900000000001</v>
      </c>
    </row>
    <row r="79" spans="1:30">
      <c r="A79">
        <v>78</v>
      </c>
      <c r="B79" t="s">
        <v>234</v>
      </c>
    </row>
    <row r="80" spans="1:30">
      <c r="A80">
        <v>79</v>
      </c>
      <c r="B80" t="s">
        <v>181</v>
      </c>
      <c r="C80" t="s">
        <v>193</v>
      </c>
      <c r="D80">
        <v>3899.1635740000002</v>
      </c>
      <c r="E80">
        <v>3905.733154</v>
      </c>
      <c r="F80">
        <v>3919.7504880000001</v>
      </c>
      <c r="G80">
        <v>3927.7983399999998</v>
      </c>
      <c r="H80">
        <v>3927.4458009999998</v>
      </c>
      <c r="I80">
        <v>3935.921875</v>
      </c>
      <c r="J80">
        <v>3928.9243160000001</v>
      </c>
      <c r="K80">
        <v>3915.939453</v>
      </c>
      <c r="L80">
        <v>3894.9814449999999</v>
      </c>
      <c r="M80">
        <v>3881.8469239999999</v>
      </c>
      <c r="N80">
        <v>3872.3608399999998</v>
      </c>
      <c r="O80">
        <v>3865.11499</v>
      </c>
      <c r="P80">
        <v>3860.0361330000001</v>
      </c>
      <c r="Q80">
        <v>3855.165039</v>
      </c>
      <c r="R80">
        <v>3851.2702640000002</v>
      </c>
      <c r="S80">
        <v>3850.0676269999999</v>
      </c>
      <c r="T80">
        <v>3850.9357909999999</v>
      </c>
      <c r="U80">
        <v>3853.0910640000002</v>
      </c>
      <c r="V80">
        <v>3854.3923340000001</v>
      </c>
      <c r="W80">
        <v>3858.7817380000001</v>
      </c>
      <c r="X80">
        <v>3870.1293949999999</v>
      </c>
      <c r="Y80">
        <v>3882.9868160000001</v>
      </c>
      <c r="Z80">
        <v>3895.2658689999998</v>
      </c>
      <c r="AA80">
        <v>3900.7172850000002</v>
      </c>
      <c r="AB80">
        <v>3905.2624510000001</v>
      </c>
      <c r="AC80">
        <v>3907.0529790000001</v>
      </c>
      <c r="AD80">
        <v>8.0859999999999994E-3</v>
      </c>
    </row>
    <row r="81" spans="1:30">
      <c r="A81">
        <v>80</v>
      </c>
      <c r="B81" t="s">
        <v>226</v>
      </c>
      <c r="C81" t="s">
        <v>193</v>
      </c>
      <c r="D81">
        <v>3.8959160000000002</v>
      </c>
      <c r="E81">
        <v>3.3734790000000001</v>
      </c>
      <c r="F81">
        <v>2.9687299999999999</v>
      </c>
      <c r="G81">
        <v>2.6636989999999998</v>
      </c>
      <c r="H81">
        <v>2.4239649999999999</v>
      </c>
      <c r="I81">
        <v>2.2430720000000002</v>
      </c>
      <c r="J81">
        <v>2.1065680000000002</v>
      </c>
      <c r="K81">
        <v>1.9926440000000001</v>
      </c>
      <c r="L81">
        <v>1.8863319999999999</v>
      </c>
      <c r="M81">
        <v>1.8122560000000001</v>
      </c>
      <c r="N81">
        <v>1.74804</v>
      </c>
      <c r="O81">
        <v>1.6966939999999999</v>
      </c>
      <c r="P81">
        <v>1.642306</v>
      </c>
      <c r="Q81">
        <v>1.5807500000000001</v>
      </c>
      <c r="R81">
        <v>1.504948</v>
      </c>
      <c r="S81">
        <v>1.4489259999999999</v>
      </c>
      <c r="T81">
        <v>1.401966</v>
      </c>
      <c r="U81">
        <v>1.364058</v>
      </c>
      <c r="V81">
        <v>1.329388</v>
      </c>
      <c r="W81">
        <v>1.3033170000000001</v>
      </c>
      <c r="X81">
        <v>1.286953</v>
      </c>
      <c r="Y81">
        <v>1.27807</v>
      </c>
      <c r="Z81">
        <v>1.2706740000000001</v>
      </c>
      <c r="AA81">
        <v>1.2643899999999999</v>
      </c>
      <c r="AB81">
        <v>1.259528</v>
      </c>
      <c r="AC81">
        <v>1.254148</v>
      </c>
      <c r="AD81">
        <v>-4.4326449999999999</v>
      </c>
    </row>
    <row r="82" spans="1:30">
      <c r="A82">
        <v>81</v>
      </c>
      <c r="B82" t="s">
        <v>184</v>
      </c>
      <c r="C82" t="s">
        <v>193</v>
      </c>
      <c r="D82">
        <v>0.717862</v>
      </c>
      <c r="E82">
        <v>0.66372699999999996</v>
      </c>
      <c r="F82">
        <v>0.61687700000000001</v>
      </c>
      <c r="G82">
        <v>0.572515</v>
      </c>
      <c r="H82">
        <v>0.53569</v>
      </c>
      <c r="I82">
        <v>0.50033399999999995</v>
      </c>
      <c r="J82">
        <v>0.45970299999999997</v>
      </c>
      <c r="K82">
        <v>0.42188599999999998</v>
      </c>
      <c r="L82">
        <v>0.382629</v>
      </c>
      <c r="M82">
        <v>0.34905399999999998</v>
      </c>
      <c r="N82">
        <v>0.31369200000000003</v>
      </c>
      <c r="O82">
        <v>0.27954499999999999</v>
      </c>
      <c r="P82">
        <v>0.24590100000000001</v>
      </c>
      <c r="Q82">
        <v>0.217977</v>
      </c>
      <c r="R82">
        <v>0.19517899999999999</v>
      </c>
      <c r="S82">
        <v>0.176598</v>
      </c>
      <c r="T82">
        <v>0.159026</v>
      </c>
      <c r="U82">
        <v>0.143094</v>
      </c>
      <c r="V82">
        <v>0.12834999999999999</v>
      </c>
      <c r="W82">
        <v>0.115912</v>
      </c>
      <c r="X82">
        <v>0.105559</v>
      </c>
      <c r="Y82">
        <v>9.7198999999999994E-2</v>
      </c>
      <c r="Z82">
        <v>8.9838000000000001E-2</v>
      </c>
      <c r="AA82">
        <v>8.1617999999999996E-2</v>
      </c>
      <c r="AB82">
        <v>7.1221999999999994E-2</v>
      </c>
      <c r="AC82">
        <v>6.2254999999999998E-2</v>
      </c>
      <c r="AD82">
        <v>-9.3171060000000008</v>
      </c>
    </row>
    <row r="83" spans="1:30">
      <c r="A83">
        <v>82</v>
      </c>
      <c r="B83" t="s">
        <v>187</v>
      </c>
      <c r="C83" t="s">
        <v>193</v>
      </c>
      <c r="D83">
        <v>48.444195000000001</v>
      </c>
      <c r="E83">
        <v>51.019061999999998</v>
      </c>
      <c r="F83">
        <v>52.691901999999999</v>
      </c>
      <c r="G83">
        <v>53.914679999999997</v>
      </c>
      <c r="H83">
        <v>54.875397</v>
      </c>
      <c r="I83">
        <v>55.802638999999999</v>
      </c>
      <c r="J83">
        <v>56.484993000000003</v>
      </c>
      <c r="K83">
        <v>57.177016999999999</v>
      </c>
      <c r="L83">
        <v>57.819721000000001</v>
      </c>
      <c r="M83">
        <v>58.623336999999999</v>
      </c>
      <c r="N83">
        <v>59.513756000000001</v>
      </c>
      <c r="O83">
        <v>60.490046999999997</v>
      </c>
      <c r="P83">
        <v>61.677157999999999</v>
      </c>
      <c r="Q83">
        <v>62.966042000000002</v>
      </c>
      <c r="R83">
        <v>64.430603000000005</v>
      </c>
      <c r="S83">
        <v>66.139656000000002</v>
      </c>
      <c r="T83">
        <v>68.012878000000001</v>
      </c>
      <c r="U83">
        <v>70.134583000000006</v>
      </c>
      <c r="V83">
        <v>72.576804999999993</v>
      </c>
      <c r="W83">
        <v>75.479759000000001</v>
      </c>
      <c r="X83">
        <v>79.939537000000001</v>
      </c>
      <c r="Y83">
        <v>85.082168999999993</v>
      </c>
      <c r="Z83">
        <v>91.892859999999999</v>
      </c>
      <c r="AA83">
        <v>99.368224999999995</v>
      </c>
      <c r="AB83">
        <v>108.25825500000001</v>
      </c>
      <c r="AC83">
        <v>118.883476</v>
      </c>
      <c r="AD83">
        <v>3.6561780000000002</v>
      </c>
    </row>
    <row r="84" spans="1:30">
      <c r="A84">
        <v>83</v>
      </c>
      <c r="B84" t="s">
        <v>227</v>
      </c>
      <c r="C84" t="s">
        <v>193</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row>
    <row r="85" spans="1:30">
      <c r="A85">
        <v>84</v>
      </c>
      <c r="B85" t="s">
        <v>228</v>
      </c>
      <c r="C85" t="s">
        <v>193</v>
      </c>
      <c r="D85">
        <v>2.735252</v>
      </c>
      <c r="E85">
        <v>3.4112490000000002</v>
      </c>
      <c r="F85">
        <v>4.0532360000000001</v>
      </c>
      <c r="G85">
        <v>4.6137119999999996</v>
      </c>
      <c r="H85">
        <v>5.089569</v>
      </c>
      <c r="I85">
        <v>5.5046020000000002</v>
      </c>
      <c r="J85">
        <v>5.8418590000000004</v>
      </c>
      <c r="K85">
        <v>6.1320110000000003</v>
      </c>
      <c r="L85">
        <v>6.3984579999999998</v>
      </c>
      <c r="M85">
        <v>6.6368429999999998</v>
      </c>
      <c r="N85">
        <v>6.8423740000000004</v>
      </c>
      <c r="O85">
        <v>7.0163260000000003</v>
      </c>
      <c r="P85">
        <v>7.1625639999999997</v>
      </c>
      <c r="Q85">
        <v>7.2849009999999996</v>
      </c>
      <c r="R85">
        <v>7.3874380000000004</v>
      </c>
      <c r="S85">
        <v>7.4817859999999996</v>
      </c>
      <c r="T85">
        <v>7.5636729999999996</v>
      </c>
      <c r="U85">
        <v>7.636228</v>
      </c>
      <c r="V85">
        <v>7.6981849999999996</v>
      </c>
      <c r="W85">
        <v>7.7606229999999998</v>
      </c>
      <c r="X85">
        <v>7.8381790000000002</v>
      </c>
      <c r="Y85">
        <v>7.9206089999999998</v>
      </c>
      <c r="Z85">
        <v>8.0060389999999995</v>
      </c>
      <c r="AA85">
        <v>8.0815249999999992</v>
      </c>
      <c r="AB85">
        <v>8.1609599999999993</v>
      </c>
      <c r="AC85">
        <v>8.2367380000000008</v>
      </c>
      <c r="AD85">
        <v>4.5081879999999996</v>
      </c>
    </row>
    <row r="86" spans="1:30">
      <c r="A86">
        <v>85</v>
      </c>
      <c r="B86" t="s">
        <v>229</v>
      </c>
      <c r="C86" t="s">
        <v>193</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row>
    <row r="87" spans="1:30">
      <c r="A87">
        <v>86</v>
      </c>
      <c r="B87" t="s">
        <v>230</v>
      </c>
      <c r="C87" t="s">
        <v>193</v>
      </c>
      <c r="D87">
        <v>0</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row>
    <row r="88" spans="1:30">
      <c r="A88">
        <v>87</v>
      </c>
      <c r="B88" t="s">
        <v>231</v>
      </c>
      <c r="C88" t="s">
        <v>193</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row>
    <row r="89" spans="1:30">
      <c r="A89">
        <v>88</v>
      </c>
      <c r="B89" t="s">
        <v>574</v>
      </c>
      <c r="C89" t="s">
        <v>193</v>
      </c>
      <c r="D89">
        <v>0</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row>
    <row r="90" spans="1:30">
      <c r="A90">
        <v>89</v>
      </c>
      <c r="B90" t="s">
        <v>571</v>
      </c>
      <c r="C90" t="s">
        <v>193</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row>
    <row r="91" spans="1:30">
      <c r="A91">
        <v>90</v>
      </c>
      <c r="B91" t="s">
        <v>568</v>
      </c>
      <c r="C91" t="s">
        <v>193</v>
      </c>
      <c r="D91">
        <v>0</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row>
    <row r="92" spans="1:30">
      <c r="A92">
        <v>91</v>
      </c>
      <c r="B92" t="s">
        <v>235</v>
      </c>
      <c r="C92" t="s">
        <v>193</v>
      </c>
      <c r="D92">
        <v>3954.9565429999998</v>
      </c>
      <c r="E92">
        <v>3964.2004390000002</v>
      </c>
      <c r="F92">
        <v>3980.0810550000001</v>
      </c>
      <c r="G92">
        <v>3989.5629880000001</v>
      </c>
      <c r="H92">
        <v>3990.3696289999998</v>
      </c>
      <c r="I92">
        <v>3999.9721679999998</v>
      </c>
      <c r="J92">
        <v>3993.818115</v>
      </c>
      <c r="K92">
        <v>3981.6635740000002</v>
      </c>
      <c r="L92">
        <v>3961.4685060000002</v>
      </c>
      <c r="M92">
        <v>3949.2685550000001</v>
      </c>
      <c r="N92">
        <v>3940.7785640000002</v>
      </c>
      <c r="O92">
        <v>3934.5979000000002</v>
      </c>
      <c r="P92">
        <v>3930.7651369999999</v>
      </c>
      <c r="Q92">
        <v>3927.2138669999999</v>
      </c>
      <c r="R92">
        <v>3924.7883299999999</v>
      </c>
      <c r="S92">
        <v>3925.3149410000001</v>
      </c>
      <c r="T92">
        <v>3928.0737300000001</v>
      </c>
      <c r="U92">
        <v>3932.369385</v>
      </c>
      <c r="V92">
        <v>3936.1252439999998</v>
      </c>
      <c r="W92">
        <v>3943.4411620000001</v>
      </c>
      <c r="X92">
        <v>3959.2993160000001</v>
      </c>
      <c r="Y92">
        <v>3977.3645019999999</v>
      </c>
      <c r="Z92">
        <v>3996.525635</v>
      </c>
      <c r="AA92">
        <v>4009.5124510000001</v>
      </c>
      <c r="AB92">
        <v>4023.0124510000001</v>
      </c>
      <c r="AC92">
        <v>4035.4892580000001</v>
      </c>
      <c r="AD92">
        <v>8.0664E-2</v>
      </c>
    </row>
    <row r="93" spans="1:30">
      <c r="A93">
        <v>92</v>
      </c>
      <c r="B93" t="s">
        <v>2144</v>
      </c>
    </row>
    <row r="94" spans="1:30">
      <c r="A94">
        <v>93</v>
      </c>
      <c r="B94" t="s">
        <v>181</v>
      </c>
      <c r="C94" t="s">
        <v>193</v>
      </c>
      <c r="D94">
        <v>4997.1367190000001</v>
      </c>
      <c r="E94">
        <v>4975.107422</v>
      </c>
      <c r="F94">
        <v>4961.0571289999998</v>
      </c>
      <c r="G94">
        <v>4943.078125</v>
      </c>
      <c r="H94">
        <v>4917.5859380000002</v>
      </c>
      <c r="I94">
        <v>4905.7714839999999</v>
      </c>
      <c r="J94">
        <v>4876.5927730000003</v>
      </c>
      <c r="K94">
        <v>4843.0546880000002</v>
      </c>
      <c r="L94">
        <v>4800.2348629999997</v>
      </c>
      <c r="M94">
        <v>4766.9184569999998</v>
      </c>
      <c r="N94">
        <v>4737.4790039999998</v>
      </c>
      <c r="O94">
        <v>4710.3535160000001</v>
      </c>
      <c r="P94">
        <v>4686.2397460000002</v>
      </c>
      <c r="Q94">
        <v>4663.2543949999999</v>
      </c>
      <c r="R94">
        <v>4642.1132809999999</v>
      </c>
      <c r="S94">
        <v>4624.998047</v>
      </c>
      <c r="T94">
        <v>4609.1933589999999</v>
      </c>
      <c r="U94">
        <v>4594.2734380000002</v>
      </c>
      <c r="V94">
        <v>4577.6591799999997</v>
      </c>
      <c r="W94">
        <v>4563.919922</v>
      </c>
      <c r="X94">
        <v>4557.7451170000004</v>
      </c>
      <c r="Y94">
        <v>4554.2109380000002</v>
      </c>
      <c r="Z94">
        <v>4551.3090819999998</v>
      </c>
      <c r="AA94">
        <v>4541.2246089999999</v>
      </c>
      <c r="AB94">
        <v>4531.267578</v>
      </c>
      <c r="AC94">
        <v>4518.8535160000001</v>
      </c>
      <c r="AD94">
        <v>-0.40161799999999998</v>
      </c>
    </row>
    <row r="95" spans="1:30">
      <c r="A95">
        <v>94</v>
      </c>
      <c r="B95" t="s">
        <v>226</v>
      </c>
      <c r="C95" t="s">
        <v>193</v>
      </c>
      <c r="D95">
        <v>594.33776899999998</v>
      </c>
      <c r="E95">
        <v>598.75500499999998</v>
      </c>
      <c r="F95">
        <v>604.342896</v>
      </c>
      <c r="G95">
        <v>611.15808100000004</v>
      </c>
      <c r="H95">
        <v>618.42138699999998</v>
      </c>
      <c r="I95">
        <v>628.08691399999998</v>
      </c>
      <c r="J95">
        <v>635.69915800000001</v>
      </c>
      <c r="K95">
        <v>643.69879200000003</v>
      </c>
      <c r="L95">
        <v>649.484375</v>
      </c>
      <c r="M95">
        <v>655.29211399999997</v>
      </c>
      <c r="N95">
        <v>659.57080099999996</v>
      </c>
      <c r="O95">
        <v>661.86743200000001</v>
      </c>
      <c r="P95">
        <v>663.480591</v>
      </c>
      <c r="Q95">
        <v>664.69061299999998</v>
      </c>
      <c r="R95">
        <v>665.73199499999998</v>
      </c>
      <c r="S95">
        <v>666.73687700000005</v>
      </c>
      <c r="T95">
        <v>666.10913100000005</v>
      </c>
      <c r="U95">
        <v>663.44244400000002</v>
      </c>
      <c r="V95">
        <v>658.13592500000004</v>
      </c>
      <c r="W95">
        <v>650.93102999999996</v>
      </c>
      <c r="X95">
        <v>643.29144299999996</v>
      </c>
      <c r="Y95">
        <v>635.552368</v>
      </c>
      <c r="Z95">
        <v>627.86859100000004</v>
      </c>
      <c r="AA95">
        <v>618.96032700000001</v>
      </c>
      <c r="AB95">
        <v>610.62438999999995</v>
      </c>
      <c r="AC95">
        <v>602.03479000000004</v>
      </c>
      <c r="AD95">
        <v>5.1483000000000001E-2</v>
      </c>
    </row>
    <row r="96" spans="1:30">
      <c r="A96">
        <v>95</v>
      </c>
      <c r="B96" t="s">
        <v>184</v>
      </c>
      <c r="C96" t="s">
        <v>193</v>
      </c>
      <c r="D96">
        <v>1.1018319999999999</v>
      </c>
      <c r="E96">
        <v>1.0055050000000001</v>
      </c>
      <c r="F96">
        <v>0.91988199999999998</v>
      </c>
      <c r="G96">
        <v>0.84195600000000004</v>
      </c>
      <c r="H96">
        <v>0.759629</v>
      </c>
      <c r="I96">
        <v>0.70000899999999999</v>
      </c>
      <c r="J96">
        <v>0.63672899999999999</v>
      </c>
      <c r="K96">
        <v>0.58002100000000001</v>
      </c>
      <c r="L96">
        <v>0.52408399999999999</v>
      </c>
      <c r="M96">
        <v>0.47346700000000003</v>
      </c>
      <c r="N96">
        <v>0.42549100000000001</v>
      </c>
      <c r="O96">
        <v>0.38144099999999997</v>
      </c>
      <c r="P96">
        <v>0.33996799999999999</v>
      </c>
      <c r="Q96">
        <v>0.30531399999999997</v>
      </c>
      <c r="R96">
        <v>0.276835</v>
      </c>
      <c r="S96">
        <v>0.25370599999999999</v>
      </c>
      <c r="T96">
        <v>0.23196800000000001</v>
      </c>
      <c r="U96">
        <v>0.21238799999999999</v>
      </c>
      <c r="V96">
        <v>0.194351</v>
      </c>
      <c r="W96">
        <v>0.17871999999999999</v>
      </c>
      <c r="X96">
        <v>0.166517</v>
      </c>
      <c r="Y96">
        <v>0.156031</v>
      </c>
      <c r="Z96">
        <v>0.14676600000000001</v>
      </c>
      <c r="AA96">
        <v>0.13325999999999999</v>
      </c>
      <c r="AB96">
        <v>0.114328</v>
      </c>
      <c r="AC96">
        <v>9.8664000000000002E-2</v>
      </c>
      <c r="AD96">
        <v>-9.2008480000000006</v>
      </c>
    </row>
    <row r="97" spans="1:30">
      <c r="A97">
        <v>96</v>
      </c>
      <c r="B97" t="s">
        <v>187</v>
      </c>
      <c r="C97" t="s">
        <v>193</v>
      </c>
      <c r="D97">
        <v>52.922004999999999</v>
      </c>
      <c r="E97">
        <v>56.340935000000002</v>
      </c>
      <c r="F97">
        <v>58.401608000000003</v>
      </c>
      <c r="G97">
        <v>59.865775999999997</v>
      </c>
      <c r="H97">
        <v>61.010295999999997</v>
      </c>
      <c r="I97">
        <v>62.121937000000003</v>
      </c>
      <c r="J97">
        <v>62.948287999999998</v>
      </c>
      <c r="K97">
        <v>63.788257999999999</v>
      </c>
      <c r="L97">
        <v>64.557060000000007</v>
      </c>
      <c r="M97">
        <v>65.484650000000002</v>
      </c>
      <c r="N97">
        <v>66.507660000000001</v>
      </c>
      <c r="O97">
        <v>67.622551000000001</v>
      </c>
      <c r="P97">
        <v>69.002441000000005</v>
      </c>
      <c r="Q97">
        <v>70.494606000000005</v>
      </c>
      <c r="R97">
        <v>72.186286999999993</v>
      </c>
      <c r="S97">
        <v>74.229529999999997</v>
      </c>
      <c r="T97">
        <v>76.506332</v>
      </c>
      <c r="U97">
        <v>79.159592000000004</v>
      </c>
      <c r="V97">
        <v>82.212975</v>
      </c>
      <c r="W97">
        <v>85.820694000000003</v>
      </c>
      <c r="X97">
        <v>91.135513000000003</v>
      </c>
      <c r="Y97">
        <v>97.173477000000005</v>
      </c>
      <c r="Z97">
        <v>105.050949</v>
      </c>
      <c r="AA97">
        <v>113.703018</v>
      </c>
      <c r="AB97">
        <v>123.809883</v>
      </c>
      <c r="AC97">
        <v>135.84651199999999</v>
      </c>
      <c r="AD97">
        <v>3.8428239999999998</v>
      </c>
    </row>
    <row r="98" spans="1:30">
      <c r="A98">
        <v>97</v>
      </c>
      <c r="B98" t="s">
        <v>227</v>
      </c>
      <c r="C98" t="s">
        <v>193</v>
      </c>
      <c r="D98">
        <v>39.737304999999999</v>
      </c>
      <c r="E98">
        <v>35.959342999999997</v>
      </c>
      <c r="F98">
        <v>32.354247999999998</v>
      </c>
      <c r="G98">
        <v>29.096765999999999</v>
      </c>
      <c r="H98">
        <v>26.181684000000001</v>
      </c>
      <c r="I98">
        <v>23.588186</v>
      </c>
      <c r="J98">
        <v>21.186373</v>
      </c>
      <c r="K98">
        <v>19.039252999999999</v>
      </c>
      <c r="L98">
        <v>17.057680000000001</v>
      </c>
      <c r="M98">
        <v>15.336359</v>
      </c>
      <c r="N98">
        <v>13.787025</v>
      </c>
      <c r="O98">
        <v>12.392170999999999</v>
      </c>
      <c r="P98">
        <v>11.123348</v>
      </c>
      <c r="Q98">
        <v>10.005611</v>
      </c>
      <c r="R98">
        <v>8.9781940000000002</v>
      </c>
      <c r="S98">
        <v>8.0834139999999994</v>
      </c>
      <c r="T98">
        <v>7.3061550000000004</v>
      </c>
      <c r="U98">
        <v>6.6063869999999998</v>
      </c>
      <c r="V98">
        <v>5.9861909999999998</v>
      </c>
      <c r="W98">
        <v>5.3898950000000001</v>
      </c>
      <c r="X98">
        <v>4.798692</v>
      </c>
      <c r="Y98">
        <v>4.239973</v>
      </c>
      <c r="Z98">
        <v>3.720478</v>
      </c>
      <c r="AA98">
        <v>3.1705040000000002</v>
      </c>
      <c r="AB98">
        <v>2.6378680000000001</v>
      </c>
      <c r="AC98">
        <v>2.120949</v>
      </c>
      <c r="AD98">
        <v>-11.060789</v>
      </c>
    </row>
    <row r="99" spans="1:30">
      <c r="A99">
        <v>98</v>
      </c>
      <c r="B99" t="s">
        <v>228</v>
      </c>
      <c r="C99" t="s">
        <v>193</v>
      </c>
      <c r="D99">
        <v>3.7342689999999998</v>
      </c>
      <c r="E99">
        <v>4.5720749999999999</v>
      </c>
      <c r="F99">
        <v>5.362552</v>
      </c>
      <c r="G99">
        <v>6.0566069999999996</v>
      </c>
      <c r="H99">
        <v>6.6575410000000002</v>
      </c>
      <c r="I99">
        <v>7.1974010000000002</v>
      </c>
      <c r="J99">
        <v>7.6468590000000001</v>
      </c>
      <c r="K99">
        <v>8.0460650000000005</v>
      </c>
      <c r="L99">
        <v>8.422758</v>
      </c>
      <c r="M99">
        <v>8.7704640000000005</v>
      </c>
      <c r="N99">
        <v>9.0797880000000006</v>
      </c>
      <c r="O99">
        <v>9.3509309999999992</v>
      </c>
      <c r="P99">
        <v>9.5922470000000004</v>
      </c>
      <c r="Q99">
        <v>9.8079490000000007</v>
      </c>
      <c r="R99">
        <v>10.002215</v>
      </c>
      <c r="S99">
        <v>10.465047</v>
      </c>
      <c r="T99">
        <v>11.709027000000001</v>
      </c>
      <c r="U99">
        <v>14.192094000000001</v>
      </c>
      <c r="V99">
        <v>17.879041999999998</v>
      </c>
      <c r="W99">
        <v>22.954516999999999</v>
      </c>
      <c r="X99">
        <v>29.290361000000001</v>
      </c>
      <c r="Y99">
        <v>36.204524999999997</v>
      </c>
      <c r="Z99">
        <v>43.701210000000003</v>
      </c>
      <c r="AA99">
        <v>51.688599000000004</v>
      </c>
      <c r="AB99">
        <v>59.918716000000003</v>
      </c>
      <c r="AC99">
        <v>68.077270999999996</v>
      </c>
      <c r="AD99">
        <v>12.313473999999999</v>
      </c>
    </row>
    <row r="100" spans="1:30">
      <c r="A100">
        <v>99</v>
      </c>
      <c r="B100" t="s">
        <v>229</v>
      </c>
      <c r="C100" t="s">
        <v>193</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row>
    <row r="101" spans="1:30">
      <c r="A101">
        <v>100</v>
      </c>
      <c r="B101" t="s">
        <v>230</v>
      </c>
      <c r="C101" t="s">
        <v>193</v>
      </c>
      <c r="D101">
        <v>9.1743000000000005E-2</v>
      </c>
      <c r="E101">
        <v>8.3749000000000004E-2</v>
      </c>
      <c r="F101">
        <v>7.6347999999999999E-2</v>
      </c>
      <c r="G101">
        <v>6.9262000000000004E-2</v>
      </c>
      <c r="H101">
        <v>6.3265000000000002E-2</v>
      </c>
      <c r="I101">
        <v>5.7866000000000001E-2</v>
      </c>
      <c r="J101">
        <v>5.2988E-2</v>
      </c>
      <c r="K101">
        <v>4.9092999999999998E-2</v>
      </c>
      <c r="L101">
        <v>4.4872000000000002E-2</v>
      </c>
      <c r="M101">
        <v>4.1120999999999998E-2</v>
      </c>
      <c r="N101">
        <v>3.7033999999999997E-2</v>
      </c>
      <c r="O101">
        <v>3.3831E-2</v>
      </c>
      <c r="P101">
        <v>3.0966E-2</v>
      </c>
      <c r="Q101">
        <v>2.8389999999999999E-2</v>
      </c>
      <c r="R101">
        <v>2.614E-2</v>
      </c>
      <c r="S101">
        <v>2.3975E-2</v>
      </c>
      <c r="T101">
        <v>2.1774000000000002E-2</v>
      </c>
      <c r="U101">
        <v>1.9893000000000001E-2</v>
      </c>
      <c r="V101">
        <v>1.7947999999999999E-2</v>
      </c>
      <c r="W101">
        <v>1.6112000000000001E-2</v>
      </c>
      <c r="X101">
        <v>1.5117E-2</v>
      </c>
      <c r="Y101">
        <v>1.4002000000000001E-2</v>
      </c>
      <c r="Z101">
        <v>1.3051999999999999E-2</v>
      </c>
      <c r="AA101">
        <v>1.2132E-2</v>
      </c>
      <c r="AB101">
        <v>1.1224E-2</v>
      </c>
      <c r="AC101">
        <v>1.0387E-2</v>
      </c>
      <c r="AD101">
        <v>-8.3447510000000005</v>
      </c>
    </row>
    <row r="102" spans="1:30">
      <c r="A102">
        <v>101</v>
      </c>
      <c r="B102" t="s">
        <v>231</v>
      </c>
      <c r="C102" t="s">
        <v>193</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row>
    <row r="103" spans="1:30">
      <c r="A103">
        <v>102</v>
      </c>
      <c r="B103" t="s">
        <v>574</v>
      </c>
      <c r="C103" t="s">
        <v>193</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row>
    <row r="104" spans="1:30">
      <c r="A104">
        <v>103</v>
      </c>
      <c r="B104" t="s">
        <v>571</v>
      </c>
      <c r="C104" t="s">
        <v>193</v>
      </c>
      <c r="D104">
        <v>1.399367</v>
      </c>
      <c r="E104">
        <v>3.573369</v>
      </c>
      <c r="F104">
        <v>6.3785850000000002</v>
      </c>
      <c r="G104">
        <v>9.7292660000000009</v>
      </c>
      <c r="H104">
        <v>13.80715</v>
      </c>
      <c r="I104">
        <v>19.246480999999999</v>
      </c>
      <c r="J104">
        <v>26.105751000000001</v>
      </c>
      <c r="K104">
        <v>34.836509999999997</v>
      </c>
      <c r="L104">
        <v>45.977417000000003</v>
      </c>
      <c r="M104">
        <v>59.992493000000003</v>
      </c>
      <c r="N104">
        <v>77.208922999999999</v>
      </c>
      <c r="O104">
        <v>97.888076999999996</v>
      </c>
      <c r="P104">
        <v>121.28106699999999</v>
      </c>
      <c r="Q104">
        <v>146.634308</v>
      </c>
      <c r="R104">
        <v>173.20919799999999</v>
      </c>
      <c r="S104">
        <v>200.31654399999999</v>
      </c>
      <c r="T104">
        <v>227.05197100000001</v>
      </c>
      <c r="U104">
        <v>252.91201799999999</v>
      </c>
      <c r="V104">
        <v>277.37960800000002</v>
      </c>
      <c r="W104">
        <v>300.81640599999997</v>
      </c>
      <c r="X104">
        <v>323.81274400000001</v>
      </c>
      <c r="Y104">
        <v>346.10037199999999</v>
      </c>
      <c r="Z104">
        <v>367.86077899999998</v>
      </c>
      <c r="AA104">
        <v>388.36615</v>
      </c>
      <c r="AB104">
        <v>407.82025099999998</v>
      </c>
      <c r="AC104">
        <v>425.619934</v>
      </c>
      <c r="AD104">
        <v>25.696624</v>
      </c>
    </row>
    <row r="105" spans="1:30">
      <c r="A105">
        <v>104</v>
      </c>
      <c r="B105" t="s">
        <v>568</v>
      </c>
      <c r="C105" t="s">
        <v>193</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row>
    <row r="106" spans="1:30">
      <c r="A106">
        <v>105</v>
      </c>
      <c r="B106" t="s">
        <v>140</v>
      </c>
      <c r="C106" t="s">
        <v>193</v>
      </c>
      <c r="D106">
        <v>5690.4628910000001</v>
      </c>
      <c r="E106">
        <v>5675.3979490000002</v>
      </c>
      <c r="F106">
        <v>5668.8930659999996</v>
      </c>
      <c r="G106">
        <v>5659.8959960000002</v>
      </c>
      <c r="H106">
        <v>5644.486328</v>
      </c>
      <c r="I106">
        <v>5646.7714839999999</v>
      </c>
      <c r="J106">
        <v>5630.8686520000001</v>
      </c>
      <c r="K106">
        <v>5613.091797</v>
      </c>
      <c r="L106">
        <v>5586.3022460000002</v>
      </c>
      <c r="M106">
        <v>5572.310547</v>
      </c>
      <c r="N106">
        <v>5564.0947269999997</v>
      </c>
      <c r="O106">
        <v>5559.8891599999997</v>
      </c>
      <c r="P106">
        <v>5561.0864259999998</v>
      </c>
      <c r="Q106">
        <v>5565.220703</v>
      </c>
      <c r="R106">
        <v>5572.5239259999998</v>
      </c>
      <c r="S106">
        <v>5585.1059569999998</v>
      </c>
      <c r="T106">
        <v>5598.1289059999999</v>
      </c>
      <c r="U106">
        <v>5610.8188479999999</v>
      </c>
      <c r="V106">
        <v>5619.4677730000003</v>
      </c>
      <c r="W106">
        <v>5630.0268550000001</v>
      </c>
      <c r="X106">
        <v>5650.2573240000002</v>
      </c>
      <c r="Y106">
        <v>5673.6513670000004</v>
      </c>
      <c r="Z106">
        <v>5699.6694340000004</v>
      </c>
      <c r="AA106">
        <v>5717.2587890000004</v>
      </c>
      <c r="AB106">
        <v>5736.2036129999997</v>
      </c>
      <c r="AC106">
        <v>5752.6611329999996</v>
      </c>
      <c r="AD106">
        <v>4.3492999999999997E-2</v>
      </c>
    </row>
    <row r="107" spans="1:30">
      <c r="A107">
        <v>106</v>
      </c>
    </row>
    <row r="108" spans="1:30">
      <c r="A108">
        <v>107</v>
      </c>
      <c r="B108" t="s">
        <v>239</v>
      </c>
    </row>
    <row r="109" spans="1:30">
      <c r="A109">
        <v>108</v>
      </c>
      <c r="B109" t="s">
        <v>162</v>
      </c>
    </row>
    <row r="110" spans="1:30">
      <c r="A110">
        <v>109</v>
      </c>
      <c r="B110" t="s">
        <v>181</v>
      </c>
      <c r="C110" t="s">
        <v>258</v>
      </c>
      <c r="D110">
        <v>14.359610999999999</v>
      </c>
      <c r="E110">
        <v>14.398097</v>
      </c>
      <c r="F110">
        <v>14.449427</v>
      </c>
      <c r="G110">
        <v>14.510878999999999</v>
      </c>
      <c r="H110">
        <v>14.581574</v>
      </c>
      <c r="I110">
        <v>14.656205</v>
      </c>
      <c r="J110">
        <v>14.7301</v>
      </c>
      <c r="K110">
        <v>14.802655</v>
      </c>
      <c r="L110">
        <v>14.870027</v>
      </c>
      <c r="M110">
        <v>14.930455</v>
      </c>
      <c r="N110">
        <v>14.984055</v>
      </c>
      <c r="O110">
        <v>15.031234</v>
      </c>
      <c r="P110">
        <v>15.074638</v>
      </c>
      <c r="Q110">
        <v>15.115396</v>
      </c>
      <c r="R110">
        <v>15.154358</v>
      </c>
      <c r="S110">
        <v>15.189045</v>
      </c>
      <c r="T110">
        <v>15.222073</v>
      </c>
      <c r="U110">
        <v>15.250073</v>
      </c>
      <c r="V110">
        <v>15.272928</v>
      </c>
      <c r="W110">
        <v>15.293148</v>
      </c>
      <c r="X110">
        <v>15.313901</v>
      </c>
      <c r="Y110">
        <v>15.333830000000001</v>
      </c>
      <c r="Z110">
        <v>15.353204</v>
      </c>
      <c r="AA110">
        <v>15.375071999999999</v>
      </c>
      <c r="AB110">
        <v>15.399183000000001</v>
      </c>
      <c r="AC110">
        <v>15.42559</v>
      </c>
      <c r="AD110">
        <v>0.28684399999999999</v>
      </c>
    </row>
    <row r="111" spans="1:30">
      <c r="A111">
        <v>110</v>
      </c>
      <c r="B111" t="s">
        <v>226</v>
      </c>
      <c r="C111" t="s">
        <v>259</v>
      </c>
      <c r="D111">
        <v>11.648208</v>
      </c>
      <c r="E111">
        <v>11.692019999999999</v>
      </c>
      <c r="F111">
        <v>11.732587000000001</v>
      </c>
      <c r="G111">
        <v>11.770702</v>
      </c>
      <c r="H111">
        <v>11.80588</v>
      </c>
      <c r="I111">
        <v>11.840004</v>
      </c>
      <c r="J111">
        <v>11.870554</v>
      </c>
      <c r="K111">
        <v>11.897607000000001</v>
      </c>
      <c r="L111">
        <v>11.920895</v>
      </c>
      <c r="M111">
        <v>11.940681</v>
      </c>
      <c r="N111">
        <v>11.956756</v>
      </c>
      <c r="O111">
        <v>11.970393</v>
      </c>
      <c r="P111">
        <v>11.982165</v>
      </c>
      <c r="Q111">
        <v>11.992505</v>
      </c>
      <c r="R111">
        <v>12.001664</v>
      </c>
      <c r="S111">
        <v>12.009396000000001</v>
      </c>
      <c r="T111">
        <v>12.016961</v>
      </c>
      <c r="U111">
        <v>12.024274999999999</v>
      </c>
      <c r="V111">
        <v>12.031643000000001</v>
      </c>
      <c r="W111">
        <v>12.04025</v>
      </c>
      <c r="X111">
        <v>12.051066</v>
      </c>
      <c r="Y111">
        <v>12.063896</v>
      </c>
      <c r="Z111">
        <v>12.079658</v>
      </c>
      <c r="AA111">
        <v>12.099344</v>
      </c>
      <c r="AB111">
        <v>12.122156</v>
      </c>
      <c r="AC111">
        <v>12.147543000000001</v>
      </c>
      <c r="AD111">
        <v>0.16803899999999999</v>
      </c>
    </row>
    <row r="112" spans="1:30">
      <c r="A112">
        <v>111</v>
      </c>
      <c r="B112" t="s">
        <v>184</v>
      </c>
      <c r="C112" t="s">
        <v>259</v>
      </c>
      <c r="D112">
        <v>9.0984429999999996</v>
      </c>
      <c r="E112">
        <v>9.3260009999999998</v>
      </c>
      <c r="F112">
        <v>9.5431349999999995</v>
      </c>
      <c r="G112">
        <v>9.7347920000000006</v>
      </c>
      <c r="H112">
        <v>9.8992360000000001</v>
      </c>
      <c r="I112">
        <v>10.056539000000001</v>
      </c>
      <c r="J112">
        <v>10.196868</v>
      </c>
      <c r="K112">
        <v>10.321576</v>
      </c>
      <c r="L112">
        <v>10.483592</v>
      </c>
      <c r="M112">
        <v>10.692308000000001</v>
      </c>
      <c r="N112">
        <v>10.862462000000001</v>
      </c>
      <c r="O112">
        <v>10.995843000000001</v>
      </c>
      <c r="P112">
        <v>11.099283</v>
      </c>
      <c r="Q112">
        <v>11.180415999999999</v>
      </c>
      <c r="R112">
        <v>11.24531</v>
      </c>
      <c r="S112">
        <v>11.298456</v>
      </c>
      <c r="T112">
        <v>11.342484000000001</v>
      </c>
      <c r="U112">
        <v>11.379421000000001</v>
      </c>
      <c r="V112">
        <v>11.410360000000001</v>
      </c>
      <c r="W112">
        <v>11.436101000000001</v>
      </c>
      <c r="X112">
        <v>11.457826000000001</v>
      </c>
      <c r="Y112">
        <v>11.476547</v>
      </c>
      <c r="Z112">
        <v>11.494026</v>
      </c>
      <c r="AA112">
        <v>11.510035</v>
      </c>
      <c r="AB112">
        <v>11.525211000000001</v>
      </c>
      <c r="AC112">
        <v>11.540186</v>
      </c>
      <c r="AD112">
        <v>0.95546399999999998</v>
      </c>
    </row>
    <row r="113" spans="1:30">
      <c r="A113">
        <v>112</v>
      </c>
      <c r="B113" t="s">
        <v>187</v>
      </c>
      <c r="C113" t="s">
        <v>259</v>
      </c>
      <c r="D113">
        <v>10.798792000000001</v>
      </c>
      <c r="E113">
        <v>10.856293000000001</v>
      </c>
      <c r="F113">
        <v>10.873944</v>
      </c>
      <c r="G113">
        <v>10.886034</v>
      </c>
      <c r="H113">
        <v>10.903517000000001</v>
      </c>
      <c r="I113">
        <v>10.925915</v>
      </c>
      <c r="J113">
        <v>10.956035</v>
      </c>
      <c r="K113">
        <v>11.000768000000001</v>
      </c>
      <c r="L113">
        <v>11.056091</v>
      </c>
      <c r="M113">
        <v>11.121807</v>
      </c>
      <c r="N113">
        <v>11.201555000000001</v>
      </c>
      <c r="O113">
        <v>11.290599</v>
      </c>
      <c r="P113">
        <v>11.404916999999999</v>
      </c>
      <c r="Q113">
        <v>11.513266</v>
      </c>
      <c r="R113">
        <v>11.608107</v>
      </c>
      <c r="S113">
        <v>11.704617000000001</v>
      </c>
      <c r="T113">
        <v>11.785418999999999</v>
      </c>
      <c r="U113">
        <v>11.862076</v>
      </c>
      <c r="V113">
        <v>11.925978000000001</v>
      </c>
      <c r="W113">
        <v>11.977753999999999</v>
      </c>
      <c r="X113">
        <v>12.020346</v>
      </c>
      <c r="Y113">
        <v>12.053824000000001</v>
      </c>
      <c r="Z113">
        <v>12.081751000000001</v>
      </c>
      <c r="AA113">
        <v>12.103702</v>
      </c>
      <c r="AB113">
        <v>12.121206000000001</v>
      </c>
      <c r="AC113">
        <v>12.13481</v>
      </c>
      <c r="AD113">
        <v>0.46766600000000003</v>
      </c>
    </row>
    <row r="114" spans="1:30">
      <c r="A114">
        <v>113</v>
      </c>
      <c r="B114" t="s">
        <v>227</v>
      </c>
      <c r="C114" t="s">
        <v>259</v>
      </c>
      <c r="D114">
        <v>10.104222999999999</v>
      </c>
      <c r="E114">
        <v>10.103422999999999</v>
      </c>
      <c r="F114">
        <v>10.104282</v>
      </c>
      <c r="G114">
        <v>10.105582</v>
      </c>
      <c r="H114">
        <v>10.107865</v>
      </c>
      <c r="I114">
        <v>10.109615</v>
      </c>
      <c r="J114">
        <v>10.110649</v>
      </c>
      <c r="K114">
        <v>10.109721</v>
      </c>
      <c r="L114">
        <v>10.106567999999999</v>
      </c>
      <c r="M114">
        <v>10.100712</v>
      </c>
      <c r="N114">
        <v>10.095901</v>
      </c>
      <c r="O114">
        <v>10.095756</v>
      </c>
      <c r="P114">
        <v>10.098545</v>
      </c>
      <c r="Q114">
        <v>10.103472999999999</v>
      </c>
      <c r="R114">
        <v>10.108295</v>
      </c>
      <c r="S114">
        <v>10.108884</v>
      </c>
      <c r="T114">
        <v>10.107077</v>
      </c>
      <c r="U114">
        <v>10.106192</v>
      </c>
      <c r="V114">
        <v>10.108479000000001</v>
      </c>
      <c r="W114">
        <v>10.114791</v>
      </c>
      <c r="X114">
        <v>10.104162000000001</v>
      </c>
      <c r="Y114">
        <v>10.082758999999999</v>
      </c>
      <c r="Z114">
        <v>10.062147</v>
      </c>
      <c r="AA114">
        <v>10.066388999999999</v>
      </c>
      <c r="AB114">
        <v>10.09995</v>
      </c>
      <c r="AC114">
        <v>10.152122</v>
      </c>
      <c r="AD114">
        <v>1.8918999999999998E-2</v>
      </c>
    </row>
    <row r="115" spans="1:30">
      <c r="A115">
        <v>114</v>
      </c>
      <c r="B115" t="s">
        <v>228</v>
      </c>
      <c r="C115" t="s">
        <v>258</v>
      </c>
      <c r="D115">
        <v>41.511620000000001</v>
      </c>
      <c r="E115">
        <v>41.696468000000003</v>
      </c>
      <c r="F115">
        <v>41.829937000000001</v>
      </c>
      <c r="G115">
        <v>41.921967000000002</v>
      </c>
      <c r="H115">
        <v>41.993893</v>
      </c>
      <c r="I115">
        <v>42.050266000000001</v>
      </c>
      <c r="J115">
        <v>42.093589999999999</v>
      </c>
      <c r="K115">
        <v>42.129646000000001</v>
      </c>
      <c r="L115">
        <v>42.159191</v>
      </c>
      <c r="M115">
        <v>42.184593</v>
      </c>
      <c r="N115">
        <v>42.206271999999998</v>
      </c>
      <c r="O115">
        <v>42.224888</v>
      </c>
      <c r="P115">
        <v>42.240642999999999</v>
      </c>
      <c r="Q115">
        <v>42.254711</v>
      </c>
      <c r="R115">
        <v>42.266285000000003</v>
      </c>
      <c r="S115">
        <v>42.285941999999999</v>
      </c>
      <c r="T115">
        <v>42.313564</v>
      </c>
      <c r="U115">
        <v>42.334465000000002</v>
      </c>
      <c r="V115">
        <v>42.345627</v>
      </c>
      <c r="W115">
        <v>42.351711000000002</v>
      </c>
      <c r="X115">
        <v>42.354942000000001</v>
      </c>
      <c r="Y115">
        <v>42.356772999999997</v>
      </c>
      <c r="Z115">
        <v>42.357914000000001</v>
      </c>
      <c r="AA115">
        <v>42.358559</v>
      </c>
      <c r="AB115">
        <v>42.359000999999999</v>
      </c>
      <c r="AC115">
        <v>42.359290999999999</v>
      </c>
      <c r="AD115">
        <v>8.0890000000000004E-2</v>
      </c>
    </row>
    <row r="116" spans="1:30">
      <c r="A116">
        <v>115</v>
      </c>
      <c r="B116" t="s">
        <v>229</v>
      </c>
      <c r="C116" t="s">
        <v>258</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row>
    <row r="117" spans="1:30">
      <c r="A117">
        <v>116</v>
      </c>
      <c r="B117" t="s">
        <v>230</v>
      </c>
      <c r="C117" t="s">
        <v>259</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row>
    <row r="118" spans="1:30">
      <c r="A118">
        <v>117</v>
      </c>
      <c r="B118" t="s">
        <v>231</v>
      </c>
      <c r="C118" t="s">
        <v>258</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row>
    <row r="119" spans="1:30">
      <c r="A119">
        <v>118</v>
      </c>
      <c r="B119" t="s">
        <v>574</v>
      </c>
      <c r="C119" t="s">
        <v>258</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row>
    <row r="120" spans="1:30">
      <c r="A120">
        <v>119</v>
      </c>
      <c r="B120" t="s">
        <v>571</v>
      </c>
      <c r="C120" t="s">
        <v>259</v>
      </c>
      <c r="D120">
        <v>14.015262999999999</v>
      </c>
      <c r="E120">
        <v>14.013569</v>
      </c>
      <c r="F120">
        <v>14.021940000000001</v>
      </c>
      <c r="G120">
        <v>14.036565</v>
      </c>
      <c r="H120">
        <v>14.057689</v>
      </c>
      <c r="I120">
        <v>14.086316999999999</v>
      </c>
      <c r="J120">
        <v>14.126541</v>
      </c>
      <c r="K120">
        <v>14.173980999999999</v>
      </c>
      <c r="L120">
        <v>14.228186000000001</v>
      </c>
      <c r="M120">
        <v>14.28945</v>
      </c>
      <c r="N120">
        <v>14.350714999999999</v>
      </c>
      <c r="O120">
        <v>14.404946000000001</v>
      </c>
      <c r="P120">
        <v>14.444652</v>
      </c>
      <c r="Q120">
        <v>14.470791999999999</v>
      </c>
      <c r="R120">
        <v>14.486153</v>
      </c>
      <c r="S120">
        <v>14.494659</v>
      </c>
      <c r="T120">
        <v>14.498779000000001</v>
      </c>
      <c r="U120">
        <v>14.500019999999999</v>
      </c>
      <c r="V120">
        <v>14.499333</v>
      </c>
      <c r="W120">
        <v>14.497403</v>
      </c>
      <c r="X120">
        <v>14.494657</v>
      </c>
      <c r="Y120">
        <v>14.491384</v>
      </c>
      <c r="Z120">
        <v>14.48781</v>
      </c>
      <c r="AA120">
        <v>14.484152999999999</v>
      </c>
      <c r="AB120">
        <v>14.480693</v>
      </c>
      <c r="AC120">
        <v>14.477460000000001</v>
      </c>
      <c r="AD120">
        <v>0.12986800000000001</v>
      </c>
    </row>
    <row r="121" spans="1:30">
      <c r="A121">
        <v>120</v>
      </c>
      <c r="B121" t="s">
        <v>568</v>
      </c>
      <c r="C121" t="s">
        <v>258</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row>
    <row r="122" spans="1:30">
      <c r="A122">
        <v>121</v>
      </c>
      <c r="B122" t="s">
        <v>240</v>
      </c>
      <c r="D122">
        <v>13.253558</v>
      </c>
      <c r="E122">
        <v>13.277319</v>
      </c>
      <c r="F122">
        <v>13.307313000000001</v>
      </c>
      <c r="G122">
        <v>13.341537000000001</v>
      </c>
      <c r="H122">
        <v>13.378854</v>
      </c>
      <c r="I122">
        <v>13.417935</v>
      </c>
      <c r="J122">
        <v>13.455814</v>
      </c>
      <c r="K122">
        <v>13.492418000000001</v>
      </c>
      <c r="L122">
        <v>13.527015</v>
      </c>
      <c r="M122">
        <v>13.559723</v>
      </c>
      <c r="N122">
        <v>13.591429</v>
      </c>
      <c r="O122">
        <v>13.623523</v>
      </c>
      <c r="P122">
        <v>13.655442000000001</v>
      </c>
      <c r="Q122">
        <v>13.686272000000001</v>
      </c>
      <c r="R122">
        <v>13.715280999999999</v>
      </c>
      <c r="S122">
        <v>13.747721</v>
      </c>
      <c r="T122">
        <v>13.797402999999999</v>
      </c>
      <c r="U122">
        <v>13.874019000000001</v>
      </c>
      <c r="V122">
        <v>13.976603000000001</v>
      </c>
      <c r="W122">
        <v>14.111129999999999</v>
      </c>
      <c r="X122">
        <v>14.274321</v>
      </c>
      <c r="Y122">
        <v>14.449669999999999</v>
      </c>
      <c r="Z122">
        <v>14.636676</v>
      </c>
      <c r="AA122">
        <v>14.836795</v>
      </c>
      <c r="AB122">
        <v>15.040851</v>
      </c>
      <c r="AC122">
        <v>15.243010999999999</v>
      </c>
      <c r="AD122">
        <v>0.56098800000000004</v>
      </c>
    </row>
    <row r="123" spans="1:30">
      <c r="A123">
        <v>122</v>
      </c>
      <c r="B123" t="s">
        <v>163</v>
      </c>
    </row>
    <row r="124" spans="1:30">
      <c r="A124">
        <v>123</v>
      </c>
      <c r="B124" t="s">
        <v>181</v>
      </c>
      <c r="C124" t="s">
        <v>258</v>
      </c>
      <c r="D124">
        <v>9.0553620000000006</v>
      </c>
      <c r="E124">
        <v>9.1447129999999994</v>
      </c>
      <c r="F124">
        <v>9.2505059999999997</v>
      </c>
      <c r="G124">
        <v>9.3653370000000002</v>
      </c>
      <c r="H124">
        <v>9.4960269999999998</v>
      </c>
      <c r="I124">
        <v>9.6337969999999995</v>
      </c>
      <c r="J124">
        <v>9.7766999999999999</v>
      </c>
      <c r="K124">
        <v>9.9222180000000009</v>
      </c>
      <c r="L124">
        <v>10.068234</v>
      </c>
      <c r="M124">
        <v>10.211048999999999</v>
      </c>
      <c r="N124">
        <v>10.346632</v>
      </c>
      <c r="O124">
        <v>10.468869</v>
      </c>
      <c r="P124">
        <v>10.579020999999999</v>
      </c>
      <c r="Q124">
        <v>10.679309</v>
      </c>
      <c r="R124">
        <v>10.770816</v>
      </c>
      <c r="S124">
        <v>10.855712</v>
      </c>
      <c r="T124">
        <v>10.935929</v>
      </c>
      <c r="U124">
        <v>11.007495</v>
      </c>
      <c r="V124">
        <v>11.068951</v>
      </c>
      <c r="W124">
        <v>11.12161</v>
      </c>
      <c r="X124">
        <v>11.169466999999999</v>
      </c>
      <c r="Y124">
        <v>11.212975999999999</v>
      </c>
      <c r="Z124">
        <v>11.251531999999999</v>
      </c>
      <c r="AA124">
        <v>11.286322</v>
      </c>
      <c r="AB124">
        <v>11.318735</v>
      </c>
      <c r="AC124">
        <v>11.350573000000001</v>
      </c>
      <c r="AD124">
        <v>0.90773999999999999</v>
      </c>
    </row>
    <row r="125" spans="1:30">
      <c r="A125">
        <v>124</v>
      </c>
      <c r="B125" t="s">
        <v>226</v>
      </c>
      <c r="C125" t="s">
        <v>259</v>
      </c>
      <c r="D125">
        <v>8.7567219999999999</v>
      </c>
      <c r="E125">
        <v>8.7809620000000006</v>
      </c>
      <c r="F125">
        <v>8.8220209999999994</v>
      </c>
      <c r="G125">
        <v>8.8776569999999992</v>
      </c>
      <c r="H125">
        <v>8.9452850000000002</v>
      </c>
      <c r="I125">
        <v>9.0233159999999994</v>
      </c>
      <c r="J125">
        <v>9.1079179999999997</v>
      </c>
      <c r="K125">
        <v>9.1952180000000006</v>
      </c>
      <c r="L125">
        <v>9.2816600000000005</v>
      </c>
      <c r="M125">
        <v>9.3643509999999992</v>
      </c>
      <c r="N125">
        <v>9.44191</v>
      </c>
      <c r="O125">
        <v>9.509703</v>
      </c>
      <c r="P125">
        <v>9.5691659999999992</v>
      </c>
      <c r="Q125">
        <v>9.6217279999999992</v>
      </c>
      <c r="R125">
        <v>9.6684180000000008</v>
      </c>
      <c r="S125">
        <v>9.7118450000000003</v>
      </c>
      <c r="T125">
        <v>9.7514920000000007</v>
      </c>
      <c r="U125">
        <v>9.7857620000000001</v>
      </c>
      <c r="V125">
        <v>9.8166689999999992</v>
      </c>
      <c r="W125">
        <v>9.8453859999999995</v>
      </c>
      <c r="X125">
        <v>9.8726430000000001</v>
      </c>
      <c r="Y125">
        <v>9.8973910000000007</v>
      </c>
      <c r="Z125">
        <v>9.9195340000000005</v>
      </c>
      <c r="AA125">
        <v>9.9393089999999997</v>
      </c>
      <c r="AB125">
        <v>9.957751</v>
      </c>
      <c r="AC125">
        <v>9.9757189999999998</v>
      </c>
      <c r="AD125">
        <v>0.52269100000000002</v>
      </c>
    </row>
    <row r="126" spans="1:30">
      <c r="A126">
        <v>125</v>
      </c>
      <c r="B126" t="s">
        <v>184</v>
      </c>
      <c r="C126" t="s">
        <v>259</v>
      </c>
      <c r="D126">
        <v>6.9980890000000002</v>
      </c>
      <c r="E126">
        <v>7.0132370000000002</v>
      </c>
      <c r="F126">
        <v>7.0275020000000001</v>
      </c>
      <c r="G126">
        <v>7.0415010000000002</v>
      </c>
      <c r="H126">
        <v>7.0613979999999996</v>
      </c>
      <c r="I126">
        <v>7.0794819999999996</v>
      </c>
      <c r="J126">
        <v>7.0995499999999998</v>
      </c>
      <c r="K126">
        <v>7.1209860000000003</v>
      </c>
      <c r="L126">
        <v>7.132193</v>
      </c>
      <c r="M126">
        <v>7.1320990000000002</v>
      </c>
      <c r="N126">
        <v>7.1301040000000002</v>
      </c>
      <c r="O126">
        <v>7.1331360000000004</v>
      </c>
      <c r="P126">
        <v>7.140917</v>
      </c>
      <c r="Q126">
        <v>7.1533910000000001</v>
      </c>
      <c r="R126">
        <v>7.1695039999999999</v>
      </c>
      <c r="S126">
        <v>7.1880360000000003</v>
      </c>
      <c r="T126">
        <v>7.2094300000000002</v>
      </c>
      <c r="U126">
        <v>7.232513</v>
      </c>
      <c r="V126">
        <v>7.2572380000000001</v>
      </c>
      <c r="W126">
        <v>7.2847799999999996</v>
      </c>
      <c r="X126">
        <v>7.3081180000000003</v>
      </c>
      <c r="Y126">
        <v>7.335267</v>
      </c>
      <c r="Z126">
        <v>7.3631250000000001</v>
      </c>
      <c r="AA126">
        <v>7.4263680000000001</v>
      </c>
      <c r="AB126">
        <v>7.5658130000000003</v>
      </c>
      <c r="AC126">
        <v>7.7502700000000004</v>
      </c>
      <c r="AD126">
        <v>0.40919699999999998</v>
      </c>
    </row>
    <row r="127" spans="1:30">
      <c r="A127">
        <v>126</v>
      </c>
      <c r="B127" t="s">
        <v>187</v>
      </c>
      <c r="C127" t="s">
        <v>259</v>
      </c>
      <c r="D127">
        <v>7.1337270000000004</v>
      </c>
      <c r="E127">
        <v>7.2753209999999999</v>
      </c>
      <c r="F127">
        <v>7.4202510000000004</v>
      </c>
      <c r="G127">
        <v>7.5615170000000003</v>
      </c>
      <c r="H127">
        <v>7.6983430000000004</v>
      </c>
      <c r="I127">
        <v>7.8345529999999997</v>
      </c>
      <c r="J127">
        <v>7.9715509999999998</v>
      </c>
      <c r="K127">
        <v>8.1067239999999998</v>
      </c>
      <c r="L127">
        <v>8.2351329999999994</v>
      </c>
      <c r="M127">
        <v>8.3587880000000006</v>
      </c>
      <c r="N127">
        <v>8.4752639999999992</v>
      </c>
      <c r="O127">
        <v>8.5801759999999998</v>
      </c>
      <c r="P127">
        <v>8.6765889999999999</v>
      </c>
      <c r="Q127">
        <v>8.7624200000000005</v>
      </c>
      <c r="R127">
        <v>8.8380890000000001</v>
      </c>
      <c r="S127">
        <v>8.9054169999999999</v>
      </c>
      <c r="T127">
        <v>8.9645019999999995</v>
      </c>
      <c r="U127">
        <v>9.0169339999999991</v>
      </c>
      <c r="V127">
        <v>9.0622769999999999</v>
      </c>
      <c r="W127">
        <v>9.1034710000000008</v>
      </c>
      <c r="X127">
        <v>9.1388020000000001</v>
      </c>
      <c r="Y127">
        <v>9.1693770000000008</v>
      </c>
      <c r="Z127">
        <v>9.1956039999999994</v>
      </c>
      <c r="AA127">
        <v>9.2179970000000004</v>
      </c>
      <c r="AB127">
        <v>9.2359729999999995</v>
      </c>
      <c r="AC127">
        <v>9.2512699999999999</v>
      </c>
      <c r="AD127">
        <v>1.0451319999999999</v>
      </c>
    </row>
    <row r="128" spans="1:30">
      <c r="A128">
        <v>127</v>
      </c>
      <c r="B128" t="s">
        <v>227</v>
      </c>
      <c r="C128" t="s">
        <v>260</v>
      </c>
      <c r="D128">
        <v>7.8626459999999998</v>
      </c>
      <c r="E128">
        <v>7.8649100000000001</v>
      </c>
      <c r="F128">
        <v>7.8669520000000004</v>
      </c>
      <c r="G128">
        <v>7.8686449999999999</v>
      </c>
      <c r="H128">
        <v>7.8702589999999999</v>
      </c>
      <c r="I128">
        <v>7.8714789999999999</v>
      </c>
      <c r="J128">
        <v>7.872566</v>
      </c>
      <c r="K128">
        <v>7.8719219999999996</v>
      </c>
      <c r="L128">
        <v>7.8693359999999997</v>
      </c>
      <c r="M128">
        <v>7.8662320000000001</v>
      </c>
      <c r="N128">
        <v>7.8638820000000003</v>
      </c>
      <c r="O128">
        <v>7.8613559999999998</v>
      </c>
      <c r="P128">
        <v>7.8594480000000004</v>
      </c>
      <c r="Q128">
        <v>7.8579439999999998</v>
      </c>
      <c r="R128">
        <v>7.8573279999999999</v>
      </c>
      <c r="S128">
        <v>7.8580100000000002</v>
      </c>
      <c r="T128">
        <v>7.8589120000000001</v>
      </c>
      <c r="U128">
        <v>7.8601900000000002</v>
      </c>
      <c r="V128">
        <v>7.8622709999999998</v>
      </c>
      <c r="W128">
        <v>7.8667959999999999</v>
      </c>
      <c r="X128">
        <v>7.8784619999999999</v>
      </c>
      <c r="Y128">
        <v>7.8936339999999996</v>
      </c>
      <c r="Z128">
        <v>7.9090550000000004</v>
      </c>
      <c r="AA128">
        <v>7.9243499999999996</v>
      </c>
      <c r="AB128">
        <v>7.939317</v>
      </c>
      <c r="AC128">
        <v>7.9523809999999999</v>
      </c>
      <c r="AD128">
        <v>4.5402999999999999E-2</v>
      </c>
    </row>
    <row r="129" spans="1:30">
      <c r="A129">
        <v>128</v>
      </c>
      <c r="B129" t="s">
        <v>228</v>
      </c>
      <c r="C129" t="s">
        <v>259</v>
      </c>
      <c r="D129">
        <v>23.756882000000001</v>
      </c>
      <c r="E129">
        <v>23.096142</v>
      </c>
      <c r="F129">
        <v>22.674477</v>
      </c>
      <c r="G129">
        <v>22.410273</v>
      </c>
      <c r="H129">
        <v>22.243334000000001</v>
      </c>
      <c r="I129">
        <v>22.140812</v>
      </c>
      <c r="J129">
        <v>22.066725000000002</v>
      </c>
      <c r="K129">
        <v>22.019278</v>
      </c>
      <c r="L129">
        <v>21.985576999999999</v>
      </c>
      <c r="M129">
        <v>21.962337000000002</v>
      </c>
      <c r="N129">
        <v>21.943819000000001</v>
      </c>
      <c r="O129">
        <v>21.925901</v>
      </c>
      <c r="P129">
        <v>21.910542</v>
      </c>
      <c r="Q129">
        <v>21.902854999999999</v>
      </c>
      <c r="R129">
        <v>21.895271000000001</v>
      </c>
      <c r="S129">
        <v>21.887836</v>
      </c>
      <c r="T129">
        <v>21.882555</v>
      </c>
      <c r="U129">
        <v>21.879597</v>
      </c>
      <c r="V129">
        <v>21.877414999999999</v>
      </c>
      <c r="W129">
        <v>21.874516</v>
      </c>
      <c r="X129">
        <v>21.871416</v>
      </c>
      <c r="Y129">
        <v>21.867750000000001</v>
      </c>
      <c r="Z129">
        <v>21.864242999999998</v>
      </c>
      <c r="AA129">
        <v>21.861640999999999</v>
      </c>
      <c r="AB129">
        <v>21.859518000000001</v>
      </c>
      <c r="AC129">
        <v>21.856774999999999</v>
      </c>
      <c r="AD129">
        <v>-0.33289000000000002</v>
      </c>
    </row>
    <row r="130" spans="1:30">
      <c r="A130">
        <v>129</v>
      </c>
      <c r="B130" t="s">
        <v>229</v>
      </c>
      <c r="C130" t="s">
        <v>259</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row>
    <row r="131" spans="1:30">
      <c r="A131">
        <v>130</v>
      </c>
      <c r="B131" t="s">
        <v>230</v>
      </c>
      <c r="C131" t="s">
        <v>259</v>
      </c>
      <c r="D131">
        <v>9.2205359999999992</v>
      </c>
      <c r="E131">
        <v>9.2205359999999992</v>
      </c>
      <c r="F131">
        <v>9.2205359999999992</v>
      </c>
      <c r="G131">
        <v>9.2205359999999992</v>
      </c>
      <c r="H131">
        <v>9.2205359999999992</v>
      </c>
      <c r="I131">
        <v>9.2205359999999992</v>
      </c>
      <c r="J131">
        <v>9.2205359999999992</v>
      </c>
      <c r="K131">
        <v>9.2205359999999992</v>
      </c>
      <c r="L131">
        <v>9.2205359999999992</v>
      </c>
      <c r="M131">
        <v>9.2205359999999992</v>
      </c>
      <c r="N131">
        <v>9.2205359999999992</v>
      </c>
      <c r="O131">
        <v>9.2205359999999992</v>
      </c>
      <c r="P131">
        <v>9.2205359999999992</v>
      </c>
      <c r="Q131">
        <v>9.2205359999999992</v>
      </c>
      <c r="R131">
        <v>9.2205359999999992</v>
      </c>
      <c r="S131">
        <v>9.2205359999999992</v>
      </c>
      <c r="T131">
        <v>9.2205359999999992</v>
      </c>
      <c r="U131">
        <v>9.2205359999999992</v>
      </c>
      <c r="V131">
        <v>9.2205359999999992</v>
      </c>
      <c r="W131">
        <v>9.2205359999999992</v>
      </c>
      <c r="X131">
        <v>9.2205359999999992</v>
      </c>
      <c r="Y131">
        <v>9.2205359999999992</v>
      </c>
      <c r="Z131">
        <v>9.2205359999999992</v>
      </c>
      <c r="AA131">
        <v>9.2205359999999992</v>
      </c>
      <c r="AB131">
        <v>9.2205359999999992</v>
      </c>
      <c r="AC131">
        <v>9.2205359999999992</v>
      </c>
      <c r="AD131">
        <v>0</v>
      </c>
    </row>
    <row r="132" spans="1:30">
      <c r="A132">
        <v>131</v>
      </c>
      <c r="B132" t="s">
        <v>231</v>
      </c>
      <c r="C132" t="s">
        <v>259</v>
      </c>
      <c r="D132">
        <v>0</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row>
    <row r="133" spans="1:30">
      <c r="A133">
        <v>132</v>
      </c>
      <c r="B133" t="s">
        <v>574</v>
      </c>
      <c r="C133" t="s">
        <v>258</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row>
    <row r="134" spans="1:30">
      <c r="A134">
        <v>133</v>
      </c>
      <c r="B134" t="s">
        <v>571</v>
      </c>
      <c r="C134" t="s">
        <v>259</v>
      </c>
      <c r="D134">
        <v>9.8478510000000004</v>
      </c>
      <c r="E134">
        <v>9.8841370000000008</v>
      </c>
      <c r="F134">
        <v>9.8989320000000003</v>
      </c>
      <c r="G134">
        <v>9.909338</v>
      </c>
      <c r="H134">
        <v>9.9181570000000008</v>
      </c>
      <c r="I134">
        <v>9.9298669999999998</v>
      </c>
      <c r="J134">
        <v>9.966208</v>
      </c>
      <c r="K134">
        <v>10.022741</v>
      </c>
      <c r="L134">
        <v>10.099705999999999</v>
      </c>
      <c r="M134">
        <v>10.183889000000001</v>
      </c>
      <c r="N134">
        <v>10.258155</v>
      </c>
      <c r="O134">
        <v>10.318574999999999</v>
      </c>
      <c r="P134">
        <v>10.365211</v>
      </c>
      <c r="Q134">
        <v>10.401318</v>
      </c>
      <c r="R134">
        <v>10.429368999999999</v>
      </c>
      <c r="S134">
        <v>10.451465000000001</v>
      </c>
      <c r="T134">
        <v>10.468302</v>
      </c>
      <c r="U134">
        <v>10.481358</v>
      </c>
      <c r="V134">
        <v>10.491721999999999</v>
      </c>
      <c r="W134">
        <v>10.500090999999999</v>
      </c>
      <c r="X134">
        <v>10.506879</v>
      </c>
      <c r="Y134">
        <v>10.512414</v>
      </c>
      <c r="Z134">
        <v>10.516904</v>
      </c>
      <c r="AA134">
        <v>10.520545</v>
      </c>
      <c r="AB134">
        <v>10.523535000000001</v>
      </c>
      <c r="AC134">
        <v>10.526019</v>
      </c>
      <c r="AD134">
        <v>0.26674300000000001</v>
      </c>
    </row>
    <row r="135" spans="1:30">
      <c r="A135">
        <v>134</v>
      </c>
      <c r="B135" t="s">
        <v>568</v>
      </c>
      <c r="C135" t="s">
        <v>258</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row>
    <row r="136" spans="1:30">
      <c r="A136">
        <v>135</v>
      </c>
      <c r="B136" t="s">
        <v>241</v>
      </c>
      <c r="D136">
        <v>8.9226120000000009</v>
      </c>
      <c r="E136">
        <v>8.9852170000000005</v>
      </c>
      <c r="F136">
        <v>9.0637519999999991</v>
      </c>
      <c r="G136">
        <v>9.1527469999999997</v>
      </c>
      <c r="H136">
        <v>9.2549939999999999</v>
      </c>
      <c r="I136">
        <v>9.3649129999999996</v>
      </c>
      <c r="J136">
        <v>9.4800020000000007</v>
      </c>
      <c r="K136">
        <v>9.597213</v>
      </c>
      <c r="L136">
        <v>9.7141230000000007</v>
      </c>
      <c r="M136">
        <v>9.8272139999999997</v>
      </c>
      <c r="N136">
        <v>9.9335690000000003</v>
      </c>
      <c r="O136">
        <v>10.027856</v>
      </c>
      <c r="P136">
        <v>10.110984999999999</v>
      </c>
      <c r="Q136">
        <v>10.184744</v>
      </c>
      <c r="R136">
        <v>10.250178999999999</v>
      </c>
      <c r="S136">
        <v>10.309665000000001</v>
      </c>
      <c r="T136">
        <v>10.363826</v>
      </c>
      <c r="U136">
        <v>10.410511</v>
      </c>
      <c r="V136">
        <v>10.450519</v>
      </c>
      <c r="W136">
        <v>10.48516</v>
      </c>
      <c r="X136">
        <v>10.516598999999999</v>
      </c>
      <c r="Y136">
        <v>10.544691</v>
      </c>
      <c r="Z136">
        <v>10.569328000000001</v>
      </c>
      <c r="AA136">
        <v>10.591162000000001</v>
      </c>
      <c r="AB136">
        <v>10.611227</v>
      </c>
      <c r="AC136">
        <v>10.630725999999999</v>
      </c>
      <c r="AD136">
        <v>0.70309900000000003</v>
      </c>
    </row>
    <row r="137" spans="1:30">
      <c r="A137">
        <v>136</v>
      </c>
      <c r="B137" t="s">
        <v>234</v>
      </c>
    </row>
    <row r="138" spans="1:30">
      <c r="A138">
        <v>137</v>
      </c>
      <c r="B138" t="s">
        <v>181</v>
      </c>
      <c r="C138" t="s">
        <v>258</v>
      </c>
      <c r="D138">
        <v>6.5957980000000003</v>
      </c>
      <c r="E138">
        <v>6.6596979999999997</v>
      </c>
      <c r="F138">
        <v>6.7391740000000002</v>
      </c>
      <c r="G138">
        <v>6.822762</v>
      </c>
      <c r="H138">
        <v>6.9042500000000002</v>
      </c>
      <c r="I138">
        <v>6.9857339999999999</v>
      </c>
      <c r="J138">
        <v>7.0663049999999998</v>
      </c>
      <c r="K138">
        <v>7.1641760000000003</v>
      </c>
      <c r="L138">
        <v>7.2630100000000004</v>
      </c>
      <c r="M138">
        <v>7.3563869999999998</v>
      </c>
      <c r="N138">
        <v>7.4426110000000003</v>
      </c>
      <c r="O138">
        <v>7.5190530000000004</v>
      </c>
      <c r="P138">
        <v>7.5863769999999997</v>
      </c>
      <c r="Q138">
        <v>7.6459859999999997</v>
      </c>
      <c r="R138">
        <v>7.6991569999999996</v>
      </c>
      <c r="S138">
        <v>7.747662</v>
      </c>
      <c r="T138">
        <v>7.7900710000000002</v>
      </c>
      <c r="U138">
        <v>7.8261960000000004</v>
      </c>
      <c r="V138">
        <v>7.8569120000000003</v>
      </c>
      <c r="W138">
        <v>7.8831569999999997</v>
      </c>
      <c r="X138">
        <v>7.9059739999999996</v>
      </c>
      <c r="Y138">
        <v>7.926113</v>
      </c>
      <c r="Z138">
        <v>7.9435349999999998</v>
      </c>
      <c r="AA138">
        <v>7.958977</v>
      </c>
      <c r="AB138">
        <v>7.9728389999999996</v>
      </c>
      <c r="AC138">
        <v>7.9848340000000002</v>
      </c>
      <c r="AD138">
        <v>0.767374</v>
      </c>
    </row>
    <row r="139" spans="1:30">
      <c r="A139">
        <v>138</v>
      </c>
      <c r="B139" t="s">
        <v>226</v>
      </c>
      <c r="C139" t="s">
        <v>259</v>
      </c>
      <c r="D139">
        <v>5.1109039999999997</v>
      </c>
      <c r="E139">
        <v>5.127148</v>
      </c>
      <c r="F139">
        <v>5.150239</v>
      </c>
      <c r="G139">
        <v>5.1793339999999999</v>
      </c>
      <c r="H139">
        <v>5.2122190000000002</v>
      </c>
      <c r="I139">
        <v>5.2472060000000003</v>
      </c>
      <c r="J139">
        <v>5.2903390000000003</v>
      </c>
      <c r="K139">
        <v>5.3410149999999996</v>
      </c>
      <c r="L139">
        <v>5.3996329999999997</v>
      </c>
      <c r="M139">
        <v>5.4597350000000002</v>
      </c>
      <c r="N139">
        <v>5.5231880000000002</v>
      </c>
      <c r="O139">
        <v>5.585655</v>
      </c>
      <c r="P139">
        <v>5.6515610000000001</v>
      </c>
      <c r="Q139">
        <v>5.7230780000000001</v>
      </c>
      <c r="R139">
        <v>5.7982469999999999</v>
      </c>
      <c r="S139">
        <v>5.8700659999999996</v>
      </c>
      <c r="T139">
        <v>5.9404000000000003</v>
      </c>
      <c r="U139">
        <v>6.0105769999999996</v>
      </c>
      <c r="V139">
        <v>6.0757880000000002</v>
      </c>
      <c r="W139">
        <v>6.1336000000000004</v>
      </c>
      <c r="X139">
        <v>6.1838850000000001</v>
      </c>
      <c r="Y139">
        <v>6.2275099999999997</v>
      </c>
      <c r="Z139">
        <v>6.2670149999999998</v>
      </c>
      <c r="AA139">
        <v>6.302079</v>
      </c>
      <c r="AB139">
        <v>6.3341989999999999</v>
      </c>
      <c r="AC139">
        <v>6.3648879999999997</v>
      </c>
      <c r="AD139">
        <v>0.88154399999999999</v>
      </c>
    </row>
    <row r="140" spans="1:30">
      <c r="A140">
        <v>139</v>
      </c>
      <c r="B140" t="s">
        <v>184</v>
      </c>
      <c r="C140" t="s">
        <v>259</v>
      </c>
      <c r="D140">
        <v>5.1055380000000001</v>
      </c>
      <c r="E140">
        <v>5.1047659999999997</v>
      </c>
      <c r="F140">
        <v>5.1031610000000001</v>
      </c>
      <c r="G140">
        <v>5.0993329999999997</v>
      </c>
      <c r="H140">
        <v>5.0953929999999996</v>
      </c>
      <c r="I140">
        <v>5.0901129999999997</v>
      </c>
      <c r="J140">
        <v>5.0844649999999998</v>
      </c>
      <c r="K140">
        <v>5.0807209999999996</v>
      </c>
      <c r="L140">
        <v>5.0780510000000003</v>
      </c>
      <c r="M140">
        <v>5.0760050000000003</v>
      </c>
      <c r="N140">
        <v>5.0745259999999996</v>
      </c>
      <c r="O140">
        <v>5.0734320000000004</v>
      </c>
      <c r="P140">
        <v>5.0726209999999998</v>
      </c>
      <c r="Q140">
        <v>5.0719609999999999</v>
      </c>
      <c r="R140">
        <v>5.0714319999999997</v>
      </c>
      <c r="S140">
        <v>5.0709999999999997</v>
      </c>
      <c r="T140">
        <v>5.0706610000000003</v>
      </c>
      <c r="U140">
        <v>5.0703860000000001</v>
      </c>
      <c r="V140">
        <v>5.0701619999999998</v>
      </c>
      <c r="W140">
        <v>5.0699719999999999</v>
      </c>
      <c r="X140">
        <v>5.0698179999999997</v>
      </c>
      <c r="Y140">
        <v>5.069693</v>
      </c>
      <c r="Z140">
        <v>5.0697840000000003</v>
      </c>
      <c r="AA140">
        <v>5.0698460000000001</v>
      </c>
      <c r="AB140">
        <v>5.0698840000000001</v>
      </c>
      <c r="AC140">
        <v>5.0699079999999999</v>
      </c>
      <c r="AD140">
        <v>-2.8008999999999999E-2</v>
      </c>
    </row>
    <row r="141" spans="1:30">
      <c r="A141">
        <v>140</v>
      </c>
      <c r="B141" t="s">
        <v>187</v>
      </c>
      <c r="C141" t="s">
        <v>258</v>
      </c>
      <c r="D141">
        <v>5.9923520000000003</v>
      </c>
      <c r="E141">
        <v>6.00746</v>
      </c>
      <c r="F141">
        <v>6.0296079999999996</v>
      </c>
      <c r="G141">
        <v>6.0632149999999996</v>
      </c>
      <c r="H141">
        <v>6.1059400000000004</v>
      </c>
      <c r="I141">
        <v>6.1565789999999998</v>
      </c>
      <c r="J141">
        <v>6.2132550000000002</v>
      </c>
      <c r="K141">
        <v>6.2827219999999997</v>
      </c>
      <c r="L141">
        <v>6.3548309999999999</v>
      </c>
      <c r="M141">
        <v>6.4260489999999999</v>
      </c>
      <c r="N141">
        <v>6.4952819999999996</v>
      </c>
      <c r="O141">
        <v>6.558573</v>
      </c>
      <c r="P141">
        <v>6.6180289999999999</v>
      </c>
      <c r="Q141">
        <v>6.6719010000000001</v>
      </c>
      <c r="R141">
        <v>6.7217580000000003</v>
      </c>
      <c r="S141">
        <v>6.7689300000000001</v>
      </c>
      <c r="T141">
        <v>6.8132060000000001</v>
      </c>
      <c r="U141">
        <v>6.8555029999999997</v>
      </c>
      <c r="V141">
        <v>6.8988430000000003</v>
      </c>
      <c r="W141">
        <v>6.9431929999999999</v>
      </c>
      <c r="X141">
        <v>7.0015710000000002</v>
      </c>
      <c r="Y141">
        <v>7.0594239999999999</v>
      </c>
      <c r="Z141">
        <v>7.1265919999999996</v>
      </c>
      <c r="AA141">
        <v>7.1919490000000001</v>
      </c>
      <c r="AB141">
        <v>7.2586760000000004</v>
      </c>
      <c r="AC141">
        <v>7.3249110000000002</v>
      </c>
      <c r="AD141">
        <v>0.80642199999999997</v>
      </c>
    </row>
    <row r="142" spans="1:30">
      <c r="A142">
        <v>141</v>
      </c>
      <c r="B142" t="s">
        <v>227</v>
      </c>
      <c r="C142" t="s">
        <v>259</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row>
    <row r="143" spans="1:30">
      <c r="A143">
        <v>142</v>
      </c>
      <c r="B143" t="s">
        <v>228</v>
      </c>
      <c r="C143" t="s">
        <v>258</v>
      </c>
      <c r="D143">
        <v>14.299836000000001</v>
      </c>
      <c r="E143">
        <v>14.145231000000001</v>
      </c>
      <c r="F143">
        <v>14.084206</v>
      </c>
      <c r="G143">
        <v>14.078177999999999</v>
      </c>
      <c r="H143">
        <v>14.096356999999999</v>
      </c>
      <c r="I143">
        <v>14.153164</v>
      </c>
      <c r="J143">
        <v>14.224321</v>
      </c>
      <c r="K143">
        <v>14.307308000000001</v>
      </c>
      <c r="L143">
        <v>14.403563</v>
      </c>
      <c r="M143">
        <v>14.497423</v>
      </c>
      <c r="N143">
        <v>14.587521000000001</v>
      </c>
      <c r="O143">
        <v>14.671002</v>
      </c>
      <c r="P143">
        <v>14.74784</v>
      </c>
      <c r="Q143">
        <v>14.818491</v>
      </c>
      <c r="R143">
        <v>14.885056000000001</v>
      </c>
      <c r="S143">
        <v>14.946191000000001</v>
      </c>
      <c r="T143">
        <v>15.003215000000001</v>
      </c>
      <c r="U143">
        <v>15.053806</v>
      </c>
      <c r="V143">
        <v>15.097573000000001</v>
      </c>
      <c r="W143">
        <v>15.134807</v>
      </c>
      <c r="X143">
        <v>15.165899</v>
      </c>
      <c r="Y143">
        <v>15.191371</v>
      </c>
      <c r="Z143">
        <v>15.211880000000001</v>
      </c>
      <c r="AA143">
        <v>15.228228</v>
      </c>
      <c r="AB143">
        <v>15.241275</v>
      </c>
      <c r="AC143">
        <v>15.251837</v>
      </c>
      <c r="AD143">
        <v>0.25813999999999998</v>
      </c>
    </row>
    <row r="144" spans="1:30">
      <c r="A144">
        <v>143</v>
      </c>
      <c r="B144" t="s">
        <v>229</v>
      </c>
      <c r="C144" t="s">
        <v>258</v>
      </c>
      <c r="D144">
        <v>0</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row>
    <row r="145" spans="1:30">
      <c r="A145">
        <v>144</v>
      </c>
      <c r="B145" t="s">
        <v>230</v>
      </c>
      <c r="C145" t="s">
        <v>259</v>
      </c>
      <c r="D145">
        <v>0</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row>
    <row r="146" spans="1:30">
      <c r="A146">
        <v>145</v>
      </c>
      <c r="B146" t="s">
        <v>231</v>
      </c>
      <c r="C146" t="s">
        <v>258</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row>
    <row r="147" spans="1:30">
      <c r="A147">
        <v>146</v>
      </c>
      <c r="B147" t="s">
        <v>574</v>
      </c>
      <c r="C147" t="s">
        <v>258</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row>
    <row r="148" spans="1:30">
      <c r="A148">
        <v>147</v>
      </c>
      <c r="B148" t="s">
        <v>571</v>
      </c>
      <c r="C148" t="s">
        <v>259</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row>
    <row r="149" spans="1:30">
      <c r="A149">
        <v>148</v>
      </c>
      <c r="B149" t="s">
        <v>568</v>
      </c>
      <c r="C149" t="s">
        <v>258</v>
      </c>
      <c r="D149">
        <v>0</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row>
    <row r="150" spans="1:30">
      <c r="A150">
        <v>149</v>
      </c>
      <c r="B150" t="s">
        <v>242</v>
      </c>
      <c r="D150">
        <v>6.591005</v>
      </c>
      <c r="E150">
        <v>6.655081</v>
      </c>
      <c r="F150">
        <v>6.7346349999999999</v>
      </c>
      <c r="G150">
        <v>6.8182919999999996</v>
      </c>
      <c r="H150">
        <v>6.899877</v>
      </c>
      <c r="I150">
        <v>6.9814930000000004</v>
      </c>
      <c r="J150">
        <v>7.062208</v>
      </c>
      <c r="K150">
        <v>7.1600479999999997</v>
      </c>
      <c r="L150">
        <v>7.2587979999999996</v>
      </c>
      <c r="M150">
        <v>7.352068</v>
      </c>
      <c r="N150">
        <v>7.4381940000000002</v>
      </c>
      <c r="O150">
        <v>7.5145229999999996</v>
      </c>
      <c r="P150">
        <v>7.5817319999999997</v>
      </c>
      <c r="Q150">
        <v>7.6411990000000003</v>
      </c>
      <c r="R150">
        <v>7.6942029999999999</v>
      </c>
      <c r="S150">
        <v>7.7424860000000004</v>
      </c>
      <c r="T150">
        <v>7.7846679999999999</v>
      </c>
      <c r="U150">
        <v>7.8205679999999997</v>
      </c>
      <c r="V150">
        <v>7.8510799999999996</v>
      </c>
      <c r="W150">
        <v>7.8771279999999999</v>
      </c>
      <c r="X150">
        <v>7.8997950000000001</v>
      </c>
      <c r="Y150">
        <v>7.9197569999999997</v>
      </c>
      <c r="Z150">
        <v>7.9370370000000001</v>
      </c>
      <c r="AA150">
        <v>7.9523520000000003</v>
      </c>
      <c r="AB150">
        <v>7.9661080000000002</v>
      </c>
      <c r="AC150">
        <v>7.977976</v>
      </c>
      <c r="AD150">
        <v>0.76684099999999999</v>
      </c>
    </row>
    <row r="151" spans="1:30">
      <c r="A151">
        <v>150</v>
      </c>
      <c r="B151" t="s">
        <v>243</v>
      </c>
      <c r="D151">
        <v>8.0183289999999996</v>
      </c>
      <c r="E151">
        <v>8.0682240000000007</v>
      </c>
      <c r="F151">
        <v>8.1300729999999994</v>
      </c>
      <c r="G151">
        <v>8.2010159999999992</v>
      </c>
      <c r="H151">
        <v>8.2774710000000002</v>
      </c>
      <c r="I151">
        <v>8.3590280000000003</v>
      </c>
      <c r="J151">
        <v>8.4429809999999996</v>
      </c>
      <c r="K151">
        <v>8.5422919999999998</v>
      </c>
      <c r="L151">
        <v>8.6430369999999996</v>
      </c>
      <c r="M151">
        <v>8.7396010000000004</v>
      </c>
      <c r="N151">
        <v>8.8297679999999996</v>
      </c>
      <c r="O151">
        <v>8.9111940000000001</v>
      </c>
      <c r="P151">
        <v>8.9856110000000005</v>
      </c>
      <c r="Q151">
        <v>9.0546209999999991</v>
      </c>
      <c r="R151">
        <v>9.1182610000000004</v>
      </c>
      <c r="S151">
        <v>9.1787569999999992</v>
      </c>
      <c r="T151">
        <v>9.2349329999999998</v>
      </c>
      <c r="U151">
        <v>9.2882010000000008</v>
      </c>
      <c r="V151">
        <v>9.3386169999999993</v>
      </c>
      <c r="W151">
        <v>9.3882639999999995</v>
      </c>
      <c r="X151">
        <v>9.4382870000000008</v>
      </c>
      <c r="Y151">
        <v>9.4881279999999997</v>
      </c>
      <c r="Z151">
        <v>9.5385240000000007</v>
      </c>
      <c r="AA151">
        <v>9.5897269999999999</v>
      </c>
      <c r="AB151">
        <v>9.640746</v>
      </c>
      <c r="AC151">
        <v>9.6891529999999992</v>
      </c>
      <c r="AD151">
        <v>0.75998100000000002</v>
      </c>
    </row>
    <row r="152" spans="1:30">
      <c r="A152">
        <v>151</v>
      </c>
    </row>
    <row r="153" spans="1:30">
      <c r="A153">
        <v>152</v>
      </c>
      <c r="B153" t="s">
        <v>244</v>
      </c>
    </row>
    <row r="154" spans="1:30">
      <c r="A154">
        <v>153</v>
      </c>
      <c r="B154" t="s">
        <v>162</v>
      </c>
    </row>
    <row r="155" spans="1:30">
      <c r="A155">
        <v>154</v>
      </c>
      <c r="B155" t="s">
        <v>181</v>
      </c>
      <c r="C155" t="s">
        <v>222</v>
      </c>
      <c r="D155">
        <v>3.7537569999999998</v>
      </c>
      <c r="E155">
        <v>3.835683</v>
      </c>
      <c r="F155">
        <v>3.9179650000000001</v>
      </c>
      <c r="G155">
        <v>3.9963730000000002</v>
      </c>
      <c r="H155">
        <v>4.0713010000000001</v>
      </c>
      <c r="I155">
        <v>4.1429960000000001</v>
      </c>
      <c r="J155">
        <v>4.2088390000000002</v>
      </c>
      <c r="K155">
        <v>4.2684329999999999</v>
      </c>
      <c r="L155">
        <v>4.3136609999999997</v>
      </c>
      <c r="M155">
        <v>4.3476720000000002</v>
      </c>
      <c r="N155">
        <v>4.3677840000000003</v>
      </c>
      <c r="O155">
        <v>4.372344</v>
      </c>
      <c r="P155">
        <v>4.3659679999999996</v>
      </c>
      <c r="Q155">
        <v>4.3509070000000003</v>
      </c>
      <c r="R155">
        <v>4.3246659999999997</v>
      </c>
      <c r="S155">
        <v>4.2856860000000001</v>
      </c>
      <c r="T155">
        <v>4.2367140000000001</v>
      </c>
      <c r="U155">
        <v>4.1736630000000003</v>
      </c>
      <c r="V155">
        <v>4.1067650000000002</v>
      </c>
      <c r="W155">
        <v>4.0321230000000003</v>
      </c>
      <c r="X155">
        <v>3.9420259999999998</v>
      </c>
      <c r="Y155">
        <v>3.84063</v>
      </c>
      <c r="Z155">
        <v>3.7352280000000002</v>
      </c>
      <c r="AA155">
        <v>3.625108</v>
      </c>
      <c r="AB155">
        <v>3.5072109999999999</v>
      </c>
      <c r="AC155">
        <v>3.3849469999999999</v>
      </c>
      <c r="AD155">
        <v>-0.41282200000000002</v>
      </c>
    </row>
    <row r="156" spans="1:30">
      <c r="A156">
        <v>155</v>
      </c>
      <c r="B156" t="s">
        <v>226</v>
      </c>
      <c r="C156" t="s">
        <v>222</v>
      </c>
      <c r="D156">
        <v>1.7368110000000001</v>
      </c>
      <c r="E156">
        <v>1.8191759999999999</v>
      </c>
      <c r="F156">
        <v>1.913807</v>
      </c>
      <c r="G156">
        <v>2.014723</v>
      </c>
      <c r="H156">
        <v>2.1217980000000001</v>
      </c>
      <c r="I156">
        <v>2.2356319999999998</v>
      </c>
      <c r="J156">
        <v>2.3504710000000002</v>
      </c>
      <c r="K156">
        <v>2.4665979999999998</v>
      </c>
      <c r="L156">
        <v>2.5789080000000002</v>
      </c>
      <c r="M156">
        <v>2.6861519999999999</v>
      </c>
      <c r="N156">
        <v>2.7850570000000001</v>
      </c>
      <c r="O156">
        <v>2.8722349999999999</v>
      </c>
      <c r="P156">
        <v>2.9514179999999999</v>
      </c>
      <c r="Q156">
        <v>3.023469</v>
      </c>
      <c r="R156">
        <v>3.0886849999999999</v>
      </c>
      <c r="S156">
        <v>3.146547</v>
      </c>
      <c r="T156">
        <v>3.1942390000000001</v>
      </c>
      <c r="U156">
        <v>3.2263459999999999</v>
      </c>
      <c r="V156">
        <v>3.2464590000000002</v>
      </c>
      <c r="W156">
        <v>3.2486280000000001</v>
      </c>
      <c r="X156">
        <v>3.2383359999999999</v>
      </c>
      <c r="Y156">
        <v>3.2161390000000001</v>
      </c>
      <c r="Z156">
        <v>3.1855039999999999</v>
      </c>
      <c r="AA156">
        <v>3.1438679999999999</v>
      </c>
      <c r="AB156">
        <v>3.0970080000000002</v>
      </c>
      <c r="AC156">
        <v>3.0447410000000001</v>
      </c>
      <c r="AD156">
        <v>2.270861</v>
      </c>
    </row>
    <row r="157" spans="1:30">
      <c r="A157">
        <v>156</v>
      </c>
      <c r="B157" t="s">
        <v>184</v>
      </c>
      <c r="C157" t="s">
        <v>222</v>
      </c>
      <c r="D157">
        <v>1.01E-4</v>
      </c>
      <c r="E157">
        <v>9.7E-5</v>
      </c>
      <c r="F157">
        <v>9.2999999999999997E-5</v>
      </c>
      <c r="G157">
        <v>9.1000000000000003E-5</v>
      </c>
      <c r="H157">
        <v>8.8999999999999995E-5</v>
      </c>
      <c r="I157">
        <v>8.7000000000000001E-5</v>
      </c>
      <c r="J157">
        <v>8.6000000000000003E-5</v>
      </c>
      <c r="K157">
        <v>8.6000000000000003E-5</v>
      </c>
      <c r="L157">
        <v>8.5000000000000006E-5</v>
      </c>
      <c r="M157">
        <v>7.7999999999999999E-5</v>
      </c>
      <c r="N157">
        <v>6.7999999999999999E-5</v>
      </c>
      <c r="O157">
        <v>6.3E-5</v>
      </c>
      <c r="P157">
        <v>6.0000000000000002E-5</v>
      </c>
      <c r="Q157">
        <v>5.8999999999999998E-5</v>
      </c>
      <c r="R157">
        <v>6.0000000000000002E-5</v>
      </c>
      <c r="S157">
        <v>6.0999999999999999E-5</v>
      </c>
      <c r="T157">
        <v>6.3E-5</v>
      </c>
      <c r="U157">
        <v>6.4999999999999994E-5</v>
      </c>
      <c r="V157">
        <v>6.7999999999999999E-5</v>
      </c>
      <c r="W157">
        <v>7.1000000000000005E-5</v>
      </c>
      <c r="X157">
        <v>7.3999999999999996E-5</v>
      </c>
      <c r="Y157">
        <v>7.7000000000000001E-5</v>
      </c>
      <c r="Z157">
        <v>8.0000000000000007E-5</v>
      </c>
      <c r="AA157">
        <v>8.2000000000000001E-5</v>
      </c>
      <c r="AB157">
        <v>8.5000000000000006E-5</v>
      </c>
      <c r="AC157">
        <v>8.7999999999999998E-5</v>
      </c>
      <c r="AD157">
        <v>-0.58117099999999999</v>
      </c>
    </row>
    <row r="158" spans="1:30">
      <c r="A158">
        <v>157</v>
      </c>
      <c r="B158" t="s">
        <v>187</v>
      </c>
      <c r="C158" t="s">
        <v>222</v>
      </c>
      <c r="D158">
        <v>3.4659999999999999E-3</v>
      </c>
      <c r="E158">
        <v>4.6589999999999999E-3</v>
      </c>
      <c r="F158">
        <v>4.8929999999999998E-3</v>
      </c>
      <c r="G158">
        <v>5.1120000000000002E-3</v>
      </c>
      <c r="H158">
        <v>5.3109999999999997E-3</v>
      </c>
      <c r="I158">
        <v>5.5290000000000001E-3</v>
      </c>
      <c r="J158">
        <v>5.7809999999999997E-3</v>
      </c>
      <c r="K158">
        <v>6.1120000000000002E-3</v>
      </c>
      <c r="L158">
        <v>6.5030000000000001E-3</v>
      </c>
      <c r="M158">
        <v>6.927E-3</v>
      </c>
      <c r="N158">
        <v>7.4549999999999998E-3</v>
      </c>
      <c r="O158">
        <v>8.0739999999999996E-3</v>
      </c>
      <c r="P158">
        <v>9.0959999999999999E-3</v>
      </c>
      <c r="Q158">
        <v>1.0227E-2</v>
      </c>
      <c r="R158">
        <v>1.1526E-2</v>
      </c>
      <c r="S158">
        <v>1.3391999999999999E-2</v>
      </c>
      <c r="T158">
        <v>1.5654999999999999E-2</v>
      </c>
      <c r="U158">
        <v>1.8696000000000001E-2</v>
      </c>
      <c r="V158">
        <v>2.2294999999999999E-2</v>
      </c>
      <c r="W158">
        <v>2.649E-2</v>
      </c>
      <c r="X158">
        <v>3.1563000000000001E-2</v>
      </c>
      <c r="Y158">
        <v>3.7002E-2</v>
      </c>
      <c r="Z158">
        <v>4.3427E-2</v>
      </c>
      <c r="AA158">
        <v>5.0634999999999999E-2</v>
      </c>
      <c r="AB158">
        <v>5.8021000000000003E-2</v>
      </c>
      <c r="AC158">
        <v>6.6630999999999996E-2</v>
      </c>
      <c r="AD158">
        <v>12.55156</v>
      </c>
    </row>
    <row r="159" spans="1:30">
      <c r="A159">
        <v>158</v>
      </c>
      <c r="B159" t="s">
        <v>227</v>
      </c>
      <c r="C159" t="s">
        <v>222</v>
      </c>
      <c r="D159">
        <v>0.20688100000000001</v>
      </c>
      <c r="E159">
        <v>0.20325299999999999</v>
      </c>
      <c r="F159">
        <v>0.19891700000000001</v>
      </c>
      <c r="G159">
        <v>0.193693</v>
      </c>
      <c r="H159">
        <v>0.187802</v>
      </c>
      <c r="I159">
        <v>0.18135599999999999</v>
      </c>
      <c r="J159">
        <v>0.17451800000000001</v>
      </c>
      <c r="K159">
        <v>0.16750499999999999</v>
      </c>
      <c r="L159">
        <v>0.16028800000000001</v>
      </c>
      <c r="M159">
        <v>0.15342</v>
      </c>
      <c r="N159">
        <v>0.146088</v>
      </c>
      <c r="O159">
        <v>0.138933</v>
      </c>
      <c r="P159">
        <v>0.13139899999999999</v>
      </c>
      <c r="Q159">
        <v>0.12435499999999999</v>
      </c>
      <c r="R159">
        <v>0.116871</v>
      </c>
      <c r="S159">
        <v>0.109835</v>
      </c>
      <c r="T159">
        <v>0.103297</v>
      </c>
      <c r="U159">
        <v>9.6893000000000007E-2</v>
      </c>
      <c r="V159">
        <v>9.1095999999999996E-2</v>
      </c>
      <c r="W159">
        <v>8.5285E-2</v>
      </c>
      <c r="X159">
        <v>7.8014E-2</v>
      </c>
      <c r="Y159">
        <v>7.0412000000000002E-2</v>
      </c>
      <c r="Z159">
        <v>6.2622999999999998E-2</v>
      </c>
      <c r="AA159">
        <v>5.5251000000000001E-2</v>
      </c>
      <c r="AB159">
        <v>4.6946000000000002E-2</v>
      </c>
      <c r="AC159">
        <v>3.8714999999999999E-2</v>
      </c>
      <c r="AD159">
        <v>-6.4839029999999998</v>
      </c>
    </row>
    <row r="160" spans="1:30">
      <c r="A160">
        <v>159</v>
      </c>
      <c r="B160" t="s">
        <v>228</v>
      </c>
      <c r="C160" t="s">
        <v>222</v>
      </c>
      <c r="D160">
        <v>8.5459999999999998E-3</v>
      </c>
      <c r="E160">
        <v>1.0415000000000001E-2</v>
      </c>
      <c r="F160">
        <v>1.2351000000000001E-2</v>
      </c>
      <c r="G160">
        <v>1.4288E-2</v>
      </c>
      <c r="H160">
        <v>1.6306999999999999E-2</v>
      </c>
      <c r="I160">
        <v>1.8408000000000001E-2</v>
      </c>
      <c r="J160">
        <v>2.0551E-2</v>
      </c>
      <c r="K160">
        <v>2.2764E-2</v>
      </c>
      <c r="L160">
        <v>2.5003000000000001E-2</v>
      </c>
      <c r="M160">
        <v>2.7272000000000001E-2</v>
      </c>
      <c r="N160">
        <v>2.9526E-2</v>
      </c>
      <c r="O160">
        <v>3.1724000000000002E-2</v>
      </c>
      <c r="P160">
        <v>3.3896999999999997E-2</v>
      </c>
      <c r="Q160">
        <v>3.6063999999999999E-2</v>
      </c>
      <c r="R160">
        <v>3.8191000000000003E-2</v>
      </c>
      <c r="S160">
        <v>4.4736999999999999E-2</v>
      </c>
      <c r="T160">
        <v>6.4108999999999999E-2</v>
      </c>
      <c r="U160">
        <v>0.103196</v>
      </c>
      <c r="V160">
        <v>0.16223499999999999</v>
      </c>
      <c r="W160">
        <v>0.245474</v>
      </c>
      <c r="X160">
        <v>0.35137099999999999</v>
      </c>
      <c r="Y160">
        <v>0.47008299999999997</v>
      </c>
      <c r="Z160">
        <v>0.60047600000000001</v>
      </c>
      <c r="AA160">
        <v>0.74134699999999998</v>
      </c>
      <c r="AB160">
        <v>0.88834800000000003</v>
      </c>
      <c r="AC160">
        <v>1.0391729999999999</v>
      </c>
      <c r="AD160">
        <v>21.170718000000001</v>
      </c>
    </row>
    <row r="161" spans="1:30">
      <c r="A161">
        <v>160</v>
      </c>
      <c r="B161" t="s">
        <v>229</v>
      </c>
      <c r="C161" t="s">
        <v>222</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row>
    <row r="162" spans="1:30">
      <c r="A162">
        <v>161</v>
      </c>
      <c r="B162" t="s">
        <v>230</v>
      </c>
      <c r="C162" t="s">
        <v>222</v>
      </c>
      <c r="D162">
        <v>0</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row>
    <row r="163" spans="1:30">
      <c r="A163">
        <v>162</v>
      </c>
      <c r="B163" t="s">
        <v>231</v>
      </c>
      <c r="C163" t="s">
        <v>222</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row>
    <row r="164" spans="1:30">
      <c r="A164">
        <v>163</v>
      </c>
      <c r="B164" t="s">
        <v>574</v>
      </c>
      <c r="C164" t="s">
        <v>222</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row>
    <row r="165" spans="1:30">
      <c r="A165">
        <v>164</v>
      </c>
      <c r="B165" t="s">
        <v>571</v>
      </c>
      <c r="C165" t="s">
        <v>222</v>
      </c>
      <c r="D165">
        <v>2.0070000000000001E-3</v>
      </c>
      <c r="E165">
        <v>6.0210000000000003E-3</v>
      </c>
      <c r="F165">
        <v>1.1362000000000001E-2</v>
      </c>
      <c r="G165">
        <v>1.8501E-2</v>
      </c>
      <c r="H165">
        <v>2.8715000000000001E-2</v>
      </c>
      <c r="I165">
        <v>4.4956999999999997E-2</v>
      </c>
      <c r="J165">
        <v>6.7765000000000006E-2</v>
      </c>
      <c r="K165">
        <v>9.9580000000000002E-2</v>
      </c>
      <c r="L165">
        <v>0.144208</v>
      </c>
      <c r="M165">
        <v>0.20371600000000001</v>
      </c>
      <c r="N165">
        <v>0.28106300000000001</v>
      </c>
      <c r="O165">
        <v>0.38008700000000001</v>
      </c>
      <c r="P165">
        <v>0.49675200000000003</v>
      </c>
      <c r="Q165">
        <v>0.62812400000000002</v>
      </c>
      <c r="R165">
        <v>0.771038</v>
      </c>
      <c r="S165">
        <v>0.92185799999999996</v>
      </c>
      <c r="T165">
        <v>1.0775729999999999</v>
      </c>
      <c r="U165">
        <v>1.2362770000000001</v>
      </c>
      <c r="V165">
        <v>1.3968430000000001</v>
      </c>
      <c r="W165">
        <v>1.5585180000000001</v>
      </c>
      <c r="X165">
        <v>1.720966</v>
      </c>
      <c r="Y165">
        <v>1.883111</v>
      </c>
      <c r="Z165">
        <v>2.044705</v>
      </c>
      <c r="AA165">
        <v>2.204297</v>
      </c>
      <c r="AB165">
        <v>2.3588309999999999</v>
      </c>
      <c r="AC165">
        <v>2.5073470000000002</v>
      </c>
      <c r="AD165">
        <v>33.005316000000001</v>
      </c>
    </row>
    <row r="166" spans="1:30">
      <c r="A166">
        <v>165</v>
      </c>
      <c r="B166" t="s">
        <v>568</v>
      </c>
      <c r="C166" t="s">
        <v>222</v>
      </c>
      <c r="D166">
        <v>0</v>
      </c>
      <c r="E166">
        <v>0</v>
      </c>
      <c r="F166">
        <v>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c r="AC166">
        <v>0</v>
      </c>
    </row>
    <row r="167" spans="1:30">
      <c r="A167">
        <v>166</v>
      </c>
      <c r="B167" t="s">
        <v>232</v>
      </c>
      <c r="C167" t="s">
        <v>222</v>
      </c>
      <c r="D167">
        <v>5.7115710000000002</v>
      </c>
      <c r="E167">
        <v>5.8793040000000003</v>
      </c>
      <c r="F167">
        <v>6.0593890000000004</v>
      </c>
      <c r="G167">
        <v>6.2427799999999998</v>
      </c>
      <c r="H167">
        <v>6.431324</v>
      </c>
      <c r="I167">
        <v>6.628965</v>
      </c>
      <c r="J167">
        <v>6.8280130000000003</v>
      </c>
      <c r="K167">
        <v>7.0310769999999998</v>
      </c>
      <c r="L167">
        <v>7.2286590000000004</v>
      </c>
      <c r="M167">
        <v>7.4252359999999999</v>
      </c>
      <c r="N167">
        <v>7.6170400000000003</v>
      </c>
      <c r="O167">
        <v>7.8034590000000001</v>
      </c>
      <c r="P167">
        <v>7.9885890000000002</v>
      </c>
      <c r="Q167">
        <v>8.1732069999999997</v>
      </c>
      <c r="R167">
        <v>8.3510360000000006</v>
      </c>
      <c r="S167">
        <v>8.5221140000000002</v>
      </c>
      <c r="T167">
        <v>8.6916510000000002</v>
      </c>
      <c r="U167">
        <v>8.8551350000000006</v>
      </c>
      <c r="V167">
        <v>9.02576</v>
      </c>
      <c r="W167">
        <v>9.1965900000000005</v>
      </c>
      <c r="X167">
        <v>9.3623499999999993</v>
      </c>
      <c r="Y167">
        <v>9.5174509999999994</v>
      </c>
      <c r="Z167">
        <v>9.6720459999999999</v>
      </c>
      <c r="AA167">
        <v>9.8205880000000008</v>
      </c>
      <c r="AB167">
        <v>9.9564520000000005</v>
      </c>
      <c r="AC167">
        <v>10.08164</v>
      </c>
      <c r="AD167">
        <v>2.2989139999999999</v>
      </c>
    </row>
    <row r="168" spans="1:30">
      <c r="A168">
        <v>167</v>
      </c>
      <c r="B168" t="s">
        <v>163</v>
      </c>
    </row>
    <row r="169" spans="1:30">
      <c r="A169">
        <v>168</v>
      </c>
      <c r="B169" t="s">
        <v>181</v>
      </c>
      <c r="C169" t="s">
        <v>222</v>
      </c>
      <c r="D169">
        <v>2.4072119999999999</v>
      </c>
      <c r="E169">
        <v>2.417484</v>
      </c>
      <c r="F169">
        <v>2.4342429999999999</v>
      </c>
      <c r="G169">
        <v>2.4493640000000001</v>
      </c>
      <c r="H169">
        <v>2.4591560000000001</v>
      </c>
      <c r="I169">
        <v>2.4674930000000002</v>
      </c>
      <c r="J169">
        <v>2.4724020000000002</v>
      </c>
      <c r="K169">
        <v>2.4759090000000001</v>
      </c>
      <c r="L169">
        <v>2.4725380000000001</v>
      </c>
      <c r="M169">
        <v>2.462542</v>
      </c>
      <c r="N169">
        <v>2.4504760000000001</v>
      </c>
      <c r="O169">
        <v>2.4368289999999999</v>
      </c>
      <c r="P169">
        <v>2.4207890000000001</v>
      </c>
      <c r="Q169">
        <v>2.4010289999999999</v>
      </c>
      <c r="R169">
        <v>2.3771239999999998</v>
      </c>
      <c r="S169">
        <v>2.349577</v>
      </c>
      <c r="T169">
        <v>2.3196840000000001</v>
      </c>
      <c r="U169">
        <v>2.2902659999999999</v>
      </c>
      <c r="V169">
        <v>2.2680180000000001</v>
      </c>
      <c r="W169">
        <v>2.2516189999999998</v>
      </c>
      <c r="X169">
        <v>2.2363930000000001</v>
      </c>
      <c r="Y169">
        <v>2.2191360000000002</v>
      </c>
      <c r="Z169">
        <v>2.2018749999999998</v>
      </c>
      <c r="AA169">
        <v>2.183691</v>
      </c>
      <c r="AB169">
        <v>2.1628780000000001</v>
      </c>
      <c r="AC169">
        <v>2.1399400000000002</v>
      </c>
      <c r="AD169">
        <v>-0.46966000000000002</v>
      </c>
    </row>
    <row r="170" spans="1:30">
      <c r="A170">
        <v>169</v>
      </c>
      <c r="B170" t="s">
        <v>226</v>
      </c>
      <c r="C170" t="s">
        <v>222</v>
      </c>
      <c r="D170">
        <v>1.6153660000000001</v>
      </c>
      <c r="E170">
        <v>1.6238090000000001</v>
      </c>
      <c r="F170">
        <v>1.64422</v>
      </c>
      <c r="G170">
        <v>1.6684049999999999</v>
      </c>
      <c r="H170">
        <v>1.692431</v>
      </c>
      <c r="I170">
        <v>1.7185429999999999</v>
      </c>
      <c r="J170">
        <v>1.743052</v>
      </c>
      <c r="K170">
        <v>1.7709569999999999</v>
      </c>
      <c r="L170">
        <v>1.794359</v>
      </c>
      <c r="M170">
        <v>1.8161620000000001</v>
      </c>
      <c r="N170">
        <v>1.838679</v>
      </c>
      <c r="O170">
        <v>1.85806</v>
      </c>
      <c r="P170">
        <v>1.876377</v>
      </c>
      <c r="Q170">
        <v>1.890663</v>
      </c>
      <c r="R170">
        <v>1.903397</v>
      </c>
      <c r="S170">
        <v>1.911824</v>
      </c>
      <c r="T170">
        <v>1.9198379999999999</v>
      </c>
      <c r="U170">
        <v>1.928299</v>
      </c>
      <c r="V170">
        <v>1.9394819999999999</v>
      </c>
      <c r="W170">
        <v>1.952056</v>
      </c>
      <c r="X170">
        <v>1.9627250000000001</v>
      </c>
      <c r="Y170">
        <v>1.9702329999999999</v>
      </c>
      <c r="Z170">
        <v>1.9749030000000001</v>
      </c>
      <c r="AA170">
        <v>1.976996</v>
      </c>
      <c r="AB170">
        <v>1.976707</v>
      </c>
      <c r="AC170">
        <v>1.9729950000000001</v>
      </c>
      <c r="AD170">
        <v>0.803172</v>
      </c>
    </row>
    <row r="171" spans="1:30">
      <c r="A171">
        <v>170</v>
      </c>
      <c r="B171" t="s">
        <v>184</v>
      </c>
      <c r="C171" t="s">
        <v>222</v>
      </c>
      <c r="D171">
        <v>2.147E-3</v>
      </c>
      <c r="E171">
        <v>2.0049999999999998E-3</v>
      </c>
      <c r="F171">
        <v>1.8810000000000001E-3</v>
      </c>
      <c r="G171">
        <v>1.7750000000000001E-3</v>
      </c>
      <c r="H171">
        <v>1.5709999999999999E-3</v>
      </c>
      <c r="I171">
        <v>1.474E-3</v>
      </c>
      <c r="J171">
        <v>1.374E-3</v>
      </c>
      <c r="K171">
        <v>1.289E-3</v>
      </c>
      <c r="L171">
        <v>1.227E-3</v>
      </c>
      <c r="M171">
        <v>1.139E-3</v>
      </c>
      <c r="N171">
        <v>1.036E-3</v>
      </c>
      <c r="O171">
        <v>9.5100000000000002E-4</v>
      </c>
      <c r="P171">
        <v>8.83E-4</v>
      </c>
      <c r="Q171">
        <v>8.2200000000000003E-4</v>
      </c>
      <c r="R171">
        <v>7.6800000000000002E-4</v>
      </c>
      <c r="S171">
        <v>7.2199999999999999E-4</v>
      </c>
      <c r="T171">
        <v>6.7699999999999998E-4</v>
      </c>
      <c r="U171">
        <v>6.3599999999999996E-4</v>
      </c>
      <c r="V171">
        <v>5.9800000000000001E-4</v>
      </c>
      <c r="W171">
        <v>5.5800000000000001E-4</v>
      </c>
      <c r="X171">
        <v>5.3300000000000005E-4</v>
      </c>
      <c r="Y171">
        <v>5.0299999999999997E-4</v>
      </c>
      <c r="Z171">
        <v>4.7600000000000002E-4</v>
      </c>
      <c r="AA171">
        <v>4.5100000000000001E-4</v>
      </c>
      <c r="AB171">
        <v>3.4499999999999998E-4</v>
      </c>
      <c r="AC171">
        <v>2.5599999999999999E-4</v>
      </c>
      <c r="AD171">
        <v>-8.160323</v>
      </c>
    </row>
    <row r="172" spans="1:30">
      <c r="A172">
        <v>171</v>
      </c>
      <c r="B172" t="s">
        <v>187</v>
      </c>
      <c r="C172" t="s">
        <v>222</v>
      </c>
      <c r="D172">
        <v>8.1270000000000005E-3</v>
      </c>
      <c r="E172">
        <v>9.5809999999999992E-3</v>
      </c>
      <c r="F172">
        <v>1.1113E-2</v>
      </c>
      <c r="G172">
        <v>1.2629E-2</v>
      </c>
      <c r="H172">
        <v>1.4112E-2</v>
      </c>
      <c r="I172">
        <v>1.5606999999999999E-2</v>
      </c>
      <c r="J172">
        <v>1.7077999999999999E-2</v>
      </c>
      <c r="K172">
        <v>1.8551000000000002E-2</v>
      </c>
      <c r="L172">
        <v>2.0031E-2</v>
      </c>
      <c r="M172">
        <v>2.1465999999999999E-2</v>
      </c>
      <c r="N172">
        <v>2.2883000000000001E-2</v>
      </c>
      <c r="O172">
        <v>2.4239E-2</v>
      </c>
      <c r="P172">
        <v>2.5495E-2</v>
      </c>
      <c r="Q172">
        <v>2.6682999999999998E-2</v>
      </c>
      <c r="R172">
        <v>2.7831999999999999E-2</v>
      </c>
      <c r="S172">
        <v>2.8978E-2</v>
      </c>
      <c r="T172">
        <v>3.0072999999999999E-2</v>
      </c>
      <c r="U172">
        <v>3.1144000000000002E-2</v>
      </c>
      <c r="V172">
        <v>3.2160000000000001E-2</v>
      </c>
      <c r="W172">
        <v>3.3123E-2</v>
      </c>
      <c r="X172">
        <v>3.4074E-2</v>
      </c>
      <c r="Y172">
        <v>3.4984000000000001E-2</v>
      </c>
      <c r="Z172">
        <v>3.5830000000000001E-2</v>
      </c>
      <c r="AA172">
        <v>3.6607000000000001E-2</v>
      </c>
      <c r="AB172">
        <v>3.7328E-2</v>
      </c>
      <c r="AC172">
        <v>3.8017000000000002E-2</v>
      </c>
      <c r="AD172">
        <v>6.3657399999999997</v>
      </c>
    </row>
    <row r="173" spans="1:30">
      <c r="A173">
        <v>172</v>
      </c>
      <c r="B173" t="s">
        <v>227</v>
      </c>
      <c r="C173" t="s">
        <v>222</v>
      </c>
      <c r="D173">
        <v>2.9884000000000001E-2</v>
      </c>
      <c r="E173">
        <v>2.9522E-2</v>
      </c>
      <c r="F173">
        <v>2.9082E-2</v>
      </c>
      <c r="G173">
        <v>2.8558E-2</v>
      </c>
      <c r="H173">
        <v>2.809E-2</v>
      </c>
      <c r="I173">
        <v>2.7512999999999999E-2</v>
      </c>
      <c r="J173">
        <v>2.6866999999999999E-2</v>
      </c>
      <c r="K173">
        <v>2.6228000000000001E-2</v>
      </c>
      <c r="L173">
        <v>2.5440000000000001E-2</v>
      </c>
      <c r="M173">
        <v>2.4625999999999999E-2</v>
      </c>
      <c r="N173">
        <v>2.3859000000000002E-2</v>
      </c>
      <c r="O173">
        <v>2.3052E-2</v>
      </c>
      <c r="P173">
        <v>2.2211999999999999E-2</v>
      </c>
      <c r="Q173">
        <v>2.1343999999999998E-2</v>
      </c>
      <c r="R173">
        <v>2.0424000000000001E-2</v>
      </c>
      <c r="S173">
        <v>1.9472E-2</v>
      </c>
      <c r="T173">
        <v>1.8508E-2</v>
      </c>
      <c r="U173">
        <v>1.7510000000000001E-2</v>
      </c>
      <c r="V173">
        <v>1.6513E-2</v>
      </c>
      <c r="W173">
        <v>1.5466000000000001E-2</v>
      </c>
      <c r="X173">
        <v>1.438E-2</v>
      </c>
      <c r="Y173">
        <v>1.3193E-2</v>
      </c>
      <c r="Z173">
        <v>1.1946E-2</v>
      </c>
      <c r="AA173">
        <v>1.0553E-2</v>
      </c>
      <c r="AB173">
        <v>9.1920000000000005E-3</v>
      </c>
      <c r="AC173">
        <v>7.8729999999999998E-3</v>
      </c>
      <c r="AD173">
        <v>-5.1955970000000002</v>
      </c>
    </row>
    <row r="174" spans="1:30">
      <c r="A174">
        <v>173</v>
      </c>
      <c r="B174" t="s">
        <v>228</v>
      </c>
      <c r="C174" t="s">
        <v>222</v>
      </c>
      <c r="D174">
        <v>1.317E-3</v>
      </c>
      <c r="E174">
        <v>1.598E-3</v>
      </c>
      <c r="F174">
        <v>1.9009999999999999E-3</v>
      </c>
      <c r="G174">
        <v>2.202E-3</v>
      </c>
      <c r="H174">
        <v>2.4949999999999998E-3</v>
      </c>
      <c r="I174">
        <v>2.7899999999999999E-3</v>
      </c>
      <c r="J174">
        <v>3.0760000000000002E-3</v>
      </c>
      <c r="K174">
        <v>3.3709999999999999E-3</v>
      </c>
      <c r="L174">
        <v>3.6670000000000001E-3</v>
      </c>
      <c r="M174">
        <v>3.9620000000000002E-3</v>
      </c>
      <c r="N174">
        <v>4.2519999999999997E-3</v>
      </c>
      <c r="O174">
        <v>4.5259999999999996E-3</v>
      </c>
      <c r="P174">
        <v>4.7889999999999999E-3</v>
      </c>
      <c r="Q174">
        <v>5.0289999999999996E-3</v>
      </c>
      <c r="R174">
        <v>5.2630000000000003E-3</v>
      </c>
      <c r="S174">
        <v>5.4879999999999998E-3</v>
      </c>
      <c r="T174">
        <v>5.7070000000000003E-3</v>
      </c>
      <c r="U174">
        <v>5.9189999999999998E-3</v>
      </c>
      <c r="V174">
        <v>6.1260000000000004E-3</v>
      </c>
      <c r="W174">
        <v>6.3239999999999998E-3</v>
      </c>
      <c r="X174">
        <v>6.5139999999999998E-3</v>
      </c>
      <c r="Y174">
        <v>6.6930000000000002E-3</v>
      </c>
      <c r="Z174">
        <v>6.8589999999999996E-3</v>
      </c>
      <c r="AA174">
        <v>7.0179999999999999E-3</v>
      </c>
      <c r="AB174">
        <v>7.1679999999999999E-3</v>
      </c>
      <c r="AC174">
        <v>7.3109999999999998E-3</v>
      </c>
      <c r="AD174">
        <v>7.094938</v>
      </c>
    </row>
    <row r="175" spans="1:30">
      <c r="A175">
        <v>174</v>
      </c>
      <c r="B175" t="s">
        <v>229</v>
      </c>
      <c r="C175" t="s">
        <v>222</v>
      </c>
      <c r="D175">
        <v>0</v>
      </c>
      <c r="E175">
        <v>0</v>
      </c>
      <c r="F175">
        <v>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0</v>
      </c>
      <c r="AA175">
        <v>0</v>
      </c>
      <c r="AB175">
        <v>0</v>
      </c>
      <c r="AC175">
        <v>0</v>
      </c>
    </row>
    <row r="176" spans="1:30">
      <c r="A176">
        <v>175</v>
      </c>
      <c r="B176" t="s">
        <v>230</v>
      </c>
      <c r="C176" t="s">
        <v>222</v>
      </c>
      <c r="D176">
        <v>5.0199999999999995E-4</v>
      </c>
      <c r="E176">
        <v>5.0100000000000003E-4</v>
      </c>
      <c r="F176">
        <v>5.0199999999999995E-4</v>
      </c>
      <c r="G176">
        <v>4.9899999999999999E-4</v>
      </c>
      <c r="H176">
        <v>4.9799999999999996E-4</v>
      </c>
      <c r="I176">
        <v>4.9600000000000002E-4</v>
      </c>
      <c r="J176">
        <v>4.9600000000000002E-4</v>
      </c>
      <c r="K176">
        <v>5.0000000000000001E-4</v>
      </c>
      <c r="L176">
        <v>4.9899999999999999E-4</v>
      </c>
      <c r="M176">
        <v>4.9700000000000005E-4</v>
      </c>
      <c r="N176">
        <v>4.8700000000000002E-4</v>
      </c>
      <c r="O176">
        <v>4.8200000000000001E-4</v>
      </c>
      <c r="P176">
        <v>4.7800000000000002E-4</v>
      </c>
      <c r="Q176">
        <v>4.7399999999999997E-4</v>
      </c>
      <c r="R176">
        <v>4.7199999999999998E-4</v>
      </c>
      <c r="S176">
        <v>4.6700000000000002E-4</v>
      </c>
      <c r="T176">
        <v>4.57E-4</v>
      </c>
      <c r="U176">
        <v>4.5100000000000001E-4</v>
      </c>
      <c r="V176">
        <v>4.4000000000000002E-4</v>
      </c>
      <c r="W176">
        <v>4.26E-4</v>
      </c>
      <c r="X176">
        <v>4.1199999999999999E-4</v>
      </c>
      <c r="Y176">
        <v>3.9199999999999999E-4</v>
      </c>
      <c r="Z176">
        <v>3.7399999999999998E-4</v>
      </c>
      <c r="AA176">
        <v>3.5399999999999999E-4</v>
      </c>
      <c r="AB176">
        <v>3.3199999999999999E-4</v>
      </c>
      <c r="AC176">
        <v>3.1E-4</v>
      </c>
      <c r="AD176">
        <v>-1.9061600000000001</v>
      </c>
    </row>
    <row r="177" spans="1:30">
      <c r="A177">
        <v>176</v>
      </c>
      <c r="B177" t="s">
        <v>231</v>
      </c>
      <c r="C177" t="s">
        <v>222</v>
      </c>
      <c r="D177">
        <v>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row>
    <row r="178" spans="1:30">
      <c r="A178">
        <v>177</v>
      </c>
      <c r="B178" t="s">
        <v>574</v>
      </c>
      <c r="C178" t="s">
        <v>222</v>
      </c>
      <c r="D178">
        <v>0</v>
      </c>
      <c r="E178">
        <v>0</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row>
    <row r="179" spans="1:30">
      <c r="A179">
        <v>178</v>
      </c>
      <c r="B179" t="s">
        <v>571</v>
      </c>
      <c r="C179" t="s">
        <v>222</v>
      </c>
      <c r="D179">
        <v>1.194E-3</v>
      </c>
      <c r="E179">
        <v>2.8029999999999999E-3</v>
      </c>
      <c r="F179">
        <v>4.934E-3</v>
      </c>
      <c r="G179">
        <v>7.5849999999999997E-3</v>
      </c>
      <c r="H179">
        <v>1.0914E-2</v>
      </c>
      <c r="I179">
        <v>1.5311999999999999E-2</v>
      </c>
      <c r="J179">
        <v>2.1284000000000001E-2</v>
      </c>
      <c r="K179">
        <v>2.9509000000000001E-2</v>
      </c>
      <c r="L179">
        <v>4.0731000000000003E-2</v>
      </c>
      <c r="M179">
        <v>5.5488999999999997E-2</v>
      </c>
      <c r="N179">
        <v>7.4186000000000002E-2</v>
      </c>
      <c r="O179">
        <v>9.6482999999999999E-2</v>
      </c>
      <c r="P179">
        <v>0.12182999999999999</v>
      </c>
      <c r="Q179">
        <v>0.14949899999999999</v>
      </c>
      <c r="R179">
        <v>0.17879200000000001</v>
      </c>
      <c r="S179">
        <v>0.2094</v>
      </c>
      <c r="T179">
        <v>0.240892</v>
      </c>
      <c r="U179">
        <v>0.27282699999999999</v>
      </c>
      <c r="V179">
        <v>0.30510500000000002</v>
      </c>
      <c r="W179">
        <v>0.33740399999999998</v>
      </c>
      <c r="X179">
        <v>0.36941000000000002</v>
      </c>
      <c r="Y179">
        <v>0.40069399999999999</v>
      </c>
      <c r="Z179">
        <v>0.43091200000000002</v>
      </c>
      <c r="AA179">
        <v>0.45991799999999999</v>
      </c>
      <c r="AB179">
        <v>0.48773100000000003</v>
      </c>
      <c r="AC179">
        <v>0.51461500000000004</v>
      </c>
      <c r="AD179">
        <v>27.459482999999999</v>
      </c>
    </row>
    <row r="180" spans="1:30">
      <c r="A180">
        <v>179</v>
      </c>
      <c r="B180" t="s">
        <v>568</v>
      </c>
      <c r="C180" t="s">
        <v>222</v>
      </c>
      <c r="D180">
        <v>0</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c r="AC180">
        <v>0</v>
      </c>
    </row>
    <row r="181" spans="1:30">
      <c r="A181">
        <v>180</v>
      </c>
      <c r="B181" t="s">
        <v>233</v>
      </c>
      <c r="C181" t="s">
        <v>222</v>
      </c>
      <c r="D181">
        <v>4.0657500000000004</v>
      </c>
      <c r="E181">
        <v>4.0873030000000004</v>
      </c>
      <c r="F181">
        <v>4.1278769999999998</v>
      </c>
      <c r="G181">
        <v>4.171017</v>
      </c>
      <c r="H181">
        <v>4.2092689999999999</v>
      </c>
      <c r="I181">
        <v>4.2492270000000003</v>
      </c>
      <c r="J181">
        <v>4.2856310000000004</v>
      </c>
      <c r="K181">
        <v>4.3263170000000004</v>
      </c>
      <c r="L181">
        <v>4.3584940000000003</v>
      </c>
      <c r="M181">
        <v>4.3858829999999998</v>
      </c>
      <c r="N181">
        <v>4.4158590000000002</v>
      </c>
      <c r="O181">
        <v>4.4446240000000001</v>
      </c>
      <c r="P181">
        <v>4.472855</v>
      </c>
      <c r="Q181">
        <v>4.4955429999999996</v>
      </c>
      <c r="R181">
        <v>4.5140710000000004</v>
      </c>
      <c r="S181">
        <v>4.5259270000000003</v>
      </c>
      <c r="T181">
        <v>4.5358349999999996</v>
      </c>
      <c r="U181">
        <v>4.5470509999999997</v>
      </c>
      <c r="V181">
        <v>4.568441</v>
      </c>
      <c r="W181">
        <v>4.5969749999999996</v>
      </c>
      <c r="X181">
        <v>4.6244420000000002</v>
      </c>
      <c r="Y181">
        <v>4.6458279999999998</v>
      </c>
      <c r="Z181">
        <v>4.663176</v>
      </c>
      <c r="AA181">
        <v>4.6755880000000003</v>
      </c>
      <c r="AB181">
        <v>4.6816820000000003</v>
      </c>
      <c r="AC181">
        <v>4.6813149999999997</v>
      </c>
      <c r="AD181">
        <v>0.56551700000000005</v>
      </c>
    </row>
    <row r="182" spans="1:30">
      <c r="A182">
        <v>181</v>
      </c>
      <c r="B182" t="s">
        <v>234</v>
      </c>
    </row>
    <row r="183" spans="1:30">
      <c r="A183">
        <v>182</v>
      </c>
      <c r="B183" t="s">
        <v>181</v>
      </c>
      <c r="C183" t="s">
        <v>222</v>
      </c>
      <c r="D183">
        <v>5.6151819999999999</v>
      </c>
      <c r="E183">
        <v>5.6821989999999998</v>
      </c>
      <c r="F183">
        <v>5.7848090000000001</v>
      </c>
      <c r="G183">
        <v>5.8920719999999998</v>
      </c>
      <c r="H183">
        <v>5.9935700000000001</v>
      </c>
      <c r="I183">
        <v>6.0972989999999996</v>
      </c>
      <c r="J183">
        <v>6.2040290000000002</v>
      </c>
      <c r="K183">
        <v>6.3113279999999996</v>
      </c>
      <c r="L183">
        <v>6.4149459999999996</v>
      </c>
      <c r="M183">
        <v>6.5078300000000002</v>
      </c>
      <c r="N183">
        <v>6.6030670000000002</v>
      </c>
      <c r="O183">
        <v>6.6993910000000003</v>
      </c>
      <c r="P183">
        <v>6.7899339999999997</v>
      </c>
      <c r="Q183">
        <v>6.872649</v>
      </c>
      <c r="R183">
        <v>6.9416859999999998</v>
      </c>
      <c r="S183">
        <v>7.0018419999999999</v>
      </c>
      <c r="T183">
        <v>7.0487849999999996</v>
      </c>
      <c r="U183">
        <v>7.1062329999999996</v>
      </c>
      <c r="V183">
        <v>7.1706539999999999</v>
      </c>
      <c r="W183">
        <v>7.2423310000000001</v>
      </c>
      <c r="X183">
        <v>7.3136520000000003</v>
      </c>
      <c r="Y183">
        <v>7.3741890000000003</v>
      </c>
      <c r="Z183">
        <v>7.4217320000000004</v>
      </c>
      <c r="AA183">
        <v>7.4575579999999997</v>
      </c>
      <c r="AB183">
        <v>7.4784369999999996</v>
      </c>
      <c r="AC183">
        <v>7.4859669999999996</v>
      </c>
      <c r="AD183">
        <v>1.156865</v>
      </c>
    </row>
    <row r="184" spans="1:30">
      <c r="A184">
        <v>183</v>
      </c>
      <c r="B184" t="s">
        <v>226</v>
      </c>
      <c r="C184" t="s">
        <v>222</v>
      </c>
      <c r="D184">
        <v>3.7304999999999998E-2</v>
      </c>
      <c r="E184">
        <v>3.1245999999999999E-2</v>
      </c>
      <c r="F184">
        <v>2.6685E-2</v>
      </c>
      <c r="G184">
        <v>2.3216000000000001E-2</v>
      </c>
      <c r="H184">
        <v>2.0431999999999999E-2</v>
      </c>
      <c r="I184">
        <v>1.8266000000000001E-2</v>
      </c>
      <c r="J184">
        <v>1.6518999999999999E-2</v>
      </c>
      <c r="K184">
        <v>1.5131E-2</v>
      </c>
      <c r="L184">
        <v>1.4017E-2</v>
      </c>
      <c r="M184">
        <v>1.3228999999999999E-2</v>
      </c>
      <c r="N184">
        <v>1.2699999999999999E-2</v>
      </c>
      <c r="O184">
        <v>1.2316000000000001E-2</v>
      </c>
      <c r="P184">
        <v>1.2019E-2</v>
      </c>
      <c r="Q184">
        <v>1.176E-2</v>
      </c>
      <c r="R184">
        <v>1.137E-2</v>
      </c>
      <c r="S184">
        <v>1.1006E-2</v>
      </c>
      <c r="T184">
        <v>1.0755000000000001E-2</v>
      </c>
      <c r="U184">
        <v>1.0527999999999999E-2</v>
      </c>
      <c r="V184">
        <v>1.0305999999999999E-2</v>
      </c>
      <c r="W184">
        <v>1.0182999999999999E-2</v>
      </c>
      <c r="X184">
        <v>1.0118E-2</v>
      </c>
      <c r="Y184">
        <v>1.0071E-2</v>
      </c>
      <c r="Z184">
        <v>1.0042000000000001E-2</v>
      </c>
      <c r="AA184">
        <v>1.004E-2</v>
      </c>
      <c r="AB184">
        <v>1.0018000000000001E-2</v>
      </c>
      <c r="AC184">
        <v>1.0002E-2</v>
      </c>
      <c r="AD184">
        <v>-5.1292350000000004</v>
      </c>
    </row>
    <row r="185" spans="1:30">
      <c r="A185">
        <v>184</v>
      </c>
      <c r="B185" t="s">
        <v>184</v>
      </c>
      <c r="C185" t="s">
        <v>222</v>
      </c>
      <c r="D185">
        <v>2.8289999999999999E-3</v>
      </c>
      <c r="E185">
        <v>2.627E-3</v>
      </c>
      <c r="F185">
        <v>2.4789999999999999E-3</v>
      </c>
      <c r="G185">
        <v>2.3549999999999999E-3</v>
      </c>
      <c r="H185">
        <v>2.212E-3</v>
      </c>
      <c r="I185">
        <v>2.0890000000000001E-3</v>
      </c>
      <c r="J185">
        <v>1.9589999999999998E-3</v>
      </c>
      <c r="K185">
        <v>1.823E-3</v>
      </c>
      <c r="L185">
        <v>1.7060000000000001E-3</v>
      </c>
      <c r="M185">
        <v>1.621E-3</v>
      </c>
      <c r="N185">
        <v>1.5349999999999999E-3</v>
      </c>
      <c r="O185">
        <v>1.4530000000000001E-3</v>
      </c>
      <c r="P185">
        <v>1.3649999999999999E-3</v>
      </c>
      <c r="Q185">
        <v>1.292E-3</v>
      </c>
      <c r="R185">
        <v>1.232E-3</v>
      </c>
      <c r="S185">
        <v>1.183E-3</v>
      </c>
      <c r="T185">
        <v>1.1299999999999999E-3</v>
      </c>
      <c r="U185">
        <v>1.078E-3</v>
      </c>
      <c r="V185">
        <v>1.024E-3</v>
      </c>
      <c r="W185">
        <v>9.7400000000000004E-4</v>
      </c>
      <c r="X185">
        <v>9.2699999999999998E-4</v>
      </c>
      <c r="Y185">
        <v>8.83E-4</v>
      </c>
      <c r="Z185">
        <v>8.3900000000000001E-4</v>
      </c>
      <c r="AA185">
        <v>8.0000000000000004E-4</v>
      </c>
      <c r="AB185">
        <v>7.4100000000000001E-4</v>
      </c>
      <c r="AC185">
        <v>6.5899999999999997E-4</v>
      </c>
      <c r="AD185">
        <v>-5.6612879999999999</v>
      </c>
    </row>
    <row r="186" spans="1:30">
      <c r="A186">
        <v>185</v>
      </c>
      <c r="B186" t="s">
        <v>187</v>
      </c>
      <c r="C186" t="s">
        <v>222</v>
      </c>
      <c r="D186">
        <v>6.2210000000000001E-2</v>
      </c>
      <c r="E186">
        <v>6.6610000000000003E-2</v>
      </c>
      <c r="F186">
        <v>7.0939000000000002E-2</v>
      </c>
      <c r="G186">
        <v>7.5128E-2</v>
      </c>
      <c r="H186">
        <v>7.9207E-2</v>
      </c>
      <c r="I186">
        <v>8.3222000000000004E-2</v>
      </c>
      <c r="J186">
        <v>8.7201000000000001E-2</v>
      </c>
      <c r="K186">
        <v>9.1179999999999997E-2</v>
      </c>
      <c r="L186">
        <v>9.5186000000000007E-2</v>
      </c>
      <c r="M186">
        <v>9.9152000000000004E-2</v>
      </c>
      <c r="N186">
        <v>0.103121</v>
      </c>
      <c r="O186">
        <v>0.10698299999999999</v>
      </c>
      <c r="P186">
        <v>0.11082500000000001</v>
      </c>
      <c r="Q186">
        <v>0.114574</v>
      </c>
      <c r="R186">
        <v>0.11830499999999999</v>
      </c>
      <c r="S186">
        <v>0.12213400000000001</v>
      </c>
      <c r="T186">
        <v>0.126053</v>
      </c>
      <c r="U186">
        <v>0.13011300000000001</v>
      </c>
      <c r="V186">
        <v>0.134433</v>
      </c>
      <c r="W186">
        <v>0.139103</v>
      </c>
      <c r="X186">
        <v>0.14479900000000001</v>
      </c>
      <c r="Y186">
        <v>0.15081</v>
      </c>
      <c r="Z186">
        <v>0.157945</v>
      </c>
      <c r="AA186">
        <v>0.16556899999999999</v>
      </c>
      <c r="AB186">
        <v>0.17408999999999999</v>
      </c>
      <c r="AC186">
        <v>0.18356600000000001</v>
      </c>
      <c r="AD186">
        <v>4.4232690000000003</v>
      </c>
    </row>
    <row r="187" spans="1:30">
      <c r="A187">
        <v>186</v>
      </c>
      <c r="B187" t="s">
        <v>227</v>
      </c>
      <c r="C187" t="s">
        <v>222</v>
      </c>
      <c r="D187">
        <v>0</v>
      </c>
      <c r="E187">
        <v>0</v>
      </c>
      <c r="F187">
        <v>0</v>
      </c>
      <c r="G187">
        <v>0</v>
      </c>
      <c r="H187">
        <v>0</v>
      </c>
      <c r="I187">
        <v>0</v>
      </c>
      <c r="J187">
        <v>0</v>
      </c>
      <c r="K187">
        <v>0</v>
      </c>
      <c r="L187">
        <v>0</v>
      </c>
      <c r="M187">
        <v>0</v>
      </c>
      <c r="N187">
        <v>0</v>
      </c>
      <c r="O187">
        <v>0</v>
      </c>
      <c r="P187">
        <v>0</v>
      </c>
      <c r="Q187">
        <v>0</v>
      </c>
      <c r="R187">
        <v>0</v>
      </c>
      <c r="S187">
        <v>0</v>
      </c>
      <c r="T187">
        <v>0</v>
      </c>
      <c r="U187">
        <v>0</v>
      </c>
      <c r="V187">
        <v>0</v>
      </c>
      <c r="W187">
        <v>0</v>
      </c>
      <c r="X187">
        <v>0</v>
      </c>
      <c r="Y187">
        <v>0</v>
      </c>
      <c r="Z187">
        <v>0</v>
      </c>
      <c r="AA187">
        <v>0</v>
      </c>
      <c r="AB187">
        <v>0</v>
      </c>
      <c r="AC187">
        <v>0</v>
      </c>
    </row>
    <row r="188" spans="1:30">
      <c r="A188">
        <v>187</v>
      </c>
      <c r="B188" t="s">
        <v>228</v>
      </c>
      <c r="C188" t="s">
        <v>222</v>
      </c>
      <c r="D188">
        <v>3.1480000000000002E-3</v>
      </c>
      <c r="E188">
        <v>4.0969999999999999E-3</v>
      </c>
      <c r="F188">
        <v>5.1440000000000001E-3</v>
      </c>
      <c r="G188">
        <v>6.215E-3</v>
      </c>
      <c r="H188">
        <v>7.2909999999999997E-3</v>
      </c>
      <c r="I188">
        <v>8.3719999999999992E-3</v>
      </c>
      <c r="J188">
        <v>9.4560000000000009E-3</v>
      </c>
      <c r="K188">
        <v>1.0534E-2</v>
      </c>
      <c r="L188">
        <v>1.1599999999999999E-2</v>
      </c>
      <c r="M188">
        <v>1.2636E-2</v>
      </c>
      <c r="N188">
        <v>1.3636000000000001E-2</v>
      </c>
      <c r="O188">
        <v>1.4585000000000001E-2</v>
      </c>
      <c r="P188">
        <v>1.5469999999999999E-2</v>
      </c>
      <c r="Q188">
        <v>1.6299999999999999E-2</v>
      </c>
      <c r="R188">
        <v>1.7070999999999999E-2</v>
      </c>
      <c r="S188">
        <v>1.7794999999999998E-2</v>
      </c>
      <c r="T188">
        <v>1.8478000000000001E-2</v>
      </c>
      <c r="U188">
        <v>1.9126000000000001E-2</v>
      </c>
      <c r="V188">
        <v>1.9748999999999999E-2</v>
      </c>
      <c r="W188">
        <v>2.035E-2</v>
      </c>
      <c r="X188">
        <v>2.0930000000000001E-2</v>
      </c>
      <c r="Y188">
        <v>2.1482000000000001E-2</v>
      </c>
      <c r="Z188">
        <v>2.2003999999999999E-2</v>
      </c>
      <c r="AA188">
        <v>2.2495999999999999E-2</v>
      </c>
      <c r="AB188">
        <v>2.2960999999999999E-2</v>
      </c>
      <c r="AC188">
        <v>2.3404999999999999E-2</v>
      </c>
      <c r="AD188">
        <v>8.3556179999999998</v>
      </c>
    </row>
    <row r="189" spans="1:30">
      <c r="A189">
        <v>188</v>
      </c>
      <c r="B189" t="s">
        <v>229</v>
      </c>
      <c r="C189" t="s">
        <v>222</v>
      </c>
      <c r="D189">
        <v>0</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row>
    <row r="190" spans="1:30">
      <c r="A190">
        <v>189</v>
      </c>
      <c r="B190" t="s">
        <v>230</v>
      </c>
      <c r="C190" t="s">
        <v>222</v>
      </c>
      <c r="D190">
        <v>0</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row>
    <row r="191" spans="1:30">
      <c r="A191">
        <v>190</v>
      </c>
      <c r="B191" t="s">
        <v>231</v>
      </c>
      <c r="C191" t="s">
        <v>222</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row>
    <row r="192" spans="1:30">
      <c r="A192">
        <v>191</v>
      </c>
      <c r="B192" t="s">
        <v>574</v>
      </c>
      <c r="C192" t="s">
        <v>222</v>
      </c>
      <c r="D192">
        <v>0</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row>
    <row r="193" spans="1:30">
      <c r="A193">
        <v>192</v>
      </c>
      <c r="B193" t="s">
        <v>571</v>
      </c>
      <c r="C193" t="s">
        <v>222</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row>
    <row r="194" spans="1:30">
      <c r="A194">
        <v>193</v>
      </c>
      <c r="B194" t="s">
        <v>568</v>
      </c>
      <c r="C194" t="s">
        <v>222</v>
      </c>
      <c r="D194">
        <v>0</v>
      </c>
      <c r="E194">
        <v>0</v>
      </c>
      <c r="F194">
        <v>0</v>
      </c>
      <c r="G194">
        <v>0</v>
      </c>
      <c r="H194">
        <v>0</v>
      </c>
      <c r="I194">
        <v>0</v>
      </c>
      <c r="J194">
        <v>0</v>
      </c>
      <c r="K194">
        <v>0</v>
      </c>
      <c r="L194">
        <v>0</v>
      </c>
      <c r="M194">
        <v>0</v>
      </c>
      <c r="N194">
        <v>0</v>
      </c>
      <c r="O194">
        <v>0</v>
      </c>
      <c r="P194">
        <v>0</v>
      </c>
      <c r="Q194">
        <v>0</v>
      </c>
      <c r="R194">
        <v>0</v>
      </c>
      <c r="S194">
        <v>0</v>
      </c>
      <c r="T194">
        <v>0</v>
      </c>
      <c r="U194">
        <v>0</v>
      </c>
      <c r="V194">
        <v>0</v>
      </c>
      <c r="W194">
        <v>0</v>
      </c>
      <c r="X194">
        <v>0</v>
      </c>
      <c r="Y194">
        <v>0</v>
      </c>
      <c r="Z194">
        <v>0</v>
      </c>
      <c r="AA194">
        <v>0</v>
      </c>
      <c r="AB194">
        <v>0</v>
      </c>
      <c r="AC194">
        <v>0</v>
      </c>
    </row>
    <row r="195" spans="1:30">
      <c r="A195">
        <v>194</v>
      </c>
      <c r="B195" t="s">
        <v>235</v>
      </c>
      <c r="C195" t="s">
        <v>222</v>
      </c>
      <c r="D195">
        <v>5.720675</v>
      </c>
      <c r="E195">
        <v>5.786778</v>
      </c>
      <c r="F195">
        <v>5.8900569999999997</v>
      </c>
      <c r="G195">
        <v>5.9989869999999996</v>
      </c>
      <c r="H195">
        <v>6.1027120000000004</v>
      </c>
      <c r="I195">
        <v>6.2092499999999999</v>
      </c>
      <c r="J195">
        <v>6.3191629999999996</v>
      </c>
      <c r="K195">
        <v>6.429996</v>
      </c>
      <c r="L195">
        <v>6.5374549999999996</v>
      </c>
      <c r="M195">
        <v>6.634468</v>
      </c>
      <c r="N195">
        <v>6.7340600000000004</v>
      </c>
      <c r="O195">
        <v>6.8347290000000003</v>
      </c>
      <c r="P195">
        <v>6.9296110000000004</v>
      </c>
      <c r="Q195">
        <v>7.0165740000000003</v>
      </c>
      <c r="R195">
        <v>7.0896619999999997</v>
      </c>
      <c r="S195">
        <v>7.1539590000000004</v>
      </c>
      <c r="T195">
        <v>7.2051999999999996</v>
      </c>
      <c r="U195">
        <v>7.2670779999999997</v>
      </c>
      <c r="V195">
        <v>7.3361650000000003</v>
      </c>
      <c r="W195">
        <v>7.412941</v>
      </c>
      <c r="X195">
        <v>7.4904260000000003</v>
      </c>
      <c r="Y195">
        <v>7.5574339999999998</v>
      </c>
      <c r="Z195">
        <v>7.6125629999999997</v>
      </c>
      <c r="AA195">
        <v>7.6564629999999996</v>
      </c>
      <c r="AB195">
        <v>7.6862450000000004</v>
      </c>
      <c r="AC195">
        <v>7.7035980000000004</v>
      </c>
      <c r="AD195">
        <v>1.197516</v>
      </c>
    </row>
    <row r="196" spans="1:30">
      <c r="A196">
        <v>195</v>
      </c>
      <c r="B196" t="s">
        <v>245</v>
      </c>
      <c r="C196" t="s">
        <v>222</v>
      </c>
      <c r="D196">
        <v>15.497995</v>
      </c>
      <c r="E196">
        <v>15.753384</v>
      </c>
      <c r="F196">
        <v>16.07733</v>
      </c>
      <c r="G196">
        <v>16.412779</v>
      </c>
      <c r="H196">
        <v>16.743309</v>
      </c>
      <c r="I196">
        <v>17.087441999999999</v>
      </c>
      <c r="J196">
        <v>17.432793</v>
      </c>
      <c r="K196">
        <v>17.787361000000001</v>
      </c>
      <c r="L196">
        <v>18.124599</v>
      </c>
      <c r="M196">
        <v>18.445578000000001</v>
      </c>
      <c r="N196">
        <v>18.766935</v>
      </c>
      <c r="O196">
        <v>19.082789999999999</v>
      </c>
      <c r="P196">
        <v>19.391041000000001</v>
      </c>
      <c r="Q196">
        <v>19.685286999999999</v>
      </c>
      <c r="R196">
        <v>19.954740999999999</v>
      </c>
      <c r="S196">
        <v>20.201954000000001</v>
      </c>
      <c r="T196">
        <v>20.432642000000001</v>
      </c>
      <c r="U196">
        <v>20.669232999999998</v>
      </c>
      <c r="V196">
        <v>20.930313000000002</v>
      </c>
      <c r="W196">
        <v>21.206474</v>
      </c>
      <c r="X196">
        <v>21.477179</v>
      </c>
      <c r="Y196">
        <v>21.720676000000001</v>
      </c>
      <c r="Z196">
        <v>21.947754</v>
      </c>
      <c r="AA196">
        <v>22.152563000000001</v>
      </c>
      <c r="AB196">
        <v>22.324327</v>
      </c>
      <c r="AC196">
        <v>22.466502999999999</v>
      </c>
      <c r="AD196">
        <v>1.4963439999999999</v>
      </c>
    </row>
    <row r="197" spans="1:30">
      <c r="A197">
        <v>196</v>
      </c>
    </row>
    <row r="198" spans="1:30">
      <c r="A198">
        <v>197</v>
      </c>
      <c r="B198" t="s">
        <v>145</v>
      </c>
    </row>
    <row r="199" spans="1:30">
      <c r="A199">
        <v>198</v>
      </c>
    </row>
    <row r="200" spans="1:30">
      <c r="A200">
        <v>199</v>
      </c>
      <c r="B200" t="s">
        <v>239</v>
      </c>
    </row>
    <row r="201" spans="1:30">
      <c r="A201">
        <v>200</v>
      </c>
      <c r="B201" t="s">
        <v>162</v>
      </c>
    </row>
    <row r="202" spans="1:30">
      <c r="A202">
        <v>201</v>
      </c>
      <c r="B202" t="s">
        <v>181</v>
      </c>
      <c r="C202" t="s">
        <v>258</v>
      </c>
      <c r="D202">
        <v>14.510111999999999</v>
      </c>
      <c r="E202">
        <v>14.731761000000001</v>
      </c>
      <c r="F202">
        <v>14.948071000000001</v>
      </c>
      <c r="G202">
        <v>15.14265</v>
      </c>
      <c r="H202">
        <v>15.317143</v>
      </c>
      <c r="I202">
        <v>15.428355</v>
      </c>
      <c r="J202">
        <v>15.502708999999999</v>
      </c>
      <c r="K202">
        <v>15.531572000000001</v>
      </c>
      <c r="L202">
        <v>15.543544000000001</v>
      </c>
      <c r="M202">
        <v>15.543981</v>
      </c>
      <c r="N202">
        <v>15.542133</v>
      </c>
      <c r="O202">
        <v>15.53842</v>
      </c>
      <c r="P202">
        <v>15.534781000000001</v>
      </c>
      <c r="Q202">
        <v>15.531675</v>
      </c>
      <c r="R202">
        <v>15.529242</v>
      </c>
      <c r="S202">
        <v>15.528687</v>
      </c>
      <c r="T202">
        <v>15.53168</v>
      </c>
      <c r="U202">
        <v>15.539021</v>
      </c>
      <c r="V202">
        <v>15.548819</v>
      </c>
      <c r="W202">
        <v>15.565035</v>
      </c>
      <c r="X202">
        <v>15.588138000000001</v>
      </c>
      <c r="Y202">
        <v>15.607685999999999</v>
      </c>
      <c r="Z202">
        <v>15.632410999999999</v>
      </c>
      <c r="AA202">
        <v>15.662822999999999</v>
      </c>
      <c r="AB202">
        <v>15.685613999999999</v>
      </c>
      <c r="AC202">
        <v>15.713246</v>
      </c>
      <c r="AD202">
        <v>0.31914100000000001</v>
      </c>
    </row>
    <row r="203" spans="1:30">
      <c r="A203">
        <v>202</v>
      </c>
      <c r="B203" t="s">
        <v>226</v>
      </c>
      <c r="C203" t="s">
        <v>259</v>
      </c>
      <c r="D203">
        <v>11.861169</v>
      </c>
      <c r="E203">
        <v>11.902615000000001</v>
      </c>
      <c r="F203">
        <v>11.932368</v>
      </c>
      <c r="G203">
        <v>11.955323</v>
      </c>
      <c r="H203">
        <v>11.976416</v>
      </c>
      <c r="I203">
        <v>12.00604</v>
      </c>
      <c r="J203">
        <v>12.025836999999999</v>
      </c>
      <c r="K203">
        <v>12.040531</v>
      </c>
      <c r="L203">
        <v>12.051631</v>
      </c>
      <c r="M203">
        <v>12.049678999999999</v>
      </c>
      <c r="N203">
        <v>12.04804</v>
      </c>
      <c r="O203">
        <v>12.048081</v>
      </c>
      <c r="P203">
        <v>12.046996999999999</v>
      </c>
      <c r="Q203">
        <v>12.045858000000001</v>
      </c>
      <c r="R203">
        <v>12.045292999999999</v>
      </c>
      <c r="S203">
        <v>12.047625</v>
      </c>
      <c r="T203">
        <v>12.059414</v>
      </c>
      <c r="U203">
        <v>12.081035999999999</v>
      </c>
      <c r="V203">
        <v>12.113451</v>
      </c>
      <c r="W203">
        <v>12.162644999999999</v>
      </c>
      <c r="X203">
        <v>12.227854000000001</v>
      </c>
      <c r="Y203">
        <v>12.290770999999999</v>
      </c>
      <c r="Z203">
        <v>12.367459</v>
      </c>
      <c r="AA203">
        <v>12.454632</v>
      </c>
      <c r="AB203">
        <v>12.525263000000001</v>
      </c>
      <c r="AC203">
        <v>12.596428</v>
      </c>
      <c r="AD203">
        <v>0.24086299999999999</v>
      </c>
    </row>
    <row r="204" spans="1:30">
      <c r="A204">
        <v>203</v>
      </c>
      <c r="B204" t="s">
        <v>184</v>
      </c>
      <c r="C204" t="s">
        <v>259</v>
      </c>
      <c r="D204">
        <v>11.041695000000001</v>
      </c>
      <c r="E204">
        <v>11.064254999999999</v>
      </c>
      <c r="F204">
        <v>11.076764000000001</v>
      </c>
      <c r="G204">
        <v>11.093964</v>
      </c>
      <c r="H204">
        <v>11.118195999999999</v>
      </c>
      <c r="I204">
        <v>11.150596999999999</v>
      </c>
      <c r="J204">
        <v>11.188950999999999</v>
      </c>
      <c r="K204">
        <v>11.230696</v>
      </c>
      <c r="L204">
        <v>11.27148</v>
      </c>
      <c r="M204">
        <v>11.324748</v>
      </c>
      <c r="N204">
        <v>11.381404</v>
      </c>
      <c r="O204">
        <v>11.436604000000001</v>
      </c>
      <c r="P204">
        <v>11.474689</v>
      </c>
      <c r="Q204">
        <v>11.513374000000001</v>
      </c>
      <c r="R204">
        <v>11.550446000000001</v>
      </c>
      <c r="S204">
        <v>11.582794</v>
      </c>
      <c r="T204">
        <v>11.606987</v>
      </c>
      <c r="U204">
        <v>11.62458</v>
      </c>
      <c r="V204">
        <v>11.632566000000001</v>
      </c>
      <c r="W204">
        <v>11.632598</v>
      </c>
      <c r="X204">
        <v>11.632631</v>
      </c>
      <c r="Y204">
        <v>11.632664999999999</v>
      </c>
      <c r="Z204">
        <v>11.645448999999999</v>
      </c>
      <c r="AA204">
        <v>11.651638</v>
      </c>
      <c r="AB204">
        <v>11.662165</v>
      </c>
      <c r="AC204">
        <v>11.680436</v>
      </c>
      <c r="AD204">
        <v>0.22520000000000001</v>
      </c>
    </row>
    <row r="205" spans="1:30">
      <c r="A205">
        <v>204</v>
      </c>
      <c r="B205" t="s">
        <v>187</v>
      </c>
      <c r="C205" t="s">
        <v>259</v>
      </c>
      <c r="D205">
        <v>10.879514</v>
      </c>
      <c r="E205">
        <v>10.975534</v>
      </c>
      <c r="F205">
        <v>11.020383000000001</v>
      </c>
      <c r="G205">
        <v>11.074301999999999</v>
      </c>
      <c r="H205">
        <v>11.142333000000001</v>
      </c>
      <c r="I205">
        <v>11.231088</v>
      </c>
      <c r="J205">
        <v>11.351953999999999</v>
      </c>
      <c r="K205">
        <v>11.500014</v>
      </c>
      <c r="L205">
        <v>11.658936000000001</v>
      </c>
      <c r="M205">
        <v>11.812289</v>
      </c>
      <c r="N205">
        <v>11.950290000000001</v>
      </c>
      <c r="O205">
        <v>12.038655</v>
      </c>
      <c r="P205">
        <v>12.093707</v>
      </c>
      <c r="Q205">
        <v>12.144894000000001</v>
      </c>
      <c r="R205">
        <v>12.148198000000001</v>
      </c>
      <c r="S205">
        <v>12.144646</v>
      </c>
      <c r="T205">
        <v>12.121634</v>
      </c>
      <c r="U205">
        <v>12.143625</v>
      </c>
      <c r="V205">
        <v>12.160759000000001</v>
      </c>
      <c r="W205">
        <v>12.170916</v>
      </c>
      <c r="X205">
        <v>12.177670000000001</v>
      </c>
      <c r="Y205">
        <v>12.183171</v>
      </c>
      <c r="Z205">
        <v>12.18441</v>
      </c>
      <c r="AA205">
        <v>12.184518000000001</v>
      </c>
      <c r="AB205">
        <v>12.184889999999999</v>
      </c>
      <c r="AC205">
        <v>12.184810000000001</v>
      </c>
      <c r="AD205">
        <v>0.45426299999999997</v>
      </c>
    </row>
    <row r="206" spans="1:30">
      <c r="A206">
        <v>205</v>
      </c>
      <c r="B206" t="s">
        <v>227</v>
      </c>
      <c r="C206" t="s">
        <v>259</v>
      </c>
      <c r="D206">
        <v>11.260987999999999</v>
      </c>
      <c r="E206">
        <v>11.300888</v>
      </c>
      <c r="F206">
        <v>11.329748</v>
      </c>
      <c r="G206">
        <v>11.351889</v>
      </c>
      <c r="H206">
        <v>11.372211</v>
      </c>
      <c r="I206">
        <v>11.400209</v>
      </c>
      <c r="J206">
        <v>11.419504</v>
      </c>
      <c r="K206">
        <v>11.434032999999999</v>
      </c>
      <c r="L206">
        <v>11.445</v>
      </c>
      <c r="M206">
        <v>11.443962000000001</v>
      </c>
      <c r="N206">
        <v>11.442833</v>
      </c>
      <c r="O206">
        <v>11.440886000000001</v>
      </c>
      <c r="P206">
        <v>11.439295</v>
      </c>
      <c r="Q206">
        <v>11.437887999999999</v>
      </c>
      <c r="R206">
        <v>11.436835</v>
      </c>
      <c r="S206">
        <v>11.436095999999999</v>
      </c>
      <c r="T206">
        <v>11.438587999999999</v>
      </c>
      <c r="U206">
        <v>11.443196</v>
      </c>
      <c r="V206">
        <v>11.454229</v>
      </c>
      <c r="W206">
        <v>11.469986</v>
      </c>
      <c r="X206">
        <v>11.492029</v>
      </c>
      <c r="Y206">
        <v>11.521735</v>
      </c>
      <c r="Z206">
        <v>11.559670000000001</v>
      </c>
      <c r="AA206">
        <v>11.603491999999999</v>
      </c>
      <c r="AB206">
        <v>11.655782</v>
      </c>
      <c r="AC206">
        <v>11.707924999999999</v>
      </c>
      <c r="AD206">
        <v>0.155808</v>
      </c>
    </row>
    <row r="207" spans="1:30">
      <c r="A207">
        <v>206</v>
      </c>
      <c r="B207" t="s">
        <v>228</v>
      </c>
      <c r="C207" t="s">
        <v>258</v>
      </c>
      <c r="D207">
        <v>42.360385999999998</v>
      </c>
      <c r="E207">
        <v>42.360385999999998</v>
      </c>
      <c r="F207">
        <v>42.360385999999998</v>
      </c>
      <c r="G207">
        <v>42.360385999999998</v>
      </c>
      <c r="H207">
        <v>42.360385999999998</v>
      </c>
      <c r="I207">
        <v>42.360385999999998</v>
      </c>
      <c r="J207">
        <v>42.360385999999998</v>
      </c>
      <c r="K207">
        <v>42.360385999999998</v>
      </c>
      <c r="L207">
        <v>42.360385999999998</v>
      </c>
      <c r="M207">
        <v>42.360385999999998</v>
      </c>
      <c r="N207">
        <v>42.360385999999998</v>
      </c>
      <c r="O207">
        <v>42.360385999999998</v>
      </c>
      <c r="P207">
        <v>42.360385999999998</v>
      </c>
      <c r="Q207">
        <v>42.360385999999998</v>
      </c>
      <c r="R207">
        <v>42.360385999999998</v>
      </c>
      <c r="S207">
        <v>42.360382000000001</v>
      </c>
      <c r="T207">
        <v>42.360385999999998</v>
      </c>
      <c r="U207">
        <v>42.360385999999998</v>
      </c>
      <c r="V207">
        <v>42.360385999999998</v>
      </c>
      <c r="W207">
        <v>42.360385999999998</v>
      </c>
      <c r="X207">
        <v>42.360385999999998</v>
      </c>
      <c r="Y207">
        <v>42.360385999999998</v>
      </c>
      <c r="Z207">
        <v>42.360385999999998</v>
      </c>
      <c r="AA207">
        <v>42.360385999999998</v>
      </c>
      <c r="AB207">
        <v>42.360385999999998</v>
      </c>
      <c r="AC207">
        <v>42.360385999999998</v>
      </c>
      <c r="AD207">
        <v>0</v>
      </c>
    </row>
    <row r="208" spans="1:30">
      <c r="A208">
        <v>207</v>
      </c>
      <c r="B208" t="s">
        <v>229</v>
      </c>
      <c r="C208" t="s">
        <v>258</v>
      </c>
      <c r="D208">
        <v>0</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row>
    <row r="209" spans="1:30">
      <c r="A209">
        <v>208</v>
      </c>
      <c r="B209" t="s">
        <v>230</v>
      </c>
      <c r="C209" t="s">
        <v>259</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c r="AC209">
        <v>0</v>
      </c>
    </row>
    <row r="210" spans="1:30">
      <c r="A210">
        <v>209</v>
      </c>
      <c r="B210" t="s">
        <v>231</v>
      </c>
      <c r="C210" t="s">
        <v>258</v>
      </c>
      <c r="D210">
        <v>0</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row>
    <row r="211" spans="1:30">
      <c r="A211">
        <v>210</v>
      </c>
      <c r="B211" t="s">
        <v>574</v>
      </c>
      <c r="C211" t="s">
        <v>258</v>
      </c>
      <c r="D211">
        <v>0</v>
      </c>
      <c r="E211">
        <v>0</v>
      </c>
      <c r="F211">
        <v>0</v>
      </c>
      <c r="G211">
        <v>0</v>
      </c>
      <c r="H211">
        <v>0</v>
      </c>
      <c r="I211">
        <v>0</v>
      </c>
      <c r="J211">
        <v>0</v>
      </c>
      <c r="K211">
        <v>0</v>
      </c>
      <c r="L211">
        <v>0</v>
      </c>
      <c r="M211">
        <v>0</v>
      </c>
      <c r="N211">
        <v>0</v>
      </c>
      <c r="O211">
        <v>0</v>
      </c>
      <c r="P211">
        <v>0</v>
      </c>
      <c r="Q211">
        <v>0</v>
      </c>
      <c r="R211">
        <v>0</v>
      </c>
      <c r="S211">
        <v>0</v>
      </c>
      <c r="T211">
        <v>0</v>
      </c>
      <c r="U211">
        <v>0</v>
      </c>
      <c r="V211">
        <v>0</v>
      </c>
      <c r="W211">
        <v>0</v>
      </c>
      <c r="X211">
        <v>0</v>
      </c>
      <c r="Y211">
        <v>0</v>
      </c>
      <c r="Z211">
        <v>0</v>
      </c>
      <c r="AA211">
        <v>0</v>
      </c>
      <c r="AB211">
        <v>0</v>
      </c>
      <c r="AC211">
        <v>0</v>
      </c>
    </row>
    <row r="212" spans="1:30">
      <c r="A212">
        <v>211</v>
      </c>
      <c r="B212" t="s">
        <v>571</v>
      </c>
      <c r="C212" t="s">
        <v>259</v>
      </c>
      <c r="D212">
        <v>14.015262</v>
      </c>
      <c r="E212">
        <v>14.012643000000001</v>
      </c>
      <c r="F212">
        <v>14.030758000000001</v>
      </c>
      <c r="G212">
        <v>14.058021</v>
      </c>
      <c r="H212">
        <v>14.094151999999999</v>
      </c>
      <c r="I212">
        <v>14.138014999999999</v>
      </c>
      <c r="J212">
        <v>14.206531</v>
      </c>
      <c r="K212">
        <v>14.275453000000001</v>
      </c>
      <c r="L212">
        <v>14.34938</v>
      </c>
      <c r="M212">
        <v>14.434502</v>
      </c>
      <c r="N212">
        <v>14.503589</v>
      </c>
      <c r="O212">
        <v>14.547523</v>
      </c>
      <c r="P212">
        <v>14.558790999999999</v>
      </c>
      <c r="Q212">
        <v>14.554283</v>
      </c>
      <c r="R212">
        <v>14.540944</v>
      </c>
      <c r="S212">
        <v>14.528836</v>
      </c>
      <c r="T212">
        <v>14.517385000000001</v>
      </c>
      <c r="U212">
        <v>14.506262</v>
      </c>
      <c r="V212">
        <v>14.495488</v>
      </c>
      <c r="W212">
        <v>14.485671999999999</v>
      </c>
      <c r="X212">
        <v>14.476705000000001</v>
      </c>
      <c r="Y212">
        <v>14.468531</v>
      </c>
      <c r="Z212">
        <v>14.461453000000001</v>
      </c>
      <c r="AA212">
        <v>14.455735000000001</v>
      </c>
      <c r="AB212">
        <v>14.452071999999999</v>
      </c>
      <c r="AC212">
        <v>14.448995</v>
      </c>
      <c r="AD212">
        <v>0.121986</v>
      </c>
    </row>
    <row r="213" spans="1:30">
      <c r="A213">
        <v>212</v>
      </c>
      <c r="B213" t="s">
        <v>568</v>
      </c>
      <c r="C213" t="s">
        <v>258</v>
      </c>
      <c r="D213">
        <v>0</v>
      </c>
      <c r="E213">
        <v>0</v>
      </c>
      <c r="F213">
        <v>0</v>
      </c>
      <c r="G213">
        <v>0</v>
      </c>
      <c r="H213">
        <v>0</v>
      </c>
      <c r="I213">
        <v>0</v>
      </c>
      <c r="J213">
        <v>0</v>
      </c>
      <c r="K213">
        <v>0</v>
      </c>
      <c r="L213">
        <v>0</v>
      </c>
      <c r="M213">
        <v>0</v>
      </c>
      <c r="N213">
        <v>0</v>
      </c>
      <c r="O213">
        <v>0</v>
      </c>
      <c r="P213">
        <v>0</v>
      </c>
      <c r="Q213">
        <v>0</v>
      </c>
      <c r="R213">
        <v>0</v>
      </c>
      <c r="S213">
        <v>0</v>
      </c>
      <c r="T213">
        <v>0</v>
      </c>
      <c r="U213">
        <v>0</v>
      </c>
      <c r="V213">
        <v>0</v>
      </c>
      <c r="W213">
        <v>0</v>
      </c>
      <c r="X213">
        <v>0</v>
      </c>
      <c r="Y213">
        <v>0</v>
      </c>
      <c r="Z213">
        <v>0</v>
      </c>
      <c r="AA213">
        <v>0</v>
      </c>
      <c r="AB213">
        <v>0</v>
      </c>
      <c r="AC213">
        <v>0</v>
      </c>
    </row>
    <row r="214" spans="1:30">
      <c r="A214">
        <v>213</v>
      </c>
      <c r="B214" t="s">
        <v>240</v>
      </c>
      <c r="D214">
        <v>13.264927</v>
      </c>
      <c r="E214">
        <v>13.384012</v>
      </c>
      <c r="F214">
        <v>13.486248</v>
      </c>
      <c r="G214">
        <v>13.564598</v>
      </c>
      <c r="H214">
        <v>13.631349</v>
      </c>
      <c r="I214">
        <v>13.681882</v>
      </c>
      <c r="J214">
        <v>13.716805000000001</v>
      </c>
      <c r="K214">
        <v>13.738115000000001</v>
      </c>
      <c r="L214">
        <v>13.762558</v>
      </c>
      <c r="M214">
        <v>13.787867</v>
      </c>
      <c r="N214">
        <v>13.822602</v>
      </c>
      <c r="O214">
        <v>13.868266</v>
      </c>
      <c r="P214">
        <v>13.899160999999999</v>
      </c>
      <c r="Q214">
        <v>13.921792999999999</v>
      </c>
      <c r="R214">
        <v>13.935715999999999</v>
      </c>
      <c r="S214">
        <v>14.022461</v>
      </c>
      <c r="T214">
        <v>14.265093999999999</v>
      </c>
      <c r="U214">
        <v>14.663888</v>
      </c>
      <c r="V214">
        <v>15.094417</v>
      </c>
      <c r="W214">
        <v>15.635706000000001</v>
      </c>
      <c r="X214">
        <v>16.168215</v>
      </c>
      <c r="Y214">
        <v>16.500730999999998</v>
      </c>
      <c r="Z214">
        <v>16.843133999999999</v>
      </c>
      <c r="AA214">
        <v>17.200839999999999</v>
      </c>
      <c r="AB214">
        <v>17.448820000000001</v>
      </c>
      <c r="AC214">
        <v>17.624493000000001</v>
      </c>
      <c r="AD214">
        <v>1.143149</v>
      </c>
    </row>
    <row r="215" spans="1:30">
      <c r="A215">
        <v>214</v>
      </c>
      <c r="B215" t="s">
        <v>163</v>
      </c>
    </row>
    <row r="216" spans="1:30">
      <c r="A216">
        <v>215</v>
      </c>
      <c r="B216" t="s">
        <v>181</v>
      </c>
      <c r="C216" t="s">
        <v>258</v>
      </c>
      <c r="D216">
        <v>10.030802</v>
      </c>
      <c r="E216">
        <v>10.265841</v>
      </c>
      <c r="F216">
        <v>10.502219</v>
      </c>
      <c r="G216">
        <v>10.747237999999999</v>
      </c>
      <c r="H216">
        <v>11.122593</v>
      </c>
      <c r="I216">
        <v>11.347986000000001</v>
      </c>
      <c r="J216">
        <v>11.543328000000001</v>
      </c>
      <c r="K216">
        <v>11.697925</v>
      </c>
      <c r="L216">
        <v>11.804122</v>
      </c>
      <c r="M216">
        <v>11.875056000000001</v>
      </c>
      <c r="N216">
        <v>11.906857</v>
      </c>
      <c r="O216">
        <v>11.856863000000001</v>
      </c>
      <c r="P216">
        <v>11.811382999999999</v>
      </c>
      <c r="Q216">
        <v>11.772862</v>
      </c>
      <c r="R216">
        <v>11.742392000000001</v>
      </c>
      <c r="S216">
        <v>11.719442000000001</v>
      </c>
      <c r="T216">
        <v>11.702768000000001</v>
      </c>
      <c r="U216">
        <v>11.690837</v>
      </c>
      <c r="V216">
        <v>11.682314999999999</v>
      </c>
      <c r="W216">
        <v>11.676189000000001</v>
      </c>
      <c r="X216">
        <v>11.671794999999999</v>
      </c>
      <c r="Y216">
        <v>11.668809</v>
      </c>
      <c r="Z216">
        <v>11.666732</v>
      </c>
      <c r="AA216">
        <v>11.665267999999999</v>
      </c>
      <c r="AB216">
        <v>11.665056999999999</v>
      </c>
      <c r="AC216">
        <v>11.668459</v>
      </c>
      <c r="AD216">
        <v>0.60674899999999998</v>
      </c>
    </row>
    <row r="217" spans="1:30">
      <c r="A217">
        <v>216</v>
      </c>
      <c r="B217" t="s">
        <v>226</v>
      </c>
      <c r="C217" t="s">
        <v>259</v>
      </c>
      <c r="D217">
        <v>8.7269070000000006</v>
      </c>
      <c r="E217">
        <v>8.9458160000000007</v>
      </c>
      <c r="F217">
        <v>9.1612670000000005</v>
      </c>
      <c r="G217">
        <v>9.3719850000000005</v>
      </c>
      <c r="H217">
        <v>9.5798539999999992</v>
      </c>
      <c r="I217">
        <v>9.7750970000000006</v>
      </c>
      <c r="J217">
        <v>9.9386030000000005</v>
      </c>
      <c r="K217">
        <v>10.068471000000001</v>
      </c>
      <c r="L217">
        <v>10.16118</v>
      </c>
      <c r="M217">
        <v>10.227812</v>
      </c>
      <c r="N217">
        <v>10.266538000000001</v>
      </c>
      <c r="O217">
        <v>10.243691999999999</v>
      </c>
      <c r="P217">
        <v>10.2157</v>
      </c>
      <c r="Q217">
        <v>10.188267</v>
      </c>
      <c r="R217">
        <v>10.153001</v>
      </c>
      <c r="S217">
        <v>10.143896</v>
      </c>
      <c r="T217">
        <v>10.140375000000001</v>
      </c>
      <c r="U217">
        <v>10.124572000000001</v>
      </c>
      <c r="V217">
        <v>10.127444000000001</v>
      </c>
      <c r="W217">
        <v>10.131008</v>
      </c>
      <c r="X217">
        <v>10.132985</v>
      </c>
      <c r="Y217">
        <v>10.132092</v>
      </c>
      <c r="Z217">
        <v>10.131729</v>
      </c>
      <c r="AA217">
        <v>10.131632</v>
      </c>
      <c r="AB217">
        <v>10.131914999999999</v>
      </c>
      <c r="AC217">
        <v>10.132323</v>
      </c>
      <c r="AD217">
        <v>0.59906599999999999</v>
      </c>
    </row>
    <row r="218" spans="1:30">
      <c r="A218">
        <v>217</v>
      </c>
      <c r="B218" t="s">
        <v>184</v>
      </c>
      <c r="C218" t="s">
        <v>259</v>
      </c>
      <c r="D218">
        <v>7.4075670000000002</v>
      </c>
      <c r="E218">
        <v>7.6358350000000002</v>
      </c>
      <c r="F218">
        <v>7.7678219999999998</v>
      </c>
      <c r="G218">
        <v>7.905799</v>
      </c>
      <c r="H218">
        <v>8.0779429999999994</v>
      </c>
      <c r="I218">
        <v>8.2907980000000006</v>
      </c>
      <c r="J218">
        <v>8.5109569999999994</v>
      </c>
      <c r="K218">
        <v>8.7491509999999995</v>
      </c>
      <c r="L218">
        <v>8.9961110000000009</v>
      </c>
      <c r="M218">
        <v>9.2363099999999996</v>
      </c>
      <c r="N218">
        <v>9.4626909999999995</v>
      </c>
      <c r="O218">
        <v>9.6623490000000007</v>
      </c>
      <c r="P218">
        <v>9.8228539999999995</v>
      </c>
      <c r="Q218">
        <v>9.9433609999999994</v>
      </c>
      <c r="R218">
        <v>10.037877</v>
      </c>
      <c r="S218">
        <v>10.082706999999999</v>
      </c>
      <c r="T218">
        <v>10.082682999999999</v>
      </c>
      <c r="U218">
        <v>10.082665</v>
      </c>
      <c r="V218">
        <v>10.082658</v>
      </c>
      <c r="W218">
        <v>10.082649999999999</v>
      </c>
      <c r="X218">
        <v>10.082644999999999</v>
      </c>
      <c r="Y218">
        <v>10.081682000000001</v>
      </c>
      <c r="Z218">
        <v>10.081861</v>
      </c>
      <c r="AA218">
        <v>10.08211</v>
      </c>
      <c r="AB218">
        <v>10.082456000000001</v>
      </c>
      <c r="AC218">
        <v>10.082913</v>
      </c>
      <c r="AD218">
        <v>1.240998</v>
      </c>
    </row>
    <row r="219" spans="1:30">
      <c r="A219">
        <v>218</v>
      </c>
      <c r="B219" t="s">
        <v>187</v>
      </c>
      <c r="C219" t="s">
        <v>259</v>
      </c>
      <c r="D219">
        <v>7.6098860000000004</v>
      </c>
      <c r="E219">
        <v>7.8703770000000004</v>
      </c>
      <c r="F219">
        <v>8.0934039999999996</v>
      </c>
      <c r="G219">
        <v>8.3245120000000004</v>
      </c>
      <c r="H219">
        <v>8.5527259999999998</v>
      </c>
      <c r="I219">
        <v>8.7671589999999995</v>
      </c>
      <c r="J219">
        <v>8.9644320000000004</v>
      </c>
      <c r="K219">
        <v>9.1351379999999995</v>
      </c>
      <c r="L219">
        <v>9.2791309999999996</v>
      </c>
      <c r="M219">
        <v>9.3927060000000004</v>
      </c>
      <c r="N219">
        <v>9.4758569999999995</v>
      </c>
      <c r="O219">
        <v>9.5053359999999998</v>
      </c>
      <c r="P219">
        <v>9.5238420000000001</v>
      </c>
      <c r="Q219">
        <v>9.5334050000000001</v>
      </c>
      <c r="R219">
        <v>9.5218749999999996</v>
      </c>
      <c r="S219">
        <v>9.5154929999999993</v>
      </c>
      <c r="T219">
        <v>9.4916420000000006</v>
      </c>
      <c r="U219">
        <v>9.4891769999999998</v>
      </c>
      <c r="V219">
        <v>9.4849019999999999</v>
      </c>
      <c r="W219">
        <v>9.4836229999999997</v>
      </c>
      <c r="X219">
        <v>9.4812700000000003</v>
      </c>
      <c r="Y219">
        <v>9.4720709999999997</v>
      </c>
      <c r="Z219">
        <v>9.4655889999999996</v>
      </c>
      <c r="AA219">
        <v>9.4637290000000007</v>
      </c>
      <c r="AB219">
        <v>9.4559130000000007</v>
      </c>
      <c r="AC219">
        <v>9.4489990000000006</v>
      </c>
      <c r="AD219">
        <v>0.86960199999999999</v>
      </c>
    </row>
    <row r="220" spans="1:30">
      <c r="A220">
        <v>219</v>
      </c>
      <c r="B220" t="s">
        <v>227</v>
      </c>
      <c r="C220" t="s">
        <v>260</v>
      </c>
      <c r="D220">
        <v>8.2861890000000002</v>
      </c>
      <c r="E220">
        <v>8.5012260000000008</v>
      </c>
      <c r="F220">
        <v>8.7079780000000007</v>
      </c>
      <c r="G220">
        <v>8.9112749999999998</v>
      </c>
      <c r="H220">
        <v>9.1132469999999994</v>
      </c>
      <c r="I220">
        <v>9.3055719999999997</v>
      </c>
      <c r="J220">
        <v>9.4711580000000009</v>
      </c>
      <c r="K220">
        <v>9.6092150000000007</v>
      </c>
      <c r="L220">
        <v>9.7173429999999996</v>
      </c>
      <c r="M220">
        <v>9.805987</v>
      </c>
      <c r="N220">
        <v>9.8723240000000008</v>
      </c>
      <c r="O220">
        <v>9.8820040000000002</v>
      </c>
      <c r="P220">
        <v>9.8844030000000007</v>
      </c>
      <c r="Q220">
        <v>9.8825299999999991</v>
      </c>
      <c r="R220">
        <v>9.8651040000000005</v>
      </c>
      <c r="S220">
        <v>9.8717000000000006</v>
      </c>
      <c r="T220">
        <v>9.8797630000000005</v>
      </c>
      <c r="U220">
        <v>9.8693000000000008</v>
      </c>
      <c r="V220">
        <v>9.8782650000000007</v>
      </c>
      <c r="W220">
        <v>9.8862400000000008</v>
      </c>
      <c r="X220">
        <v>9.891038</v>
      </c>
      <c r="Y220">
        <v>9.891356</v>
      </c>
      <c r="Z220">
        <v>9.8918230000000005</v>
      </c>
      <c r="AA220">
        <v>9.8924160000000008</v>
      </c>
      <c r="AB220">
        <v>9.8931070000000005</v>
      </c>
      <c r="AC220">
        <v>9.8938310000000005</v>
      </c>
      <c r="AD220">
        <v>0.71180699999999997</v>
      </c>
    </row>
    <row r="221" spans="1:30">
      <c r="A221">
        <v>220</v>
      </c>
      <c r="B221" t="s">
        <v>228</v>
      </c>
      <c r="C221" t="s">
        <v>259</v>
      </c>
      <c r="D221">
        <v>21.073</v>
      </c>
      <c r="E221">
        <v>21.155557999999999</v>
      </c>
      <c r="F221">
        <v>21.258424999999999</v>
      </c>
      <c r="G221">
        <v>21.379069999999999</v>
      </c>
      <c r="H221">
        <v>21.508146</v>
      </c>
      <c r="I221">
        <v>21.632176999999999</v>
      </c>
      <c r="J221">
        <v>21.692450000000001</v>
      </c>
      <c r="K221">
        <v>21.745481000000002</v>
      </c>
      <c r="L221">
        <v>21.790018</v>
      </c>
      <c r="M221">
        <v>21.824286000000001</v>
      </c>
      <c r="N221">
        <v>21.831265999999999</v>
      </c>
      <c r="O221">
        <v>21.836428000000002</v>
      </c>
      <c r="P221">
        <v>21.830518999999999</v>
      </c>
      <c r="Q221">
        <v>21.826042000000001</v>
      </c>
      <c r="R221">
        <v>21.822899</v>
      </c>
      <c r="S221">
        <v>21.820744999999999</v>
      </c>
      <c r="T221">
        <v>21.819292000000001</v>
      </c>
      <c r="U221">
        <v>21.81831</v>
      </c>
      <c r="V221">
        <v>21.817641999999999</v>
      </c>
      <c r="W221">
        <v>21.817184000000001</v>
      </c>
      <c r="X221">
        <v>21.816872</v>
      </c>
      <c r="Y221">
        <v>21.816663999999999</v>
      </c>
      <c r="Z221">
        <v>21.816526</v>
      </c>
      <c r="AA221">
        <v>21.816434999999998</v>
      </c>
      <c r="AB221">
        <v>21.816376000000002</v>
      </c>
      <c r="AC221">
        <v>21.816336</v>
      </c>
      <c r="AD221">
        <v>0.138762</v>
      </c>
    </row>
    <row r="222" spans="1:30">
      <c r="A222">
        <v>221</v>
      </c>
      <c r="B222" t="s">
        <v>229</v>
      </c>
      <c r="C222" t="s">
        <v>259</v>
      </c>
      <c r="D222">
        <v>0</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row>
    <row r="223" spans="1:30">
      <c r="A223">
        <v>222</v>
      </c>
      <c r="B223" t="s">
        <v>230</v>
      </c>
      <c r="C223" t="s">
        <v>259</v>
      </c>
      <c r="D223">
        <v>9.2205359999999992</v>
      </c>
      <c r="E223">
        <v>9.2205359999999992</v>
      </c>
      <c r="F223">
        <v>9.2205359999999992</v>
      </c>
      <c r="G223">
        <v>9.2205359999999992</v>
      </c>
      <c r="H223">
        <v>9.2205359999999992</v>
      </c>
      <c r="I223">
        <v>9.2205359999999992</v>
      </c>
      <c r="J223">
        <v>9.2205359999999992</v>
      </c>
      <c r="K223">
        <v>9.2205359999999992</v>
      </c>
      <c r="L223">
        <v>9.2205359999999992</v>
      </c>
      <c r="M223">
        <v>9.2205359999999992</v>
      </c>
      <c r="N223">
        <v>9.2205359999999992</v>
      </c>
      <c r="O223">
        <v>9.2205359999999992</v>
      </c>
      <c r="P223">
        <v>9.2205359999999992</v>
      </c>
      <c r="Q223">
        <v>9.2205359999999992</v>
      </c>
      <c r="R223">
        <v>9.2205359999999992</v>
      </c>
      <c r="S223">
        <v>9.2205359999999992</v>
      </c>
      <c r="T223">
        <v>9.2205359999999992</v>
      </c>
      <c r="U223">
        <v>9.2205359999999992</v>
      </c>
      <c r="V223">
        <v>9.2205359999999992</v>
      </c>
      <c r="W223">
        <v>9.2205359999999992</v>
      </c>
      <c r="X223">
        <v>9.2205359999999992</v>
      </c>
      <c r="Y223">
        <v>9.2205359999999992</v>
      </c>
      <c r="Z223">
        <v>9.2205359999999992</v>
      </c>
      <c r="AA223">
        <v>9.2205359999999992</v>
      </c>
      <c r="AB223">
        <v>9.2205359999999992</v>
      </c>
      <c r="AC223">
        <v>9.2205359999999992</v>
      </c>
      <c r="AD223">
        <v>0</v>
      </c>
    </row>
    <row r="224" spans="1:30">
      <c r="A224">
        <v>223</v>
      </c>
      <c r="B224" t="s">
        <v>231</v>
      </c>
      <c r="C224" t="s">
        <v>259</v>
      </c>
      <c r="D224">
        <v>0</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row>
    <row r="225" spans="1:30">
      <c r="A225">
        <v>224</v>
      </c>
      <c r="B225" t="s">
        <v>574</v>
      </c>
      <c r="C225" t="s">
        <v>258</v>
      </c>
      <c r="D225">
        <v>0</v>
      </c>
      <c r="E225">
        <v>0</v>
      </c>
      <c r="F225">
        <v>0</v>
      </c>
      <c r="G225">
        <v>0</v>
      </c>
      <c r="H225">
        <v>0</v>
      </c>
      <c r="I225">
        <v>0</v>
      </c>
      <c r="J225">
        <v>0</v>
      </c>
      <c r="K225">
        <v>0</v>
      </c>
      <c r="L225">
        <v>0</v>
      </c>
      <c r="M225">
        <v>0</v>
      </c>
      <c r="N225">
        <v>0</v>
      </c>
      <c r="O225">
        <v>0</v>
      </c>
      <c r="P225">
        <v>0</v>
      </c>
      <c r="Q225">
        <v>0</v>
      </c>
      <c r="R225">
        <v>0</v>
      </c>
      <c r="S225">
        <v>0</v>
      </c>
      <c r="T225">
        <v>0</v>
      </c>
      <c r="U225">
        <v>0</v>
      </c>
      <c r="V225">
        <v>0</v>
      </c>
      <c r="W225">
        <v>0</v>
      </c>
      <c r="X225">
        <v>0</v>
      </c>
      <c r="Y225">
        <v>0</v>
      </c>
      <c r="Z225">
        <v>0</v>
      </c>
      <c r="AA225">
        <v>0</v>
      </c>
      <c r="AB225">
        <v>0</v>
      </c>
      <c r="AC225">
        <v>0</v>
      </c>
    </row>
    <row r="226" spans="1:30">
      <c r="A226">
        <v>225</v>
      </c>
      <c r="B226" t="s">
        <v>571</v>
      </c>
      <c r="C226" t="s">
        <v>259</v>
      </c>
      <c r="D226">
        <v>9.8478510000000004</v>
      </c>
      <c r="E226">
        <v>9.9074559999999998</v>
      </c>
      <c r="F226">
        <v>9.9159120000000005</v>
      </c>
      <c r="G226">
        <v>9.9264530000000004</v>
      </c>
      <c r="H226">
        <v>9.936795</v>
      </c>
      <c r="I226">
        <v>9.9575390000000006</v>
      </c>
      <c r="J226">
        <v>10.056552</v>
      </c>
      <c r="K226">
        <v>10.164403999999999</v>
      </c>
      <c r="L226">
        <v>10.292757999999999</v>
      </c>
      <c r="M226">
        <v>10.399969</v>
      </c>
      <c r="N226">
        <v>10.45603</v>
      </c>
      <c r="O226">
        <v>10.492352</v>
      </c>
      <c r="P226">
        <v>10.513052999999999</v>
      </c>
      <c r="Q226">
        <v>10.528695000000001</v>
      </c>
      <c r="R226">
        <v>10.538513999999999</v>
      </c>
      <c r="S226">
        <v>10.545508999999999</v>
      </c>
      <c r="T226">
        <v>10.545705</v>
      </c>
      <c r="U226">
        <v>10.54583</v>
      </c>
      <c r="V226">
        <v>10.545883999999999</v>
      </c>
      <c r="W226">
        <v>10.545921</v>
      </c>
      <c r="X226">
        <v>10.545968999999999</v>
      </c>
      <c r="Y226">
        <v>10.545998000000001</v>
      </c>
      <c r="Z226">
        <v>10.545997</v>
      </c>
      <c r="AA226">
        <v>10.545996000000001</v>
      </c>
      <c r="AB226">
        <v>10.545996000000001</v>
      </c>
      <c r="AC226">
        <v>10.545996000000001</v>
      </c>
      <c r="AD226">
        <v>0.27434799999999998</v>
      </c>
    </row>
    <row r="227" spans="1:30">
      <c r="A227">
        <v>226</v>
      </c>
      <c r="B227" t="s">
        <v>568</v>
      </c>
      <c r="C227" t="s">
        <v>258</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c r="AC227">
        <v>0</v>
      </c>
    </row>
    <row r="228" spans="1:30">
      <c r="A228">
        <v>227</v>
      </c>
      <c r="B228" t="s">
        <v>241</v>
      </c>
      <c r="D228">
        <v>9.4233879999999992</v>
      </c>
      <c r="E228">
        <v>9.6476190000000006</v>
      </c>
      <c r="F228">
        <v>9.8654910000000005</v>
      </c>
      <c r="G228">
        <v>10.084012</v>
      </c>
      <c r="H228">
        <v>10.360991</v>
      </c>
      <c r="I228">
        <v>10.557656</v>
      </c>
      <c r="J228">
        <v>10.723762000000001</v>
      </c>
      <c r="K228">
        <v>10.851940000000001</v>
      </c>
      <c r="L228">
        <v>10.939287</v>
      </c>
      <c r="M228">
        <v>10.995837999999999</v>
      </c>
      <c r="N228">
        <v>11.017976000000001</v>
      </c>
      <c r="O228">
        <v>10.976794</v>
      </c>
      <c r="P228">
        <v>10.936868</v>
      </c>
      <c r="Q228">
        <v>10.902668</v>
      </c>
      <c r="R228">
        <v>10.869781</v>
      </c>
      <c r="S228">
        <v>10.853031</v>
      </c>
      <c r="T228">
        <v>10.841309000000001</v>
      </c>
      <c r="U228">
        <v>10.827042</v>
      </c>
      <c r="V228">
        <v>10.822972</v>
      </c>
      <c r="W228">
        <v>10.820207999999999</v>
      </c>
      <c r="X228">
        <v>10.817804000000001</v>
      </c>
      <c r="Y228">
        <v>10.814658</v>
      </c>
      <c r="Z228">
        <v>10.812407</v>
      </c>
      <c r="AA228">
        <v>10.810964999999999</v>
      </c>
      <c r="AB228">
        <v>10.810381</v>
      </c>
      <c r="AC228">
        <v>10.810884</v>
      </c>
      <c r="AD228">
        <v>0.55094699999999996</v>
      </c>
    </row>
    <row r="229" spans="1:30">
      <c r="A229">
        <v>228</v>
      </c>
      <c r="B229" t="s">
        <v>234</v>
      </c>
    </row>
    <row r="230" spans="1:30">
      <c r="A230">
        <v>229</v>
      </c>
      <c r="B230" t="s">
        <v>181</v>
      </c>
      <c r="C230" t="s">
        <v>258</v>
      </c>
      <c r="D230">
        <v>6.9770060000000003</v>
      </c>
      <c r="E230">
        <v>7.1109780000000002</v>
      </c>
      <c r="F230">
        <v>7.2955300000000003</v>
      </c>
      <c r="G230">
        <v>7.4186639999999997</v>
      </c>
      <c r="H230">
        <v>7.4927789999999996</v>
      </c>
      <c r="I230">
        <v>7.5834159999999997</v>
      </c>
      <c r="J230">
        <v>7.6653849999999997</v>
      </c>
      <c r="K230">
        <v>7.9378399999999996</v>
      </c>
      <c r="L230">
        <v>8.0344110000000004</v>
      </c>
      <c r="M230">
        <v>8.0786079999999991</v>
      </c>
      <c r="N230">
        <v>8.1083540000000003</v>
      </c>
      <c r="O230">
        <v>8.1106020000000001</v>
      </c>
      <c r="P230">
        <v>8.11252</v>
      </c>
      <c r="Q230">
        <v>8.1118170000000003</v>
      </c>
      <c r="R230">
        <v>8.1111109999999993</v>
      </c>
      <c r="S230">
        <v>8.1083800000000004</v>
      </c>
      <c r="T230">
        <v>8.1065570000000005</v>
      </c>
      <c r="U230">
        <v>8.1034670000000002</v>
      </c>
      <c r="V230">
        <v>8.1017309999999991</v>
      </c>
      <c r="W230">
        <v>8.1001720000000006</v>
      </c>
      <c r="X230">
        <v>8.096959</v>
      </c>
      <c r="Y230">
        <v>8.0953909999999993</v>
      </c>
      <c r="Z230">
        <v>8.0922509999999992</v>
      </c>
      <c r="AA230">
        <v>8.0913930000000001</v>
      </c>
      <c r="AB230">
        <v>8.0899479999999997</v>
      </c>
      <c r="AC230">
        <v>8.0880690000000008</v>
      </c>
      <c r="AD230">
        <v>0.592831</v>
      </c>
    </row>
    <row r="231" spans="1:30">
      <c r="A231">
        <v>230</v>
      </c>
      <c r="B231" t="s">
        <v>226</v>
      </c>
      <c r="C231" t="s">
        <v>259</v>
      </c>
      <c r="D231">
        <v>5.6523430000000001</v>
      </c>
      <c r="E231">
        <v>5.8026859999999996</v>
      </c>
      <c r="F231">
        <v>5.9381709999999996</v>
      </c>
      <c r="G231">
        <v>6.0693989999999998</v>
      </c>
      <c r="H231">
        <v>6.1991829999999997</v>
      </c>
      <c r="I231">
        <v>6.322292</v>
      </c>
      <c r="J231">
        <v>6.4329919999999996</v>
      </c>
      <c r="K231">
        <v>6.5264680000000004</v>
      </c>
      <c r="L231">
        <v>6.5989269999999998</v>
      </c>
      <c r="M231">
        <v>6.6574159999999996</v>
      </c>
      <c r="N231">
        <v>6.6992390000000004</v>
      </c>
      <c r="O231">
        <v>6.6969750000000001</v>
      </c>
      <c r="P231">
        <v>6.6951679999999998</v>
      </c>
      <c r="Q231">
        <v>6.6937160000000002</v>
      </c>
      <c r="R231">
        <v>6.6925439999999998</v>
      </c>
      <c r="S231">
        <v>6.6915950000000004</v>
      </c>
      <c r="T231">
        <v>6.6908240000000001</v>
      </c>
      <c r="U231">
        <v>6.690194</v>
      </c>
      <c r="V231">
        <v>6.6896750000000003</v>
      </c>
      <c r="W231">
        <v>6.6892449999999997</v>
      </c>
      <c r="X231">
        <v>6.6888920000000001</v>
      </c>
      <c r="Y231">
        <v>6.6886010000000002</v>
      </c>
      <c r="Z231">
        <v>6.6883609999999996</v>
      </c>
      <c r="AA231">
        <v>6.6881649999999997</v>
      </c>
      <c r="AB231">
        <v>6.6880059999999997</v>
      </c>
      <c r="AC231">
        <v>6.6878729999999997</v>
      </c>
      <c r="AD231">
        <v>0.67517199999999999</v>
      </c>
    </row>
    <row r="232" spans="1:30">
      <c r="A232">
        <v>231</v>
      </c>
      <c r="B232" t="s">
        <v>184</v>
      </c>
      <c r="C232" t="s">
        <v>259</v>
      </c>
      <c r="D232">
        <v>5.0465410000000004</v>
      </c>
      <c r="E232">
        <v>5.0465410000000004</v>
      </c>
      <c r="F232">
        <v>5.0465410000000004</v>
      </c>
      <c r="G232">
        <v>5.0465410000000004</v>
      </c>
      <c r="H232">
        <v>5.0465410000000004</v>
      </c>
      <c r="I232">
        <v>5.0465410000000004</v>
      </c>
      <c r="J232">
        <v>5.0465410000000004</v>
      </c>
      <c r="K232">
        <v>5.0465410000000004</v>
      </c>
      <c r="L232">
        <v>5.0465410000000004</v>
      </c>
      <c r="M232">
        <v>5.0465410000000004</v>
      </c>
      <c r="N232">
        <v>5.0465410000000004</v>
      </c>
      <c r="O232">
        <v>5.0465410000000004</v>
      </c>
      <c r="P232">
        <v>5.0465410000000004</v>
      </c>
      <c r="Q232">
        <v>5.0465410000000004</v>
      </c>
      <c r="R232">
        <v>5.0465410000000004</v>
      </c>
      <c r="S232">
        <v>5.0465410000000004</v>
      </c>
      <c r="T232">
        <v>5.0465410000000004</v>
      </c>
      <c r="U232">
        <v>5.0465410000000004</v>
      </c>
      <c r="V232">
        <v>5.0465410000000004</v>
      </c>
      <c r="W232">
        <v>5.0465410000000004</v>
      </c>
      <c r="X232">
        <v>5.0465410000000004</v>
      </c>
      <c r="Y232">
        <v>5.0465410000000004</v>
      </c>
      <c r="Z232">
        <v>5.0465410000000004</v>
      </c>
      <c r="AA232">
        <v>5.0465410000000004</v>
      </c>
      <c r="AB232">
        <v>5.0465410000000004</v>
      </c>
      <c r="AC232">
        <v>5.0465410000000004</v>
      </c>
      <c r="AD232">
        <v>0</v>
      </c>
    </row>
    <row r="233" spans="1:30">
      <c r="A233">
        <v>232</v>
      </c>
      <c r="B233" t="s">
        <v>187</v>
      </c>
      <c r="C233" t="s">
        <v>258</v>
      </c>
      <c r="D233">
        <v>5.9974749999999997</v>
      </c>
      <c r="E233">
        <v>6.0898149999999998</v>
      </c>
      <c r="F233">
        <v>6.1728550000000002</v>
      </c>
      <c r="G233">
        <v>6.3008199999999999</v>
      </c>
      <c r="H233">
        <v>6.4169460000000003</v>
      </c>
      <c r="I233">
        <v>6.532413</v>
      </c>
      <c r="J233">
        <v>6.6362199999999998</v>
      </c>
      <c r="K233">
        <v>6.8149769999999998</v>
      </c>
      <c r="L233">
        <v>6.903454</v>
      </c>
      <c r="M233">
        <v>6.9630650000000003</v>
      </c>
      <c r="N233">
        <v>7.0097849999999999</v>
      </c>
      <c r="O233">
        <v>7.0218309999999997</v>
      </c>
      <c r="P233">
        <v>7.0438049999999999</v>
      </c>
      <c r="Q233">
        <v>7.0534179999999997</v>
      </c>
      <c r="R233">
        <v>7.0701530000000004</v>
      </c>
      <c r="S233">
        <v>7.0945819999999999</v>
      </c>
      <c r="T233">
        <v>7.1155280000000003</v>
      </c>
      <c r="U233">
        <v>7.1397180000000002</v>
      </c>
      <c r="V233">
        <v>7.1890660000000004</v>
      </c>
      <c r="W233">
        <v>7.236599</v>
      </c>
      <c r="X233">
        <v>7.3574109999999999</v>
      </c>
      <c r="Y233">
        <v>7.4012729999999998</v>
      </c>
      <c r="Z233">
        <v>7.4904469999999996</v>
      </c>
      <c r="AA233">
        <v>7.5371490000000003</v>
      </c>
      <c r="AB233">
        <v>7.5942689999999997</v>
      </c>
      <c r="AC233">
        <v>7.6417539999999997</v>
      </c>
      <c r="AD233">
        <v>0.97386600000000001</v>
      </c>
    </row>
    <row r="234" spans="1:30">
      <c r="A234">
        <v>233</v>
      </c>
      <c r="B234" t="s">
        <v>227</v>
      </c>
      <c r="C234" t="s">
        <v>259</v>
      </c>
      <c r="D234">
        <v>0</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row>
    <row r="235" spans="1:30">
      <c r="A235">
        <v>234</v>
      </c>
      <c r="B235" t="s">
        <v>228</v>
      </c>
      <c r="C235" t="s">
        <v>258</v>
      </c>
      <c r="D235">
        <v>13.614000000000001</v>
      </c>
      <c r="E235">
        <v>13.720865999999999</v>
      </c>
      <c r="F235">
        <v>13.926409</v>
      </c>
      <c r="G235">
        <v>14.116180999999999</v>
      </c>
      <c r="H235">
        <v>14.240816000000001</v>
      </c>
      <c r="I235">
        <v>14.515755</v>
      </c>
      <c r="J235">
        <v>14.679449999999999</v>
      </c>
      <c r="K235">
        <v>14.844424</v>
      </c>
      <c r="L235">
        <v>15.043165</v>
      </c>
      <c r="M235">
        <v>15.127246</v>
      </c>
      <c r="N235">
        <v>15.195733000000001</v>
      </c>
      <c r="O235">
        <v>15.241360999999999</v>
      </c>
      <c r="P235">
        <v>15.278229</v>
      </c>
      <c r="Q235">
        <v>15.304637</v>
      </c>
      <c r="R235">
        <v>15.339791</v>
      </c>
      <c r="S235">
        <v>15.348953</v>
      </c>
      <c r="T235">
        <v>15.36998</v>
      </c>
      <c r="U235">
        <v>15.373384</v>
      </c>
      <c r="V235">
        <v>15.376056999999999</v>
      </c>
      <c r="W235">
        <v>15.378043</v>
      </c>
      <c r="X235">
        <v>15.379334</v>
      </c>
      <c r="Y235">
        <v>15.3802</v>
      </c>
      <c r="Z235">
        <v>15.380831000000001</v>
      </c>
      <c r="AA235">
        <v>15.381297</v>
      </c>
      <c r="AB235">
        <v>15.381653999999999</v>
      </c>
      <c r="AC235">
        <v>15.381932000000001</v>
      </c>
      <c r="AD235">
        <v>0.48957400000000001</v>
      </c>
    </row>
    <row r="236" spans="1:30">
      <c r="A236">
        <v>235</v>
      </c>
      <c r="B236" t="s">
        <v>229</v>
      </c>
      <c r="C236" t="s">
        <v>258</v>
      </c>
      <c r="D236">
        <v>0</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row>
    <row r="237" spans="1:30">
      <c r="A237">
        <v>236</v>
      </c>
      <c r="B237" t="s">
        <v>230</v>
      </c>
      <c r="C237" t="s">
        <v>259</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row>
    <row r="238" spans="1:30">
      <c r="A238">
        <v>237</v>
      </c>
      <c r="B238" t="s">
        <v>231</v>
      </c>
      <c r="C238" t="s">
        <v>258</v>
      </c>
      <c r="D238">
        <v>0</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row>
    <row r="239" spans="1:30">
      <c r="A239">
        <v>238</v>
      </c>
      <c r="B239" t="s">
        <v>574</v>
      </c>
      <c r="C239" t="s">
        <v>258</v>
      </c>
      <c r="D239">
        <v>0</v>
      </c>
      <c r="E239">
        <v>0</v>
      </c>
      <c r="F239">
        <v>0</v>
      </c>
      <c r="G239">
        <v>0</v>
      </c>
      <c r="H239">
        <v>0</v>
      </c>
      <c r="I239">
        <v>0</v>
      </c>
      <c r="J239">
        <v>0</v>
      </c>
      <c r="K239">
        <v>0</v>
      </c>
      <c r="L239">
        <v>0</v>
      </c>
      <c r="M239">
        <v>0</v>
      </c>
      <c r="N239">
        <v>0</v>
      </c>
      <c r="O239">
        <v>0</v>
      </c>
      <c r="P239">
        <v>0</v>
      </c>
      <c r="Q239">
        <v>0</v>
      </c>
      <c r="R239">
        <v>0</v>
      </c>
      <c r="S239">
        <v>0</v>
      </c>
      <c r="T239">
        <v>0</v>
      </c>
      <c r="U239">
        <v>0</v>
      </c>
      <c r="V239">
        <v>0</v>
      </c>
      <c r="W239">
        <v>0</v>
      </c>
      <c r="X239">
        <v>0</v>
      </c>
      <c r="Y239">
        <v>0</v>
      </c>
      <c r="Z239">
        <v>0</v>
      </c>
      <c r="AA239">
        <v>0</v>
      </c>
      <c r="AB239">
        <v>0</v>
      </c>
      <c r="AC239">
        <v>0</v>
      </c>
    </row>
    <row r="240" spans="1:30">
      <c r="A240">
        <v>239</v>
      </c>
      <c r="B240" t="s">
        <v>571</v>
      </c>
      <c r="C240" t="s">
        <v>259</v>
      </c>
      <c r="D240">
        <v>0</v>
      </c>
      <c r="E240">
        <v>0</v>
      </c>
      <c r="F240">
        <v>0</v>
      </c>
      <c r="G240">
        <v>0</v>
      </c>
      <c r="H240">
        <v>0</v>
      </c>
      <c r="I240">
        <v>0</v>
      </c>
      <c r="J240">
        <v>0</v>
      </c>
      <c r="K240">
        <v>0</v>
      </c>
      <c r="L240">
        <v>0</v>
      </c>
      <c r="M240">
        <v>0</v>
      </c>
      <c r="N240">
        <v>0</v>
      </c>
      <c r="O240">
        <v>0</v>
      </c>
      <c r="P240">
        <v>0</v>
      </c>
      <c r="Q240">
        <v>0</v>
      </c>
      <c r="R240">
        <v>0</v>
      </c>
      <c r="S240">
        <v>0</v>
      </c>
      <c r="T240">
        <v>0</v>
      </c>
      <c r="U240">
        <v>0</v>
      </c>
      <c r="V240">
        <v>0</v>
      </c>
      <c r="W240">
        <v>0</v>
      </c>
      <c r="X240">
        <v>0</v>
      </c>
      <c r="Y240">
        <v>0</v>
      </c>
      <c r="Z240">
        <v>0</v>
      </c>
      <c r="AA240">
        <v>0</v>
      </c>
      <c r="AB240">
        <v>0</v>
      </c>
      <c r="AC240">
        <v>0</v>
      </c>
    </row>
    <row r="241" spans="1:30">
      <c r="A241">
        <v>240</v>
      </c>
      <c r="B241" t="s">
        <v>568</v>
      </c>
      <c r="C241" t="s">
        <v>258</v>
      </c>
      <c r="D241">
        <v>0</v>
      </c>
      <c r="E241">
        <v>0</v>
      </c>
      <c r="F241">
        <v>0</v>
      </c>
      <c r="G241">
        <v>0</v>
      </c>
      <c r="H241">
        <v>0</v>
      </c>
      <c r="I241">
        <v>0</v>
      </c>
      <c r="J241">
        <v>0</v>
      </c>
      <c r="K241">
        <v>0</v>
      </c>
      <c r="L241">
        <v>0</v>
      </c>
      <c r="M241">
        <v>0</v>
      </c>
      <c r="N241">
        <v>0</v>
      </c>
      <c r="O241">
        <v>0</v>
      </c>
      <c r="P241">
        <v>0</v>
      </c>
      <c r="Q241">
        <v>0</v>
      </c>
      <c r="R241">
        <v>0</v>
      </c>
      <c r="S241">
        <v>0</v>
      </c>
      <c r="T241">
        <v>0</v>
      </c>
      <c r="U241">
        <v>0</v>
      </c>
      <c r="V241">
        <v>0</v>
      </c>
      <c r="W241">
        <v>0</v>
      </c>
      <c r="X241">
        <v>0</v>
      </c>
      <c r="Y241">
        <v>0</v>
      </c>
      <c r="Z241">
        <v>0</v>
      </c>
      <c r="AA241">
        <v>0</v>
      </c>
      <c r="AB241">
        <v>0</v>
      </c>
      <c r="AC241">
        <v>0</v>
      </c>
    </row>
    <row r="242" spans="1:30">
      <c r="A242">
        <v>241</v>
      </c>
      <c r="B242" t="s">
        <v>242</v>
      </c>
      <c r="D242">
        <v>6.9698989999999998</v>
      </c>
      <c r="E242">
        <v>7.1046880000000003</v>
      </c>
      <c r="F242">
        <v>7.2898759999999996</v>
      </c>
      <c r="G242">
        <v>7.4137019999999998</v>
      </c>
      <c r="H242">
        <v>7.4884550000000001</v>
      </c>
      <c r="I242">
        <v>7.5797470000000002</v>
      </c>
      <c r="J242">
        <v>7.6620929999999996</v>
      </c>
      <c r="K242">
        <v>7.9328570000000003</v>
      </c>
      <c r="L242">
        <v>8.0292410000000007</v>
      </c>
      <c r="M242">
        <v>8.0734750000000002</v>
      </c>
      <c r="N242">
        <v>8.1032270000000004</v>
      </c>
      <c r="O242">
        <v>8.1053040000000003</v>
      </c>
      <c r="P242">
        <v>8.1068719999999992</v>
      </c>
      <c r="Q242">
        <v>8.1059420000000006</v>
      </c>
      <c r="R242">
        <v>8.1049740000000003</v>
      </c>
      <c r="S242">
        <v>8.1021140000000003</v>
      </c>
      <c r="T242">
        <v>8.100123</v>
      </c>
      <c r="U242">
        <v>8.0966179999999994</v>
      </c>
      <c r="V242">
        <v>8.0947359999999993</v>
      </c>
      <c r="W242">
        <v>8.092924</v>
      </c>
      <c r="X242">
        <v>8.0893960000000007</v>
      </c>
      <c r="Y242">
        <v>8.0874520000000008</v>
      </c>
      <c r="Z242">
        <v>8.0837120000000002</v>
      </c>
      <c r="AA242">
        <v>8.0825560000000003</v>
      </c>
      <c r="AB242">
        <v>8.0806179999999994</v>
      </c>
      <c r="AC242">
        <v>8.0779440000000005</v>
      </c>
      <c r="AD242">
        <v>0.59189099999999994</v>
      </c>
    </row>
    <row r="243" spans="1:30">
      <c r="A243">
        <v>242</v>
      </c>
      <c r="B243" t="s">
        <v>243</v>
      </c>
      <c r="D243">
        <v>8.17971</v>
      </c>
      <c r="E243">
        <v>8.2800379999999993</v>
      </c>
      <c r="F243">
        <v>8.4425519999999992</v>
      </c>
      <c r="G243">
        <v>8.5894619999999993</v>
      </c>
      <c r="H243">
        <v>8.7130890000000001</v>
      </c>
      <c r="I243">
        <v>8.8377140000000001</v>
      </c>
      <c r="J243">
        <v>8.9402760000000008</v>
      </c>
      <c r="K243">
        <v>9.1892790000000009</v>
      </c>
      <c r="L243">
        <v>9.2879079999999998</v>
      </c>
      <c r="M243">
        <v>9.343038</v>
      </c>
      <c r="N243">
        <v>9.3817850000000007</v>
      </c>
      <c r="O243">
        <v>9.391432</v>
      </c>
      <c r="P243">
        <v>9.4116420000000005</v>
      </c>
      <c r="Q243">
        <v>9.4298369999999991</v>
      </c>
      <c r="R243">
        <v>9.4418699999999998</v>
      </c>
      <c r="S243">
        <v>9.4555919999999993</v>
      </c>
      <c r="T243">
        <v>9.483193</v>
      </c>
      <c r="U243">
        <v>9.5274020000000004</v>
      </c>
      <c r="V243">
        <v>9.5718069999999997</v>
      </c>
      <c r="W243">
        <v>9.6289060000000006</v>
      </c>
      <c r="X243">
        <v>9.6875929999999997</v>
      </c>
      <c r="Y243">
        <v>9.7328290000000006</v>
      </c>
      <c r="Z243">
        <v>9.7865909999999996</v>
      </c>
      <c r="AA243">
        <v>9.8415990000000004</v>
      </c>
      <c r="AB243">
        <v>9.8778590000000008</v>
      </c>
      <c r="AC243">
        <v>9.8899349999999995</v>
      </c>
      <c r="AD243">
        <v>0.76233399999999996</v>
      </c>
    </row>
    <row r="244" spans="1:30">
      <c r="A244">
        <v>243</v>
      </c>
    </row>
    <row r="245" spans="1:30">
      <c r="A245">
        <v>244</v>
      </c>
      <c r="B245" t="s">
        <v>246</v>
      </c>
    </row>
    <row r="246" spans="1:30">
      <c r="A246">
        <v>245</v>
      </c>
      <c r="B246" t="s">
        <v>162</v>
      </c>
    </row>
    <row r="247" spans="1:30">
      <c r="A247">
        <v>246</v>
      </c>
      <c r="B247" t="s">
        <v>181</v>
      </c>
      <c r="C247" t="s">
        <v>261</v>
      </c>
      <c r="D247">
        <v>170.51915</v>
      </c>
      <c r="E247">
        <v>164.06373600000001</v>
      </c>
      <c r="F247">
        <v>168.64721700000001</v>
      </c>
      <c r="G247">
        <v>169.10256999999999</v>
      </c>
      <c r="H247">
        <v>170.48800700000001</v>
      </c>
      <c r="I247">
        <v>171.88494900000001</v>
      </c>
      <c r="J247">
        <v>171.216812</v>
      </c>
      <c r="K247">
        <v>168.378784</v>
      </c>
      <c r="L247">
        <v>164.516266</v>
      </c>
      <c r="M247">
        <v>158.598389</v>
      </c>
      <c r="N247">
        <v>151.103622</v>
      </c>
      <c r="O247">
        <v>138.80987500000001</v>
      </c>
      <c r="P247">
        <v>131.04388399999999</v>
      </c>
      <c r="Q247">
        <v>124.996887</v>
      </c>
      <c r="R247">
        <v>120.069565</v>
      </c>
      <c r="S247">
        <v>114.558983</v>
      </c>
      <c r="T247">
        <v>105.741867</v>
      </c>
      <c r="U247">
        <v>94.306786000000002</v>
      </c>
      <c r="V247">
        <v>83.672156999999999</v>
      </c>
      <c r="W247">
        <v>71.508392000000001</v>
      </c>
      <c r="X247">
        <v>60.450446999999997</v>
      </c>
      <c r="Y247">
        <v>54.022362000000001</v>
      </c>
      <c r="Z247">
        <v>48.184956</v>
      </c>
      <c r="AA247">
        <v>42.809361000000003</v>
      </c>
      <c r="AB247">
        <v>40.727111999999998</v>
      </c>
      <c r="AC247">
        <v>38.554630000000003</v>
      </c>
      <c r="AD247">
        <v>-5.773701</v>
      </c>
    </row>
    <row r="248" spans="1:30">
      <c r="A248">
        <v>247</v>
      </c>
      <c r="B248" t="s">
        <v>226</v>
      </c>
      <c r="C248" t="s">
        <v>261</v>
      </c>
      <c r="D248">
        <v>134.84066799999999</v>
      </c>
      <c r="E248">
        <v>135.18997200000001</v>
      </c>
      <c r="F248">
        <v>144.20256000000001</v>
      </c>
      <c r="G248">
        <v>149.52056899999999</v>
      </c>
      <c r="H248">
        <v>155.41403199999999</v>
      </c>
      <c r="I248">
        <v>161.105774</v>
      </c>
      <c r="J248">
        <v>164.58549500000001</v>
      </c>
      <c r="K248">
        <v>165.61193800000001</v>
      </c>
      <c r="L248">
        <v>165.139511</v>
      </c>
      <c r="M248">
        <v>162.24115</v>
      </c>
      <c r="N248">
        <v>157.276535</v>
      </c>
      <c r="O248">
        <v>146.85742200000001</v>
      </c>
      <c r="P248">
        <v>140.64913899999999</v>
      </c>
      <c r="Q248">
        <v>135.86085499999999</v>
      </c>
      <c r="R248">
        <v>131.981888</v>
      </c>
      <c r="S248">
        <v>127.338005</v>
      </c>
      <c r="T248">
        <v>118.841385</v>
      </c>
      <c r="U248">
        <v>107.18328099999999</v>
      </c>
      <c r="V248">
        <v>96.116043000000005</v>
      </c>
      <c r="W248">
        <v>83.079475000000002</v>
      </c>
      <c r="X248">
        <v>71.047980999999993</v>
      </c>
      <c r="Y248">
        <v>64.084807999999995</v>
      </c>
      <c r="Z248">
        <v>57.674244000000002</v>
      </c>
      <c r="AA248">
        <v>51.698546999999998</v>
      </c>
      <c r="AB248">
        <v>49.456626999999997</v>
      </c>
      <c r="AC248">
        <v>47.067374999999998</v>
      </c>
      <c r="AD248">
        <v>-4.1226630000000002</v>
      </c>
    </row>
    <row r="249" spans="1:30">
      <c r="A249">
        <v>248</v>
      </c>
      <c r="B249" t="s">
        <v>184</v>
      </c>
      <c r="C249" t="s">
        <v>261</v>
      </c>
      <c r="D249">
        <v>3.1210000000000001E-3</v>
      </c>
      <c r="E249">
        <v>3.0639999999999999E-3</v>
      </c>
      <c r="F249">
        <v>3.2049999999999999E-3</v>
      </c>
      <c r="G249">
        <v>3.2810000000000001E-3</v>
      </c>
      <c r="H249">
        <v>3.3860000000000001E-3</v>
      </c>
      <c r="I249">
        <v>3.5179999999999999E-3</v>
      </c>
      <c r="J249">
        <v>3.614E-3</v>
      </c>
      <c r="K249">
        <v>3.6879999999999999E-3</v>
      </c>
      <c r="L249">
        <v>3.7750000000000001E-3</v>
      </c>
      <c r="M249">
        <v>3.839E-3</v>
      </c>
      <c r="N249">
        <v>3.8969999999999999E-3</v>
      </c>
      <c r="O249">
        <v>3.8909999999999999E-3</v>
      </c>
      <c r="P249">
        <v>3.9379999999999997E-3</v>
      </c>
      <c r="Q249">
        <v>3.9849999999999998E-3</v>
      </c>
      <c r="R249">
        <v>4.0220000000000004E-3</v>
      </c>
      <c r="S249">
        <v>4.0600000000000002E-3</v>
      </c>
      <c r="T249">
        <v>4.0790000000000002E-3</v>
      </c>
      <c r="U249">
        <v>4.0959999999999998E-3</v>
      </c>
      <c r="V249">
        <v>4.117E-3</v>
      </c>
      <c r="W249">
        <v>4.1409999999999997E-3</v>
      </c>
      <c r="X249">
        <v>4.1739999999999998E-3</v>
      </c>
      <c r="Y249">
        <v>4.1939999999999998E-3</v>
      </c>
      <c r="Z249">
        <v>4.2209999999999999E-3</v>
      </c>
      <c r="AA249">
        <v>4.2249999999999996E-3</v>
      </c>
      <c r="AB249">
        <v>4.1669999999999997E-3</v>
      </c>
      <c r="AC249">
        <v>4.0949999999999997E-3</v>
      </c>
      <c r="AD249">
        <v>1.09283</v>
      </c>
    </row>
    <row r="250" spans="1:30">
      <c r="A250">
        <v>249</v>
      </c>
      <c r="B250" t="s">
        <v>187</v>
      </c>
      <c r="C250" t="s">
        <v>261</v>
      </c>
      <c r="D250">
        <v>2.7353540000000001</v>
      </c>
      <c r="E250">
        <v>1.2153659999999999</v>
      </c>
      <c r="F250">
        <v>0.26793899999999998</v>
      </c>
      <c r="G250">
        <v>0.24443400000000001</v>
      </c>
      <c r="H250">
        <v>0.26974900000000002</v>
      </c>
      <c r="I250">
        <v>0.280167</v>
      </c>
      <c r="J250">
        <v>0.30068400000000001</v>
      </c>
      <c r="K250">
        <v>0.39602900000000002</v>
      </c>
      <c r="L250">
        <v>0.42842400000000003</v>
      </c>
      <c r="M250">
        <v>0.46488000000000002</v>
      </c>
      <c r="N250">
        <v>0.56920899999999996</v>
      </c>
      <c r="O250">
        <v>0.68192600000000003</v>
      </c>
      <c r="P250">
        <v>1.1034679999999999</v>
      </c>
      <c r="Q250">
        <v>1.238964</v>
      </c>
      <c r="R250">
        <v>1.408301</v>
      </c>
      <c r="S250">
        <v>1.972197</v>
      </c>
      <c r="T250">
        <v>2.4151950000000002</v>
      </c>
      <c r="U250">
        <v>3.2096529999999999</v>
      </c>
      <c r="V250">
        <v>3.7860019999999999</v>
      </c>
      <c r="W250">
        <v>4.4208850000000002</v>
      </c>
      <c r="X250">
        <v>5.3276329999999996</v>
      </c>
      <c r="Y250">
        <v>5.7180280000000003</v>
      </c>
      <c r="Z250">
        <v>6.7435840000000002</v>
      </c>
      <c r="AA250">
        <v>7.5865020000000003</v>
      </c>
      <c r="AB250">
        <v>7.9112689999999999</v>
      </c>
      <c r="AC250">
        <v>9.1384589999999992</v>
      </c>
      <c r="AD250">
        <v>4.9432169999999998</v>
      </c>
    </row>
    <row r="251" spans="1:30">
      <c r="A251">
        <v>250</v>
      </c>
      <c r="B251" t="s">
        <v>227</v>
      </c>
      <c r="C251" t="s">
        <v>261</v>
      </c>
      <c r="D251">
        <v>3.1210000000000001E-3</v>
      </c>
      <c r="E251">
        <v>3.0639999999999999E-3</v>
      </c>
      <c r="F251">
        <v>3.2049999999999999E-3</v>
      </c>
      <c r="G251">
        <v>3.2810000000000001E-3</v>
      </c>
      <c r="H251">
        <v>3.3860000000000001E-3</v>
      </c>
      <c r="I251">
        <v>3.5179999999999999E-3</v>
      </c>
      <c r="J251">
        <v>3.614E-3</v>
      </c>
      <c r="K251">
        <v>3.6879999999999999E-3</v>
      </c>
      <c r="L251">
        <v>3.7750000000000001E-3</v>
      </c>
      <c r="M251">
        <v>3.839E-3</v>
      </c>
      <c r="N251">
        <v>3.8969999999999999E-3</v>
      </c>
      <c r="O251">
        <v>3.8909999999999999E-3</v>
      </c>
      <c r="P251">
        <v>3.9379999999999997E-3</v>
      </c>
      <c r="Q251">
        <v>3.9849999999999998E-3</v>
      </c>
      <c r="R251">
        <v>4.0220000000000004E-3</v>
      </c>
      <c r="S251">
        <v>4.0600000000000002E-3</v>
      </c>
      <c r="T251">
        <v>4.0790000000000002E-3</v>
      </c>
      <c r="U251">
        <v>4.0959999999999998E-3</v>
      </c>
      <c r="V251">
        <v>4.117E-3</v>
      </c>
      <c r="W251">
        <v>4.1409999999999997E-3</v>
      </c>
      <c r="X251">
        <v>4.1739999999999998E-3</v>
      </c>
      <c r="Y251">
        <v>4.1939999999999998E-3</v>
      </c>
      <c r="Z251">
        <v>4.2209999999999999E-3</v>
      </c>
      <c r="AA251">
        <v>4.2249999999999996E-3</v>
      </c>
      <c r="AB251">
        <v>4.1669999999999997E-3</v>
      </c>
      <c r="AC251">
        <v>4.0949999999999997E-3</v>
      </c>
      <c r="AD251">
        <v>1.09283</v>
      </c>
    </row>
    <row r="252" spans="1:30">
      <c r="A252">
        <v>251</v>
      </c>
      <c r="B252" t="s">
        <v>228</v>
      </c>
      <c r="C252" t="s">
        <v>261</v>
      </c>
      <c r="D252">
        <v>1.942261</v>
      </c>
      <c r="E252">
        <v>1.907116</v>
      </c>
      <c r="F252">
        <v>1.9947090000000001</v>
      </c>
      <c r="G252">
        <v>2.0420660000000002</v>
      </c>
      <c r="H252">
        <v>2.1073059999999999</v>
      </c>
      <c r="I252">
        <v>2.1897850000000001</v>
      </c>
      <c r="J252">
        <v>2.248955</v>
      </c>
      <c r="K252">
        <v>2.295261</v>
      </c>
      <c r="L252">
        <v>2.349386</v>
      </c>
      <c r="M252">
        <v>2.3889670000000001</v>
      </c>
      <c r="N252">
        <v>2.4250750000000001</v>
      </c>
      <c r="O252">
        <v>2.4217330000000001</v>
      </c>
      <c r="P252">
        <v>2.450771</v>
      </c>
      <c r="Q252">
        <v>2.4800490000000002</v>
      </c>
      <c r="R252">
        <v>2.5031919999999999</v>
      </c>
      <c r="S252">
        <v>6.9775970000000003</v>
      </c>
      <c r="T252">
        <v>19.877784999999999</v>
      </c>
      <c r="U252">
        <v>39.715290000000003</v>
      </c>
      <c r="V252">
        <v>59.825169000000002</v>
      </c>
      <c r="W252">
        <v>84.307068000000001</v>
      </c>
      <c r="X252">
        <v>107.45694</v>
      </c>
      <c r="Y252">
        <v>121.015045</v>
      </c>
      <c r="Z252">
        <v>133.45056199999999</v>
      </c>
      <c r="AA252">
        <v>144.81849700000001</v>
      </c>
      <c r="AB252">
        <v>151.820786</v>
      </c>
      <c r="AC252">
        <v>156.34783899999999</v>
      </c>
      <c r="AD252">
        <v>19.187681999999999</v>
      </c>
    </row>
    <row r="253" spans="1:30">
      <c r="A253">
        <v>252</v>
      </c>
      <c r="B253" t="s">
        <v>229</v>
      </c>
      <c r="C253" t="s">
        <v>261</v>
      </c>
      <c r="D253">
        <v>0</v>
      </c>
      <c r="E253">
        <v>0</v>
      </c>
      <c r="F253">
        <v>0</v>
      </c>
      <c r="G253">
        <v>0</v>
      </c>
      <c r="H253">
        <v>0</v>
      </c>
      <c r="I253">
        <v>0</v>
      </c>
      <c r="J253">
        <v>0</v>
      </c>
      <c r="K253">
        <v>0</v>
      </c>
      <c r="L253">
        <v>0</v>
      </c>
      <c r="M253">
        <v>0</v>
      </c>
      <c r="N253">
        <v>0</v>
      </c>
      <c r="O253">
        <v>0</v>
      </c>
      <c r="P253">
        <v>0</v>
      </c>
      <c r="Q253">
        <v>0</v>
      </c>
      <c r="R253">
        <v>0</v>
      </c>
      <c r="S253">
        <v>0</v>
      </c>
      <c r="T253">
        <v>0</v>
      </c>
      <c r="U253">
        <v>0</v>
      </c>
      <c r="V253">
        <v>0</v>
      </c>
      <c r="W253">
        <v>0</v>
      </c>
      <c r="X253">
        <v>0</v>
      </c>
      <c r="Y253">
        <v>0</v>
      </c>
      <c r="Z253">
        <v>0</v>
      </c>
      <c r="AA253">
        <v>0</v>
      </c>
      <c r="AB253">
        <v>0</v>
      </c>
      <c r="AC253">
        <v>0</v>
      </c>
    </row>
    <row r="254" spans="1:30">
      <c r="A254">
        <v>253</v>
      </c>
      <c r="B254" t="s">
        <v>230</v>
      </c>
      <c r="C254" t="s">
        <v>261</v>
      </c>
      <c r="D254">
        <v>0</v>
      </c>
      <c r="E254">
        <v>0</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row>
    <row r="255" spans="1:30">
      <c r="A255">
        <v>254</v>
      </c>
      <c r="B255" t="s">
        <v>231</v>
      </c>
      <c r="C255" t="s">
        <v>261</v>
      </c>
      <c r="D255">
        <v>0</v>
      </c>
      <c r="E255">
        <v>0</v>
      </c>
      <c r="F255">
        <v>0</v>
      </c>
      <c r="G255">
        <v>0</v>
      </c>
      <c r="H255">
        <v>0</v>
      </c>
      <c r="I255">
        <v>0</v>
      </c>
      <c r="J255">
        <v>0</v>
      </c>
      <c r="K255">
        <v>0</v>
      </c>
      <c r="L255">
        <v>0</v>
      </c>
      <c r="M255">
        <v>0</v>
      </c>
      <c r="N255">
        <v>0</v>
      </c>
      <c r="O255">
        <v>0</v>
      </c>
      <c r="P255">
        <v>0</v>
      </c>
      <c r="Q255">
        <v>0</v>
      </c>
      <c r="R255">
        <v>0</v>
      </c>
      <c r="S255">
        <v>0</v>
      </c>
      <c r="T255">
        <v>0</v>
      </c>
      <c r="U255">
        <v>0</v>
      </c>
      <c r="V255">
        <v>0</v>
      </c>
      <c r="W255">
        <v>0</v>
      </c>
      <c r="X255">
        <v>0</v>
      </c>
      <c r="Y255">
        <v>0</v>
      </c>
      <c r="Z255">
        <v>0</v>
      </c>
      <c r="AA255">
        <v>0</v>
      </c>
      <c r="AB255">
        <v>0</v>
      </c>
      <c r="AC255">
        <v>0</v>
      </c>
    </row>
    <row r="256" spans="1:30">
      <c r="A256">
        <v>255</v>
      </c>
      <c r="B256" t="s">
        <v>574</v>
      </c>
      <c r="C256" t="s">
        <v>261</v>
      </c>
      <c r="D256">
        <v>0</v>
      </c>
      <c r="E256">
        <v>0</v>
      </c>
      <c r="F256">
        <v>0</v>
      </c>
      <c r="G256">
        <v>0</v>
      </c>
      <c r="H256">
        <v>0</v>
      </c>
      <c r="I256">
        <v>0</v>
      </c>
      <c r="J256">
        <v>0</v>
      </c>
      <c r="K256">
        <v>0</v>
      </c>
      <c r="L256">
        <v>0</v>
      </c>
      <c r="M256">
        <v>0</v>
      </c>
      <c r="N256">
        <v>0</v>
      </c>
      <c r="O256">
        <v>0</v>
      </c>
      <c r="P256">
        <v>0</v>
      </c>
      <c r="Q256">
        <v>0</v>
      </c>
      <c r="R256">
        <v>0</v>
      </c>
      <c r="S256">
        <v>0</v>
      </c>
      <c r="T256">
        <v>0</v>
      </c>
      <c r="U256">
        <v>0</v>
      </c>
      <c r="V256">
        <v>0</v>
      </c>
      <c r="W256">
        <v>0</v>
      </c>
      <c r="X256">
        <v>0</v>
      </c>
      <c r="Y256">
        <v>0</v>
      </c>
      <c r="Z256">
        <v>0</v>
      </c>
      <c r="AA256">
        <v>0</v>
      </c>
      <c r="AB256">
        <v>0</v>
      </c>
      <c r="AC256">
        <v>0</v>
      </c>
    </row>
    <row r="257" spans="1:30">
      <c r="A257">
        <v>256</v>
      </c>
      <c r="B257" t="s">
        <v>571</v>
      </c>
      <c r="C257" t="s">
        <v>261</v>
      </c>
      <c r="D257">
        <v>2.006732</v>
      </c>
      <c r="E257">
        <v>4.0215810000000003</v>
      </c>
      <c r="F257">
        <v>5.3579730000000003</v>
      </c>
      <c r="G257">
        <v>7.1691859999999998</v>
      </c>
      <c r="H257">
        <v>10.283124000000001</v>
      </c>
      <c r="I257">
        <v>16.371638999999998</v>
      </c>
      <c r="J257">
        <v>23.006516000000001</v>
      </c>
      <c r="K257">
        <v>32.124099999999999</v>
      </c>
      <c r="L257">
        <v>45.069450000000003</v>
      </c>
      <c r="M257">
        <v>60.169654999999999</v>
      </c>
      <c r="N257">
        <v>78.291327999999993</v>
      </c>
      <c r="O257">
        <v>100.358025</v>
      </c>
      <c r="P257">
        <v>118.5476</v>
      </c>
      <c r="Q257">
        <v>133.922562</v>
      </c>
      <c r="R257">
        <v>146.255066</v>
      </c>
      <c r="S257">
        <v>155.11923200000001</v>
      </c>
      <c r="T257">
        <v>161.05140700000001</v>
      </c>
      <c r="U257">
        <v>165.18528699999999</v>
      </c>
      <c r="V257">
        <v>168.32749899999999</v>
      </c>
      <c r="W257">
        <v>170.77990700000001</v>
      </c>
      <c r="X257">
        <v>173.08715799999999</v>
      </c>
      <c r="Y257">
        <v>174.52894599999999</v>
      </c>
      <c r="Z257">
        <v>176.06140099999999</v>
      </c>
      <c r="AA257">
        <v>176.455536</v>
      </c>
      <c r="AB257">
        <v>174.19653299999999</v>
      </c>
      <c r="AC257">
        <v>171.25337200000001</v>
      </c>
      <c r="AD257">
        <v>19.466457999999999</v>
      </c>
    </row>
    <row r="258" spans="1:30">
      <c r="A258">
        <v>257</v>
      </c>
      <c r="B258" t="s">
        <v>568</v>
      </c>
      <c r="C258" t="s">
        <v>261</v>
      </c>
      <c r="D258">
        <v>0</v>
      </c>
      <c r="E258">
        <v>0</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c r="AC258">
        <v>0</v>
      </c>
    </row>
    <row r="259" spans="1:30">
      <c r="A259">
        <v>258</v>
      </c>
      <c r="B259" t="s">
        <v>232</v>
      </c>
      <c r="C259" t="s">
        <v>261</v>
      </c>
      <c r="D259">
        <v>312.05038500000001</v>
      </c>
      <c r="E259">
        <v>306.40390000000002</v>
      </c>
      <c r="F259">
        <v>320.47683699999999</v>
      </c>
      <c r="G259">
        <v>328.08535799999999</v>
      </c>
      <c r="H259">
        <v>338.56896999999998</v>
      </c>
      <c r="I259">
        <v>351.83932499999997</v>
      </c>
      <c r="J259">
        <v>361.365723</v>
      </c>
      <c r="K259">
        <v>368.813446</v>
      </c>
      <c r="L259">
        <v>377.51062000000002</v>
      </c>
      <c r="M259">
        <v>383.87072799999999</v>
      </c>
      <c r="N259">
        <v>389.67355300000003</v>
      </c>
      <c r="O259">
        <v>389.13681000000003</v>
      </c>
      <c r="P259">
        <v>393.80273399999999</v>
      </c>
      <c r="Q259">
        <v>398.50732399999998</v>
      </c>
      <c r="R259">
        <v>402.226044</v>
      </c>
      <c r="S259">
        <v>405.97412100000003</v>
      </c>
      <c r="T259">
        <v>407.93576000000002</v>
      </c>
      <c r="U259">
        <v>409.60849000000002</v>
      </c>
      <c r="V259">
        <v>411.73507699999999</v>
      </c>
      <c r="W259">
        <v>414.10400399999997</v>
      </c>
      <c r="X259">
        <v>417.37853999999999</v>
      </c>
      <c r="Y259">
        <v>419.37756300000001</v>
      </c>
      <c r="Z259">
        <v>422.123199</v>
      </c>
      <c r="AA259">
        <v>423.37692299999998</v>
      </c>
      <c r="AB259">
        <v>424.12063599999999</v>
      </c>
      <c r="AC259">
        <v>422.36987299999998</v>
      </c>
      <c r="AD259">
        <v>1.2182280000000001</v>
      </c>
    </row>
    <row r="260" spans="1:30">
      <c r="A260">
        <v>259</v>
      </c>
      <c r="B260" t="s">
        <v>163</v>
      </c>
    </row>
    <row r="261" spans="1:30">
      <c r="A261">
        <v>260</v>
      </c>
      <c r="B261" t="s">
        <v>181</v>
      </c>
      <c r="C261" t="s">
        <v>261</v>
      </c>
      <c r="D261">
        <v>87.016471999999993</v>
      </c>
      <c r="E261">
        <v>90.515015000000005</v>
      </c>
      <c r="F261">
        <v>97.266578999999993</v>
      </c>
      <c r="G261">
        <v>96.672081000000006</v>
      </c>
      <c r="H261">
        <v>94.869606000000005</v>
      </c>
      <c r="I261">
        <v>94.137778999999995</v>
      </c>
      <c r="J261">
        <v>93.401000999999994</v>
      </c>
      <c r="K261">
        <v>92.805565000000001</v>
      </c>
      <c r="L261">
        <v>91.900031999999996</v>
      </c>
      <c r="M261">
        <v>89.678200000000004</v>
      </c>
      <c r="N261">
        <v>87.394454999999994</v>
      </c>
      <c r="O261">
        <v>83.888740999999996</v>
      </c>
      <c r="P261">
        <v>80.468529000000004</v>
      </c>
      <c r="Q261">
        <v>77.504661999999996</v>
      </c>
      <c r="R261">
        <v>75.349532999999994</v>
      </c>
      <c r="S261">
        <v>74.242110999999994</v>
      </c>
      <c r="T261">
        <v>73.592483999999999</v>
      </c>
      <c r="U261">
        <v>72.976928999999998</v>
      </c>
      <c r="V261">
        <v>72.885581999999999</v>
      </c>
      <c r="W261">
        <v>72.673141000000001</v>
      </c>
      <c r="X261">
        <v>72.233894000000006</v>
      </c>
      <c r="Y261">
        <v>71.260245999999995</v>
      </c>
      <c r="Z261">
        <v>69.895698999999993</v>
      </c>
      <c r="AA261">
        <v>68.490097000000006</v>
      </c>
      <c r="AB261">
        <v>67.332679999999996</v>
      </c>
      <c r="AC261">
        <v>66.804230000000004</v>
      </c>
      <c r="AD261">
        <v>-1.0517540000000001</v>
      </c>
    </row>
    <row r="262" spans="1:30">
      <c r="A262">
        <v>261</v>
      </c>
      <c r="B262" t="s">
        <v>226</v>
      </c>
      <c r="C262" t="s">
        <v>261</v>
      </c>
      <c r="D262">
        <v>65.907393999999996</v>
      </c>
      <c r="E262">
        <v>70.308220000000006</v>
      </c>
      <c r="F262">
        <v>77.305724999999995</v>
      </c>
      <c r="G262">
        <v>78.448859999999996</v>
      </c>
      <c r="H262">
        <v>78.454643000000004</v>
      </c>
      <c r="I262">
        <v>79.196067999999997</v>
      </c>
      <c r="J262">
        <v>79.810248999999999</v>
      </c>
      <c r="K262">
        <v>80.432609999999997</v>
      </c>
      <c r="L262">
        <v>80.680367000000004</v>
      </c>
      <c r="M262">
        <v>79.656868000000003</v>
      </c>
      <c r="N262">
        <v>78.458954000000006</v>
      </c>
      <c r="O262">
        <v>76.044303999999997</v>
      </c>
      <c r="P262">
        <v>73.589080999999993</v>
      </c>
      <c r="Q262">
        <v>71.448661999999999</v>
      </c>
      <c r="R262">
        <v>69.970032000000003</v>
      </c>
      <c r="S262">
        <v>69.400184999999993</v>
      </c>
      <c r="T262">
        <v>69.209311999999997</v>
      </c>
      <c r="U262">
        <v>69.008330999999998</v>
      </c>
      <c r="V262">
        <v>69.267227000000005</v>
      </c>
      <c r="W262">
        <v>69.380035000000007</v>
      </c>
      <c r="X262">
        <v>69.246689000000003</v>
      </c>
      <c r="Y262">
        <v>68.571044999999998</v>
      </c>
      <c r="Z262">
        <v>67.489067000000006</v>
      </c>
      <c r="AA262">
        <v>66.338729999999998</v>
      </c>
      <c r="AB262">
        <v>65.403464999999997</v>
      </c>
      <c r="AC262">
        <v>65.058289000000002</v>
      </c>
      <c r="AD262">
        <v>-5.1854999999999998E-2</v>
      </c>
    </row>
    <row r="263" spans="1:30">
      <c r="A263">
        <v>262</v>
      </c>
      <c r="B263" t="s">
        <v>184</v>
      </c>
      <c r="C263" t="s">
        <v>261</v>
      </c>
      <c r="D263">
        <v>1.5640000000000001E-3</v>
      </c>
      <c r="E263">
        <v>1.642E-3</v>
      </c>
      <c r="F263">
        <v>1.786E-3</v>
      </c>
      <c r="G263">
        <v>1.797E-3</v>
      </c>
      <c r="H263">
        <v>1.786E-3</v>
      </c>
      <c r="I263">
        <v>1.797E-3</v>
      </c>
      <c r="J263">
        <v>1.812E-3</v>
      </c>
      <c r="K263">
        <v>1.835E-3</v>
      </c>
      <c r="L263">
        <v>1.8580000000000001E-3</v>
      </c>
      <c r="M263">
        <v>1.8619999999999999E-3</v>
      </c>
      <c r="N263">
        <v>1.867E-3</v>
      </c>
      <c r="O263">
        <v>1.8439999999999999E-3</v>
      </c>
      <c r="P263">
        <v>1.8159999999999999E-3</v>
      </c>
      <c r="Q263">
        <v>1.789E-3</v>
      </c>
      <c r="R263">
        <v>1.7700000000000001E-3</v>
      </c>
      <c r="S263">
        <v>1.768E-3</v>
      </c>
      <c r="T263">
        <v>1.771E-3</v>
      </c>
      <c r="U263">
        <v>1.769E-3</v>
      </c>
      <c r="V263">
        <v>1.7769999999999999E-3</v>
      </c>
      <c r="W263">
        <v>1.7799999999999999E-3</v>
      </c>
      <c r="X263">
        <v>1.7750000000000001E-3</v>
      </c>
      <c r="Y263">
        <v>1.756E-3</v>
      </c>
      <c r="Z263">
        <v>1.7260000000000001E-3</v>
      </c>
      <c r="AA263">
        <v>1.6949999999999999E-3</v>
      </c>
      <c r="AB263">
        <v>1.6689999999999999E-3</v>
      </c>
      <c r="AC263">
        <v>1.658E-3</v>
      </c>
      <c r="AD263">
        <v>0.233597</v>
      </c>
    </row>
    <row r="264" spans="1:30">
      <c r="A264">
        <v>263</v>
      </c>
      <c r="B264" t="s">
        <v>187</v>
      </c>
      <c r="C264" t="s">
        <v>261</v>
      </c>
      <c r="D264">
        <v>1.501811</v>
      </c>
      <c r="E264">
        <v>1.4980009999999999</v>
      </c>
      <c r="F264">
        <v>1.614158</v>
      </c>
      <c r="G264">
        <v>1.614733</v>
      </c>
      <c r="H264">
        <v>1.5936889999999999</v>
      </c>
      <c r="I264">
        <v>1.6054729999999999</v>
      </c>
      <c r="J264">
        <v>1.620303</v>
      </c>
      <c r="K264">
        <v>1.641005</v>
      </c>
      <c r="L264">
        <v>1.651627</v>
      </c>
      <c r="M264">
        <v>1.654514</v>
      </c>
      <c r="N264">
        <v>1.6604719999999999</v>
      </c>
      <c r="O264">
        <v>1.6401079999999999</v>
      </c>
      <c r="P264">
        <v>1.6152839999999999</v>
      </c>
      <c r="Q264">
        <v>1.5911109999999999</v>
      </c>
      <c r="R264">
        <v>1.574829</v>
      </c>
      <c r="S264">
        <v>1.5801670000000001</v>
      </c>
      <c r="T264">
        <v>1.582376</v>
      </c>
      <c r="U264">
        <v>1.5810219999999999</v>
      </c>
      <c r="V264">
        <v>1.5891409999999999</v>
      </c>
      <c r="W264">
        <v>1.603251</v>
      </c>
      <c r="X264">
        <v>1.6057900000000001</v>
      </c>
      <c r="Y264">
        <v>1.601488</v>
      </c>
      <c r="Z264">
        <v>1.581888</v>
      </c>
      <c r="AA264">
        <v>1.5507379999999999</v>
      </c>
      <c r="AB264">
        <v>1.517817</v>
      </c>
      <c r="AC264">
        <v>1.5117769999999999</v>
      </c>
      <c r="AD264">
        <v>2.6460000000000001E-2</v>
      </c>
    </row>
    <row r="265" spans="1:30">
      <c r="A265">
        <v>264</v>
      </c>
      <c r="B265" t="s">
        <v>227</v>
      </c>
      <c r="C265" t="s">
        <v>261</v>
      </c>
      <c r="D265">
        <v>1.5640000000000001E-3</v>
      </c>
      <c r="E265">
        <v>1.642E-3</v>
      </c>
      <c r="F265">
        <v>1.786E-3</v>
      </c>
      <c r="G265">
        <v>1.797E-3</v>
      </c>
      <c r="H265">
        <v>1.786E-3</v>
      </c>
      <c r="I265">
        <v>1.797E-3</v>
      </c>
      <c r="J265">
        <v>1.812E-3</v>
      </c>
      <c r="K265">
        <v>1.835E-3</v>
      </c>
      <c r="L265">
        <v>1.8580000000000001E-3</v>
      </c>
      <c r="M265">
        <v>1.8619999999999999E-3</v>
      </c>
      <c r="N265">
        <v>1.867E-3</v>
      </c>
      <c r="O265">
        <v>1.8439999999999999E-3</v>
      </c>
      <c r="P265">
        <v>1.8159999999999999E-3</v>
      </c>
      <c r="Q265">
        <v>1.789E-3</v>
      </c>
      <c r="R265">
        <v>1.7700000000000001E-3</v>
      </c>
      <c r="S265">
        <v>1.768E-3</v>
      </c>
      <c r="T265">
        <v>1.771E-3</v>
      </c>
      <c r="U265">
        <v>1.769E-3</v>
      </c>
      <c r="V265">
        <v>1.7769999999999999E-3</v>
      </c>
      <c r="W265">
        <v>1.7799999999999999E-3</v>
      </c>
      <c r="X265">
        <v>1.7750000000000001E-3</v>
      </c>
      <c r="Y265">
        <v>1.756E-3</v>
      </c>
      <c r="Z265">
        <v>1.7260000000000001E-3</v>
      </c>
      <c r="AA265">
        <v>1.6949999999999999E-3</v>
      </c>
      <c r="AB265">
        <v>1.6689999999999999E-3</v>
      </c>
      <c r="AC265">
        <v>1.658E-3</v>
      </c>
      <c r="AD265">
        <v>0.233597</v>
      </c>
    </row>
    <row r="266" spans="1:30">
      <c r="A266">
        <v>265</v>
      </c>
      <c r="B266" t="s">
        <v>228</v>
      </c>
      <c r="C266" t="s">
        <v>261</v>
      </c>
      <c r="D266">
        <v>0.28104099999999999</v>
      </c>
      <c r="E266">
        <v>0.29509800000000003</v>
      </c>
      <c r="F266">
        <v>0.32098900000000002</v>
      </c>
      <c r="G266">
        <v>0.32292399999999999</v>
      </c>
      <c r="H266">
        <v>0.320886</v>
      </c>
      <c r="I266">
        <v>0.32286300000000001</v>
      </c>
      <c r="J266">
        <v>0.32552300000000001</v>
      </c>
      <c r="K266">
        <v>0.32968199999999998</v>
      </c>
      <c r="L266">
        <v>0.33394400000000002</v>
      </c>
      <c r="M266">
        <v>0.33451799999999998</v>
      </c>
      <c r="N266">
        <v>0.33541599999999999</v>
      </c>
      <c r="O266">
        <v>0.33130199999999999</v>
      </c>
      <c r="P266">
        <v>0.32628800000000002</v>
      </c>
      <c r="Q266">
        <v>0.321405</v>
      </c>
      <c r="R266">
        <v>0.31811600000000001</v>
      </c>
      <c r="S266">
        <v>0.31777</v>
      </c>
      <c r="T266">
        <v>0.318214</v>
      </c>
      <c r="U266">
        <v>0.317942</v>
      </c>
      <c r="V266">
        <v>0.31934099999999999</v>
      </c>
      <c r="W266">
        <v>0.31980700000000001</v>
      </c>
      <c r="X266">
        <v>0.31895800000000002</v>
      </c>
      <c r="Y266">
        <v>0.31553700000000001</v>
      </c>
      <c r="Z266">
        <v>0.31019999999999998</v>
      </c>
      <c r="AA266">
        <v>0.30452800000000002</v>
      </c>
      <c r="AB266">
        <v>0.299846</v>
      </c>
      <c r="AC266">
        <v>0.29792099999999999</v>
      </c>
      <c r="AD266">
        <v>0.233596</v>
      </c>
    </row>
    <row r="267" spans="1:30">
      <c r="A267">
        <v>266</v>
      </c>
      <c r="B267" t="s">
        <v>229</v>
      </c>
      <c r="C267" t="s">
        <v>261</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c r="AC267">
        <v>0</v>
      </c>
    </row>
    <row r="268" spans="1:30">
      <c r="A268">
        <v>267</v>
      </c>
      <c r="B268" t="s">
        <v>230</v>
      </c>
      <c r="C268" t="s">
        <v>261</v>
      </c>
      <c r="D268">
        <v>0.50159299999999996</v>
      </c>
      <c r="E268">
        <v>0</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-100</v>
      </c>
    </row>
    <row r="269" spans="1:30">
      <c r="A269">
        <v>268</v>
      </c>
      <c r="B269" t="s">
        <v>231</v>
      </c>
      <c r="C269" t="s">
        <v>261</v>
      </c>
      <c r="D269">
        <v>0</v>
      </c>
      <c r="E269">
        <v>0</v>
      </c>
      <c r="F269">
        <v>0</v>
      </c>
      <c r="G269">
        <v>0</v>
      </c>
      <c r="H269">
        <v>0</v>
      </c>
      <c r="I269">
        <v>0</v>
      </c>
      <c r="J269">
        <v>0</v>
      </c>
      <c r="K269">
        <v>0</v>
      </c>
      <c r="L269">
        <v>0</v>
      </c>
      <c r="M269">
        <v>0</v>
      </c>
      <c r="N269">
        <v>0</v>
      </c>
      <c r="O269">
        <v>0</v>
      </c>
      <c r="P269">
        <v>0</v>
      </c>
      <c r="Q269">
        <v>0</v>
      </c>
      <c r="R269">
        <v>0</v>
      </c>
      <c r="S269">
        <v>0</v>
      </c>
      <c r="T269">
        <v>0</v>
      </c>
      <c r="U269">
        <v>0</v>
      </c>
      <c r="V269">
        <v>0</v>
      </c>
      <c r="W269">
        <v>0</v>
      </c>
      <c r="X269">
        <v>0</v>
      </c>
      <c r="Y269">
        <v>0</v>
      </c>
      <c r="Z269">
        <v>0</v>
      </c>
      <c r="AA269">
        <v>0</v>
      </c>
      <c r="AB269">
        <v>0</v>
      </c>
      <c r="AC269">
        <v>0</v>
      </c>
    </row>
    <row r="270" spans="1:30">
      <c r="A270">
        <v>269</v>
      </c>
      <c r="B270" t="s">
        <v>574</v>
      </c>
      <c r="C270" t="s">
        <v>261</v>
      </c>
      <c r="D270">
        <v>0</v>
      </c>
      <c r="E270">
        <v>0</v>
      </c>
      <c r="F270">
        <v>0</v>
      </c>
      <c r="G270">
        <v>0</v>
      </c>
      <c r="H270">
        <v>0</v>
      </c>
      <c r="I270">
        <v>0</v>
      </c>
      <c r="J270">
        <v>0</v>
      </c>
      <c r="K270">
        <v>0</v>
      </c>
      <c r="L270">
        <v>0</v>
      </c>
      <c r="M270">
        <v>0</v>
      </c>
      <c r="N270">
        <v>0</v>
      </c>
      <c r="O270">
        <v>0</v>
      </c>
      <c r="P270">
        <v>0</v>
      </c>
      <c r="Q270">
        <v>0</v>
      </c>
      <c r="R270">
        <v>0</v>
      </c>
      <c r="S270">
        <v>0</v>
      </c>
      <c r="T270">
        <v>0</v>
      </c>
      <c r="U270">
        <v>0</v>
      </c>
      <c r="V270">
        <v>0</v>
      </c>
      <c r="W270">
        <v>0</v>
      </c>
      <c r="X270">
        <v>0</v>
      </c>
      <c r="Y270">
        <v>0</v>
      </c>
      <c r="Z270">
        <v>0</v>
      </c>
      <c r="AA270">
        <v>0</v>
      </c>
      <c r="AB270">
        <v>0</v>
      </c>
      <c r="AC270">
        <v>0</v>
      </c>
    </row>
    <row r="271" spans="1:30">
      <c r="A271">
        <v>270</v>
      </c>
      <c r="B271" t="s">
        <v>571</v>
      </c>
      <c r="C271" t="s">
        <v>261</v>
      </c>
      <c r="D271">
        <v>1.19448</v>
      </c>
      <c r="E271">
        <v>1.6098159999999999</v>
      </c>
      <c r="F271">
        <v>2.1273610000000001</v>
      </c>
      <c r="G271">
        <v>2.653184</v>
      </c>
      <c r="H271">
        <v>3.3383250000000002</v>
      </c>
      <c r="I271">
        <v>4.4153320000000003</v>
      </c>
      <c r="J271">
        <v>6.0008410000000003</v>
      </c>
      <c r="K271">
        <v>8.2636149999999997</v>
      </c>
      <c r="L271">
        <v>11.278498000000001</v>
      </c>
      <c r="M271">
        <v>14.839705</v>
      </c>
      <c r="N271">
        <v>18.814143999999999</v>
      </c>
      <c r="O271">
        <v>22.469768999999999</v>
      </c>
      <c r="P271">
        <v>25.584351000000002</v>
      </c>
      <c r="Q271">
        <v>28.000340000000001</v>
      </c>
      <c r="R271">
        <v>29.823201999999998</v>
      </c>
      <c r="S271">
        <v>31.303014999999998</v>
      </c>
      <c r="T271">
        <v>32.387985</v>
      </c>
      <c r="U271">
        <v>33.054687999999999</v>
      </c>
      <c r="V271">
        <v>33.656582</v>
      </c>
      <c r="W271">
        <v>34.000843000000003</v>
      </c>
      <c r="X271">
        <v>34.099063999999998</v>
      </c>
      <c r="Y271">
        <v>33.852097000000001</v>
      </c>
      <c r="Z271">
        <v>33.353698999999999</v>
      </c>
      <c r="AA271">
        <v>32.789924999999997</v>
      </c>
      <c r="AB271">
        <v>32.314467999999998</v>
      </c>
      <c r="AC271">
        <v>32.125087999999998</v>
      </c>
      <c r="AD271">
        <v>14.073986</v>
      </c>
    </row>
    <row r="272" spans="1:30">
      <c r="A272">
        <v>271</v>
      </c>
      <c r="B272" t="s">
        <v>568</v>
      </c>
      <c r="C272" t="s">
        <v>261</v>
      </c>
      <c r="D272">
        <v>0</v>
      </c>
      <c r="E272">
        <v>0</v>
      </c>
      <c r="F272">
        <v>0</v>
      </c>
      <c r="G272">
        <v>0</v>
      </c>
      <c r="H272">
        <v>0</v>
      </c>
      <c r="I272">
        <v>0</v>
      </c>
      <c r="J272">
        <v>0</v>
      </c>
      <c r="K272">
        <v>0</v>
      </c>
      <c r="L272">
        <v>0</v>
      </c>
      <c r="M272">
        <v>0</v>
      </c>
      <c r="N272">
        <v>0</v>
      </c>
      <c r="O272">
        <v>0</v>
      </c>
      <c r="P272">
        <v>0</v>
      </c>
      <c r="Q272">
        <v>0</v>
      </c>
      <c r="R272">
        <v>0</v>
      </c>
      <c r="S272">
        <v>0</v>
      </c>
      <c r="T272">
        <v>0</v>
      </c>
      <c r="U272">
        <v>0</v>
      </c>
      <c r="V272">
        <v>0</v>
      </c>
      <c r="W272">
        <v>0</v>
      </c>
      <c r="X272">
        <v>0</v>
      </c>
      <c r="Y272">
        <v>0</v>
      </c>
      <c r="Z272">
        <v>0</v>
      </c>
      <c r="AA272">
        <v>0</v>
      </c>
      <c r="AB272">
        <v>0</v>
      </c>
      <c r="AC272">
        <v>0</v>
      </c>
    </row>
    <row r="273" spans="1:30">
      <c r="A273">
        <v>272</v>
      </c>
      <c r="B273" t="s">
        <v>233</v>
      </c>
      <c r="C273" t="s">
        <v>261</v>
      </c>
      <c r="D273">
        <v>156.405945</v>
      </c>
      <c r="E273">
        <v>164.22943100000001</v>
      </c>
      <c r="F273">
        <v>178.63836699999999</v>
      </c>
      <c r="G273">
        <v>179.71537799999999</v>
      </c>
      <c r="H273">
        <v>178.58071899999999</v>
      </c>
      <c r="I273">
        <v>179.68109100000001</v>
      </c>
      <c r="J273">
        <v>181.16154499999999</v>
      </c>
      <c r="K273">
        <v>183.47612000000001</v>
      </c>
      <c r="L273">
        <v>185.848175</v>
      </c>
      <c r="M273">
        <v>186.16751099999999</v>
      </c>
      <c r="N273">
        <v>186.66716</v>
      </c>
      <c r="O273">
        <v>184.377914</v>
      </c>
      <c r="P273">
        <v>181.58715799999999</v>
      </c>
      <c r="Q273">
        <v>178.86975100000001</v>
      </c>
      <c r="R273">
        <v>177.03923</v>
      </c>
      <c r="S273">
        <v>176.84678600000001</v>
      </c>
      <c r="T273">
        <v>177.09390300000001</v>
      </c>
      <c r="U273">
        <v>176.942429</v>
      </c>
      <c r="V273">
        <v>177.72143600000001</v>
      </c>
      <c r="W273">
        <v>177.98066700000001</v>
      </c>
      <c r="X273">
        <v>177.50794999999999</v>
      </c>
      <c r="Y273">
        <v>175.60389699999999</v>
      </c>
      <c r="Z273">
        <v>172.63400300000001</v>
      </c>
      <c r="AA273">
        <v>169.477386</v>
      </c>
      <c r="AB273">
        <v>166.87162799999999</v>
      </c>
      <c r="AC273">
        <v>165.80062899999999</v>
      </c>
      <c r="AD273">
        <v>0.233597</v>
      </c>
    </row>
    <row r="274" spans="1:30">
      <c r="A274">
        <v>273</v>
      </c>
      <c r="B274" t="s">
        <v>234</v>
      </c>
    </row>
    <row r="275" spans="1:30">
      <c r="A275">
        <v>274</v>
      </c>
      <c r="B275" t="s">
        <v>181</v>
      </c>
      <c r="C275" t="s">
        <v>261</v>
      </c>
      <c r="D275">
        <v>281.237122</v>
      </c>
      <c r="E275">
        <v>295.646027</v>
      </c>
      <c r="F275">
        <v>322.10656699999998</v>
      </c>
      <c r="G275">
        <v>324.115295</v>
      </c>
      <c r="H275">
        <v>322.04226699999998</v>
      </c>
      <c r="I275">
        <v>324.01855499999999</v>
      </c>
      <c r="J275">
        <v>326.66601600000001</v>
      </c>
      <c r="K275">
        <v>330.807953</v>
      </c>
      <c r="L275">
        <v>335.03817700000002</v>
      </c>
      <c r="M275">
        <v>335.549103</v>
      </c>
      <c r="N275">
        <v>336.36541699999998</v>
      </c>
      <c r="O275">
        <v>332.15991200000002</v>
      </c>
      <c r="P275">
        <v>326.977081</v>
      </c>
      <c r="Q275">
        <v>322.00735500000002</v>
      </c>
      <c r="R275">
        <v>318.58831800000002</v>
      </c>
      <c r="S275">
        <v>318.06625400000001</v>
      </c>
      <c r="T275">
        <v>318.36337300000002</v>
      </c>
      <c r="U275">
        <v>317.86776700000001</v>
      </c>
      <c r="V275">
        <v>318.88763399999999</v>
      </c>
      <c r="W275">
        <v>318.91381799999999</v>
      </c>
      <c r="X275">
        <v>316.85546900000003</v>
      </c>
      <c r="Y275">
        <v>312.80175800000001</v>
      </c>
      <c r="Z275">
        <v>306.04480000000001</v>
      </c>
      <c r="AA275">
        <v>299.41345200000001</v>
      </c>
      <c r="AB275">
        <v>293.38540599999999</v>
      </c>
      <c r="AC275">
        <v>290.13171399999999</v>
      </c>
      <c r="AD275">
        <v>0.124625</v>
      </c>
    </row>
    <row r="276" spans="1:30">
      <c r="A276">
        <v>275</v>
      </c>
      <c r="B276" t="s">
        <v>226</v>
      </c>
      <c r="C276" t="s">
        <v>261</v>
      </c>
      <c r="D276">
        <v>0.205822</v>
      </c>
      <c r="E276">
        <v>0.216143</v>
      </c>
      <c r="F276">
        <v>0.23513899999999999</v>
      </c>
      <c r="G276">
        <v>0.23658399999999999</v>
      </c>
      <c r="H276">
        <v>0.23511099999999999</v>
      </c>
      <c r="I276">
        <v>0.23658100000000001</v>
      </c>
      <c r="J276">
        <v>0.238541</v>
      </c>
      <c r="K276">
        <v>0.24160200000000001</v>
      </c>
      <c r="L276">
        <v>0.24473600000000001</v>
      </c>
      <c r="M276">
        <v>0.245166</v>
      </c>
      <c r="N276">
        <v>0.24583099999999999</v>
      </c>
      <c r="O276">
        <v>0.24282300000000001</v>
      </c>
      <c r="P276">
        <v>0.23915</v>
      </c>
      <c r="Q276">
        <v>0.23557400000000001</v>
      </c>
      <c r="R276">
        <v>0.23316700000000001</v>
      </c>
      <c r="S276">
        <v>0.23291700000000001</v>
      </c>
      <c r="T276">
        <v>0.233237</v>
      </c>
      <c r="U276">
        <v>0.23303399999999999</v>
      </c>
      <c r="V276">
        <v>0.234068</v>
      </c>
      <c r="W276">
        <v>0.23440900000000001</v>
      </c>
      <c r="X276">
        <v>0.23378499999999999</v>
      </c>
      <c r="Y276">
        <v>0.23127700000000001</v>
      </c>
      <c r="Z276">
        <v>0.22736300000000001</v>
      </c>
      <c r="AA276">
        <v>0.22320300000000001</v>
      </c>
      <c r="AB276">
        <v>0.219774</v>
      </c>
      <c r="AC276">
        <v>0.218363</v>
      </c>
      <c r="AD276">
        <v>0.236873</v>
      </c>
    </row>
    <row r="277" spans="1:30">
      <c r="A277">
        <v>276</v>
      </c>
      <c r="B277" t="s">
        <v>184</v>
      </c>
      <c r="C277" t="s">
        <v>261</v>
      </c>
      <c r="D277">
        <v>0</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row>
    <row r="278" spans="1:30">
      <c r="A278">
        <v>277</v>
      </c>
      <c r="B278" t="s">
        <v>187</v>
      </c>
      <c r="C278" t="s">
        <v>261</v>
      </c>
      <c r="D278">
        <v>5.6442170000000003</v>
      </c>
      <c r="E278">
        <v>5.5852719999999998</v>
      </c>
      <c r="F278">
        <v>5.5536960000000004</v>
      </c>
      <c r="G278">
        <v>5.5203389999999999</v>
      </c>
      <c r="H278">
        <v>5.512181</v>
      </c>
      <c r="I278">
        <v>5.554227</v>
      </c>
      <c r="J278">
        <v>5.6221779999999999</v>
      </c>
      <c r="K278">
        <v>5.7257439999999997</v>
      </c>
      <c r="L278">
        <v>5.8462969999999999</v>
      </c>
      <c r="M278">
        <v>5.9211169999999997</v>
      </c>
      <c r="N278">
        <v>6.0212599999999998</v>
      </c>
      <c r="O278">
        <v>6.0278169999999998</v>
      </c>
      <c r="P278">
        <v>6.0918380000000001</v>
      </c>
      <c r="Q278">
        <v>6.0772729999999999</v>
      </c>
      <c r="R278">
        <v>6.138814</v>
      </c>
      <c r="S278">
        <v>6.3078310000000002</v>
      </c>
      <c r="T278">
        <v>6.4639550000000003</v>
      </c>
      <c r="U278">
        <v>6.6818210000000002</v>
      </c>
      <c r="V278">
        <v>7.0906960000000003</v>
      </c>
      <c r="W278">
        <v>7.5399969999999996</v>
      </c>
      <c r="X278">
        <v>8.7313220000000005</v>
      </c>
      <c r="Y278">
        <v>9.2927339999999994</v>
      </c>
      <c r="Z278">
        <v>10.602258000000001</v>
      </c>
      <c r="AA278">
        <v>11.44375</v>
      </c>
      <c r="AB278">
        <v>12.692299</v>
      </c>
      <c r="AC278">
        <v>13.981540000000001</v>
      </c>
      <c r="AD278">
        <v>3.6950560000000001</v>
      </c>
    </row>
    <row r="279" spans="1:30">
      <c r="A279">
        <v>278</v>
      </c>
      <c r="B279" t="s">
        <v>227</v>
      </c>
      <c r="C279" t="s">
        <v>261</v>
      </c>
      <c r="D279">
        <v>0</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row>
    <row r="280" spans="1:30">
      <c r="A280">
        <v>279</v>
      </c>
      <c r="B280" t="s">
        <v>228</v>
      </c>
      <c r="C280" t="s">
        <v>261</v>
      </c>
      <c r="D280">
        <v>0.82315400000000005</v>
      </c>
      <c r="E280">
        <v>0.86435200000000001</v>
      </c>
      <c r="F280">
        <v>0.94020499999999996</v>
      </c>
      <c r="G280">
        <v>0.94587500000000002</v>
      </c>
      <c r="H280">
        <v>0.93990399999999996</v>
      </c>
      <c r="I280">
        <v>0.94569700000000001</v>
      </c>
      <c r="J280">
        <v>0.95348900000000003</v>
      </c>
      <c r="K280">
        <v>0.96567199999999997</v>
      </c>
      <c r="L280">
        <v>0.97815700000000005</v>
      </c>
      <c r="M280">
        <v>0.97983699999999996</v>
      </c>
      <c r="N280">
        <v>0.98246599999999995</v>
      </c>
      <c r="O280">
        <v>0.97041699999999997</v>
      </c>
      <c r="P280">
        <v>0.95572699999999999</v>
      </c>
      <c r="Q280">
        <v>0.94142400000000004</v>
      </c>
      <c r="R280">
        <v>0.93178899999999998</v>
      </c>
      <c r="S280">
        <v>0.93077500000000002</v>
      </c>
      <c r="T280">
        <v>0.93207499999999999</v>
      </c>
      <c r="U280">
        <v>0.93127599999999999</v>
      </c>
      <c r="V280">
        <v>0.93537199999999998</v>
      </c>
      <c r="W280">
        <v>0.93672500000000003</v>
      </c>
      <c r="X280">
        <v>0.93418699999999999</v>
      </c>
      <c r="Y280">
        <v>0.92415099999999994</v>
      </c>
      <c r="Z280">
        <v>0.90846499999999997</v>
      </c>
      <c r="AA280">
        <v>0.89183400000000002</v>
      </c>
      <c r="AB280">
        <v>0.87806499999999998</v>
      </c>
      <c r="AC280">
        <v>0.87239</v>
      </c>
      <c r="AD280">
        <v>0.23264000000000001</v>
      </c>
    </row>
    <row r="281" spans="1:30">
      <c r="A281">
        <v>280</v>
      </c>
      <c r="B281" t="s">
        <v>229</v>
      </c>
      <c r="C281" t="s">
        <v>261</v>
      </c>
      <c r="D281">
        <v>0</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row>
    <row r="282" spans="1:30">
      <c r="A282">
        <v>281</v>
      </c>
      <c r="B282" t="s">
        <v>230</v>
      </c>
      <c r="C282" t="s">
        <v>261</v>
      </c>
      <c r="D282">
        <v>0</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row>
    <row r="283" spans="1:30">
      <c r="A283">
        <v>282</v>
      </c>
      <c r="B283" t="s">
        <v>231</v>
      </c>
      <c r="C283" t="s">
        <v>261</v>
      </c>
      <c r="D283">
        <v>0</v>
      </c>
      <c r="E283">
        <v>0</v>
      </c>
      <c r="F283">
        <v>0</v>
      </c>
      <c r="G283">
        <v>0</v>
      </c>
      <c r="H283">
        <v>0</v>
      </c>
      <c r="I283">
        <v>0</v>
      </c>
      <c r="J283">
        <v>0</v>
      </c>
      <c r="K283">
        <v>0</v>
      </c>
      <c r="L283">
        <v>0</v>
      </c>
      <c r="M283">
        <v>0</v>
      </c>
      <c r="N283">
        <v>0</v>
      </c>
      <c r="O283">
        <v>0</v>
      </c>
      <c r="P283">
        <v>0</v>
      </c>
      <c r="Q283">
        <v>0</v>
      </c>
      <c r="R283">
        <v>0</v>
      </c>
      <c r="S283">
        <v>0</v>
      </c>
      <c r="T283">
        <v>0</v>
      </c>
      <c r="U283">
        <v>0</v>
      </c>
      <c r="V283">
        <v>0</v>
      </c>
      <c r="W283">
        <v>0</v>
      </c>
      <c r="X283">
        <v>0</v>
      </c>
      <c r="Y283">
        <v>0</v>
      </c>
      <c r="Z283">
        <v>0</v>
      </c>
      <c r="AA283">
        <v>0</v>
      </c>
      <c r="AB283">
        <v>0</v>
      </c>
      <c r="AC283">
        <v>0</v>
      </c>
    </row>
    <row r="284" spans="1:30">
      <c r="A284">
        <v>283</v>
      </c>
      <c r="B284" t="s">
        <v>574</v>
      </c>
      <c r="C284" t="s">
        <v>261</v>
      </c>
      <c r="D284">
        <v>0</v>
      </c>
      <c r="E284">
        <v>0</v>
      </c>
      <c r="F284">
        <v>0</v>
      </c>
      <c r="G284">
        <v>0</v>
      </c>
      <c r="H284">
        <v>0</v>
      </c>
      <c r="I284">
        <v>0</v>
      </c>
      <c r="J284">
        <v>0</v>
      </c>
      <c r="K284">
        <v>0</v>
      </c>
      <c r="L284">
        <v>0</v>
      </c>
      <c r="M284">
        <v>0</v>
      </c>
      <c r="N284">
        <v>0</v>
      </c>
      <c r="O284">
        <v>0</v>
      </c>
      <c r="P284">
        <v>0</v>
      </c>
      <c r="Q284">
        <v>0</v>
      </c>
      <c r="R284">
        <v>0</v>
      </c>
      <c r="S284">
        <v>0</v>
      </c>
      <c r="T284">
        <v>0</v>
      </c>
      <c r="U284">
        <v>0</v>
      </c>
      <c r="V284">
        <v>0</v>
      </c>
      <c r="W284">
        <v>0</v>
      </c>
      <c r="X284">
        <v>0</v>
      </c>
      <c r="Y284">
        <v>0</v>
      </c>
      <c r="Z284">
        <v>0</v>
      </c>
      <c r="AA284">
        <v>0</v>
      </c>
      <c r="AB284">
        <v>0</v>
      </c>
      <c r="AC284">
        <v>0</v>
      </c>
    </row>
    <row r="285" spans="1:30">
      <c r="A285">
        <v>284</v>
      </c>
      <c r="B285" t="s">
        <v>571</v>
      </c>
      <c r="C285" t="s">
        <v>261</v>
      </c>
      <c r="D285">
        <v>0</v>
      </c>
      <c r="E285">
        <v>0</v>
      </c>
      <c r="F285">
        <v>0</v>
      </c>
      <c r="G285">
        <v>0</v>
      </c>
      <c r="H285">
        <v>0</v>
      </c>
      <c r="I285">
        <v>0</v>
      </c>
      <c r="J285">
        <v>0</v>
      </c>
      <c r="K285">
        <v>0</v>
      </c>
      <c r="L285">
        <v>0</v>
      </c>
      <c r="M285">
        <v>0</v>
      </c>
      <c r="N285">
        <v>0</v>
      </c>
      <c r="O285">
        <v>0</v>
      </c>
      <c r="P285">
        <v>0</v>
      </c>
      <c r="Q285">
        <v>0</v>
      </c>
      <c r="R285">
        <v>0</v>
      </c>
      <c r="S285">
        <v>0</v>
      </c>
      <c r="T285">
        <v>0</v>
      </c>
      <c r="U285">
        <v>0</v>
      </c>
      <c r="V285">
        <v>0</v>
      </c>
      <c r="W285">
        <v>0</v>
      </c>
      <c r="X285">
        <v>0</v>
      </c>
      <c r="Y285">
        <v>0</v>
      </c>
      <c r="Z285">
        <v>0</v>
      </c>
      <c r="AA285">
        <v>0</v>
      </c>
      <c r="AB285">
        <v>0</v>
      </c>
      <c r="AC285">
        <v>0</v>
      </c>
    </row>
    <row r="286" spans="1:30">
      <c r="A286">
        <v>285</v>
      </c>
      <c r="B286" t="s">
        <v>568</v>
      </c>
      <c r="C286" t="s">
        <v>261</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c r="AC286">
        <v>0</v>
      </c>
    </row>
    <row r="287" spans="1:30">
      <c r="A287">
        <v>286</v>
      </c>
      <c r="B287" t="s">
        <v>235</v>
      </c>
      <c r="C287" t="s">
        <v>261</v>
      </c>
      <c r="D287">
        <v>287.91030899999998</v>
      </c>
      <c r="E287">
        <v>302.31176799999997</v>
      </c>
      <c r="F287">
        <v>328.83560199999999</v>
      </c>
      <c r="G287">
        <v>330.81811499999998</v>
      </c>
      <c r="H287">
        <v>328.72949199999999</v>
      </c>
      <c r="I287">
        <v>330.755066</v>
      </c>
      <c r="J287">
        <v>333.48022500000002</v>
      </c>
      <c r="K287">
        <v>337.74099699999999</v>
      </c>
      <c r="L287">
        <v>342.10742199999999</v>
      </c>
      <c r="M287">
        <v>342.69525099999998</v>
      </c>
      <c r="N287">
        <v>343.61498999999998</v>
      </c>
      <c r="O287">
        <v>339.40093999999999</v>
      </c>
      <c r="P287">
        <v>334.26376299999998</v>
      </c>
      <c r="Q287">
        <v>329.26162699999998</v>
      </c>
      <c r="R287">
        <v>325.89205900000002</v>
      </c>
      <c r="S287">
        <v>325.537781</v>
      </c>
      <c r="T287">
        <v>325.99264499999998</v>
      </c>
      <c r="U287">
        <v>325.71386699999999</v>
      </c>
      <c r="V287">
        <v>327.14776599999999</v>
      </c>
      <c r="W287">
        <v>327.62493899999998</v>
      </c>
      <c r="X287">
        <v>326.75476099999997</v>
      </c>
      <c r="Y287">
        <v>323.249908</v>
      </c>
      <c r="Z287">
        <v>317.78286700000001</v>
      </c>
      <c r="AA287">
        <v>311.97226000000001</v>
      </c>
      <c r="AB287">
        <v>307.175568</v>
      </c>
      <c r="AC287">
        <v>305.20400999999998</v>
      </c>
      <c r="AD287">
        <v>0.233598</v>
      </c>
    </row>
    <row r="288" spans="1:30">
      <c r="A288">
        <v>287</v>
      </c>
      <c r="B288" t="s">
        <v>247</v>
      </c>
      <c r="C288" t="s">
        <v>261</v>
      </c>
      <c r="D288">
        <v>756.36676</v>
      </c>
      <c r="E288">
        <v>772.94543499999997</v>
      </c>
      <c r="F288">
        <v>827.95074499999998</v>
      </c>
      <c r="G288">
        <v>838.61889599999995</v>
      </c>
      <c r="H288">
        <v>845.87933299999997</v>
      </c>
      <c r="I288">
        <v>862.27551300000005</v>
      </c>
      <c r="J288">
        <v>876.00744599999996</v>
      </c>
      <c r="K288">
        <v>890.03082300000005</v>
      </c>
      <c r="L288">
        <v>905.46612500000003</v>
      </c>
      <c r="M288">
        <v>912.733521</v>
      </c>
      <c r="N288">
        <v>919.95562700000005</v>
      </c>
      <c r="O288">
        <v>912.91577099999995</v>
      </c>
      <c r="P288">
        <v>909.65368699999999</v>
      </c>
      <c r="Q288">
        <v>906.638733</v>
      </c>
      <c r="R288">
        <v>905.15716599999996</v>
      </c>
      <c r="S288">
        <v>908.35864300000003</v>
      </c>
      <c r="T288">
        <v>911.02221699999996</v>
      </c>
      <c r="U288">
        <v>912.26470900000004</v>
      </c>
      <c r="V288">
        <v>916.60424799999998</v>
      </c>
      <c r="W288">
        <v>919.70959500000004</v>
      </c>
      <c r="X288">
        <v>921.64123500000005</v>
      </c>
      <c r="Y288">
        <v>918.23132299999997</v>
      </c>
      <c r="Z288">
        <v>912.54022199999997</v>
      </c>
      <c r="AA288">
        <v>904.82653800000003</v>
      </c>
      <c r="AB288">
        <v>898.16803000000004</v>
      </c>
      <c r="AC288">
        <v>893.37445100000002</v>
      </c>
      <c r="AD288">
        <v>0.66813999999999996</v>
      </c>
    </row>
    <row r="289" spans="1:30">
      <c r="A289">
        <v>288</v>
      </c>
    </row>
    <row r="290" spans="1:30">
      <c r="A290">
        <v>316</v>
      </c>
    </row>
    <row r="291" spans="1:30">
      <c r="A291">
        <v>322</v>
      </c>
    </row>
    <row r="292" spans="1:30">
      <c r="A292">
        <v>323</v>
      </c>
      <c r="B292" t="s">
        <v>146</v>
      </c>
    </row>
    <row r="293" spans="1:30">
      <c r="A293">
        <v>324</v>
      </c>
      <c r="B293" t="s">
        <v>248</v>
      </c>
      <c r="C293" t="s">
        <v>262</v>
      </c>
      <c r="D293">
        <v>1583.56665</v>
      </c>
      <c r="E293">
        <v>1549.21875</v>
      </c>
      <c r="F293">
        <v>1600.83374</v>
      </c>
      <c r="G293">
        <v>1569.623779</v>
      </c>
      <c r="H293">
        <v>1558.830322</v>
      </c>
      <c r="I293">
        <v>1570.8070070000001</v>
      </c>
      <c r="J293">
        <v>1532.1602780000001</v>
      </c>
      <c r="K293">
        <v>1540.2322999999999</v>
      </c>
      <c r="L293">
        <v>1548.5545649999999</v>
      </c>
      <c r="M293">
        <v>1545.7983400000001</v>
      </c>
      <c r="N293">
        <v>1552.4879149999999</v>
      </c>
      <c r="O293">
        <v>1557.8070070000001</v>
      </c>
      <c r="P293">
        <v>1565.3472899999999</v>
      </c>
      <c r="Q293">
        <v>1567.623047</v>
      </c>
      <c r="R293">
        <v>1572.4233400000001</v>
      </c>
      <c r="S293">
        <v>1575.6236570000001</v>
      </c>
      <c r="T293">
        <v>1575.8466800000001</v>
      </c>
      <c r="U293">
        <v>1572.6245120000001</v>
      </c>
      <c r="V293">
        <v>1570.4213870000001</v>
      </c>
      <c r="W293">
        <v>1572.224976</v>
      </c>
      <c r="X293">
        <v>1573.0563959999999</v>
      </c>
      <c r="Y293">
        <v>1577.9887699999999</v>
      </c>
      <c r="Z293">
        <v>1588.9343260000001</v>
      </c>
      <c r="AA293">
        <v>1595.622314</v>
      </c>
      <c r="AB293">
        <v>1592.7250979999999</v>
      </c>
      <c r="AC293">
        <v>1590.9067379999999</v>
      </c>
      <c r="AD293">
        <v>1.8499999999999999E-2</v>
      </c>
    </row>
    <row r="294" spans="1:30">
      <c r="A294">
        <v>325</v>
      </c>
      <c r="B294" t="s">
        <v>249</v>
      </c>
      <c r="C294" t="s">
        <v>1174</v>
      </c>
      <c r="D294">
        <v>3.3770099999999998</v>
      </c>
      <c r="E294">
        <v>3.3805740000000002</v>
      </c>
      <c r="F294">
        <v>3.3841420000000002</v>
      </c>
      <c r="G294">
        <v>3.3877130000000002</v>
      </c>
      <c r="H294">
        <v>3.391289</v>
      </c>
      <c r="I294">
        <v>3.3948680000000002</v>
      </c>
      <c r="J294">
        <v>3.3984510000000001</v>
      </c>
      <c r="K294">
        <v>3.402037</v>
      </c>
      <c r="L294">
        <v>3.4056280000000001</v>
      </c>
      <c r="M294">
        <v>3.4092220000000002</v>
      </c>
      <c r="N294">
        <v>3.41282</v>
      </c>
      <c r="O294">
        <v>3.4164219999999998</v>
      </c>
      <c r="P294">
        <v>3.4200270000000002</v>
      </c>
      <c r="Q294">
        <v>3.4236369999999998</v>
      </c>
      <c r="R294">
        <v>3.4272499999999999</v>
      </c>
      <c r="S294">
        <v>3.4308670000000001</v>
      </c>
      <c r="T294">
        <v>3.434488</v>
      </c>
      <c r="U294">
        <v>3.438113</v>
      </c>
      <c r="V294">
        <v>3.4417409999999999</v>
      </c>
      <c r="W294">
        <v>3.445373</v>
      </c>
      <c r="X294">
        <v>3.4490099999999999</v>
      </c>
      <c r="Y294">
        <v>3.4526490000000001</v>
      </c>
      <c r="Z294">
        <v>3.4562930000000001</v>
      </c>
      <c r="AA294">
        <v>3.4599410000000002</v>
      </c>
      <c r="AB294">
        <v>3.4635929999999999</v>
      </c>
      <c r="AC294">
        <v>3.4672480000000001</v>
      </c>
      <c r="AD294">
        <v>0.10553700000000001</v>
      </c>
    </row>
    <row r="295" spans="1:30">
      <c r="A295">
        <v>326</v>
      </c>
      <c r="B295" t="s">
        <v>109</v>
      </c>
    </row>
    <row r="296" spans="1:30">
      <c r="A296">
        <v>327</v>
      </c>
      <c r="B296" t="s">
        <v>250</v>
      </c>
      <c r="C296" t="s">
        <v>193</v>
      </c>
      <c r="D296">
        <v>468.92568999999997</v>
      </c>
      <c r="E296">
        <v>458.27090500000003</v>
      </c>
      <c r="F296">
        <v>473.03973400000001</v>
      </c>
      <c r="G296">
        <v>463.32836900000001</v>
      </c>
      <c r="H296">
        <v>459.65716600000002</v>
      </c>
      <c r="I296">
        <v>462.70059199999997</v>
      </c>
      <c r="J296">
        <v>450.84088100000002</v>
      </c>
      <c r="K296">
        <v>452.73818999999997</v>
      </c>
      <c r="L296">
        <v>454.70459</v>
      </c>
      <c r="M296">
        <v>453.41677900000002</v>
      </c>
      <c r="N296">
        <v>454.898865</v>
      </c>
      <c r="O296">
        <v>455.97616599999998</v>
      </c>
      <c r="P296">
        <v>457.70022599999999</v>
      </c>
      <c r="Q296">
        <v>457.88241599999998</v>
      </c>
      <c r="R296">
        <v>458.80032299999999</v>
      </c>
      <c r="S296">
        <v>459.24939000000001</v>
      </c>
      <c r="T296">
        <v>458.83017000000001</v>
      </c>
      <c r="U296">
        <v>457.40924100000001</v>
      </c>
      <c r="V296">
        <v>456.28689600000001</v>
      </c>
      <c r="W296">
        <v>456.329407</v>
      </c>
      <c r="X296">
        <v>456.08932499999997</v>
      </c>
      <c r="Y296">
        <v>457.03701799999999</v>
      </c>
      <c r="Z296">
        <v>459.72207600000002</v>
      </c>
      <c r="AA296">
        <v>461.17038000000002</v>
      </c>
      <c r="AB296">
        <v>459.84771699999999</v>
      </c>
      <c r="AC296">
        <v>458.83840900000001</v>
      </c>
      <c r="AD296">
        <v>-8.6946999999999997E-2</v>
      </c>
    </row>
    <row r="297" spans="1:30">
      <c r="A297">
        <v>328</v>
      </c>
      <c r="B297" t="s">
        <v>177</v>
      </c>
      <c r="C297" t="s">
        <v>193</v>
      </c>
      <c r="D297">
        <v>0</v>
      </c>
      <c r="E297">
        <v>0</v>
      </c>
      <c r="F297">
        <v>0</v>
      </c>
      <c r="G297">
        <v>0</v>
      </c>
      <c r="H297">
        <v>0</v>
      </c>
      <c r="I297">
        <v>0</v>
      </c>
      <c r="J297">
        <v>0</v>
      </c>
      <c r="K297">
        <v>0</v>
      </c>
      <c r="L297">
        <v>0</v>
      </c>
      <c r="M297">
        <v>0</v>
      </c>
      <c r="N297">
        <v>0</v>
      </c>
      <c r="O297">
        <v>0</v>
      </c>
      <c r="P297">
        <v>0</v>
      </c>
      <c r="Q297">
        <v>0</v>
      </c>
      <c r="R297">
        <v>0</v>
      </c>
      <c r="S297">
        <v>0</v>
      </c>
      <c r="T297">
        <v>0</v>
      </c>
      <c r="U297">
        <v>0</v>
      </c>
      <c r="V297">
        <v>0</v>
      </c>
      <c r="W297">
        <v>0</v>
      </c>
      <c r="X297">
        <v>0</v>
      </c>
      <c r="Y297">
        <v>0</v>
      </c>
      <c r="Z297">
        <v>0</v>
      </c>
      <c r="AA297">
        <v>0</v>
      </c>
      <c r="AB297">
        <v>0</v>
      </c>
      <c r="AC297">
        <v>0</v>
      </c>
    </row>
    <row r="298" spans="1:30">
      <c r="A298">
        <v>329</v>
      </c>
      <c r="B298" t="s">
        <v>251</v>
      </c>
      <c r="C298" t="s">
        <v>193</v>
      </c>
      <c r="D298">
        <v>0</v>
      </c>
      <c r="E298">
        <v>0</v>
      </c>
      <c r="F298">
        <v>0</v>
      </c>
      <c r="G298">
        <v>0</v>
      </c>
      <c r="H298">
        <v>0</v>
      </c>
      <c r="I298">
        <v>0</v>
      </c>
      <c r="J298">
        <v>0</v>
      </c>
      <c r="K298">
        <v>0</v>
      </c>
      <c r="L298">
        <v>0</v>
      </c>
      <c r="M298">
        <v>0</v>
      </c>
      <c r="N298">
        <v>0</v>
      </c>
      <c r="O298">
        <v>0</v>
      </c>
      <c r="P298">
        <v>0</v>
      </c>
      <c r="Q298">
        <v>0</v>
      </c>
      <c r="R298">
        <v>0</v>
      </c>
      <c r="S298">
        <v>0</v>
      </c>
      <c r="T298">
        <v>0</v>
      </c>
      <c r="U298">
        <v>0</v>
      </c>
      <c r="V298">
        <v>0</v>
      </c>
      <c r="W298">
        <v>0</v>
      </c>
      <c r="X298">
        <v>0</v>
      </c>
      <c r="Y298">
        <v>0</v>
      </c>
      <c r="Z298">
        <v>0</v>
      </c>
      <c r="AA298">
        <v>0</v>
      </c>
      <c r="AB298">
        <v>0</v>
      </c>
      <c r="AC298">
        <v>0</v>
      </c>
    </row>
    <row r="299" spans="1:30">
      <c r="A299">
        <v>330</v>
      </c>
      <c r="B299" t="s">
        <v>252</v>
      </c>
      <c r="C299" t="s">
        <v>193</v>
      </c>
      <c r="D299">
        <v>0</v>
      </c>
      <c r="E299">
        <v>0</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row>
    <row r="300" spans="1:30">
      <c r="A300">
        <v>331</v>
      </c>
    </row>
    <row r="301" spans="1:30">
      <c r="A301">
        <v>332</v>
      </c>
      <c r="B301" t="s">
        <v>147</v>
      </c>
    </row>
    <row r="302" spans="1:30">
      <c r="A302">
        <v>333</v>
      </c>
      <c r="B302" t="s">
        <v>253</v>
      </c>
      <c r="C302" t="s">
        <v>262</v>
      </c>
      <c r="D302">
        <v>481.83203099999997</v>
      </c>
      <c r="E302">
        <v>486.21575899999999</v>
      </c>
      <c r="F302">
        <v>483.39910900000001</v>
      </c>
      <c r="G302">
        <v>481.59878500000002</v>
      </c>
      <c r="H302">
        <v>478.74780299999998</v>
      </c>
      <c r="I302">
        <v>479.17053199999998</v>
      </c>
      <c r="J302">
        <v>477.21215799999999</v>
      </c>
      <c r="K302">
        <v>476.96957400000002</v>
      </c>
      <c r="L302">
        <v>475.513306</v>
      </c>
      <c r="M302">
        <v>475.265533</v>
      </c>
      <c r="N302">
        <v>474.76629600000001</v>
      </c>
      <c r="O302">
        <v>473.51058999999998</v>
      </c>
      <c r="P302">
        <v>471.99932899999999</v>
      </c>
      <c r="Q302">
        <v>470.33200099999999</v>
      </c>
      <c r="R302">
        <v>469.49694799999997</v>
      </c>
      <c r="S302">
        <v>468.92211900000001</v>
      </c>
      <c r="T302">
        <v>468.94192500000003</v>
      </c>
      <c r="U302">
        <v>468.05917399999998</v>
      </c>
      <c r="V302">
        <v>466.67507899999998</v>
      </c>
      <c r="W302">
        <v>465.00936899999999</v>
      </c>
      <c r="X302">
        <v>463.46417200000002</v>
      </c>
      <c r="Y302">
        <v>462.658051</v>
      </c>
      <c r="Z302">
        <v>462.24151599999999</v>
      </c>
      <c r="AA302">
        <v>460.68478399999998</v>
      </c>
      <c r="AB302">
        <v>458.80084199999999</v>
      </c>
      <c r="AC302">
        <v>456.89770499999997</v>
      </c>
      <c r="AD302">
        <v>-0.21231800000000001</v>
      </c>
    </row>
    <row r="303" spans="1:30">
      <c r="A303">
        <v>334</v>
      </c>
      <c r="B303" t="s">
        <v>249</v>
      </c>
      <c r="C303" t="s">
        <v>1174</v>
      </c>
      <c r="D303">
        <v>4.876665</v>
      </c>
      <c r="E303">
        <v>4.8956239999999998</v>
      </c>
      <c r="F303">
        <v>4.9146570000000001</v>
      </c>
      <c r="G303">
        <v>4.933764</v>
      </c>
      <c r="H303">
        <v>4.9529449999999997</v>
      </c>
      <c r="I303">
        <v>4.9722</v>
      </c>
      <c r="J303">
        <v>4.9915310000000002</v>
      </c>
      <c r="K303">
        <v>5.0109370000000002</v>
      </c>
      <c r="L303">
        <v>5.0304180000000001</v>
      </c>
      <c r="M303">
        <v>5.0499749999999999</v>
      </c>
      <c r="N303">
        <v>5.0696079999999997</v>
      </c>
      <c r="O303">
        <v>5.0893170000000003</v>
      </c>
      <c r="P303">
        <v>5.1091030000000002</v>
      </c>
      <c r="Q303">
        <v>5.1289660000000001</v>
      </c>
      <c r="R303">
        <v>5.1489060000000002</v>
      </c>
      <c r="S303">
        <v>5.1689230000000004</v>
      </c>
      <c r="T303">
        <v>5.189019</v>
      </c>
      <c r="U303">
        <v>5.2091919999999998</v>
      </c>
      <c r="V303">
        <v>5.2294450000000001</v>
      </c>
      <c r="W303">
        <v>5.2497749999999996</v>
      </c>
      <c r="X303">
        <v>5.2701849999999997</v>
      </c>
      <c r="Y303">
        <v>5.2906740000000001</v>
      </c>
      <c r="Z303">
        <v>5.3112430000000002</v>
      </c>
      <c r="AA303">
        <v>5.3318919999999999</v>
      </c>
      <c r="AB303">
        <v>5.3526210000000001</v>
      </c>
      <c r="AC303">
        <v>5.3734299999999999</v>
      </c>
      <c r="AD303">
        <v>0.38877299999999998</v>
      </c>
    </row>
    <row r="304" spans="1:30">
      <c r="A304">
        <v>335</v>
      </c>
      <c r="B304" t="s">
        <v>109</v>
      </c>
    </row>
    <row r="305" spans="1:30">
      <c r="A305">
        <v>336</v>
      </c>
      <c r="B305" t="s">
        <v>250</v>
      </c>
      <c r="C305" t="s">
        <v>193</v>
      </c>
      <c r="D305">
        <v>96.583793999999997</v>
      </c>
      <c r="E305">
        <v>97.108688000000001</v>
      </c>
      <c r="F305">
        <v>96.187201999999999</v>
      </c>
      <c r="G305">
        <v>95.472472999999994</v>
      </c>
      <c r="H305">
        <v>94.554146000000003</v>
      </c>
      <c r="I305">
        <v>94.286368999999993</v>
      </c>
      <c r="J305">
        <v>93.553246000000001</v>
      </c>
      <c r="K305">
        <v>93.159003999999996</v>
      </c>
      <c r="L305">
        <v>92.530685000000005</v>
      </c>
      <c r="M305">
        <v>92.139579999999995</v>
      </c>
      <c r="N305">
        <v>91.701057000000006</v>
      </c>
      <c r="O305">
        <v>91.116889999999998</v>
      </c>
      <c r="P305">
        <v>90.488121000000007</v>
      </c>
      <c r="Q305">
        <v>89.835007000000004</v>
      </c>
      <c r="R305">
        <v>89.345123000000001</v>
      </c>
      <c r="S305">
        <v>88.860725000000002</v>
      </c>
      <c r="T305">
        <v>88.419899000000001</v>
      </c>
      <c r="U305">
        <v>87.804962000000003</v>
      </c>
      <c r="V305">
        <v>87.093040000000002</v>
      </c>
      <c r="W305">
        <v>86.325974000000002</v>
      </c>
      <c r="X305">
        <v>85.578452999999996</v>
      </c>
      <c r="Y305">
        <v>84.963302999999996</v>
      </c>
      <c r="Z305">
        <v>84.41404</v>
      </c>
      <c r="AA305">
        <v>83.6511</v>
      </c>
      <c r="AB305">
        <v>82.824348000000001</v>
      </c>
      <c r="AC305">
        <v>81.989593999999997</v>
      </c>
      <c r="AD305">
        <v>-0.65313200000000005</v>
      </c>
    </row>
    <row r="306" spans="1:30">
      <c r="A306">
        <v>337</v>
      </c>
      <c r="B306" t="s">
        <v>177</v>
      </c>
      <c r="C306" t="s">
        <v>193</v>
      </c>
      <c r="D306">
        <v>1.445341</v>
      </c>
      <c r="E306">
        <v>1.381691</v>
      </c>
      <c r="F306">
        <v>1.303849</v>
      </c>
      <c r="G306">
        <v>1.2307950000000001</v>
      </c>
      <c r="H306">
        <v>1.156623</v>
      </c>
      <c r="I306">
        <v>1.087359</v>
      </c>
      <c r="J306">
        <v>1.010143</v>
      </c>
      <c r="K306">
        <v>0.93915599999999999</v>
      </c>
      <c r="L306">
        <v>0.86446900000000004</v>
      </c>
      <c r="M306">
        <v>0.794794</v>
      </c>
      <c r="N306">
        <v>0.72734299999999996</v>
      </c>
      <c r="O306">
        <v>0.66834199999999999</v>
      </c>
      <c r="P306">
        <v>0.60416400000000003</v>
      </c>
      <c r="Q306">
        <v>0.53177799999999997</v>
      </c>
      <c r="R306">
        <v>0.45579399999999998</v>
      </c>
      <c r="S306">
        <v>0.388372</v>
      </c>
      <c r="T306">
        <v>0.386907</v>
      </c>
      <c r="U306">
        <v>0.38470799999999999</v>
      </c>
      <c r="V306">
        <v>0.38211099999999998</v>
      </c>
      <c r="W306">
        <v>0.37930000000000003</v>
      </c>
      <c r="X306">
        <v>0.37660399999999999</v>
      </c>
      <c r="Y306">
        <v>0.37452400000000002</v>
      </c>
      <c r="Z306">
        <v>0.37277100000000002</v>
      </c>
      <c r="AA306">
        <v>0.37011100000000002</v>
      </c>
      <c r="AB306">
        <v>0.36720700000000001</v>
      </c>
      <c r="AC306">
        <v>0.36430699999999999</v>
      </c>
      <c r="AD306">
        <v>-5.3632330000000001</v>
      </c>
    </row>
    <row r="307" spans="1:30">
      <c r="A307">
        <v>338</v>
      </c>
      <c r="B307" t="s">
        <v>251</v>
      </c>
      <c r="C307" t="s">
        <v>193</v>
      </c>
      <c r="D307">
        <v>0</v>
      </c>
      <c r="E307">
        <v>0</v>
      </c>
      <c r="F307">
        <v>0</v>
      </c>
      <c r="G307">
        <v>0</v>
      </c>
      <c r="H307">
        <v>0</v>
      </c>
      <c r="I307">
        <v>0</v>
      </c>
      <c r="J307">
        <v>0</v>
      </c>
      <c r="K307">
        <v>0</v>
      </c>
      <c r="L307">
        <v>0</v>
      </c>
      <c r="M307">
        <v>0</v>
      </c>
      <c r="N307">
        <v>0</v>
      </c>
      <c r="O307">
        <v>0</v>
      </c>
      <c r="P307">
        <v>0</v>
      </c>
      <c r="Q307">
        <v>0</v>
      </c>
      <c r="R307">
        <v>0</v>
      </c>
      <c r="S307">
        <v>0</v>
      </c>
      <c r="T307">
        <v>0</v>
      </c>
      <c r="U307">
        <v>0</v>
      </c>
      <c r="V307">
        <v>0</v>
      </c>
      <c r="W307">
        <v>0</v>
      </c>
      <c r="X307">
        <v>0</v>
      </c>
      <c r="Y307">
        <v>0</v>
      </c>
      <c r="Z307">
        <v>0</v>
      </c>
      <c r="AA307">
        <v>0</v>
      </c>
      <c r="AB307">
        <v>0</v>
      </c>
      <c r="AC307">
        <v>0</v>
      </c>
    </row>
    <row r="308" spans="1:30">
      <c r="A308">
        <v>339</v>
      </c>
      <c r="B308" t="s">
        <v>252</v>
      </c>
      <c r="C308" t="s">
        <v>193</v>
      </c>
      <c r="D308">
        <v>0.77447999999999995</v>
      </c>
      <c r="E308">
        <v>0.82602299999999995</v>
      </c>
      <c r="F308">
        <v>0.86763400000000002</v>
      </c>
      <c r="G308">
        <v>0.90959299999999998</v>
      </c>
      <c r="H308">
        <v>0.94846200000000003</v>
      </c>
      <c r="I308">
        <v>0.99618600000000002</v>
      </c>
      <c r="J308">
        <v>1.040969</v>
      </c>
      <c r="K308">
        <v>1.0875589999999999</v>
      </c>
      <c r="L308">
        <v>1.1324399999999999</v>
      </c>
      <c r="M308">
        <v>1.1780889999999999</v>
      </c>
      <c r="N308">
        <v>1.2211190000000001</v>
      </c>
      <c r="O308">
        <v>1.2548729999999999</v>
      </c>
      <c r="P308">
        <v>1.291717</v>
      </c>
      <c r="Q308">
        <v>1.33436</v>
      </c>
      <c r="R308">
        <v>1.382914</v>
      </c>
      <c r="S308">
        <v>1.470391</v>
      </c>
      <c r="T308">
        <v>1.5651710000000001</v>
      </c>
      <c r="U308">
        <v>1.6628590000000001</v>
      </c>
      <c r="V308">
        <v>1.764751</v>
      </c>
      <c r="W308">
        <v>1.871745</v>
      </c>
      <c r="X308">
        <v>1.9857260000000001</v>
      </c>
      <c r="Y308">
        <v>2.1100059999999998</v>
      </c>
      <c r="Z308">
        <v>2.2439629999999999</v>
      </c>
      <c r="AA308">
        <v>2.3805429999999999</v>
      </c>
      <c r="AB308">
        <v>2.523625</v>
      </c>
      <c r="AC308">
        <v>2.6751680000000002</v>
      </c>
      <c r="AD308">
        <v>5.0832850000000001</v>
      </c>
    </row>
    <row r="309" spans="1:30">
      <c r="A309">
        <v>340</v>
      </c>
    </row>
    <row r="310" spans="1:30">
      <c r="A310">
        <v>341</v>
      </c>
      <c r="B310" t="s">
        <v>148</v>
      </c>
    </row>
    <row r="311" spans="1:30">
      <c r="A311">
        <v>342</v>
      </c>
      <c r="B311" t="s">
        <v>254</v>
      </c>
      <c r="C311" t="s">
        <v>263</v>
      </c>
      <c r="D311">
        <v>6127.4228519999997</v>
      </c>
      <c r="E311">
        <v>6028.361328</v>
      </c>
      <c r="F311">
        <v>6255.0078119999998</v>
      </c>
      <c r="G311">
        <v>6499.4736329999996</v>
      </c>
      <c r="H311">
        <v>6761.2734380000002</v>
      </c>
      <c r="I311">
        <v>7028.6259769999997</v>
      </c>
      <c r="J311">
        <v>7299.21875</v>
      </c>
      <c r="K311">
        <v>7579.5712890000004</v>
      </c>
      <c r="L311">
        <v>7866.2246089999999</v>
      </c>
      <c r="M311">
        <v>8164.1865230000003</v>
      </c>
      <c r="N311">
        <v>8491.6855469999991</v>
      </c>
      <c r="O311">
        <v>8747.6240230000003</v>
      </c>
      <c r="P311">
        <v>8948.3525389999995</v>
      </c>
      <c r="Q311">
        <v>9150.4121090000008</v>
      </c>
      <c r="R311">
        <v>9328.1025389999995</v>
      </c>
      <c r="S311">
        <v>9510.328125</v>
      </c>
      <c r="T311">
        <v>9683.4052730000003</v>
      </c>
      <c r="U311">
        <v>9868.6611329999996</v>
      </c>
      <c r="V311">
        <v>10044.632812</v>
      </c>
      <c r="W311">
        <v>10220.917969</v>
      </c>
      <c r="X311">
        <v>10423.390625</v>
      </c>
      <c r="Y311">
        <v>10629.244140999999</v>
      </c>
      <c r="Z311">
        <v>10842.418944999999</v>
      </c>
      <c r="AA311">
        <v>11045.969727</v>
      </c>
      <c r="AB311">
        <v>11243.941406</v>
      </c>
      <c r="AC311">
        <v>11472.542969</v>
      </c>
      <c r="AD311">
        <v>2.5404629999999999</v>
      </c>
    </row>
    <row r="312" spans="1:30">
      <c r="A312">
        <v>343</v>
      </c>
      <c r="B312" t="s">
        <v>255</v>
      </c>
      <c r="C312" t="s">
        <v>263</v>
      </c>
      <c r="D312">
        <v>1940.6701660000001</v>
      </c>
      <c r="E312">
        <v>2006.188232</v>
      </c>
      <c r="F312">
        <v>2107.7854000000002</v>
      </c>
      <c r="G312">
        <v>2179.19751</v>
      </c>
      <c r="H312">
        <v>2254.2573240000002</v>
      </c>
      <c r="I312">
        <v>2324.5969239999999</v>
      </c>
      <c r="J312">
        <v>2391.5129390000002</v>
      </c>
      <c r="K312">
        <v>2453.6914059999999</v>
      </c>
      <c r="L312">
        <v>2513.2285160000001</v>
      </c>
      <c r="M312">
        <v>2576.2583009999998</v>
      </c>
      <c r="N312">
        <v>2646.9953609999998</v>
      </c>
      <c r="O312">
        <v>2699.0698240000002</v>
      </c>
      <c r="P312">
        <v>2744.2216800000001</v>
      </c>
      <c r="Q312">
        <v>2792.2001949999999</v>
      </c>
      <c r="R312">
        <v>2842.2219239999999</v>
      </c>
      <c r="S312">
        <v>2895.2229000000002</v>
      </c>
      <c r="T312">
        <v>2947.8862300000001</v>
      </c>
      <c r="U312">
        <v>3001.33374</v>
      </c>
      <c r="V312">
        <v>3053.8952640000002</v>
      </c>
      <c r="W312">
        <v>3101.75</v>
      </c>
      <c r="X312">
        <v>3155.008057</v>
      </c>
      <c r="Y312">
        <v>3206.7470699999999</v>
      </c>
      <c r="Z312">
        <v>3259.1191410000001</v>
      </c>
      <c r="AA312">
        <v>3304.0275879999999</v>
      </c>
      <c r="AB312">
        <v>3343.9277339999999</v>
      </c>
      <c r="AC312">
        <v>3385.5576169999999</v>
      </c>
      <c r="AD312">
        <v>2.2509000000000001</v>
      </c>
    </row>
    <row r="313" spans="1:30">
      <c r="A313">
        <v>344</v>
      </c>
      <c r="B313" t="s">
        <v>256</v>
      </c>
      <c r="C313" t="s">
        <v>263</v>
      </c>
      <c r="D313">
        <v>4186.7524409999996</v>
      </c>
      <c r="E313">
        <v>4022.1733399999998</v>
      </c>
      <c r="F313">
        <v>4147.2221680000002</v>
      </c>
      <c r="G313">
        <v>4320.2763670000004</v>
      </c>
      <c r="H313">
        <v>4507.0161129999997</v>
      </c>
      <c r="I313">
        <v>4704.029297</v>
      </c>
      <c r="J313">
        <v>4907.7055659999996</v>
      </c>
      <c r="K313">
        <v>5125.8798829999996</v>
      </c>
      <c r="L313">
        <v>5352.9960940000001</v>
      </c>
      <c r="M313">
        <v>5587.9282229999999</v>
      </c>
      <c r="N313">
        <v>5844.6904299999997</v>
      </c>
      <c r="O313">
        <v>6048.5541990000002</v>
      </c>
      <c r="P313">
        <v>6204.1308589999999</v>
      </c>
      <c r="Q313">
        <v>6358.2119140000004</v>
      </c>
      <c r="R313">
        <v>6485.8808589999999</v>
      </c>
      <c r="S313">
        <v>6615.1049800000001</v>
      </c>
      <c r="T313">
        <v>6735.5190430000002</v>
      </c>
      <c r="U313">
        <v>6867.3271480000003</v>
      </c>
      <c r="V313">
        <v>6990.7377930000002</v>
      </c>
      <c r="W313">
        <v>7119.1679690000001</v>
      </c>
      <c r="X313">
        <v>7268.3828119999998</v>
      </c>
      <c r="Y313">
        <v>7422.4975590000004</v>
      </c>
      <c r="Z313">
        <v>7583.2998049999997</v>
      </c>
      <c r="AA313">
        <v>7741.9418949999999</v>
      </c>
      <c r="AB313">
        <v>7900.013672</v>
      </c>
      <c r="AC313">
        <v>8086.9848629999997</v>
      </c>
      <c r="AD313">
        <v>2.668301</v>
      </c>
    </row>
    <row r="314" spans="1:30">
      <c r="A314">
        <v>345</v>
      </c>
      <c r="B314" t="s">
        <v>109</v>
      </c>
    </row>
    <row r="315" spans="1:30">
      <c r="A315">
        <v>346</v>
      </c>
      <c r="B315" t="s">
        <v>250</v>
      </c>
      <c r="C315" t="s">
        <v>193</v>
      </c>
      <c r="D315">
        <v>223.61303699999999</v>
      </c>
      <c r="E315">
        <v>232.22341900000001</v>
      </c>
      <c r="F315">
        <v>233.03628499999999</v>
      </c>
      <c r="G315">
        <v>228.42013499999999</v>
      </c>
      <c r="H315">
        <v>236.59736599999999</v>
      </c>
      <c r="I315">
        <v>244.27101099999999</v>
      </c>
      <c r="J315">
        <v>254.47695899999999</v>
      </c>
      <c r="K315">
        <v>260.89538599999997</v>
      </c>
      <c r="L315">
        <v>266.11056500000001</v>
      </c>
      <c r="M315">
        <v>271.40432700000002</v>
      </c>
      <c r="N315">
        <v>278.81805400000002</v>
      </c>
      <c r="O315">
        <v>283.25878899999998</v>
      </c>
      <c r="P315">
        <v>286.94357300000001</v>
      </c>
      <c r="Q315">
        <v>290.506012</v>
      </c>
      <c r="R315">
        <v>293.64566000000002</v>
      </c>
      <c r="S315">
        <v>297.625427</v>
      </c>
      <c r="T315">
        <v>301.42257699999999</v>
      </c>
      <c r="U315">
        <v>303.21469100000002</v>
      </c>
      <c r="V315">
        <v>304.424194</v>
      </c>
      <c r="W315">
        <v>305.89453099999997</v>
      </c>
      <c r="X315">
        <v>307.77346799999998</v>
      </c>
      <c r="Y315">
        <v>310.19232199999999</v>
      </c>
      <c r="Z315">
        <v>313.15210000000002</v>
      </c>
      <c r="AA315">
        <v>315.861267</v>
      </c>
      <c r="AB315">
        <v>317.94543499999997</v>
      </c>
      <c r="AC315">
        <v>320.70755000000003</v>
      </c>
      <c r="AD315">
        <v>1.452904</v>
      </c>
    </row>
    <row r="316" spans="1:30">
      <c r="A316">
        <v>347</v>
      </c>
      <c r="B316" t="s">
        <v>177</v>
      </c>
      <c r="C316" t="s">
        <v>193</v>
      </c>
      <c r="D316">
        <v>551.81341599999996</v>
      </c>
      <c r="E316">
        <v>533.65148899999997</v>
      </c>
      <c r="F316">
        <v>548.11669900000004</v>
      </c>
      <c r="G316">
        <v>569.71991000000003</v>
      </c>
      <c r="H316">
        <v>574.97094700000002</v>
      </c>
      <c r="I316">
        <v>581.03149399999995</v>
      </c>
      <c r="J316">
        <v>583.45141599999999</v>
      </c>
      <c r="K316">
        <v>591.07006799999999</v>
      </c>
      <c r="L316">
        <v>600.38812299999995</v>
      </c>
      <c r="M316">
        <v>609.91949499999998</v>
      </c>
      <c r="N316">
        <v>618.10058600000002</v>
      </c>
      <c r="O316">
        <v>626.03704800000003</v>
      </c>
      <c r="P316">
        <v>631.89624000000003</v>
      </c>
      <c r="Q316">
        <v>637.82202099999995</v>
      </c>
      <c r="R316">
        <v>643.011841</v>
      </c>
      <c r="S316">
        <v>647.25390600000003</v>
      </c>
      <c r="T316">
        <v>651.12280299999998</v>
      </c>
      <c r="U316">
        <v>658.07989499999996</v>
      </c>
      <c r="V316">
        <v>665.28179899999998</v>
      </c>
      <c r="W316">
        <v>672.02301</v>
      </c>
      <c r="X316">
        <v>679.34075900000005</v>
      </c>
      <c r="Y316">
        <v>686.10742200000004</v>
      </c>
      <c r="Z316">
        <v>692.36852999999996</v>
      </c>
      <c r="AA316">
        <v>698.42010500000004</v>
      </c>
      <c r="AB316">
        <v>704.87670900000001</v>
      </c>
      <c r="AC316">
        <v>711.82208300000002</v>
      </c>
      <c r="AD316">
        <v>1.023676</v>
      </c>
    </row>
    <row r="317" spans="1:30">
      <c r="A317">
        <v>348</v>
      </c>
      <c r="B317" t="s">
        <v>251</v>
      </c>
      <c r="C317" t="s">
        <v>193</v>
      </c>
      <c r="D317">
        <v>0</v>
      </c>
      <c r="E317">
        <v>0</v>
      </c>
      <c r="F317">
        <v>0</v>
      </c>
      <c r="G317">
        <v>0</v>
      </c>
      <c r="H317">
        <v>0</v>
      </c>
      <c r="I317">
        <v>0</v>
      </c>
      <c r="J317">
        <v>0</v>
      </c>
      <c r="K317">
        <v>0</v>
      </c>
      <c r="L317">
        <v>0</v>
      </c>
      <c r="M317">
        <v>0</v>
      </c>
      <c r="N317">
        <v>0</v>
      </c>
      <c r="O317">
        <v>0</v>
      </c>
      <c r="P317">
        <v>0</v>
      </c>
      <c r="Q317">
        <v>0</v>
      </c>
      <c r="R317">
        <v>0</v>
      </c>
      <c r="S317">
        <v>0</v>
      </c>
      <c r="T317">
        <v>0</v>
      </c>
      <c r="U317">
        <v>0</v>
      </c>
      <c r="V317">
        <v>0</v>
      </c>
      <c r="W317">
        <v>0</v>
      </c>
      <c r="X317">
        <v>0</v>
      </c>
      <c r="Y317">
        <v>0</v>
      </c>
      <c r="Z317">
        <v>0</v>
      </c>
      <c r="AA317">
        <v>0</v>
      </c>
      <c r="AB317">
        <v>0</v>
      </c>
      <c r="AC317">
        <v>0</v>
      </c>
    </row>
    <row r="318" spans="1:30">
      <c r="A318">
        <v>349</v>
      </c>
      <c r="B318" t="s">
        <v>252</v>
      </c>
      <c r="C318" t="s">
        <v>193</v>
      </c>
      <c r="D318">
        <v>6.2526729999999997</v>
      </c>
      <c r="E318">
        <v>5.9148670000000001</v>
      </c>
      <c r="F318">
        <v>5.8945189999999998</v>
      </c>
      <c r="G318">
        <v>5.6259750000000004</v>
      </c>
      <c r="H318">
        <v>6.0864450000000003</v>
      </c>
      <c r="I318">
        <v>6.2907739999999999</v>
      </c>
      <c r="J318">
        <v>6.7832850000000002</v>
      </c>
      <c r="K318">
        <v>7.2150460000000001</v>
      </c>
      <c r="L318">
        <v>7.559577</v>
      </c>
      <c r="M318">
        <v>7.9037889999999997</v>
      </c>
      <c r="N318">
        <v>8.305097</v>
      </c>
      <c r="O318">
        <v>8.5344940000000005</v>
      </c>
      <c r="P318">
        <v>8.7039059999999999</v>
      </c>
      <c r="Q318">
        <v>8.8867419999999999</v>
      </c>
      <c r="R318">
        <v>8.9932859999999994</v>
      </c>
      <c r="S318">
        <v>9.1680440000000001</v>
      </c>
      <c r="T318">
        <v>9.4052419999999994</v>
      </c>
      <c r="U318">
        <v>9.5836869999999994</v>
      </c>
      <c r="V318">
        <v>9.7822840000000006</v>
      </c>
      <c r="W318">
        <v>10.052626</v>
      </c>
      <c r="X318">
        <v>10.397913000000001</v>
      </c>
      <c r="Y318">
        <v>10.684988000000001</v>
      </c>
      <c r="Z318">
        <v>10.963583</v>
      </c>
      <c r="AA318">
        <v>11.211759000000001</v>
      </c>
      <c r="AB318">
        <v>11.425473999999999</v>
      </c>
      <c r="AC318">
        <v>11.615826999999999</v>
      </c>
      <c r="AD318">
        <v>2.508381</v>
      </c>
    </row>
    <row r="319" spans="1:30">
      <c r="A319">
        <v>350</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4AA10-8DEB-4D35-82BE-0832A738B5DA}">
  <dimension ref="A1:AF256"/>
  <sheetViews>
    <sheetView workbookViewId="0"/>
  </sheetViews>
  <sheetFormatPr defaultRowHeight="14.25"/>
  <cols>
    <col min="1" max="1" width="41.265625" customWidth="1"/>
  </cols>
  <sheetData>
    <row r="1" spans="1:31">
      <c r="A1" t="s">
        <v>219</v>
      </c>
    </row>
    <row r="2" spans="1:31">
      <c r="A2" t="s">
        <v>2812</v>
      </c>
    </row>
    <row r="3" spans="1:31">
      <c r="A3" t="s">
        <v>2811</v>
      </c>
    </row>
    <row r="4" spans="1:31">
      <c r="A4" t="s">
        <v>143</v>
      </c>
    </row>
    <row r="5" spans="1:31">
      <c r="B5" t="s">
        <v>190</v>
      </c>
      <c r="C5" t="s">
        <v>191</v>
      </c>
      <c r="D5" t="s">
        <v>192</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2232</v>
      </c>
    </row>
    <row r="6" spans="1:31">
      <c r="A6" t="s">
        <v>1149</v>
      </c>
      <c r="B6" t="s">
        <v>2810</v>
      </c>
      <c r="C6" t="s">
        <v>2809</v>
      </c>
      <c r="D6" t="s">
        <v>220</v>
      </c>
      <c r="E6">
        <v>6.6966219999999996</v>
      </c>
      <c r="F6">
        <v>5.97234</v>
      </c>
      <c r="G6">
        <v>6.4384550000000003</v>
      </c>
      <c r="H6">
        <v>6.6037499999999998</v>
      </c>
      <c r="I6">
        <v>6.7445810000000002</v>
      </c>
      <c r="J6">
        <v>6.6122009999999998</v>
      </c>
      <c r="K6">
        <v>6.8329170000000001</v>
      </c>
      <c r="L6">
        <v>6.9486990000000004</v>
      </c>
      <c r="M6">
        <v>7.15428</v>
      </c>
      <c r="N6">
        <v>7.2157260000000001</v>
      </c>
      <c r="O6">
        <v>7.4005429999999999</v>
      </c>
      <c r="P6">
        <v>7.4515570000000002</v>
      </c>
      <c r="Q6">
        <v>7.5754359999999998</v>
      </c>
      <c r="R6">
        <v>7.6894429999999998</v>
      </c>
      <c r="S6">
        <v>7.7395480000000001</v>
      </c>
      <c r="T6">
        <v>7.8130579999999998</v>
      </c>
      <c r="U6">
        <v>7.9352749999999999</v>
      </c>
      <c r="V6">
        <v>8.0244330000000001</v>
      </c>
      <c r="W6">
        <v>8.1206669999999992</v>
      </c>
      <c r="X6">
        <v>8.2192139999999991</v>
      </c>
      <c r="Y6">
        <v>8.3637920000000001</v>
      </c>
      <c r="Z6">
        <v>8.4725040000000007</v>
      </c>
      <c r="AA6">
        <v>8.6099169999999994</v>
      </c>
      <c r="AB6">
        <v>8.7443899999999992</v>
      </c>
      <c r="AC6">
        <v>8.8733140000000006</v>
      </c>
      <c r="AD6">
        <v>8.9354669999999992</v>
      </c>
      <c r="AE6" s="9">
        <v>1.2E-2</v>
      </c>
    </row>
    <row r="7" spans="1:31">
      <c r="A7" t="s">
        <v>115</v>
      </c>
    </row>
    <row r="8" spans="1:31">
      <c r="A8" t="s">
        <v>200</v>
      </c>
      <c r="B8" t="s">
        <v>2808</v>
      </c>
      <c r="C8" t="s">
        <v>2807</v>
      </c>
      <c r="D8" t="s">
        <v>221</v>
      </c>
      <c r="E8">
        <v>0.85897999999999997</v>
      </c>
      <c r="F8">
        <v>0.85993299999999995</v>
      </c>
      <c r="G8">
        <v>0.86078399999999999</v>
      </c>
      <c r="H8">
        <v>0.86154600000000003</v>
      </c>
      <c r="I8">
        <v>0.86222799999999999</v>
      </c>
      <c r="J8">
        <v>0.862842</v>
      </c>
      <c r="K8">
        <v>0.86339399999999999</v>
      </c>
      <c r="L8">
        <v>0.86389400000000005</v>
      </c>
      <c r="M8">
        <v>0.86434800000000001</v>
      </c>
      <c r="N8">
        <v>0.86476200000000003</v>
      </c>
      <c r="O8">
        <v>0.86514000000000002</v>
      </c>
      <c r="P8">
        <v>0.86548800000000004</v>
      </c>
      <c r="Q8">
        <v>0.86580800000000002</v>
      </c>
      <c r="R8">
        <v>0.86610299999999996</v>
      </c>
      <c r="S8">
        <v>0.86637600000000003</v>
      </c>
      <c r="T8">
        <v>0.866672</v>
      </c>
      <c r="U8">
        <v>0.86696700000000004</v>
      </c>
      <c r="V8">
        <v>0.86726300000000001</v>
      </c>
      <c r="W8">
        <v>0.86755899999999997</v>
      </c>
      <c r="X8">
        <v>0.86785500000000004</v>
      </c>
      <c r="Y8">
        <v>0.86815100000000001</v>
      </c>
      <c r="Z8">
        <v>0.86844699999999997</v>
      </c>
      <c r="AA8">
        <v>0.86874300000000004</v>
      </c>
      <c r="AB8">
        <v>0.86903900000000001</v>
      </c>
      <c r="AC8">
        <v>0.869336</v>
      </c>
      <c r="AD8">
        <v>0.86963199999999996</v>
      </c>
      <c r="AE8" s="9">
        <v>0</v>
      </c>
    </row>
    <row r="9" spans="1:31">
      <c r="A9" t="s">
        <v>201</v>
      </c>
      <c r="B9" t="s">
        <v>2806</v>
      </c>
      <c r="C9" t="s">
        <v>2805</v>
      </c>
      <c r="D9" t="s">
        <v>221</v>
      </c>
      <c r="E9">
        <v>0.85931999999999997</v>
      </c>
      <c r="F9">
        <v>0.86017900000000003</v>
      </c>
      <c r="G9">
        <v>0.86104000000000003</v>
      </c>
      <c r="H9">
        <v>0.86190100000000003</v>
      </c>
      <c r="I9">
        <v>0.86276200000000003</v>
      </c>
      <c r="J9">
        <v>0.86362499999999998</v>
      </c>
      <c r="K9">
        <v>0.86448899999999995</v>
      </c>
      <c r="L9">
        <v>0.86535300000000004</v>
      </c>
      <c r="M9">
        <v>0.86621899999999996</v>
      </c>
      <c r="N9">
        <v>0.86708499999999999</v>
      </c>
      <c r="O9">
        <v>0.86795199999999995</v>
      </c>
      <c r="P9">
        <v>0.86882000000000004</v>
      </c>
      <c r="Q9">
        <v>0.86968900000000005</v>
      </c>
      <c r="R9">
        <v>0.87055800000000005</v>
      </c>
      <c r="S9">
        <v>0.87142900000000001</v>
      </c>
      <c r="T9">
        <v>0.87229999999999996</v>
      </c>
      <c r="U9">
        <v>0.87317299999999998</v>
      </c>
      <c r="V9">
        <v>0.87404599999999999</v>
      </c>
      <c r="W9">
        <v>0.87492000000000003</v>
      </c>
      <c r="X9">
        <v>0.87579499999999999</v>
      </c>
      <c r="Y9">
        <v>0.87667099999999998</v>
      </c>
      <c r="Z9">
        <v>0.87754699999999997</v>
      </c>
      <c r="AA9">
        <v>0.87842500000000001</v>
      </c>
      <c r="AB9">
        <v>0.87930299999999995</v>
      </c>
      <c r="AC9">
        <v>0.88018300000000005</v>
      </c>
      <c r="AD9">
        <v>0.88106300000000004</v>
      </c>
      <c r="AE9" s="9">
        <v>1E-3</v>
      </c>
    </row>
    <row r="10" spans="1:31">
      <c r="A10" t="s">
        <v>114</v>
      </c>
    </row>
    <row r="11" spans="1:31">
      <c r="A11" t="s">
        <v>202</v>
      </c>
    </row>
    <row r="12" spans="1:31">
      <c r="A12" t="s">
        <v>203</v>
      </c>
      <c r="B12" t="s">
        <v>2804</v>
      </c>
      <c r="C12" t="s">
        <v>2803</v>
      </c>
      <c r="D12" t="s">
        <v>222</v>
      </c>
      <c r="E12">
        <v>341.753174</v>
      </c>
      <c r="F12">
        <v>343.011414</v>
      </c>
      <c r="G12">
        <v>344.24215700000002</v>
      </c>
      <c r="H12">
        <v>345.60836799999998</v>
      </c>
      <c r="I12">
        <v>347.091949</v>
      </c>
      <c r="J12">
        <v>348.5</v>
      </c>
      <c r="K12">
        <v>349.84817500000003</v>
      </c>
      <c r="L12">
        <v>351.130157</v>
      </c>
      <c r="M12">
        <v>352.35476699999998</v>
      </c>
      <c r="N12">
        <v>353.526184</v>
      </c>
      <c r="O12">
        <v>354.64001500000001</v>
      </c>
      <c r="P12">
        <v>355.69448899999998</v>
      </c>
      <c r="Q12">
        <v>356.68884300000002</v>
      </c>
      <c r="R12">
        <v>357.62469499999997</v>
      </c>
      <c r="S12">
        <v>358.50103799999999</v>
      </c>
      <c r="T12">
        <v>359.31768799999998</v>
      </c>
      <c r="U12">
        <v>360.06976300000002</v>
      </c>
      <c r="V12">
        <v>360.76501500000001</v>
      </c>
      <c r="W12">
        <v>361.40600599999999</v>
      </c>
      <c r="X12">
        <v>361.99826000000002</v>
      </c>
      <c r="Y12">
        <v>362.542145</v>
      </c>
      <c r="Z12">
        <v>363.04501299999998</v>
      </c>
      <c r="AA12">
        <v>363.51031499999999</v>
      </c>
      <c r="AB12">
        <v>363.94164999999998</v>
      </c>
      <c r="AC12">
        <v>364.34548999999998</v>
      </c>
      <c r="AD12">
        <v>364.72808800000001</v>
      </c>
      <c r="AE12" s="9">
        <v>3.0000000000000001E-3</v>
      </c>
    </row>
    <row r="13" spans="1:31">
      <c r="A13" t="s">
        <v>204</v>
      </c>
      <c r="B13" t="s">
        <v>2802</v>
      </c>
      <c r="C13" t="s">
        <v>2801</v>
      </c>
      <c r="D13" t="s">
        <v>222</v>
      </c>
      <c r="E13">
        <v>41.536887999999998</v>
      </c>
      <c r="F13">
        <v>41.874549999999999</v>
      </c>
      <c r="G13">
        <v>42.188862</v>
      </c>
      <c r="H13">
        <v>42.649399000000003</v>
      </c>
      <c r="I13">
        <v>43.106659000000001</v>
      </c>
      <c r="J13">
        <v>43.563068000000001</v>
      </c>
      <c r="K13">
        <v>44.018310999999997</v>
      </c>
      <c r="L13">
        <v>44.470509</v>
      </c>
      <c r="M13">
        <v>44.918892</v>
      </c>
      <c r="N13">
        <v>45.363788999999997</v>
      </c>
      <c r="O13">
        <v>45.805728999999999</v>
      </c>
      <c r="P13">
        <v>46.244751000000001</v>
      </c>
      <c r="Q13">
        <v>46.679371000000003</v>
      </c>
      <c r="R13">
        <v>47.1096</v>
      </c>
      <c r="S13">
        <v>47.535721000000002</v>
      </c>
      <c r="T13">
        <v>47.958038000000002</v>
      </c>
      <c r="U13">
        <v>48.377231999999999</v>
      </c>
      <c r="V13">
        <v>48.793658999999998</v>
      </c>
      <c r="W13">
        <v>49.207779000000002</v>
      </c>
      <c r="X13">
        <v>49.619548999999999</v>
      </c>
      <c r="Y13">
        <v>50.028412000000003</v>
      </c>
      <c r="Z13">
        <v>50.434638999999997</v>
      </c>
      <c r="AA13">
        <v>50.839610999999998</v>
      </c>
      <c r="AB13">
        <v>51.243679</v>
      </c>
      <c r="AC13">
        <v>51.646777999999998</v>
      </c>
      <c r="AD13">
        <v>52.048400999999998</v>
      </c>
      <c r="AE13" s="9">
        <v>8.9999999999999993E-3</v>
      </c>
    </row>
    <row r="14" spans="1:31">
      <c r="A14" t="s">
        <v>713</v>
      </c>
      <c r="B14" t="s">
        <v>2800</v>
      </c>
      <c r="C14" t="s">
        <v>2799</v>
      </c>
      <c r="D14" t="s">
        <v>222</v>
      </c>
      <c r="E14">
        <v>131.946899</v>
      </c>
      <c r="F14">
        <v>132.99769599999999</v>
      </c>
      <c r="G14">
        <v>134.01769999999999</v>
      </c>
      <c r="H14">
        <v>135.00869800000001</v>
      </c>
      <c r="I14">
        <v>135.970901</v>
      </c>
      <c r="J14">
        <v>136.90479999999999</v>
      </c>
      <c r="K14">
        <v>137.81109599999999</v>
      </c>
      <c r="L14">
        <v>138.690201</v>
      </c>
      <c r="M14">
        <v>139.54209900000001</v>
      </c>
      <c r="N14">
        <v>140.36199999999999</v>
      </c>
      <c r="O14">
        <v>141.150803</v>
      </c>
      <c r="P14">
        <v>141.90919500000001</v>
      </c>
      <c r="Q14">
        <v>142.637497</v>
      </c>
      <c r="R14">
        <v>143.33630400000001</v>
      </c>
      <c r="S14">
        <v>143.99830600000001</v>
      </c>
      <c r="T14">
        <v>144.62429800000001</v>
      </c>
      <c r="U14">
        <v>145.217804</v>
      </c>
      <c r="V14">
        <v>145.77749600000001</v>
      </c>
      <c r="W14">
        <v>146.300003</v>
      </c>
      <c r="X14">
        <v>146.78770399999999</v>
      </c>
      <c r="Y14">
        <v>147.24009699999999</v>
      </c>
      <c r="Z14">
        <v>147.65420499999999</v>
      </c>
      <c r="AA14">
        <v>148.03019699999999</v>
      </c>
      <c r="AB14">
        <v>148.37219200000001</v>
      </c>
      <c r="AC14">
        <v>148.67790199999999</v>
      </c>
      <c r="AD14">
        <v>148.946304</v>
      </c>
      <c r="AE14" s="9">
        <v>5.0000000000000001E-3</v>
      </c>
    </row>
    <row r="15" spans="1:31">
      <c r="A15" t="s">
        <v>710</v>
      </c>
      <c r="B15" t="s">
        <v>2798</v>
      </c>
      <c r="C15" t="s">
        <v>2797</v>
      </c>
      <c r="D15" t="s">
        <v>222</v>
      </c>
      <c r="E15">
        <v>638.94360400000005</v>
      </c>
      <c r="F15">
        <v>639.36071800000002</v>
      </c>
      <c r="G15">
        <v>639.66699200000005</v>
      </c>
      <c r="H15">
        <v>639.91583300000002</v>
      </c>
      <c r="I15">
        <v>640.17175299999997</v>
      </c>
      <c r="J15">
        <v>640.43731700000001</v>
      </c>
      <c r="K15">
        <v>640.70172100000002</v>
      </c>
      <c r="L15">
        <v>640.95202600000005</v>
      </c>
      <c r="M15">
        <v>641.18212900000003</v>
      </c>
      <c r="N15">
        <v>641.40844700000002</v>
      </c>
      <c r="O15">
        <v>641.61480700000004</v>
      </c>
      <c r="P15">
        <v>641.79180899999994</v>
      </c>
      <c r="Q15">
        <v>641.93884300000002</v>
      </c>
      <c r="R15">
        <v>642.04028300000004</v>
      </c>
      <c r="S15">
        <v>642.09295699999996</v>
      </c>
      <c r="T15">
        <v>642.09368900000004</v>
      </c>
      <c r="U15">
        <v>642.03826900000001</v>
      </c>
      <c r="V15">
        <v>641.92571999999996</v>
      </c>
      <c r="W15">
        <v>641.74835199999995</v>
      </c>
      <c r="X15">
        <v>641.50354000000004</v>
      </c>
      <c r="Y15">
        <v>641.18670699999996</v>
      </c>
      <c r="Z15">
        <v>640.79913299999998</v>
      </c>
      <c r="AA15">
        <v>640.33795199999997</v>
      </c>
      <c r="AB15">
        <v>639.78851299999997</v>
      </c>
      <c r="AC15">
        <v>639.14599599999997</v>
      </c>
      <c r="AD15">
        <v>638.40759300000002</v>
      </c>
      <c r="AE15" s="9">
        <v>0</v>
      </c>
    </row>
    <row r="16" spans="1:31">
      <c r="A16" t="s">
        <v>336</v>
      </c>
      <c r="B16" t="s">
        <v>2796</v>
      </c>
      <c r="C16" t="s">
        <v>2795</v>
      </c>
      <c r="D16" t="s">
        <v>222</v>
      </c>
      <c r="E16">
        <v>123.1035</v>
      </c>
      <c r="F16">
        <v>122.427803</v>
      </c>
      <c r="G16">
        <v>121.732399</v>
      </c>
      <c r="H16">
        <v>121.0243</v>
      </c>
      <c r="I16">
        <v>120.308098</v>
      </c>
      <c r="J16">
        <v>119.584198</v>
      </c>
      <c r="K16">
        <v>118.852097</v>
      </c>
      <c r="L16">
        <v>118.114098</v>
      </c>
      <c r="M16">
        <v>117.37249799999999</v>
      </c>
      <c r="N16">
        <v>116.626801</v>
      </c>
      <c r="O16">
        <v>115.876099</v>
      </c>
      <c r="P16">
        <v>115.12550400000001</v>
      </c>
      <c r="Q16">
        <v>114.377403</v>
      </c>
      <c r="R16">
        <v>113.63359800000001</v>
      </c>
      <c r="S16">
        <v>112.89450100000001</v>
      </c>
      <c r="T16">
        <v>112.15830200000001</v>
      </c>
      <c r="U16">
        <v>111.422501</v>
      </c>
      <c r="V16">
        <v>110.69229900000001</v>
      </c>
      <c r="W16">
        <v>109.972397</v>
      </c>
      <c r="X16">
        <v>109.25949900000001</v>
      </c>
      <c r="Y16">
        <v>108.552002</v>
      </c>
      <c r="Z16">
        <v>107.850601</v>
      </c>
      <c r="AA16">
        <v>107.15799699999999</v>
      </c>
      <c r="AB16">
        <v>106.47429700000001</v>
      </c>
      <c r="AC16">
        <v>105.796898</v>
      </c>
      <c r="AD16">
        <v>105.12309999999999</v>
      </c>
      <c r="AE16" s="9">
        <v>-6.0000000000000001E-3</v>
      </c>
    </row>
    <row r="17" spans="1:31">
      <c r="A17" t="s">
        <v>337</v>
      </c>
      <c r="B17" t="s">
        <v>2794</v>
      </c>
      <c r="C17" t="s">
        <v>2793</v>
      </c>
      <c r="D17" t="s">
        <v>222</v>
      </c>
      <c r="E17">
        <v>32.958987999999998</v>
      </c>
      <c r="F17">
        <v>33.324001000000003</v>
      </c>
      <c r="G17">
        <v>33.701228999999998</v>
      </c>
      <c r="H17">
        <v>34.101439999999997</v>
      </c>
      <c r="I17">
        <v>34.498111999999999</v>
      </c>
      <c r="J17">
        <v>34.888981000000001</v>
      </c>
      <c r="K17">
        <v>35.273868999999998</v>
      </c>
      <c r="L17">
        <v>35.652161</v>
      </c>
      <c r="M17">
        <v>36.023972000000001</v>
      </c>
      <c r="N17">
        <v>36.389420000000001</v>
      </c>
      <c r="O17">
        <v>36.748821</v>
      </c>
      <c r="P17">
        <v>37.102631000000002</v>
      </c>
      <c r="Q17">
        <v>37.450699</v>
      </c>
      <c r="R17">
        <v>37.793529999999997</v>
      </c>
      <c r="S17">
        <v>38.131568999999999</v>
      </c>
      <c r="T17">
        <v>38.464809000000002</v>
      </c>
      <c r="U17">
        <v>38.793441999999999</v>
      </c>
      <c r="V17">
        <v>39.117519000000001</v>
      </c>
      <c r="W17">
        <v>39.437038000000001</v>
      </c>
      <c r="X17">
        <v>39.751868999999999</v>
      </c>
      <c r="Y17">
        <v>40.061821000000002</v>
      </c>
      <c r="Z17">
        <v>40.366779000000001</v>
      </c>
      <c r="AA17">
        <v>40.666438999999997</v>
      </c>
      <c r="AB17">
        <v>40.960799999999999</v>
      </c>
      <c r="AC17">
        <v>41.249820999999997</v>
      </c>
      <c r="AD17">
        <v>41.533428000000001</v>
      </c>
      <c r="AE17" s="9">
        <v>8.9999999999999993E-3</v>
      </c>
    </row>
    <row r="18" spans="1:31">
      <c r="A18" t="s">
        <v>338</v>
      </c>
      <c r="B18" t="s">
        <v>2792</v>
      </c>
      <c r="C18" t="s">
        <v>2791</v>
      </c>
      <c r="D18" t="s">
        <v>222</v>
      </c>
      <c r="E18">
        <v>51.667029999999997</v>
      </c>
      <c r="F18">
        <v>51.600391000000002</v>
      </c>
      <c r="G18">
        <v>51.518847999999998</v>
      </c>
      <c r="H18">
        <v>51.423431000000001</v>
      </c>
      <c r="I18">
        <v>51.314017999999997</v>
      </c>
      <c r="J18">
        <v>51.188580000000002</v>
      </c>
      <c r="K18">
        <v>51.048180000000002</v>
      </c>
      <c r="L18">
        <v>50.891289</v>
      </c>
      <c r="M18">
        <v>50.714297999999999</v>
      </c>
      <c r="N18">
        <v>50.516810999999997</v>
      </c>
      <c r="O18">
        <v>50.300732000000004</v>
      </c>
      <c r="P18">
        <v>50.066540000000003</v>
      </c>
      <c r="Q18">
        <v>49.813431000000001</v>
      </c>
      <c r="R18">
        <v>49.541161000000002</v>
      </c>
      <c r="S18">
        <v>49.251888000000001</v>
      </c>
      <c r="T18">
        <v>48.948681000000001</v>
      </c>
      <c r="U18">
        <v>48.630428000000002</v>
      </c>
      <c r="V18">
        <v>48.29974</v>
      </c>
      <c r="W18">
        <v>47.959041999999997</v>
      </c>
      <c r="X18">
        <v>47.603371000000003</v>
      </c>
      <c r="Y18">
        <v>47.232948</v>
      </c>
      <c r="Z18">
        <v>46.850898999999998</v>
      </c>
      <c r="AA18">
        <v>46.452061</v>
      </c>
      <c r="AB18">
        <v>46.033797999999997</v>
      </c>
      <c r="AC18">
        <v>45.597301000000002</v>
      </c>
      <c r="AD18">
        <v>45.143130999999997</v>
      </c>
      <c r="AE18" s="9">
        <v>-5.0000000000000001E-3</v>
      </c>
    </row>
    <row r="19" spans="1:31">
      <c r="A19" t="s">
        <v>339</v>
      </c>
      <c r="B19" t="s">
        <v>2790</v>
      </c>
      <c r="C19" t="s">
        <v>2789</v>
      </c>
      <c r="D19" t="s">
        <v>222</v>
      </c>
      <c r="E19">
        <v>143.99740600000001</v>
      </c>
      <c r="F19">
        <v>143.39439400000001</v>
      </c>
      <c r="G19">
        <v>143.04409799999999</v>
      </c>
      <c r="H19">
        <v>142.66980000000001</v>
      </c>
      <c r="I19">
        <v>142.28509500000001</v>
      </c>
      <c r="J19">
        <v>141.88940400000001</v>
      </c>
      <c r="K19">
        <v>141.475494</v>
      </c>
      <c r="L19">
        <v>141.060394</v>
      </c>
      <c r="M19">
        <v>140.66459699999999</v>
      </c>
      <c r="N19">
        <v>140.28080700000001</v>
      </c>
      <c r="O19">
        <v>139.90969799999999</v>
      </c>
      <c r="P19">
        <v>139.55149800000001</v>
      </c>
      <c r="Q19">
        <v>139.20489499999999</v>
      </c>
      <c r="R19">
        <v>138.876801</v>
      </c>
      <c r="S19">
        <v>138.567398</v>
      </c>
      <c r="T19">
        <v>138.28179900000001</v>
      </c>
      <c r="U19">
        <v>138.021805</v>
      </c>
      <c r="V19">
        <v>137.78280599999999</v>
      </c>
      <c r="W19">
        <v>137.557907</v>
      </c>
      <c r="X19">
        <v>137.345001</v>
      </c>
      <c r="Y19">
        <v>137.15220600000001</v>
      </c>
      <c r="Z19">
        <v>136.97369399999999</v>
      </c>
      <c r="AA19">
        <v>136.78939800000001</v>
      </c>
      <c r="AB19">
        <v>136.58599899999999</v>
      </c>
      <c r="AC19">
        <v>136.368393</v>
      </c>
      <c r="AD19">
        <v>136.13279700000001</v>
      </c>
      <c r="AE19" s="9">
        <v>-2E-3</v>
      </c>
    </row>
    <row r="20" spans="1:31">
      <c r="A20" t="s">
        <v>699</v>
      </c>
      <c r="B20" t="s">
        <v>2788</v>
      </c>
      <c r="C20" t="s">
        <v>2787</v>
      </c>
      <c r="D20" t="s">
        <v>222</v>
      </c>
      <c r="E20">
        <v>151.90119899999999</v>
      </c>
      <c r="F20">
        <v>153.64238</v>
      </c>
      <c r="G20">
        <v>154.55900600000001</v>
      </c>
      <c r="H20">
        <v>155.43940699999999</v>
      </c>
      <c r="I20">
        <v>156.31045499999999</v>
      </c>
      <c r="J20">
        <v>157.196426</v>
      </c>
      <c r="K20">
        <v>158.051254</v>
      </c>
      <c r="L20">
        <v>158.90606700000001</v>
      </c>
      <c r="M20">
        <v>159.74928299999999</v>
      </c>
      <c r="N20">
        <v>160.57231100000001</v>
      </c>
      <c r="O20">
        <v>161.38737499999999</v>
      </c>
      <c r="P20">
        <v>162.21719400000001</v>
      </c>
      <c r="Q20">
        <v>163.06295800000001</v>
      </c>
      <c r="R20">
        <v>163.904617</v>
      </c>
      <c r="S20">
        <v>164.750259</v>
      </c>
      <c r="T20">
        <v>165.596237</v>
      </c>
      <c r="U20">
        <v>166.43772899999999</v>
      </c>
      <c r="V20">
        <v>167.28590399999999</v>
      </c>
      <c r="W20">
        <v>168.131821</v>
      </c>
      <c r="X20">
        <v>168.966736</v>
      </c>
      <c r="Y20">
        <v>169.784775</v>
      </c>
      <c r="Z20">
        <v>170.56317100000001</v>
      </c>
      <c r="AA20">
        <v>171.308044</v>
      </c>
      <c r="AB20">
        <v>172.02151499999999</v>
      </c>
      <c r="AC20">
        <v>172.71736100000001</v>
      </c>
      <c r="AD20">
        <v>173.40846300000001</v>
      </c>
      <c r="AE20" s="9">
        <v>5.0000000000000001E-3</v>
      </c>
    </row>
    <row r="21" spans="1:31">
      <c r="A21" t="s">
        <v>206</v>
      </c>
      <c r="B21" t="s">
        <v>2786</v>
      </c>
      <c r="C21" t="s">
        <v>2785</v>
      </c>
      <c r="D21" t="s">
        <v>222</v>
      </c>
      <c r="E21">
        <v>1416.095947</v>
      </c>
      <c r="F21">
        <v>1412.9139399999999</v>
      </c>
      <c r="G21">
        <v>1409.6789550000001</v>
      </c>
      <c r="H21">
        <v>1406.1369629999999</v>
      </c>
      <c r="I21">
        <v>1402.2829589999999</v>
      </c>
      <c r="J21">
        <v>1398.154053</v>
      </c>
      <c r="K21">
        <v>1393.7490230000001</v>
      </c>
      <c r="L21">
        <v>1389.0600589999999</v>
      </c>
      <c r="M21">
        <v>1384.0970460000001</v>
      </c>
      <c r="N21">
        <v>1378.876953</v>
      </c>
      <c r="O21">
        <v>1373.4279790000001</v>
      </c>
      <c r="P21">
        <v>1367.7430420000001</v>
      </c>
      <c r="Q21">
        <v>1361.829956</v>
      </c>
      <c r="R21">
        <v>1355.7230219999999</v>
      </c>
      <c r="S21">
        <v>1349.3950199999999</v>
      </c>
      <c r="T21">
        <v>1342.8170170000001</v>
      </c>
      <c r="U21">
        <v>1335.98999</v>
      </c>
      <c r="V21">
        <v>1328.909058</v>
      </c>
      <c r="W21">
        <v>1321.590942</v>
      </c>
      <c r="X21">
        <v>1314.015991</v>
      </c>
      <c r="Y21">
        <v>1306.114014</v>
      </c>
      <c r="Z21">
        <v>1297.8179929999999</v>
      </c>
      <c r="AA21">
        <v>1289.119995</v>
      </c>
      <c r="AB21">
        <v>1279.9930420000001</v>
      </c>
      <c r="AC21">
        <v>1270.380981</v>
      </c>
      <c r="AD21">
        <v>1260.2889399999999</v>
      </c>
      <c r="AE21" s="9">
        <v>-5.0000000000000001E-3</v>
      </c>
    </row>
    <row r="22" spans="1:31">
      <c r="A22" t="s">
        <v>340</v>
      </c>
      <c r="B22" t="s">
        <v>2784</v>
      </c>
      <c r="C22" t="s">
        <v>2783</v>
      </c>
      <c r="D22" t="s">
        <v>222</v>
      </c>
      <c r="E22">
        <v>1463.865967</v>
      </c>
      <c r="F22">
        <v>1476.6259769999999</v>
      </c>
      <c r="G22">
        <v>1489.165039</v>
      </c>
      <c r="H22">
        <v>1501.4329829999999</v>
      </c>
      <c r="I22">
        <v>1513.4239500000001</v>
      </c>
      <c r="J22">
        <v>1525.139038</v>
      </c>
      <c r="K22">
        <v>1536.5410159999999</v>
      </c>
      <c r="L22">
        <v>1547.6070560000001</v>
      </c>
      <c r="M22">
        <v>1558.323975</v>
      </c>
      <c r="N22">
        <v>1568.6879879999999</v>
      </c>
      <c r="O22">
        <v>1578.6949460000001</v>
      </c>
      <c r="P22">
        <v>1588.3249510000001</v>
      </c>
      <c r="Q22">
        <v>1597.536987</v>
      </c>
      <c r="R22">
        <v>1606.301025</v>
      </c>
      <c r="S22">
        <v>1614.639038</v>
      </c>
      <c r="T22">
        <v>1622.579956</v>
      </c>
      <c r="U22">
        <v>1630.119019</v>
      </c>
      <c r="V22">
        <v>1637.2349850000001</v>
      </c>
      <c r="W22">
        <v>1643.915039</v>
      </c>
      <c r="X22">
        <v>1650.1870120000001</v>
      </c>
      <c r="Y22">
        <v>1656.0679929999999</v>
      </c>
      <c r="Z22">
        <v>1661.5479740000001</v>
      </c>
      <c r="AA22">
        <v>1666.628052</v>
      </c>
      <c r="AB22">
        <v>1671.3100589999999</v>
      </c>
      <c r="AC22">
        <v>1675.619995</v>
      </c>
      <c r="AD22">
        <v>1679.5889890000001</v>
      </c>
      <c r="AE22" s="9">
        <v>6.0000000000000001E-3</v>
      </c>
    </row>
    <row r="23" spans="1:31">
      <c r="A23" t="s">
        <v>692</v>
      </c>
      <c r="B23" t="s">
        <v>2782</v>
      </c>
      <c r="C23" t="s">
        <v>2781</v>
      </c>
      <c r="D23" t="s">
        <v>222</v>
      </c>
      <c r="E23">
        <v>1304.057495</v>
      </c>
      <c r="F23">
        <v>1316.5952150000001</v>
      </c>
      <c r="G23">
        <v>1329.1712649999999</v>
      </c>
      <c r="H23">
        <v>1341.830688</v>
      </c>
      <c r="I23">
        <v>1354.47876</v>
      </c>
      <c r="J23">
        <v>1367.0858149999999</v>
      </c>
      <c r="K23">
        <v>1379.6104740000001</v>
      </c>
      <c r="L23">
        <v>1391.974487</v>
      </c>
      <c r="M23">
        <v>1404.189087</v>
      </c>
      <c r="N23">
        <v>1416.1998289999999</v>
      </c>
      <c r="O23">
        <v>1427.9586179999999</v>
      </c>
      <c r="P23">
        <v>1439.5329589999999</v>
      </c>
      <c r="Q23">
        <v>1450.9320070000001</v>
      </c>
      <c r="R23">
        <v>1462.1069339999999</v>
      </c>
      <c r="S23">
        <v>1473.0660399999999</v>
      </c>
      <c r="T23">
        <v>1483.7818600000001</v>
      </c>
      <c r="U23">
        <v>1494.213379</v>
      </c>
      <c r="V23">
        <v>1504.338135</v>
      </c>
      <c r="W23">
        <v>1514.190552</v>
      </c>
      <c r="X23">
        <v>1523.778198</v>
      </c>
      <c r="Y23">
        <v>1533.075562</v>
      </c>
      <c r="Z23">
        <v>1542.126953</v>
      </c>
      <c r="AA23">
        <v>1550.833374</v>
      </c>
      <c r="AB23">
        <v>1559.1789550000001</v>
      </c>
      <c r="AC23">
        <v>1567.2680660000001</v>
      </c>
      <c r="AD23">
        <v>1575.033203</v>
      </c>
      <c r="AE23" s="9">
        <v>8.0000000000000002E-3</v>
      </c>
    </row>
    <row r="24" spans="1:31">
      <c r="A24" t="s">
        <v>341</v>
      </c>
      <c r="B24" t="s">
        <v>2780</v>
      </c>
      <c r="C24" t="s">
        <v>2779</v>
      </c>
      <c r="D24" t="s">
        <v>222</v>
      </c>
      <c r="E24">
        <v>300.688446</v>
      </c>
      <c r="F24">
        <v>305.99115</v>
      </c>
      <c r="G24">
        <v>311.19366500000001</v>
      </c>
      <c r="H24">
        <v>316.17593399999998</v>
      </c>
      <c r="I24">
        <v>321.01004</v>
      </c>
      <c r="J24">
        <v>325.70974699999999</v>
      </c>
      <c r="K24">
        <v>330.31262199999998</v>
      </c>
      <c r="L24">
        <v>334.88299599999999</v>
      </c>
      <c r="M24">
        <v>339.41720600000002</v>
      </c>
      <c r="N24">
        <v>343.917236</v>
      </c>
      <c r="O24">
        <v>348.38241599999998</v>
      </c>
      <c r="P24">
        <v>352.82318099999998</v>
      </c>
      <c r="Q24">
        <v>357.24234000000001</v>
      </c>
      <c r="R24">
        <v>361.63189699999998</v>
      </c>
      <c r="S24">
        <v>366.00564600000001</v>
      </c>
      <c r="T24">
        <v>370.367615</v>
      </c>
      <c r="U24">
        <v>374.68313599999999</v>
      </c>
      <c r="V24">
        <v>378.94271900000001</v>
      </c>
      <c r="W24">
        <v>383.14639299999999</v>
      </c>
      <c r="X24">
        <v>387.300995</v>
      </c>
      <c r="Y24">
        <v>391.42379799999998</v>
      </c>
      <c r="Z24">
        <v>395.485229</v>
      </c>
      <c r="AA24">
        <v>399.48791499999999</v>
      </c>
      <c r="AB24">
        <v>403.45910600000002</v>
      </c>
      <c r="AC24">
        <v>407.399292</v>
      </c>
      <c r="AD24">
        <v>411.28701799999999</v>
      </c>
      <c r="AE24" s="9">
        <v>1.2999999999999999E-2</v>
      </c>
    </row>
    <row r="25" spans="1:31">
      <c r="A25" t="s">
        <v>205</v>
      </c>
      <c r="B25" t="s">
        <v>2778</v>
      </c>
      <c r="C25" t="s">
        <v>2777</v>
      </c>
      <c r="D25" t="s">
        <v>222</v>
      </c>
      <c r="E25">
        <v>1548.7773440000001</v>
      </c>
      <c r="F25">
        <v>1583.8764650000001</v>
      </c>
      <c r="G25">
        <v>1619.131836</v>
      </c>
      <c r="H25">
        <v>1654.525513</v>
      </c>
      <c r="I25">
        <v>1690.149658</v>
      </c>
      <c r="J25">
        <v>1726.0095209999999</v>
      </c>
      <c r="K25">
        <v>1762.118408</v>
      </c>
      <c r="L25">
        <v>1798.439453</v>
      </c>
      <c r="M25">
        <v>1834.9061280000001</v>
      </c>
      <c r="N25">
        <v>1871.5656739999999</v>
      </c>
      <c r="O25">
        <v>1908.4392089999999</v>
      </c>
      <c r="P25">
        <v>1945.450073</v>
      </c>
      <c r="Q25">
        <v>1982.5341800000001</v>
      </c>
      <c r="R25">
        <v>2019.6979980000001</v>
      </c>
      <c r="S25">
        <v>2056.9470209999999</v>
      </c>
      <c r="T25">
        <v>2094.264404</v>
      </c>
      <c r="U25">
        <v>2131.6120609999998</v>
      </c>
      <c r="V25">
        <v>2168.9555660000001</v>
      </c>
      <c r="W25">
        <v>2206.2993160000001</v>
      </c>
      <c r="X25">
        <v>2243.6000979999999</v>
      </c>
      <c r="Y25">
        <v>2280.7885740000002</v>
      </c>
      <c r="Z25">
        <v>2317.8676759999998</v>
      </c>
      <c r="AA25">
        <v>2354.8833009999998</v>
      </c>
      <c r="AB25">
        <v>2391.8115229999999</v>
      </c>
      <c r="AC25">
        <v>2428.5688479999999</v>
      </c>
      <c r="AD25">
        <v>2465.1376949999999</v>
      </c>
      <c r="AE25" s="9">
        <v>1.9E-2</v>
      </c>
    </row>
    <row r="26" spans="1:31">
      <c r="A26" t="s">
        <v>342</v>
      </c>
      <c r="B26" t="s">
        <v>2776</v>
      </c>
      <c r="C26" t="s">
        <v>2775</v>
      </c>
      <c r="D26" t="s">
        <v>222</v>
      </c>
      <c r="E26">
        <v>212.81239299999999</v>
      </c>
      <c r="F26">
        <v>213.56269800000001</v>
      </c>
      <c r="G26">
        <v>214.26100199999999</v>
      </c>
      <c r="H26">
        <v>214.911407</v>
      </c>
      <c r="I26">
        <v>215.515198</v>
      </c>
      <c r="J26">
        <v>216.07440199999999</v>
      </c>
      <c r="K26">
        <v>216.58729600000001</v>
      </c>
      <c r="L26">
        <v>217.05540500000001</v>
      </c>
      <c r="M26">
        <v>217.479401</v>
      </c>
      <c r="N26">
        <v>217.86090100000001</v>
      </c>
      <c r="O26">
        <v>218.19970699999999</v>
      </c>
      <c r="P26">
        <v>218.495193</v>
      </c>
      <c r="Q26">
        <v>218.74719200000001</v>
      </c>
      <c r="R26">
        <v>218.95559700000001</v>
      </c>
      <c r="S26">
        <v>219.118301</v>
      </c>
      <c r="T26">
        <v>219.23710600000001</v>
      </c>
      <c r="U26">
        <v>219.30720500000001</v>
      </c>
      <c r="V26">
        <v>219.31970200000001</v>
      </c>
      <c r="W26">
        <v>219.27650499999999</v>
      </c>
      <c r="X26">
        <v>219.179001</v>
      </c>
      <c r="Y26">
        <v>219.02619899999999</v>
      </c>
      <c r="Z26">
        <v>218.82110599999999</v>
      </c>
      <c r="AA26">
        <v>218.56539900000001</v>
      </c>
      <c r="AB26">
        <v>218.258194</v>
      </c>
      <c r="AC26">
        <v>217.897797</v>
      </c>
      <c r="AD26">
        <v>217.489304</v>
      </c>
      <c r="AE26" s="9">
        <v>1E-3</v>
      </c>
    </row>
    <row r="27" spans="1:31">
      <c r="A27" t="s">
        <v>683</v>
      </c>
      <c r="B27" t="s">
        <v>2774</v>
      </c>
      <c r="C27" t="s">
        <v>2773</v>
      </c>
      <c r="D27" t="s">
        <v>222</v>
      </c>
      <c r="E27">
        <v>323.07989500000002</v>
      </c>
      <c r="F27">
        <v>325.552795</v>
      </c>
      <c r="G27">
        <v>327.968414</v>
      </c>
      <c r="H27">
        <v>330.324005</v>
      </c>
      <c r="I27">
        <v>332.61663800000002</v>
      </c>
      <c r="J27">
        <v>334.85278299999999</v>
      </c>
      <c r="K27">
        <v>337.03164700000002</v>
      </c>
      <c r="L27">
        <v>339.14974999999998</v>
      </c>
      <c r="M27">
        <v>341.20330799999999</v>
      </c>
      <c r="N27">
        <v>343.19653299999999</v>
      </c>
      <c r="O27">
        <v>345.12197900000001</v>
      </c>
      <c r="P27">
        <v>346.96935999999999</v>
      </c>
      <c r="Q27">
        <v>348.73593099999999</v>
      </c>
      <c r="R27">
        <v>350.42746</v>
      </c>
      <c r="S27">
        <v>352.04385400000001</v>
      </c>
      <c r="T27">
        <v>353.57598899999999</v>
      </c>
      <c r="U27">
        <v>355.021545</v>
      </c>
      <c r="V27">
        <v>356.38485700000001</v>
      </c>
      <c r="W27">
        <v>357.66561899999999</v>
      </c>
      <c r="X27">
        <v>358.86309799999998</v>
      </c>
      <c r="Y27">
        <v>359.98111</v>
      </c>
      <c r="Z27">
        <v>361.01959199999999</v>
      </c>
      <c r="AA27">
        <v>361.98382600000002</v>
      </c>
      <c r="AB27">
        <v>362.87286399999999</v>
      </c>
      <c r="AC27">
        <v>363.681061</v>
      </c>
      <c r="AD27">
        <v>364.41592400000002</v>
      </c>
      <c r="AE27" s="9">
        <v>5.0000000000000001E-3</v>
      </c>
    </row>
    <row r="28" spans="1:31">
      <c r="A28" t="s">
        <v>113</v>
      </c>
    </row>
    <row r="29" spans="1:31">
      <c r="A29" t="s">
        <v>207</v>
      </c>
    </row>
    <row r="30" spans="1:31">
      <c r="A30" t="s">
        <v>198</v>
      </c>
    </row>
    <row r="31" spans="1:31">
      <c r="A31" t="s">
        <v>203</v>
      </c>
      <c r="B31" t="s">
        <v>2772</v>
      </c>
      <c r="C31" t="s">
        <v>2771</v>
      </c>
      <c r="D31" t="s">
        <v>194</v>
      </c>
      <c r="E31">
        <v>782.47241199999996</v>
      </c>
      <c r="F31">
        <v>808.46734600000002</v>
      </c>
      <c r="G31">
        <v>823.844604</v>
      </c>
      <c r="H31">
        <v>830.064392</v>
      </c>
      <c r="I31">
        <v>840.25842299999999</v>
      </c>
      <c r="J31">
        <v>853.89306599999998</v>
      </c>
      <c r="K31">
        <v>866.75152600000001</v>
      </c>
      <c r="L31">
        <v>883.27270499999997</v>
      </c>
      <c r="M31">
        <v>901.37451199999998</v>
      </c>
      <c r="N31">
        <v>921.45477300000005</v>
      </c>
      <c r="O31">
        <v>943.68804899999998</v>
      </c>
      <c r="P31">
        <v>960.04577600000005</v>
      </c>
      <c r="Q31">
        <v>976.45935099999997</v>
      </c>
      <c r="R31">
        <v>992.65637200000003</v>
      </c>
      <c r="S31">
        <v>1008.008545</v>
      </c>
      <c r="T31">
        <v>1023.770264</v>
      </c>
      <c r="U31">
        <v>1038.3798830000001</v>
      </c>
      <c r="V31">
        <v>1053.922607</v>
      </c>
      <c r="W31">
        <v>1070.6054690000001</v>
      </c>
      <c r="X31">
        <v>1087.2296140000001</v>
      </c>
      <c r="Y31">
        <v>1103.9770510000001</v>
      </c>
      <c r="Z31">
        <v>1119.8682859999999</v>
      </c>
      <c r="AA31">
        <v>1134.0894780000001</v>
      </c>
      <c r="AB31">
        <v>1148.4685059999999</v>
      </c>
      <c r="AC31">
        <v>1161.9418949999999</v>
      </c>
      <c r="AD31">
        <v>1175.833496</v>
      </c>
      <c r="AE31" s="9">
        <v>1.6E-2</v>
      </c>
    </row>
    <row r="32" spans="1:31">
      <c r="A32" t="s">
        <v>204</v>
      </c>
      <c r="B32" t="s">
        <v>2770</v>
      </c>
      <c r="C32" t="s">
        <v>2769</v>
      </c>
      <c r="D32" t="s">
        <v>194</v>
      </c>
      <c r="E32">
        <v>38.178328999999998</v>
      </c>
      <c r="F32">
        <v>38.814650999999998</v>
      </c>
      <c r="G32">
        <v>39.453270000000003</v>
      </c>
      <c r="H32">
        <v>40.180599000000001</v>
      </c>
      <c r="I32">
        <v>40.914700000000003</v>
      </c>
      <c r="J32">
        <v>41.655926000000001</v>
      </c>
      <c r="K32">
        <v>42.395454000000001</v>
      </c>
      <c r="L32">
        <v>43.133369000000002</v>
      </c>
      <c r="M32">
        <v>43.880180000000003</v>
      </c>
      <c r="N32">
        <v>44.634605000000001</v>
      </c>
      <c r="O32">
        <v>45.395569000000002</v>
      </c>
      <c r="P32">
        <v>46.160697999999996</v>
      </c>
      <c r="Q32">
        <v>46.930233000000001</v>
      </c>
      <c r="R32">
        <v>47.703876000000001</v>
      </c>
      <c r="S32">
        <v>48.486117999999998</v>
      </c>
      <c r="T32">
        <v>49.276463</v>
      </c>
      <c r="U32">
        <v>50.077091000000003</v>
      </c>
      <c r="V32">
        <v>50.886642000000002</v>
      </c>
      <c r="W32">
        <v>51.703285000000001</v>
      </c>
      <c r="X32">
        <v>52.524177999999999</v>
      </c>
      <c r="Y32">
        <v>53.346606999999999</v>
      </c>
      <c r="Z32">
        <v>54.175564000000001</v>
      </c>
      <c r="AA32">
        <v>55.012206999999997</v>
      </c>
      <c r="AB32">
        <v>55.854134000000002</v>
      </c>
      <c r="AC32">
        <v>56.703068000000002</v>
      </c>
      <c r="AD32">
        <v>57.554737000000003</v>
      </c>
      <c r="AE32" s="9">
        <v>1.7000000000000001E-2</v>
      </c>
    </row>
    <row r="33" spans="1:31">
      <c r="A33" t="s">
        <v>713</v>
      </c>
      <c r="B33" t="s">
        <v>2768</v>
      </c>
      <c r="C33" t="s">
        <v>2767</v>
      </c>
      <c r="D33" t="s">
        <v>194</v>
      </c>
      <c r="E33">
        <v>46.664017000000001</v>
      </c>
      <c r="F33">
        <v>48.526760000000003</v>
      </c>
      <c r="G33">
        <v>50.424767000000003</v>
      </c>
      <c r="H33">
        <v>52.343803000000001</v>
      </c>
      <c r="I33">
        <v>54.306579999999997</v>
      </c>
      <c r="J33">
        <v>56.32291</v>
      </c>
      <c r="K33">
        <v>58.395287000000003</v>
      </c>
      <c r="L33">
        <v>60.529983999999999</v>
      </c>
      <c r="M33">
        <v>62.730732000000003</v>
      </c>
      <c r="N33">
        <v>64.997901999999996</v>
      </c>
      <c r="O33">
        <v>67.333365999999998</v>
      </c>
      <c r="P33">
        <v>69.738975999999994</v>
      </c>
      <c r="Q33">
        <v>72.216544999999996</v>
      </c>
      <c r="R33">
        <v>74.767998000000006</v>
      </c>
      <c r="S33">
        <v>77.392760999999993</v>
      </c>
      <c r="T33">
        <v>80.092697000000001</v>
      </c>
      <c r="U33">
        <v>82.870613000000006</v>
      </c>
      <c r="V33">
        <v>85.727813999999995</v>
      </c>
      <c r="W33">
        <v>88.664771999999999</v>
      </c>
      <c r="X33">
        <v>91.684021000000001</v>
      </c>
      <c r="Y33">
        <v>94.787086000000002</v>
      </c>
      <c r="Z33">
        <v>97.974486999999996</v>
      </c>
      <c r="AA33">
        <v>101.24791</v>
      </c>
      <c r="AB33">
        <v>104.610649</v>
      </c>
      <c r="AC33">
        <v>108.063469</v>
      </c>
      <c r="AD33">
        <v>111.60762800000001</v>
      </c>
      <c r="AE33" s="9">
        <v>3.5000000000000003E-2</v>
      </c>
    </row>
    <row r="34" spans="1:31">
      <c r="A34" t="s">
        <v>710</v>
      </c>
      <c r="B34" t="s">
        <v>2766</v>
      </c>
      <c r="C34" t="s">
        <v>2765</v>
      </c>
      <c r="D34" t="s">
        <v>194</v>
      </c>
      <c r="E34">
        <v>711.49200399999995</v>
      </c>
      <c r="F34">
        <v>727.84600799999998</v>
      </c>
      <c r="G34">
        <v>744.40210000000002</v>
      </c>
      <c r="H34">
        <v>761.14691200000004</v>
      </c>
      <c r="I34">
        <v>778.06951900000001</v>
      </c>
      <c r="J34">
        <v>795.17675799999995</v>
      </c>
      <c r="K34">
        <v>812.43670699999996</v>
      </c>
      <c r="L34">
        <v>829.91644299999996</v>
      </c>
      <c r="M34">
        <v>847.72448699999995</v>
      </c>
      <c r="N34">
        <v>865.89209000000005</v>
      </c>
      <c r="O34">
        <v>884.39624000000003</v>
      </c>
      <c r="P34">
        <v>903.27612299999998</v>
      </c>
      <c r="Q34">
        <v>922.48925799999995</v>
      </c>
      <c r="R34">
        <v>942.004456</v>
      </c>
      <c r="S34">
        <v>961.84661900000003</v>
      </c>
      <c r="T34">
        <v>982.01568599999996</v>
      </c>
      <c r="U34">
        <v>1002.504089</v>
      </c>
      <c r="V34">
        <v>1023.338135</v>
      </c>
      <c r="W34">
        <v>1044.50647</v>
      </c>
      <c r="X34">
        <v>1065.988159</v>
      </c>
      <c r="Y34">
        <v>1087.7701420000001</v>
      </c>
      <c r="Z34">
        <v>1109.876221</v>
      </c>
      <c r="AA34">
        <v>1132.304932</v>
      </c>
      <c r="AB34">
        <v>1155.0435789999999</v>
      </c>
      <c r="AC34">
        <v>1178.108643</v>
      </c>
      <c r="AD34">
        <v>1201.5139160000001</v>
      </c>
      <c r="AE34" s="9">
        <v>2.1000000000000001E-2</v>
      </c>
    </row>
    <row r="35" spans="1:31">
      <c r="A35" t="s">
        <v>336</v>
      </c>
      <c r="B35" t="s">
        <v>2764</v>
      </c>
      <c r="C35" t="s">
        <v>2763</v>
      </c>
      <c r="D35" t="s">
        <v>194</v>
      </c>
      <c r="E35">
        <v>62.381695000000001</v>
      </c>
      <c r="F35">
        <v>62.855656000000003</v>
      </c>
      <c r="G35">
        <v>63.321266000000001</v>
      </c>
      <c r="H35">
        <v>63.739643000000001</v>
      </c>
      <c r="I35">
        <v>64.132576</v>
      </c>
      <c r="J35">
        <v>64.504501000000005</v>
      </c>
      <c r="K35">
        <v>64.848395999999994</v>
      </c>
      <c r="L35">
        <v>65.182807999999994</v>
      </c>
      <c r="M35">
        <v>65.504845000000003</v>
      </c>
      <c r="N35">
        <v>65.807434000000001</v>
      </c>
      <c r="O35">
        <v>66.092277999999993</v>
      </c>
      <c r="P35">
        <v>66.364036999999996</v>
      </c>
      <c r="Q35">
        <v>66.631621999999993</v>
      </c>
      <c r="R35">
        <v>66.895629999999997</v>
      </c>
      <c r="S35">
        <v>67.155265999999997</v>
      </c>
      <c r="T35">
        <v>67.418846000000002</v>
      </c>
      <c r="U35">
        <v>67.688338999999999</v>
      </c>
      <c r="V35">
        <v>67.966217</v>
      </c>
      <c r="W35">
        <v>68.255568999999994</v>
      </c>
      <c r="X35">
        <v>68.556663999999998</v>
      </c>
      <c r="Y35">
        <v>68.875145000000003</v>
      </c>
      <c r="Z35">
        <v>69.210425999999998</v>
      </c>
      <c r="AA35">
        <v>69.559623999999999</v>
      </c>
      <c r="AB35">
        <v>69.918800000000005</v>
      </c>
      <c r="AC35">
        <v>70.284041999999999</v>
      </c>
      <c r="AD35">
        <v>70.661758000000006</v>
      </c>
      <c r="AE35" s="9">
        <v>5.0000000000000001E-3</v>
      </c>
    </row>
    <row r="36" spans="1:31">
      <c r="A36" t="s">
        <v>337</v>
      </c>
      <c r="B36" t="s">
        <v>2762</v>
      </c>
      <c r="C36" t="s">
        <v>2761</v>
      </c>
      <c r="D36" t="s">
        <v>194</v>
      </c>
      <c r="E36">
        <v>60.491244999999999</v>
      </c>
      <c r="F36">
        <v>62.268039999999999</v>
      </c>
      <c r="G36">
        <v>64.084372999999999</v>
      </c>
      <c r="H36">
        <v>65.934128000000001</v>
      </c>
      <c r="I36">
        <v>67.765548999999993</v>
      </c>
      <c r="J36">
        <v>69.591826999999995</v>
      </c>
      <c r="K36">
        <v>71.438934000000003</v>
      </c>
      <c r="L36">
        <v>73.293075999999999</v>
      </c>
      <c r="M36">
        <v>75.149169999999998</v>
      </c>
      <c r="N36">
        <v>77.013267999999997</v>
      </c>
      <c r="O36">
        <v>78.860534999999999</v>
      </c>
      <c r="P36">
        <v>80.713531000000003</v>
      </c>
      <c r="Q36">
        <v>82.578789</v>
      </c>
      <c r="R36">
        <v>84.400665000000004</v>
      </c>
      <c r="S36">
        <v>86.218665999999999</v>
      </c>
      <c r="T36">
        <v>88.039467000000002</v>
      </c>
      <c r="U36">
        <v>89.874640999999997</v>
      </c>
      <c r="V36">
        <v>91.723427000000001</v>
      </c>
      <c r="W36">
        <v>93.586189000000005</v>
      </c>
      <c r="X36">
        <v>95.459198000000001</v>
      </c>
      <c r="Y36">
        <v>97.339409000000003</v>
      </c>
      <c r="Z36">
        <v>99.226044000000002</v>
      </c>
      <c r="AA36">
        <v>101.119347</v>
      </c>
      <c r="AB36">
        <v>103.02018</v>
      </c>
      <c r="AC36">
        <v>104.928955</v>
      </c>
      <c r="AD36">
        <v>106.846298</v>
      </c>
      <c r="AE36" s="9">
        <v>2.3E-2</v>
      </c>
    </row>
    <row r="37" spans="1:31">
      <c r="A37" t="s">
        <v>338</v>
      </c>
      <c r="B37" t="s">
        <v>2760</v>
      </c>
      <c r="C37" t="s">
        <v>2759</v>
      </c>
      <c r="D37" t="s">
        <v>194</v>
      </c>
      <c r="E37">
        <v>9.059666</v>
      </c>
      <c r="F37">
        <v>9.2544029999999999</v>
      </c>
      <c r="G37">
        <v>9.4391470000000002</v>
      </c>
      <c r="H37">
        <v>9.6164670000000001</v>
      </c>
      <c r="I37">
        <v>9.7888599999999997</v>
      </c>
      <c r="J37">
        <v>9.9580110000000008</v>
      </c>
      <c r="K37">
        <v>10.118226999999999</v>
      </c>
      <c r="L37">
        <v>10.269076999999999</v>
      </c>
      <c r="M37">
        <v>10.411737</v>
      </c>
      <c r="N37">
        <v>10.545367000000001</v>
      </c>
      <c r="O37">
        <v>10.670194</v>
      </c>
      <c r="P37">
        <v>10.79082</v>
      </c>
      <c r="Q37">
        <v>10.900812999999999</v>
      </c>
      <c r="R37">
        <v>11.004025</v>
      </c>
      <c r="S37">
        <v>11.099137000000001</v>
      </c>
      <c r="T37">
        <v>11.190951999999999</v>
      </c>
      <c r="U37">
        <v>11.280606000000001</v>
      </c>
      <c r="V37">
        <v>11.364058999999999</v>
      </c>
      <c r="W37">
        <v>11.438848</v>
      </c>
      <c r="X37">
        <v>11.500484999999999</v>
      </c>
      <c r="Y37">
        <v>11.546016</v>
      </c>
      <c r="Z37">
        <v>11.579746999999999</v>
      </c>
      <c r="AA37">
        <v>11.604858999999999</v>
      </c>
      <c r="AB37">
        <v>11.625552000000001</v>
      </c>
      <c r="AC37">
        <v>11.645999</v>
      </c>
      <c r="AD37">
        <v>11.664306</v>
      </c>
      <c r="AE37" s="9">
        <v>0.01</v>
      </c>
    </row>
    <row r="38" spans="1:31">
      <c r="A38" t="s">
        <v>339</v>
      </c>
      <c r="B38" t="s">
        <v>2758</v>
      </c>
      <c r="C38" t="s">
        <v>2757</v>
      </c>
      <c r="D38" t="s">
        <v>194</v>
      </c>
      <c r="E38">
        <v>80.866996999999998</v>
      </c>
      <c r="F38">
        <v>81.715607000000006</v>
      </c>
      <c r="G38">
        <v>82.199477999999999</v>
      </c>
      <c r="H38">
        <v>83.152343999999999</v>
      </c>
      <c r="I38">
        <v>84.156509</v>
      </c>
      <c r="J38">
        <v>85.166290000000004</v>
      </c>
      <c r="K38">
        <v>86.182060000000007</v>
      </c>
      <c r="L38">
        <v>87.230773999999997</v>
      </c>
      <c r="M38">
        <v>88.321006999999994</v>
      </c>
      <c r="N38">
        <v>89.456703000000005</v>
      </c>
      <c r="O38">
        <v>90.623169000000004</v>
      </c>
      <c r="P38">
        <v>91.766723999999996</v>
      </c>
      <c r="Q38">
        <v>92.878967000000003</v>
      </c>
      <c r="R38">
        <v>93.975448999999998</v>
      </c>
      <c r="S38">
        <v>95.062118999999996</v>
      </c>
      <c r="T38">
        <v>96.155242999999999</v>
      </c>
      <c r="U38">
        <v>97.370361000000003</v>
      </c>
      <c r="V38">
        <v>98.666923999999995</v>
      </c>
      <c r="W38">
        <v>99.982994000000005</v>
      </c>
      <c r="X38">
        <v>101.31059999999999</v>
      </c>
      <c r="Y38">
        <v>102.642517</v>
      </c>
      <c r="Z38">
        <v>104.006531</v>
      </c>
      <c r="AA38">
        <v>105.415451</v>
      </c>
      <c r="AB38">
        <v>106.801079</v>
      </c>
      <c r="AC38">
        <v>108.164368</v>
      </c>
      <c r="AD38">
        <v>109.533089</v>
      </c>
      <c r="AE38" s="9">
        <v>1.2E-2</v>
      </c>
    </row>
    <row r="39" spans="1:31">
      <c r="A39" t="s">
        <v>699</v>
      </c>
      <c r="B39" t="s">
        <v>2756</v>
      </c>
      <c r="C39" t="s">
        <v>2755</v>
      </c>
      <c r="D39" t="s">
        <v>194</v>
      </c>
      <c r="E39">
        <v>11.379101</v>
      </c>
      <c r="F39">
        <v>11.839905999999999</v>
      </c>
      <c r="G39">
        <v>12.262307</v>
      </c>
      <c r="H39">
        <v>12.709543</v>
      </c>
      <c r="I39">
        <v>13.170254</v>
      </c>
      <c r="J39">
        <v>13.621606</v>
      </c>
      <c r="K39">
        <v>14.066698000000001</v>
      </c>
      <c r="L39">
        <v>14.516427</v>
      </c>
      <c r="M39">
        <v>14.975104</v>
      </c>
      <c r="N39">
        <v>15.443626999999999</v>
      </c>
      <c r="O39">
        <v>15.927789000000001</v>
      </c>
      <c r="P39">
        <v>16.429544</v>
      </c>
      <c r="Q39">
        <v>16.944839000000002</v>
      </c>
      <c r="R39">
        <v>17.472024999999999</v>
      </c>
      <c r="S39">
        <v>18.011406000000001</v>
      </c>
      <c r="T39">
        <v>18.559581999999999</v>
      </c>
      <c r="U39">
        <v>19.116617000000002</v>
      </c>
      <c r="V39">
        <v>19.688261000000001</v>
      </c>
      <c r="W39">
        <v>20.275386999999998</v>
      </c>
      <c r="X39">
        <v>20.877848</v>
      </c>
      <c r="Y39">
        <v>21.496079999999999</v>
      </c>
      <c r="Z39">
        <v>22.125900000000001</v>
      </c>
      <c r="AA39">
        <v>22.769482</v>
      </c>
      <c r="AB39">
        <v>23.426698999999999</v>
      </c>
      <c r="AC39">
        <v>24.098751</v>
      </c>
      <c r="AD39">
        <v>24.786325000000001</v>
      </c>
      <c r="AE39" s="9">
        <v>3.2000000000000001E-2</v>
      </c>
    </row>
    <row r="40" spans="1:31">
      <c r="A40" t="s">
        <v>206</v>
      </c>
      <c r="B40" t="s">
        <v>2754</v>
      </c>
      <c r="C40" t="s">
        <v>2753</v>
      </c>
      <c r="D40" t="s">
        <v>194</v>
      </c>
      <c r="E40">
        <v>594.13140899999996</v>
      </c>
      <c r="F40">
        <v>627.76330600000006</v>
      </c>
      <c r="G40">
        <v>661.17810099999997</v>
      </c>
      <c r="H40">
        <v>695.78857400000004</v>
      </c>
      <c r="I40">
        <v>731.95825200000002</v>
      </c>
      <c r="J40">
        <v>769.54247999999995</v>
      </c>
      <c r="K40">
        <v>808.29693599999996</v>
      </c>
      <c r="L40">
        <v>848.34277299999997</v>
      </c>
      <c r="M40">
        <v>889.39392099999998</v>
      </c>
      <c r="N40">
        <v>931.40570100000002</v>
      </c>
      <c r="O40">
        <v>974.317993</v>
      </c>
      <c r="P40">
        <v>1017.733276</v>
      </c>
      <c r="Q40">
        <v>1061.8748780000001</v>
      </c>
      <c r="R40">
        <v>1106.9210210000001</v>
      </c>
      <c r="S40">
        <v>1152.8358149999999</v>
      </c>
      <c r="T40">
        <v>1199.5791019999999</v>
      </c>
      <c r="U40">
        <v>1247.1011960000001</v>
      </c>
      <c r="V40">
        <v>1295.3479</v>
      </c>
      <c r="W40">
        <v>1344.256592</v>
      </c>
      <c r="X40">
        <v>1393.769043</v>
      </c>
      <c r="Y40">
        <v>1443.8480219999999</v>
      </c>
      <c r="Z40">
        <v>1494.452759</v>
      </c>
      <c r="AA40">
        <v>1545.523682</v>
      </c>
      <c r="AB40">
        <v>1596.999268</v>
      </c>
      <c r="AC40">
        <v>1648.838013</v>
      </c>
      <c r="AD40">
        <v>1700.9682620000001</v>
      </c>
      <c r="AE40" s="9">
        <v>4.2999999999999997E-2</v>
      </c>
    </row>
    <row r="41" spans="1:31">
      <c r="A41" t="s">
        <v>340</v>
      </c>
      <c r="B41" t="s">
        <v>2752</v>
      </c>
      <c r="C41" t="s">
        <v>2751</v>
      </c>
      <c r="D41" t="s">
        <v>194</v>
      </c>
      <c r="E41">
        <v>101.376099</v>
      </c>
      <c r="F41">
        <v>110.33313</v>
      </c>
      <c r="G41">
        <v>120.11642500000001</v>
      </c>
      <c r="H41">
        <v>130.41546600000001</v>
      </c>
      <c r="I41">
        <v>141.295288</v>
      </c>
      <c r="J41">
        <v>152.72457900000001</v>
      </c>
      <c r="K41">
        <v>164.62188699999999</v>
      </c>
      <c r="L41">
        <v>176.903763</v>
      </c>
      <c r="M41">
        <v>189.48220800000001</v>
      </c>
      <c r="N41">
        <v>202.315201</v>
      </c>
      <c r="O41">
        <v>215.34852599999999</v>
      </c>
      <c r="P41">
        <v>228.498154</v>
      </c>
      <c r="Q41">
        <v>241.86232000000001</v>
      </c>
      <c r="R41">
        <v>255.350876</v>
      </c>
      <c r="S41">
        <v>269.00149499999998</v>
      </c>
      <c r="T41">
        <v>282.92517099999998</v>
      </c>
      <c r="U41">
        <v>297.09121699999997</v>
      </c>
      <c r="V41">
        <v>311.47659299999998</v>
      </c>
      <c r="W41">
        <v>326.04113799999999</v>
      </c>
      <c r="X41">
        <v>340.754211</v>
      </c>
      <c r="Y41">
        <v>355.61544800000001</v>
      </c>
      <c r="Z41">
        <v>370.64233400000001</v>
      </c>
      <c r="AA41">
        <v>385.80407700000001</v>
      </c>
      <c r="AB41">
        <v>401.073059</v>
      </c>
      <c r="AC41">
        <v>416.421783</v>
      </c>
      <c r="AD41">
        <v>431.81970200000001</v>
      </c>
      <c r="AE41" s="9">
        <v>0.06</v>
      </c>
    </row>
    <row r="42" spans="1:31">
      <c r="A42" t="s">
        <v>692</v>
      </c>
      <c r="B42" t="s">
        <v>2750</v>
      </c>
      <c r="C42" t="s">
        <v>2749</v>
      </c>
      <c r="D42" t="s">
        <v>194</v>
      </c>
      <c r="E42">
        <v>218.51014699999999</v>
      </c>
      <c r="F42">
        <v>230.73056</v>
      </c>
      <c r="G42">
        <v>243.18684400000001</v>
      </c>
      <c r="H42">
        <v>255.80749499999999</v>
      </c>
      <c r="I42">
        <v>268.62222300000002</v>
      </c>
      <c r="J42">
        <v>281.779968</v>
      </c>
      <c r="K42">
        <v>295.357147</v>
      </c>
      <c r="L42">
        <v>309.34939600000001</v>
      </c>
      <c r="M42">
        <v>323.70144699999997</v>
      </c>
      <c r="N42">
        <v>338.35299700000002</v>
      </c>
      <c r="O42">
        <v>353.25491299999999</v>
      </c>
      <c r="P42">
        <v>368.41958599999998</v>
      </c>
      <c r="Q42">
        <v>383.78338600000001</v>
      </c>
      <c r="R42">
        <v>399.58883700000001</v>
      </c>
      <c r="S42">
        <v>415.85287499999998</v>
      </c>
      <c r="T42">
        <v>432.55575599999997</v>
      </c>
      <c r="U42">
        <v>449.64736900000003</v>
      </c>
      <c r="V42">
        <v>467.163971</v>
      </c>
      <c r="W42">
        <v>485.09390300000001</v>
      </c>
      <c r="X42">
        <v>503.41665599999999</v>
      </c>
      <c r="Y42">
        <v>522.11938499999997</v>
      </c>
      <c r="Z42">
        <v>541.16510000000005</v>
      </c>
      <c r="AA42">
        <v>560.50476100000003</v>
      </c>
      <c r="AB42">
        <v>580.16613800000005</v>
      </c>
      <c r="AC42">
        <v>600.20391800000004</v>
      </c>
      <c r="AD42">
        <v>620.71032700000001</v>
      </c>
      <c r="AE42" s="9">
        <v>4.2999999999999997E-2</v>
      </c>
    </row>
    <row r="43" spans="1:31">
      <c r="A43" t="s">
        <v>341</v>
      </c>
      <c r="B43" t="s">
        <v>2748</v>
      </c>
      <c r="C43" t="s">
        <v>2747</v>
      </c>
      <c r="D43" t="s">
        <v>194</v>
      </c>
      <c r="E43">
        <v>55.527695000000001</v>
      </c>
      <c r="F43">
        <v>59.423507999999998</v>
      </c>
      <c r="G43">
        <v>62.471226000000001</v>
      </c>
      <c r="H43">
        <v>65.314445000000006</v>
      </c>
      <c r="I43">
        <v>68.112945999999994</v>
      </c>
      <c r="J43">
        <v>70.856682000000006</v>
      </c>
      <c r="K43">
        <v>73.630202999999995</v>
      </c>
      <c r="L43">
        <v>76.374008000000003</v>
      </c>
      <c r="M43">
        <v>79.105887999999993</v>
      </c>
      <c r="N43">
        <v>81.837151000000006</v>
      </c>
      <c r="O43">
        <v>84.605216999999996</v>
      </c>
      <c r="P43">
        <v>87.417525999999995</v>
      </c>
      <c r="Q43">
        <v>90.280349999999999</v>
      </c>
      <c r="R43">
        <v>93.188598999999996</v>
      </c>
      <c r="S43">
        <v>96.128867999999997</v>
      </c>
      <c r="T43">
        <v>99.122748999999999</v>
      </c>
      <c r="U43">
        <v>102.184128</v>
      </c>
      <c r="V43">
        <v>105.328018</v>
      </c>
      <c r="W43">
        <v>108.554405</v>
      </c>
      <c r="X43">
        <v>111.856697</v>
      </c>
      <c r="Y43">
        <v>115.229568</v>
      </c>
      <c r="Z43">
        <v>118.6726</v>
      </c>
      <c r="AA43">
        <v>122.205879</v>
      </c>
      <c r="AB43">
        <v>125.828262</v>
      </c>
      <c r="AC43">
        <v>129.54611199999999</v>
      </c>
      <c r="AD43">
        <v>133.370148</v>
      </c>
      <c r="AE43" s="9">
        <v>3.5999999999999997E-2</v>
      </c>
    </row>
    <row r="44" spans="1:31">
      <c r="A44" t="s">
        <v>205</v>
      </c>
      <c r="B44" t="s">
        <v>2746</v>
      </c>
      <c r="C44" t="s">
        <v>2745</v>
      </c>
      <c r="D44" t="s">
        <v>194</v>
      </c>
      <c r="E44">
        <v>53.958652000000001</v>
      </c>
      <c r="F44">
        <v>56.834739999999996</v>
      </c>
      <c r="G44">
        <v>59.638817000000003</v>
      </c>
      <c r="H44">
        <v>62.509655000000002</v>
      </c>
      <c r="I44">
        <v>65.462119999999999</v>
      </c>
      <c r="J44">
        <v>68.523330999999999</v>
      </c>
      <c r="K44">
        <v>71.703643999999997</v>
      </c>
      <c r="L44">
        <v>74.980605999999995</v>
      </c>
      <c r="M44">
        <v>78.358795000000001</v>
      </c>
      <c r="N44">
        <v>81.850037</v>
      </c>
      <c r="O44">
        <v>85.460082999999997</v>
      </c>
      <c r="P44">
        <v>89.196738999999994</v>
      </c>
      <c r="Q44">
        <v>93.059334000000007</v>
      </c>
      <c r="R44">
        <v>97.047439999999995</v>
      </c>
      <c r="S44">
        <v>101.164536</v>
      </c>
      <c r="T44">
        <v>105.41378</v>
      </c>
      <c r="U44">
        <v>109.79946099999999</v>
      </c>
      <c r="V44">
        <v>114.322487</v>
      </c>
      <c r="W44">
        <v>118.98719</v>
      </c>
      <c r="X44">
        <v>123.798294</v>
      </c>
      <c r="Y44">
        <v>128.75836200000001</v>
      </c>
      <c r="Z44">
        <v>133.86999499999999</v>
      </c>
      <c r="AA44">
        <v>139.13587999999999</v>
      </c>
      <c r="AB44">
        <v>144.55818199999999</v>
      </c>
      <c r="AC44">
        <v>150.138229</v>
      </c>
      <c r="AD44">
        <v>155.87857099999999</v>
      </c>
      <c r="AE44" s="9">
        <v>4.2999999999999997E-2</v>
      </c>
    </row>
    <row r="45" spans="1:31">
      <c r="A45" t="s">
        <v>342</v>
      </c>
      <c r="B45" t="s">
        <v>2744</v>
      </c>
      <c r="C45" t="s">
        <v>2743</v>
      </c>
      <c r="D45" t="s">
        <v>194</v>
      </c>
      <c r="E45">
        <v>62.648139999999998</v>
      </c>
      <c r="F45">
        <v>63.725257999999997</v>
      </c>
      <c r="G45">
        <v>65.076667999999998</v>
      </c>
      <c r="H45">
        <v>66.536216999999994</v>
      </c>
      <c r="I45">
        <v>67.969161999999997</v>
      </c>
      <c r="J45">
        <v>69.375443000000004</v>
      </c>
      <c r="K45">
        <v>70.760773</v>
      </c>
      <c r="L45">
        <v>72.128783999999996</v>
      </c>
      <c r="M45">
        <v>73.480614000000003</v>
      </c>
      <c r="N45">
        <v>74.815453000000005</v>
      </c>
      <c r="O45">
        <v>76.132239999999996</v>
      </c>
      <c r="P45">
        <v>77.430222000000001</v>
      </c>
      <c r="Q45">
        <v>78.708809000000002</v>
      </c>
      <c r="R45">
        <v>79.966881000000001</v>
      </c>
      <c r="S45">
        <v>81.202849999999998</v>
      </c>
      <c r="T45">
        <v>82.415374999999997</v>
      </c>
      <c r="U45">
        <v>83.602806000000001</v>
      </c>
      <c r="V45">
        <v>84.763367000000002</v>
      </c>
      <c r="W45">
        <v>85.895576000000005</v>
      </c>
      <c r="X45">
        <v>86.997992999999994</v>
      </c>
      <c r="Y45">
        <v>88.069030999999995</v>
      </c>
      <c r="Z45">
        <v>89.107414000000006</v>
      </c>
      <c r="AA45">
        <v>90.111655999999996</v>
      </c>
      <c r="AB45">
        <v>91.080359999999999</v>
      </c>
      <c r="AC45">
        <v>92.012069999999994</v>
      </c>
      <c r="AD45">
        <v>92.905731000000003</v>
      </c>
      <c r="AE45" s="9">
        <v>1.6E-2</v>
      </c>
    </row>
    <row r="46" spans="1:31">
      <c r="A46" t="s">
        <v>683</v>
      </c>
      <c r="B46" t="s">
        <v>2742</v>
      </c>
      <c r="C46" t="s">
        <v>2741</v>
      </c>
      <c r="D46" t="s">
        <v>194</v>
      </c>
      <c r="E46">
        <v>71.553061999999997</v>
      </c>
      <c r="F46">
        <v>73.830887000000004</v>
      </c>
      <c r="G46">
        <v>76.054976999999994</v>
      </c>
      <c r="H46">
        <v>78.210655000000003</v>
      </c>
      <c r="I46">
        <v>80.359641999999994</v>
      </c>
      <c r="J46">
        <v>82.524390999999994</v>
      </c>
      <c r="K46">
        <v>84.710280999999995</v>
      </c>
      <c r="L46">
        <v>86.920876000000007</v>
      </c>
      <c r="M46">
        <v>89.155333999999996</v>
      </c>
      <c r="N46">
        <v>91.410995</v>
      </c>
      <c r="O46">
        <v>93.683670000000006</v>
      </c>
      <c r="P46">
        <v>95.972763</v>
      </c>
      <c r="Q46">
        <v>98.285042000000004</v>
      </c>
      <c r="R46">
        <v>100.623085</v>
      </c>
      <c r="S46">
        <v>102.989632</v>
      </c>
      <c r="T46">
        <v>105.38149300000001</v>
      </c>
      <c r="U46">
        <v>107.796898</v>
      </c>
      <c r="V46">
        <v>110.235725</v>
      </c>
      <c r="W46">
        <v>112.699051</v>
      </c>
      <c r="X46">
        <v>115.18602799999999</v>
      </c>
      <c r="Y46">
        <v>117.69615899999999</v>
      </c>
      <c r="Z46">
        <v>120.228554</v>
      </c>
      <c r="AA46">
        <v>122.780357</v>
      </c>
      <c r="AB46">
        <v>125.350594</v>
      </c>
      <c r="AC46">
        <v>127.940399</v>
      </c>
      <c r="AD46">
        <v>130.55209400000001</v>
      </c>
      <c r="AE46" s="9">
        <v>2.4E-2</v>
      </c>
    </row>
    <row r="47" spans="1:31">
      <c r="A47" t="s">
        <v>343</v>
      </c>
      <c r="B47" t="s">
        <v>2740</v>
      </c>
      <c r="C47" t="s">
        <v>2739</v>
      </c>
      <c r="D47" t="s">
        <v>194</v>
      </c>
      <c r="E47">
        <v>2960.6909179999998</v>
      </c>
      <c r="F47">
        <v>3074.2297359999998</v>
      </c>
      <c r="G47">
        <v>3177.1545409999999</v>
      </c>
      <c r="H47">
        <v>3273.470703</v>
      </c>
      <c r="I47">
        <v>3376.3427729999999</v>
      </c>
      <c r="J47">
        <v>3485.218018</v>
      </c>
      <c r="K47">
        <v>3595.7145999999998</v>
      </c>
      <c r="L47">
        <v>3712.344971</v>
      </c>
      <c r="M47">
        <v>3832.75</v>
      </c>
      <c r="N47">
        <v>3957.2333979999999</v>
      </c>
      <c r="O47">
        <v>4085.790039</v>
      </c>
      <c r="P47">
        <v>4209.9545900000003</v>
      </c>
      <c r="Q47">
        <v>4335.8837890000004</v>
      </c>
      <c r="R47">
        <v>4463.5668949999999</v>
      </c>
      <c r="S47">
        <v>4592.4570309999999</v>
      </c>
      <c r="T47">
        <v>4723.9130859999996</v>
      </c>
      <c r="U47">
        <v>4856.3857420000004</v>
      </c>
      <c r="V47">
        <v>4991.921875</v>
      </c>
      <c r="W47">
        <v>5130.5463870000003</v>
      </c>
      <c r="X47">
        <v>5270.9096680000002</v>
      </c>
      <c r="Y47">
        <v>5413.1162109999996</v>
      </c>
      <c r="Z47">
        <v>5556.1821289999998</v>
      </c>
      <c r="AA47">
        <v>5699.1889650000003</v>
      </c>
      <c r="AB47">
        <v>5843.8251950000003</v>
      </c>
      <c r="AC47">
        <v>5989.0395509999998</v>
      </c>
      <c r="AD47">
        <v>6136.2055659999996</v>
      </c>
      <c r="AE47" s="9">
        <v>0.03</v>
      </c>
    </row>
    <row r="48" spans="1:31">
      <c r="A48" t="s">
        <v>199</v>
      </c>
    </row>
    <row r="49" spans="1:31">
      <c r="A49" t="s">
        <v>203</v>
      </c>
      <c r="B49" t="s">
        <v>2738</v>
      </c>
      <c r="C49" t="s">
        <v>2737</v>
      </c>
      <c r="D49" t="s">
        <v>194</v>
      </c>
      <c r="E49">
        <v>439.21249399999999</v>
      </c>
      <c r="F49">
        <v>454.244415</v>
      </c>
      <c r="G49">
        <v>464.52392600000002</v>
      </c>
      <c r="H49">
        <v>470.715576</v>
      </c>
      <c r="I49">
        <v>478.83956899999998</v>
      </c>
      <c r="J49">
        <v>488.62616000000003</v>
      </c>
      <c r="K49">
        <v>498.12905899999998</v>
      </c>
      <c r="L49">
        <v>509.42553700000002</v>
      </c>
      <c r="M49">
        <v>521.55682400000001</v>
      </c>
      <c r="N49">
        <v>534.71954300000004</v>
      </c>
      <c r="O49">
        <v>549.00414999999998</v>
      </c>
      <c r="P49">
        <v>560.60803199999998</v>
      </c>
      <c r="Q49">
        <v>572.32989499999996</v>
      </c>
      <c r="R49">
        <v>584.04010000000005</v>
      </c>
      <c r="S49">
        <v>595.43566899999996</v>
      </c>
      <c r="T49">
        <v>607.11724900000002</v>
      </c>
      <c r="U49">
        <v>618.32946800000002</v>
      </c>
      <c r="V49">
        <v>630.08196999999996</v>
      </c>
      <c r="W49">
        <v>642.482483</v>
      </c>
      <c r="X49">
        <v>654.95208700000001</v>
      </c>
      <c r="Y49">
        <v>667.58032200000002</v>
      </c>
      <c r="Z49">
        <v>679.88738999999998</v>
      </c>
      <c r="AA49">
        <v>691.46618699999999</v>
      </c>
      <c r="AB49">
        <v>703.21838400000001</v>
      </c>
      <c r="AC49">
        <v>714.61578399999996</v>
      </c>
      <c r="AD49">
        <v>726.32067900000004</v>
      </c>
      <c r="AE49" s="9">
        <v>0.02</v>
      </c>
    </row>
    <row r="50" spans="1:31">
      <c r="A50" t="s">
        <v>204</v>
      </c>
      <c r="B50" t="s">
        <v>2736</v>
      </c>
      <c r="C50" t="s">
        <v>2735</v>
      </c>
      <c r="D50" t="s">
        <v>194</v>
      </c>
      <c r="E50">
        <v>93.832831999999996</v>
      </c>
      <c r="F50">
        <v>96.111671000000001</v>
      </c>
      <c r="G50">
        <v>98.392844999999994</v>
      </c>
      <c r="H50">
        <v>101.040825</v>
      </c>
      <c r="I50">
        <v>103.740707</v>
      </c>
      <c r="J50">
        <v>106.49829099999999</v>
      </c>
      <c r="K50">
        <v>109.309555</v>
      </c>
      <c r="L50">
        <v>112.171707</v>
      </c>
      <c r="M50">
        <v>115.08934000000001</v>
      </c>
      <c r="N50">
        <v>118.063339</v>
      </c>
      <c r="O50">
        <v>121.09517700000001</v>
      </c>
      <c r="P50">
        <v>124.184647</v>
      </c>
      <c r="Q50">
        <v>127.32952899999999</v>
      </c>
      <c r="R50">
        <v>130.53048699999999</v>
      </c>
      <c r="S50">
        <v>133.79141200000001</v>
      </c>
      <c r="T50">
        <v>137.113586</v>
      </c>
      <c r="U50">
        <v>140.500778</v>
      </c>
      <c r="V50">
        <v>143.95413199999999</v>
      </c>
      <c r="W50">
        <v>147.47479200000001</v>
      </c>
      <c r="X50">
        <v>151.06225599999999</v>
      </c>
      <c r="Y50">
        <v>154.71464499999999</v>
      </c>
      <c r="Z50">
        <v>158.436508</v>
      </c>
      <c r="AA50">
        <v>162.23324600000001</v>
      </c>
      <c r="AB50">
        <v>166.10569799999999</v>
      </c>
      <c r="AC50">
        <v>170.056061</v>
      </c>
      <c r="AD50">
        <v>174.081863</v>
      </c>
      <c r="AE50" s="9">
        <v>2.5000000000000001E-2</v>
      </c>
    </row>
    <row r="51" spans="1:31">
      <c r="A51" t="s">
        <v>713</v>
      </c>
      <c r="B51" t="s">
        <v>2734</v>
      </c>
      <c r="C51" t="s">
        <v>2733</v>
      </c>
      <c r="D51" t="s">
        <v>194</v>
      </c>
      <c r="E51">
        <v>55.506596000000002</v>
      </c>
      <c r="F51">
        <v>57.397350000000003</v>
      </c>
      <c r="G51">
        <v>59.322150999999998</v>
      </c>
      <c r="H51">
        <v>61.274090000000001</v>
      </c>
      <c r="I51">
        <v>63.265579000000002</v>
      </c>
      <c r="J51">
        <v>65.302077999999995</v>
      </c>
      <c r="K51">
        <v>67.385193000000001</v>
      </c>
      <c r="L51">
        <v>69.518416999999999</v>
      </c>
      <c r="M51">
        <v>71.703734999999995</v>
      </c>
      <c r="N51">
        <v>73.940025000000006</v>
      </c>
      <c r="O51">
        <v>76.228470000000002</v>
      </c>
      <c r="P51">
        <v>78.570160000000001</v>
      </c>
      <c r="Q51">
        <v>80.966080000000005</v>
      </c>
      <c r="R51">
        <v>83.417336000000006</v>
      </c>
      <c r="S51">
        <v>85.921218999999994</v>
      </c>
      <c r="T51">
        <v>88.478690999999998</v>
      </c>
      <c r="U51">
        <v>91.092147999999995</v>
      </c>
      <c r="V51">
        <v>93.761596999999995</v>
      </c>
      <c r="W51">
        <v>96.485855000000001</v>
      </c>
      <c r="X51">
        <v>99.266707999999994</v>
      </c>
      <c r="Y51">
        <v>102.104439</v>
      </c>
      <c r="Z51">
        <v>104.997818</v>
      </c>
      <c r="AA51">
        <v>107.94731899999999</v>
      </c>
      <c r="AB51">
        <v>110.955742</v>
      </c>
      <c r="AC51">
        <v>114.022141</v>
      </c>
      <c r="AD51">
        <v>117.146202</v>
      </c>
      <c r="AE51" s="9">
        <v>0.03</v>
      </c>
    </row>
    <row r="52" spans="1:31">
      <c r="A52" t="s">
        <v>710</v>
      </c>
      <c r="B52" t="s">
        <v>2732</v>
      </c>
      <c r="C52" t="s">
        <v>2731</v>
      </c>
      <c r="D52" t="s">
        <v>194</v>
      </c>
      <c r="E52">
        <v>668.00811799999997</v>
      </c>
      <c r="F52">
        <v>681.23877000000005</v>
      </c>
      <c r="G52">
        <v>694.59606900000006</v>
      </c>
      <c r="H52">
        <v>708.11199999999997</v>
      </c>
      <c r="I52">
        <v>721.83044400000006</v>
      </c>
      <c r="J52">
        <v>735.75872800000002</v>
      </c>
      <c r="K52">
        <v>749.88165300000003</v>
      </c>
      <c r="L52">
        <v>764.21392800000001</v>
      </c>
      <c r="M52">
        <v>778.78875700000003</v>
      </c>
      <c r="N52">
        <v>793.63091999999995</v>
      </c>
      <c r="O52">
        <v>808.722534</v>
      </c>
      <c r="P52">
        <v>824.07049600000005</v>
      </c>
      <c r="Q52">
        <v>839.66180399999996</v>
      </c>
      <c r="R52">
        <v>855.47448699999995</v>
      </c>
      <c r="S52">
        <v>871.51464799999997</v>
      </c>
      <c r="T52">
        <v>887.77990699999998</v>
      </c>
      <c r="U52">
        <v>904.264771</v>
      </c>
      <c r="V52">
        <v>920.97662400000002</v>
      </c>
      <c r="W52">
        <v>937.90460199999995</v>
      </c>
      <c r="X52">
        <v>955.03942900000004</v>
      </c>
      <c r="Y52">
        <v>972.37188700000002</v>
      </c>
      <c r="Z52">
        <v>989.90979000000004</v>
      </c>
      <c r="AA52">
        <v>1007.649109</v>
      </c>
      <c r="AB52">
        <v>1025.569702</v>
      </c>
      <c r="AC52">
        <v>1043.6695560000001</v>
      </c>
      <c r="AD52">
        <v>1061.947388</v>
      </c>
      <c r="AE52" s="9">
        <v>1.9E-2</v>
      </c>
    </row>
    <row r="53" spans="1:31">
      <c r="A53" t="s">
        <v>336</v>
      </c>
      <c r="B53" t="s">
        <v>2730</v>
      </c>
      <c r="C53" t="s">
        <v>2729</v>
      </c>
      <c r="D53" t="s">
        <v>194</v>
      </c>
      <c r="E53">
        <v>113.247787</v>
      </c>
      <c r="F53">
        <v>114.312172</v>
      </c>
      <c r="G53">
        <v>115.366173</v>
      </c>
      <c r="H53">
        <v>116.07556200000001</v>
      </c>
      <c r="I53">
        <v>116.602715</v>
      </c>
      <c r="J53">
        <v>116.983994</v>
      </c>
      <c r="K53">
        <v>117.16745</v>
      </c>
      <c r="L53">
        <v>117.296249</v>
      </c>
      <c r="M53">
        <v>117.341461</v>
      </c>
      <c r="N53">
        <v>117.250839</v>
      </c>
      <c r="O53">
        <v>117.043808</v>
      </c>
      <c r="P53">
        <v>116.742012</v>
      </c>
      <c r="Q53">
        <v>116.40830200000001</v>
      </c>
      <c r="R53">
        <v>116.041786</v>
      </c>
      <c r="S53">
        <v>115.635536</v>
      </c>
      <c r="T53">
        <v>115.259636</v>
      </c>
      <c r="U53">
        <v>114.937286</v>
      </c>
      <c r="V53">
        <v>114.66767900000001</v>
      </c>
      <c r="W53">
        <v>114.455704</v>
      </c>
      <c r="X53">
        <v>114.31337000000001</v>
      </c>
      <c r="Y53">
        <v>114.286362</v>
      </c>
      <c r="Z53">
        <v>114.365967</v>
      </c>
      <c r="AA53">
        <v>114.519463</v>
      </c>
      <c r="AB53">
        <v>114.716476</v>
      </c>
      <c r="AC53">
        <v>114.93707999999999</v>
      </c>
      <c r="AD53">
        <v>115.23711400000001</v>
      </c>
      <c r="AE53" s="9">
        <v>1E-3</v>
      </c>
    </row>
    <row r="54" spans="1:31">
      <c r="A54" t="s">
        <v>337</v>
      </c>
      <c r="B54" t="s">
        <v>2728</v>
      </c>
      <c r="C54" t="s">
        <v>2727</v>
      </c>
      <c r="D54" t="s">
        <v>194</v>
      </c>
      <c r="E54">
        <v>97.347054</v>
      </c>
      <c r="F54">
        <v>100.346962</v>
      </c>
      <c r="G54">
        <v>103.454514</v>
      </c>
      <c r="H54">
        <v>106.697205</v>
      </c>
      <c r="I54">
        <v>109.99550600000001</v>
      </c>
      <c r="J54">
        <v>113.349457</v>
      </c>
      <c r="K54">
        <v>116.768585</v>
      </c>
      <c r="L54">
        <v>120.247253</v>
      </c>
      <c r="M54">
        <v>123.784676</v>
      </c>
      <c r="N54">
        <v>127.38407100000001</v>
      </c>
      <c r="O54">
        <v>131.03810100000001</v>
      </c>
      <c r="P54">
        <v>134.756958</v>
      </c>
      <c r="Q54">
        <v>138.54345699999999</v>
      </c>
      <c r="R54">
        <v>142.37951699999999</v>
      </c>
      <c r="S54">
        <v>146.28173799999999</v>
      </c>
      <c r="T54">
        <v>150.253479</v>
      </c>
      <c r="U54">
        <v>154.300659</v>
      </c>
      <c r="V54">
        <v>158.424271</v>
      </c>
      <c r="W54">
        <v>162.625519</v>
      </c>
      <c r="X54">
        <v>166.90373199999999</v>
      </c>
      <c r="Y54">
        <v>171.258194</v>
      </c>
      <c r="Z54">
        <v>175.689178</v>
      </c>
      <c r="AA54">
        <v>180.19679300000001</v>
      </c>
      <c r="AB54">
        <v>184.78239400000001</v>
      </c>
      <c r="AC54">
        <v>189.44686899999999</v>
      </c>
      <c r="AD54">
        <v>194.19125399999999</v>
      </c>
      <c r="AE54" s="9">
        <v>2.8000000000000001E-2</v>
      </c>
    </row>
    <row r="55" spans="1:31">
      <c r="A55" t="s">
        <v>338</v>
      </c>
      <c r="B55" t="s">
        <v>2726</v>
      </c>
      <c r="C55" t="s">
        <v>2725</v>
      </c>
      <c r="D55" t="s">
        <v>194</v>
      </c>
      <c r="E55">
        <v>87.851676999999995</v>
      </c>
      <c r="F55">
        <v>93.000404000000003</v>
      </c>
      <c r="G55">
        <v>98.037666000000002</v>
      </c>
      <c r="H55">
        <v>103.024979</v>
      </c>
      <c r="I55">
        <v>108.037781</v>
      </c>
      <c r="J55">
        <v>113.14192199999999</v>
      </c>
      <c r="K55">
        <v>118.117958</v>
      </c>
      <c r="L55">
        <v>122.94111599999999</v>
      </c>
      <c r="M55">
        <v>127.66269699999999</v>
      </c>
      <c r="N55">
        <v>132.24221800000001</v>
      </c>
      <c r="O55">
        <v>136.66746499999999</v>
      </c>
      <c r="P55">
        <v>141.12051400000001</v>
      </c>
      <c r="Q55">
        <v>145.33145099999999</v>
      </c>
      <c r="R55">
        <v>149.458527</v>
      </c>
      <c r="S55">
        <v>153.42553699999999</v>
      </c>
      <c r="T55">
        <v>157.42263800000001</v>
      </c>
      <c r="U55">
        <v>161.51423600000001</v>
      </c>
      <c r="V55">
        <v>165.497131</v>
      </c>
      <c r="W55">
        <v>169.230515</v>
      </c>
      <c r="X55">
        <v>172.52616900000001</v>
      </c>
      <c r="Y55">
        <v>175.22241199999999</v>
      </c>
      <c r="Z55">
        <v>177.489273</v>
      </c>
      <c r="AA55">
        <v>179.520782</v>
      </c>
      <c r="AB55">
        <v>181.55062899999999</v>
      </c>
      <c r="AC55">
        <v>183.78713999999999</v>
      </c>
      <c r="AD55">
        <v>186.13983200000001</v>
      </c>
      <c r="AE55" s="9">
        <v>0.03</v>
      </c>
    </row>
    <row r="56" spans="1:31">
      <c r="A56" t="s">
        <v>339</v>
      </c>
      <c r="B56" t="s">
        <v>2724</v>
      </c>
      <c r="C56" t="s">
        <v>2723</v>
      </c>
      <c r="D56" t="s">
        <v>194</v>
      </c>
      <c r="E56">
        <v>53.199150000000003</v>
      </c>
      <c r="F56">
        <v>68.602608000000004</v>
      </c>
      <c r="G56">
        <v>77.888137999999998</v>
      </c>
      <c r="H56">
        <v>83.273750000000007</v>
      </c>
      <c r="I56">
        <v>84.848167000000004</v>
      </c>
      <c r="J56">
        <v>86.445426999999995</v>
      </c>
      <c r="K56">
        <v>88.064010999999994</v>
      </c>
      <c r="L56">
        <v>89.724434000000002</v>
      </c>
      <c r="M56">
        <v>91.438202000000004</v>
      </c>
      <c r="N56">
        <v>93.206688</v>
      </c>
      <c r="O56">
        <v>95.022446000000002</v>
      </c>
      <c r="P56">
        <v>96.854218000000003</v>
      </c>
      <c r="Q56">
        <v>98.696892000000005</v>
      </c>
      <c r="R56">
        <v>100.56231699999999</v>
      </c>
      <c r="S56">
        <v>102.454742</v>
      </c>
      <c r="T56">
        <v>104.386505</v>
      </c>
      <c r="U56">
        <v>106.431129</v>
      </c>
      <c r="V56">
        <v>108.56416299999999</v>
      </c>
      <c r="W56">
        <v>110.746101</v>
      </c>
      <c r="X56">
        <v>112.97219800000001</v>
      </c>
      <c r="Y56">
        <v>115.241676</v>
      </c>
      <c r="Z56">
        <v>117.571327</v>
      </c>
      <c r="AA56">
        <v>119.963142</v>
      </c>
      <c r="AB56">
        <v>122.368515</v>
      </c>
      <c r="AC56">
        <v>124.78976400000001</v>
      </c>
      <c r="AD56">
        <v>127.243607</v>
      </c>
      <c r="AE56" s="9">
        <v>3.5000000000000003E-2</v>
      </c>
    </row>
    <row r="57" spans="1:31">
      <c r="A57" t="s">
        <v>699</v>
      </c>
      <c r="B57" t="s">
        <v>2722</v>
      </c>
      <c r="C57" t="s">
        <v>2721</v>
      </c>
      <c r="D57" t="s">
        <v>194</v>
      </c>
      <c r="E57">
        <v>40.916958000000001</v>
      </c>
      <c r="F57">
        <v>43.039192</v>
      </c>
      <c r="G57">
        <v>44.641739000000001</v>
      </c>
      <c r="H57">
        <v>47.114615999999998</v>
      </c>
      <c r="I57">
        <v>48.803108000000002</v>
      </c>
      <c r="J57">
        <v>50.489058999999997</v>
      </c>
      <c r="K57">
        <v>52.175716000000001</v>
      </c>
      <c r="L57">
        <v>53.893760999999998</v>
      </c>
      <c r="M57">
        <v>55.653084</v>
      </c>
      <c r="N57">
        <v>57.455379000000001</v>
      </c>
      <c r="O57">
        <v>59.316958999999997</v>
      </c>
      <c r="P57">
        <v>61.246197000000002</v>
      </c>
      <c r="Q57">
        <v>63.234070000000003</v>
      </c>
      <c r="R57">
        <v>65.274733999999995</v>
      </c>
      <c r="S57">
        <v>67.370750000000001</v>
      </c>
      <c r="T57">
        <v>69.513953999999998</v>
      </c>
      <c r="U57">
        <v>71.704566999999997</v>
      </c>
      <c r="V57">
        <v>73.959311999999997</v>
      </c>
      <c r="W57">
        <v>76.279921999999999</v>
      </c>
      <c r="X57">
        <v>78.665512000000007</v>
      </c>
      <c r="Y57">
        <v>81.116996999999998</v>
      </c>
      <c r="Z57">
        <v>83.620841999999996</v>
      </c>
      <c r="AA57">
        <v>86.183914000000001</v>
      </c>
      <c r="AB57">
        <v>88.806725</v>
      </c>
      <c r="AC57">
        <v>91.495270000000005</v>
      </c>
      <c r="AD57">
        <v>94.254333000000003</v>
      </c>
      <c r="AE57" s="9">
        <v>3.4000000000000002E-2</v>
      </c>
    </row>
    <row r="58" spans="1:31">
      <c r="A58" t="s">
        <v>206</v>
      </c>
      <c r="B58" t="s">
        <v>2720</v>
      </c>
      <c r="C58" t="s">
        <v>2719</v>
      </c>
      <c r="D58" t="s">
        <v>194</v>
      </c>
      <c r="E58">
        <v>181.23951700000001</v>
      </c>
      <c r="F58">
        <v>190.71087600000001</v>
      </c>
      <c r="G58">
        <v>200.331863</v>
      </c>
      <c r="H58">
        <v>210.32255599999999</v>
      </c>
      <c r="I58">
        <v>220.74735999999999</v>
      </c>
      <c r="J58">
        <v>231.59222399999999</v>
      </c>
      <c r="K58">
        <v>242.825073</v>
      </c>
      <c r="L58">
        <v>254.47190900000001</v>
      </c>
      <c r="M58">
        <v>266.495361</v>
      </c>
      <c r="N58">
        <v>278.89770499999997</v>
      </c>
      <c r="O58">
        <v>291.68002300000001</v>
      </c>
      <c r="P58">
        <v>304.78671300000002</v>
      </c>
      <c r="Q58">
        <v>318.26238999999998</v>
      </c>
      <c r="R58">
        <v>332.14761399999998</v>
      </c>
      <c r="S58">
        <v>346.44232199999999</v>
      </c>
      <c r="T58">
        <v>361.14477499999998</v>
      </c>
      <c r="U58">
        <v>376.255157</v>
      </c>
      <c r="V58">
        <v>391.77179000000001</v>
      </c>
      <c r="W58">
        <v>407.69442700000002</v>
      </c>
      <c r="X58">
        <v>424.018372</v>
      </c>
      <c r="Y58">
        <v>440.73339800000002</v>
      </c>
      <c r="Z58">
        <v>457.82699600000001</v>
      </c>
      <c r="AA58">
        <v>475.29129</v>
      </c>
      <c r="AB58">
        <v>493.113831</v>
      </c>
      <c r="AC58">
        <v>511.278412</v>
      </c>
      <c r="AD58">
        <v>529.77307099999996</v>
      </c>
      <c r="AE58" s="9">
        <v>4.3999999999999997E-2</v>
      </c>
    </row>
    <row r="59" spans="1:31">
      <c r="A59" t="s">
        <v>340</v>
      </c>
      <c r="B59" t="s">
        <v>2718</v>
      </c>
      <c r="C59" t="s">
        <v>2717</v>
      </c>
      <c r="D59" t="s">
        <v>194</v>
      </c>
      <c r="E59">
        <v>93.157523999999995</v>
      </c>
      <c r="F59">
        <v>100.125305</v>
      </c>
      <c r="G59">
        <v>107.631851</v>
      </c>
      <c r="H59">
        <v>115.459602</v>
      </c>
      <c r="I59">
        <v>123.649925</v>
      </c>
      <c r="J59">
        <v>132.179947</v>
      </c>
      <c r="K59">
        <v>140.99498</v>
      </c>
      <c r="L59">
        <v>150.041687</v>
      </c>
      <c r="M59">
        <v>159.266006</v>
      </c>
      <c r="N59">
        <v>168.64465300000001</v>
      </c>
      <c r="O59">
        <v>178.14730800000001</v>
      </c>
      <c r="P59">
        <v>187.72532699999999</v>
      </c>
      <c r="Q59">
        <v>197.442184</v>
      </c>
      <c r="R59">
        <v>207.244553</v>
      </c>
      <c r="S59">
        <v>217.159164</v>
      </c>
      <c r="T59">
        <v>227.25672900000001</v>
      </c>
      <c r="U59">
        <v>237.520096</v>
      </c>
      <c r="V59">
        <v>247.936218</v>
      </c>
      <c r="W59">
        <v>258.48223899999999</v>
      </c>
      <c r="X59">
        <v>269.14267000000001</v>
      </c>
      <c r="Y59">
        <v>279.91980000000001</v>
      </c>
      <c r="Z59">
        <v>290.825287</v>
      </c>
      <c r="AA59">
        <v>301.84231599999998</v>
      </c>
      <c r="AB59">
        <v>312.956299</v>
      </c>
      <c r="AC59">
        <v>324.15368699999999</v>
      </c>
      <c r="AD59">
        <v>335.41961700000002</v>
      </c>
      <c r="AE59" s="9">
        <v>5.2999999999999999E-2</v>
      </c>
    </row>
    <row r="60" spans="1:31">
      <c r="A60" t="s">
        <v>692</v>
      </c>
      <c r="B60" t="s">
        <v>2716</v>
      </c>
      <c r="C60" t="s">
        <v>2715</v>
      </c>
      <c r="D60" t="s">
        <v>194</v>
      </c>
      <c r="E60">
        <v>361.85305799999998</v>
      </c>
      <c r="F60">
        <v>377.535889</v>
      </c>
      <c r="G60">
        <v>393.58837899999997</v>
      </c>
      <c r="H60">
        <v>409.98452800000001</v>
      </c>
      <c r="I60">
        <v>426.74026500000002</v>
      </c>
      <c r="J60">
        <v>443.95779399999998</v>
      </c>
      <c r="K60">
        <v>461.68679800000001</v>
      </c>
      <c r="L60">
        <v>479.91616800000003</v>
      </c>
      <c r="M60">
        <v>498.62008700000001</v>
      </c>
      <c r="N60">
        <v>517.75683600000002</v>
      </c>
      <c r="O60">
        <v>537.29278599999998</v>
      </c>
      <c r="P60">
        <v>557.25830099999996</v>
      </c>
      <c r="Q60">
        <v>577.62469499999997</v>
      </c>
      <c r="R60">
        <v>598.53753700000004</v>
      </c>
      <c r="S60">
        <v>620.01531999999997</v>
      </c>
      <c r="T60">
        <v>642.04522699999995</v>
      </c>
      <c r="U60">
        <v>664.59234600000002</v>
      </c>
      <c r="V60">
        <v>687.67797900000005</v>
      </c>
      <c r="W60">
        <v>711.309753</v>
      </c>
      <c r="X60">
        <v>735.48333700000001</v>
      </c>
      <c r="Y60">
        <v>760.19000200000005</v>
      </c>
      <c r="Z60">
        <v>785.42694100000006</v>
      </c>
      <c r="AA60">
        <v>811.141479</v>
      </c>
      <c r="AB60">
        <v>837.35015899999996</v>
      </c>
      <c r="AC60">
        <v>864.12316899999996</v>
      </c>
      <c r="AD60">
        <v>891.49847399999999</v>
      </c>
      <c r="AE60" s="9">
        <v>3.6999999999999998E-2</v>
      </c>
    </row>
    <row r="61" spans="1:31">
      <c r="A61" t="s">
        <v>341</v>
      </c>
      <c r="B61" t="s">
        <v>2714</v>
      </c>
      <c r="C61" t="s">
        <v>2713</v>
      </c>
      <c r="D61" t="s">
        <v>194</v>
      </c>
      <c r="E61">
        <v>300.99618500000003</v>
      </c>
      <c r="F61">
        <v>314.738586</v>
      </c>
      <c r="G61">
        <v>328.85745200000002</v>
      </c>
      <c r="H61">
        <v>343.26168799999999</v>
      </c>
      <c r="I61">
        <v>358.037262</v>
      </c>
      <c r="J61">
        <v>373.20459</v>
      </c>
      <c r="K61">
        <v>388.817566</v>
      </c>
      <c r="L61">
        <v>404.96075400000001</v>
      </c>
      <c r="M61">
        <v>421.64666699999998</v>
      </c>
      <c r="N61">
        <v>438.89480600000002</v>
      </c>
      <c r="O61">
        <v>456.72311400000001</v>
      </c>
      <c r="P61">
        <v>475.16336100000001</v>
      </c>
      <c r="Q61">
        <v>494.23895299999998</v>
      </c>
      <c r="R61">
        <v>513.95831299999998</v>
      </c>
      <c r="S61">
        <v>534.36059599999999</v>
      </c>
      <c r="T61">
        <v>555.47491500000001</v>
      </c>
      <c r="U61">
        <v>577.27185099999997</v>
      </c>
      <c r="V61">
        <v>599.75683600000002</v>
      </c>
      <c r="W61">
        <v>622.948669</v>
      </c>
      <c r="X61">
        <v>646.877747</v>
      </c>
      <c r="Y61">
        <v>671.59381099999996</v>
      </c>
      <c r="Z61">
        <v>697.06860400000005</v>
      </c>
      <c r="AA61">
        <v>723.32800299999997</v>
      </c>
      <c r="AB61">
        <v>750.442993</v>
      </c>
      <c r="AC61">
        <v>778.44030799999996</v>
      </c>
      <c r="AD61">
        <v>807.30480999999997</v>
      </c>
      <c r="AE61" s="9">
        <v>0.04</v>
      </c>
    </row>
    <row r="62" spans="1:31">
      <c r="A62" t="s">
        <v>205</v>
      </c>
      <c r="B62" t="s">
        <v>2712</v>
      </c>
      <c r="C62" t="s">
        <v>2711</v>
      </c>
      <c r="D62" t="s">
        <v>194</v>
      </c>
      <c r="E62">
        <v>120.811089</v>
      </c>
      <c r="F62">
        <v>126.92974100000001</v>
      </c>
      <c r="G62">
        <v>132.74588</v>
      </c>
      <c r="H62">
        <v>138.643936</v>
      </c>
      <c r="I62">
        <v>144.65969799999999</v>
      </c>
      <c r="J62">
        <v>150.863663</v>
      </c>
      <c r="K62">
        <v>157.27917500000001</v>
      </c>
      <c r="L62">
        <v>163.84094200000001</v>
      </c>
      <c r="M62">
        <v>170.55853300000001</v>
      </c>
      <c r="N62">
        <v>177.45858799999999</v>
      </c>
      <c r="O62">
        <v>184.551254</v>
      </c>
      <c r="P62">
        <v>191.85424800000001</v>
      </c>
      <c r="Q62">
        <v>199.36219800000001</v>
      </c>
      <c r="R62">
        <v>207.06878699999999</v>
      </c>
      <c r="S62">
        <v>214.977982</v>
      </c>
      <c r="T62">
        <v>223.09335300000001</v>
      </c>
      <c r="U62">
        <v>231.42195100000001</v>
      </c>
      <c r="V62">
        <v>239.96167</v>
      </c>
      <c r="W62">
        <v>248.718445</v>
      </c>
      <c r="X62">
        <v>257.70016500000003</v>
      </c>
      <c r="Y62">
        <v>266.909943</v>
      </c>
      <c r="Z62">
        <v>276.34884599999998</v>
      </c>
      <c r="AA62">
        <v>286.01666299999999</v>
      </c>
      <c r="AB62">
        <v>295.91403200000002</v>
      </c>
      <c r="AC62">
        <v>306.04107699999997</v>
      </c>
      <c r="AD62">
        <v>316.39913899999999</v>
      </c>
      <c r="AE62" s="9">
        <v>3.9E-2</v>
      </c>
    </row>
    <row r="63" spans="1:31">
      <c r="A63" t="s">
        <v>342</v>
      </c>
      <c r="B63" t="s">
        <v>2710</v>
      </c>
      <c r="C63" t="s">
        <v>2709</v>
      </c>
      <c r="D63" t="s">
        <v>194</v>
      </c>
      <c r="E63">
        <v>47.310741</v>
      </c>
      <c r="F63">
        <v>48.229725000000002</v>
      </c>
      <c r="G63">
        <v>49.488112999999998</v>
      </c>
      <c r="H63">
        <v>50.884785000000001</v>
      </c>
      <c r="I63">
        <v>52.25441</v>
      </c>
      <c r="J63">
        <v>53.596169000000003</v>
      </c>
      <c r="K63">
        <v>54.917076000000002</v>
      </c>
      <c r="L63">
        <v>56.221229999999998</v>
      </c>
      <c r="M63">
        <v>57.509799999999998</v>
      </c>
      <c r="N63">
        <v>58.781368000000001</v>
      </c>
      <c r="O63">
        <v>60.034503999999998</v>
      </c>
      <c r="P63">
        <v>61.268256999999998</v>
      </c>
      <c r="Q63">
        <v>62.481833999999999</v>
      </c>
      <c r="R63">
        <v>63.673732999999999</v>
      </c>
      <c r="S63">
        <v>64.842285000000004</v>
      </c>
      <c r="T63">
        <v>65.985412999999994</v>
      </c>
      <c r="U63">
        <v>67.101867999999996</v>
      </c>
      <c r="V63">
        <v>68.191078000000005</v>
      </c>
      <c r="W63">
        <v>69.250877000000003</v>
      </c>
      <c r="X63">
        <v>70.279235999999997</v>
      </c>
      <c r="Y63">
        <v>71.274451999999997</v>
      </c>
      <c r="Z63">
        <v>72.234375</v>
      </c>
      <c r="AA63">
        <v>73.156852999999998</v>
      </c>
      <c r="AB63">
        <v>74.040374999999997</v>
      </c>
      <c r="AC63">
        <v>74.883574999999993</v>
      </c>
      <c r="AD63">
        <v>75.684203999999994</v>
      </c>
      <c r="AE63" s="9">
        <v>1.9E-2</v>
      </c>
    </row>
    <row r="64" spans="1:31">
      <c r="A64" t="s">
        <v>683</v>
      </c>
      <c r="B64" t="s">
        <v>2708</v>
      </c>
      <c r="C64" t="s">
        <v>2707</v>
      </c>
      <c r="D64" t="s">
        <v>194</v>
      </c>
      <c r="E64">
        <v>114.97421300000001</v>
      </c>
      <c r="F64">
        <v>118.941704</v>
      </c>
      <c r="G64">
        <v>122.961449</v>
      </c>
      <c r="H64">
        <v>127.026382</v>
      </c>
      <c r="I64">
        <v>131.168915</v>
      </c>
      <c r="J64">
        <v>135.40394599999999</v>
      </c>
      <c r="K64">
        <v>139.73571799999999</v>
      </c>
      <c r="L64">
        <v>144.16679400000001</v>
      </c>
      <c r="M64">
        <v>148.69725</v>
      </c>
      <c r="N64">
        <v>153.328552</v>
      </c>
      <c r="O64">
        <v>158.05772400000001</v>
      </c>
      <c r="P64">
        <v>162.88265999999999</v>
      </c>
      <c r="Q64">
        <v>167.807312</v>
      </c>
      <c r="R64">
        <v>172.83622700000001</v>
      </c>
      <c r="S64">
        <v>177.97219799999999</v>
      </c>
      <c r="T64">
        <v>183.21159399999999</v>
      </c>
      <c r="U64">
        <v>188.55363500000001</v>
      </c>
      <c r="V64">
        <v>194.00083900000001</v>
      </c>
      <c r="W64">
        <v>199.554733</v>
      </c>
      <c r="X64">
        <v>205.21554599999999</v>
      </c>
      <c r="Y64">
        <v>210.98547400000001</v>
      </c>
      <c r="Z64">
        <v>216.865005</v>
      </c>
      <c r="AA64">
        <v>222.85565199999999</v>
      </c>
      <c r="AB64">
        <v>228.957581</v>
      </c>
      <c r="AC64">
        <v>235.16992200000001</v>
      </c>
      <c r="AD64">
        <v>241.498276</v>
      </c>
      <c r="AE64" s="9">
        <v>0.03</v>
      </c>
    </row>
    <row r="65" spans="1:31">
      <c r="A65" t="s">
        <v>344</v>
      </c>
      <c r="B65" t="s">
        <v>2706</v>
      </c>
      <c r="C65" t="s">
        <v>2704</v>
      </c>
      <c r="D65" t="s">
        <v>194</v>
      </c>
      <c r="E65">
        <v>2869.4648440000001</v>
      </c>
      <c r="F65">
        <v>2985.5053710000002</v>
      </c>
      <c r="G65">
        <v>3091.8278810000002</v>
      </c>
      <c r="H65">
        <v>3192.9123540000001</v>
      </c>
      <c r="I65">
        <v>3293.2214359999998</v>
      </c>
      <c r="J65">
        <v>3397.3935550000001</v>
      </c>
      <c r="K65">
        <v>3503.2558589999999</v>
      </c>
      <c r="L65">
        <v>3613.0522460000002</v>
      </c>
      <c r="M65">
        <v>3725.8125</v>
      </c>
      <c r="N65">
        <v>3841.6552729999999</v>
      </c>
      <c r="O65">
        <v>3960.6259770000001</v>
      </c>
      <c r="P65">
        <v>4079.0922850000002</v>
      </c>
      <c r="Q65">
        <v>4199.7216799999997</v>
      </c>
      <c r="R65">
        <v>4322.6459960000002</v>
      </c>
      <c r="S65">
        <v>4447.6010740000002</v>
      </c>
      <c r="T65">
        <v>4575.5380859999996</v>
      </c>
      <c r="U65">
        <v>4705.7919920000004</v>
      </c>
      <c r="V65">
        <v>4839.1835940000001</v>
      </c>
      <c r="W65">
        <v>4975.6445309999999</v>
      </c>
      <c r="X65">
        <v>5114.4184569999998</v>
      </c>
      <c r="Y65">
        <v>5255.5039059999999</v>
      </c>
      <c r="Z65">
        <v>5398.564453</v>
      </c>
      <c r="AA65">
        <v>5543.3120120000003</v>
      </c>
      <c r="AB65">
        <v>5690.8496089999999</v>
      </c>
      <c r="AC65">
        <v>5840.9101559999999</v>
      </c>
      <c r="AD65">
        <v>5994.1396480000003</v>
      </c>
      <c r="AE65" s="9">
        <v>0.03</v>
      </c>
    </row>
    <row r="66" spans="1:31">
      <c r="A66" t="s">
        <v>111</v>
      </c>
      <c r="B66" t="s">
        <v>2705</v>
      </c>
      <c r="C66" t="s">
        <v>2704</v>
      </c>
      <c r="D66" t="s">
        <v>194</v>
      </c>
      <c r="E66">
        <v>5830.1547849999997</v>
      </c>
      <c r="F66">
        <v>6059.734375</v>
      </c>
      <c r="G66">
        <v>6268.982422</v>
      </c>
      <c r="H66">
        <v>6466.3818359999996</v>
      </c>
      <c r="I66">
        <v>6669.5639650000003</v>
      </c>
      <c r="J66">
        <v>6882.6108400000003</v>
      </c>
      <c r="K66">
        <v>7098.9692379999997</v>
      </c>
      <c r="L66">
        <v>7325.3969729999999</v>
      </c>
      <c r="M66">
        <v>7558.5620120000003</v>
      </c>
      <c r="N66">
        <v>7798.8891599999997</v>
      </c>
      <c r="O66">
        <v>8046.4160160000001</v>
      </c>
      <c r="P66">
        <v>8289.0458980000003</v>
      </c>
      <c r="Q66">
        <v>8535.6054690000001</v>
      </c>
      <c r="R66">
        <v>8786.2128909999992</v>
      </c>
      <c r="S66">
        <v>9040.0566409999992</v>
      </c>
      <c r="T66">
        <v>9299.4501949999994</v>
      </c>
      <c r="U66">
        <v>9562.1777340000008</v>
      </c>
      <c r="V66">
        <v>9831.1054690000001</v>
      </c>
      <c r="W66">
        <v>10106.191406</v>
      </c>
      <c r="X66">
        <v>10385.328125</v>
      </c>
      <c r="Y66">
        <v>10668.619140999999</v>
      </c>
      <c r="Z66">
        <v>10954.747069999999</v>
      </c>
      <c r="AA66">
        <v>11242.501953000001</v>
      </c>
      <c r="AB66">
        <v>11534.673828000001</v>
      </c>
      <c r="AC66">
        <v>11829.949219</v>
      </c>
      <c r="AD66">
        <v>12130.345703000001</v>
      </c>
      <c r="AE66" s="9">
        <v>0.03</v>
      </c>
    </row>
    <row r="67" spans="1:31" s="5" customFormat="1">
      <c r="A67" s="5" t="s">
        <v>208</v>
      </c>
    </row>
    <row r="68" spans="1:31" s="5" customFormat="1">
      <c r="A68" s="5" t="s">
        <v>203</v>
      </c>
      <c r="B68" s="5" t="s">
        <v>2703</v>
      </c>
      <c r="C68" s="5" t="s">
        <v>2702</v>
      </c>
      <c r="D68" s="5" t="s">
        <v>194</v>
      </c>
      <c r="E68" s="5">
        <v>52.360733000000003</v>
      </c>
      <c r="F68" s="5">
        <v>53.822738999999999</v>
      </c>
      <c r="G68" s="5">
        <v>54.880218999999997</v>
      </c>
      <c r="H68" s="5">
        <v>55.60022</v>
      </c>
      <c r="I68" s="5">
        <v>56.516177999999996</v>
      </c>
      <c r="J68" s="5">
        <v>57.591087000000002</v>
      </c>
      <c r="K68" s="5">
        <v>58.650615999999999</v>
      </c>
      <c r="L68" s="5">
        <v>59.878886999999999</v>
      </c>
      <c r="M68" s="5">
        <v>61.189658999999999</v>
      </c>
      <c r="N68" s="5">
        <v>62.599803999999999</v>
      </c>
      <c r="O68" s="5">
        <v>64.116141999999996</v>
      </c>
      <c r="P68" s="5">
        <v>65.397994999999995</v>
      </c>
      <c r="Q68" s="5">
        <v>66.694794000000002</v>
      </c>
      <c r="R68" s="5">
        <v>67.994522000000003</v>
      </c>
      <c r="S68" s="5">
        <v>69.269463000000002</v>
      </c>
      <c r="T68" s="5">
        <v>70.572875999999994</v>
      </c>
      <c r="U68" s="5">
        <v>71.836357000000007</v>
      </c>
      <c r="V68" s="5">
        <v>73.150513000000004</v>
      </c>
      <c r="W68" s="5">
        <v>74.524895000000001</v>
      </c>
      <c r="X68" s="5">
        <v>75.907837000000001</v>
      </c>
      <c r="Y68" s="5">
        <v>77.307167000000007</v>
      </c>
      <c r="Z68" s="5">
        <v>78.680267000000001</v>
      </c>
      <c r="AA68" s="5">
        <v>79.990791000000002</v>
      </c>
      <c r="AB68" s="5">
        <v>81.319641000000004</v>
      </c>
      <c r="AC68" s="5">
        <v>82.619904000000005</v>
      </c>
      <c r="AD68" s="5">
        <v>83.951453999999998</v>
      </c>
      <c r="AE68" s="43">
        <v>1.9E-2</v>
      </c>
    </row>
    <row r="69" spans="1:31">
      <c r="A69" t="s">
        <v>204</v>
      </c>
      <c r="B69" t="s">
        <v>2701</v>
      </c>
      <c r="C69" t="s">
        <v>2700</v>
      </c>
      <c r="D69" t="s">
        <v>194</v>
      </c>
      <c r="E69">
        <v>1.6933849999999999</v>
      </c>
      <c r="F69">
        <v>1.70486</v>
      </c>
      <c r="G69">
        <v>1.715508</v>
      </c>
      <c r="H69">
        <v>1.7250989999999999</v>
      </c>
      <c r="I69">
        <v>1.73397</v>
      </c>
      <c r="J69">
        <v>1.7422089999999999</v>
      </c>
      <c r="K69">
        <v>1.749763</v>
      </c>
      <c r="L69">
        <v>1.7567390000000001</v>
      </c>
      <c r="M69">
        <v>1.763382</v>
      </c>
      <c r="N69">
        <v>1.769722</v>
      </c>
      <c r="O69">
        <v>1.7757849999999999</v>
      </c>
      <c r="P69">
        <v>1.7815719999999999</v>
      </c>
      <c r="Q69">
        <v>1.787139</v>
      </c>
      <c r="R69">
        <v>1.79251</v>
      </c>
      <c r="S69">
        <v>1.7977749999999999</v>
      </c>
      <c r="T69">
        <v>1.802943</v>
      </c>
      <c r="U69">
        <v>1.8080540000000001</v>
      </c>
      <c r="V69">
        <v>1.813099</v>
      </c>
      <c r="W69">
        <v>1.8180590000000001</v>
      </c>
      <c r="X69">
        <v>1.8229059999999999</v>
      </c>
      <c r="Y69">
        <v>1.8276190000000001</v>
      </c>
      <c r="Z69">
        <v>1.832273</v>
      </c>
      <c r="AA69">
        <v>1.8368770000000001</v>
      </c>
      <c r="AB69">
        <v>1.8414010000000001</v>
      </c>
      <c r="AC69">
        <v>1.8458730000000001</v>
      </c>
      <c r="AD69">
        <v>1.850249</v>
      </c>
      <c r="AE69" s="9">
        <v>4.0000000000000001E-3</v>
      </c>
    </row>
    <row r="70" spans="1:31">
      <c r="A70" t="s">
        <v>713</v>
      </c>
      <c r="B70" t="s">
        <v>2699</v>
      </c>
      <c r="C70" t="s">
        <v>2698</v>
      </c>
      <c r="D70" t="s">
        <v>194</v>
      </c>
      <c r="E70">
        <v>1.4749380000000001</v>
      </c>
      <c r="F70">
        <v>1.548783</v>
      </c>
      <c r="G70">
        <v>1.616765</v>
      </c>
      <c r="H70">
        <v>1.677943</v>
      </c>
      <c r="I70">
        <v>1.7351080000000001</v>
      </c>
      <c r="J70">
        <v>1.7895829999999999</v>
      </c>
      <c r="K70">
        <v>1.841855</v>
      </c>
      <c r="L70">
        <v>1.8927179999999999</v>
      </c>
      <c r="M70">
        <v>1.9426559999999999</v>
      </c>
      <c r="N70">
        <v>1.9919089999999999</v>
      </c>
      <c r="O70">
        <v>2.04068</v>
      </c>
      <c r="P70">
        <v>2.089143</v>
      </c>
      <c r="Q70">
        <v>2.1374460000000002</v>
      </c>
      <c r="R70">
        <v>2.1857169999999999</v>
      </c>
      <c r="S70">
        <v>2.2340610000000001</v>
      </c>
      <c r="T70">
        <v>2.2825709999999999</v>
      </c>
      <c r="U70">
        <v>2.3313269999999999</v>
      </c>
      <c r="V70">
        <v>2.380395</v>
      </c>
      <c r="W70">
        <v>2.4298310000000001</v>
      </c>
      <c r="X70">
        <v>2.4796860000000001</v>
      </c>
      <c r="Y70">
        <v>2.5300009999999999</v>
      </c>
      <c r="Z70">
        <v>2.58081</v>
      </c>
      <c r="AA70">
        <v>2.632145</v>
      </c>
      <c r="AB70">
        <v>2.6840310000000001</v>
      </c>
      <c r="AC70">
        <v>2.7364890000000002</v>
      </c>
      <c r="AD70">
        <v>2.7895370000000002</v>
      </c>
      <c r="AE70" s="9">
        <v>2.5999999999999999E-2</v>
      </c>
    </row>
    <row r="71" spans="1:31">
      <c r="A71" t="s">
        <v>710</v>
      </c>
      <c r="B71" t="s">
        <v>2697</v>
      </c>
      <c r="C71" t="s">
        <v>2696</v>
      </c>
      <c r="D71" t="s">
        <v>194</v>
      </c>
      <c r="E71">
        <v>39.829979000000002</v>
      </c>
      <c r="F71">
        <v>41.962401999999997</v>
      </c>
      <c r="G71">
        <v>44.017982000000003</v>
      </c>
      <c r="H71">
        <v>45.981029999999997</v>
      </c>
      <c r="I71">
        <v>47.827193999999999</v>
      </c>
      <c r="J71">
        <v>49.563662999999998</v>
      </c>
      <c r="K71">
        <v>51.183768999999998</v>
      </c>
      <c r="L71">
        <v>52.729202000000001</v>
      </c>
      <c r="M71">
        <v>54.258862000000001</v>
      </c>
      <c r="N71">
        <v>55.782490000000003</v>
      </c>
      <c r="O71">
        <v>57.298400999999998</v>
      </c>
      <c r="P71">
        <v>58.831843999999997</v>
      </c>
      <c r="Q71">
        <v>60.363056</v>
      </c>
      <c r="R71">
        <v>61.885325999999999</v>
      </c>
      <c r="S71">
        <v>63.413066999999998</v>
      </c>
      <c r="T71">
        <v>64.948074000000005</v>
      </c>
      <c r="U71">
        <v>66.489029000000002</v>
      </c>
      <c r="V71">
        <v>68.049408</v>
      </c>
      <c r="W71">
        <v>69.627876000000001</v>
      </c>
      <c r="X71">
        <v>71.215384999999998</v>
      </c>
      <c r="Y71">
        <v>72.808066999999994</v>
      </c>
      <c r="Z71">
        <v>74.416756000000007</v>
      </c>
      <c r="AA71">
        <v>76.042304999999999</v>
      </c>
      <c r="AB71">
        <v>77.688286000000005</v>
      </c>
      <c r="AC71">
        <v>79.366530999999995</v>
      </c>
      <c r="AD71">
        <v>81.086922000000001</v>
      </c>
      <c r="AE71" s="9">
        <v>2.9000000000000001E-2</v>
      </c>
    </row>
    <row r="72" spans="1:31">
      <c r="A72" t="s">
        <v>336</v>
      </c>
      <c r="B72" t="s">
        <v>2695</v>
      </c>
      <c r="C72" t="s">
        <v>2694</v>
      </c>
      <c r="D72" t="s">
        <v>194</v>
      </c>
      <c r="E72">
        <v>7.1328019999999999</v>
      </c>
      <c r="F72">
        <v>7.1936109999999998</v>
      </c>
      <c r="G72">
        <v>7.2466419999999996</v>
      </c>
      <c r="H72">
        <v>7.2896599999999996</v>
      </c>
      <c r="I72">
        <v>7.3252819999999996</v>
      </c>
      <c r="J72">
        <v>7.354692</v>
      </c>
      <c r="K72">
        <v>7.3780530000000004</v>
      </c>
      <c r="L72">
        <v>7.3974289999999998</v>
      </c>
      <c r="M72">
        <v>7.4130450000000003</v>
      </c>
      <c r="N72">
        <v>7.4247990000000001</v>
      </c>
      <c r="O72">
        <v>7.4332549999999999</v>
      </c>
      <c r="P72">
        <v>7.4389779999999996</v>
      </c>
      <c r="Q72">
        <v>7.4428890000000001</v>
      </c>
      <c r="R72">
        <v>7.4452150000000001</v>
      </c>
      <c r="S72">
        <v>7.4460839999999999</v>
      </c>
      <c r="T72">
        <v>7.4463499999999998</v>
      </c>
      <c r="U72">
        <v>7.4463609999999996</v>
      </c>
      <c r="V72">
        <v>7.4462549999999998</v>
      </c>
      <c r="W72">
        <v>7.4462010000000003</v>
      </c>
      <c r="X72">
        <v>7.4463800000000004</v>
      </c>
      <c r="Y72">
        <v>7.4472959999999997</v>
      </c>
      <c r="Z72">
        <v>7.448925</v>
      </c>
      <c r="AA72">
        <v>7.451009</v>
      </c>
      <c r="AB72">
        <v>7.4532949999999998</v>
      </c>
      <c r="AC72">
        <v>7.4556100000000001</v>
      </c>
      <c r="AD72">
        <v>7.4585160000000004</v>
      </c>
      <c r="AE72" s="9">
        <v>2E-3</v>
      </c>
    </row>
    <row r="73" spans="1:31">
      <c r="A73" t="s">
        <v>337</v>
      </c>
      <c r="B73" t="s">
        <v>2693</v>
      </c>
      <c r="C73" t="s">
        <v>2692</v>
      </c>
      <c r="D73" t="s">
        <v>194</v>
      </c>
      <c r="E73">
        <v>2.2791100000000002</v>
      </c>
      <c r="F73">
        <v>2.367953</v>
      </c>
      <c r="G73">
        <v>2.4495230000000001</v>
      </c>
      <c r="H73">
        <v>2.5246960000000001</v>
      </c>
      <c r="I73">
        <v>2.5932629999999999</v>
      </c>
      <c r="J73">
        <v>2.6564390000000002</v>
      </c>
      <c r="K73">
        <v>2.7156150000000001</v>
      </c>
      <c r="L73">
        <v>2.7710360000000001</v>
      </c>
      <c r="M73">
        <v>2.823086</v>
      </c>
      <c r="N73">
        <v>2.8723580000000002</v>
      </c>
      <c r="O73">
        <v>2.9186009999999998</v>
      </c>
      <c r="P73">
        <v>2.9627050000000001</v>
      </c>
      <c r="Q73">
        <v>3.0051019999999999</v>
      </c>
      <c r="R73">
        <v>3.0446620000000002</v>
      </c>
      <c r="S73">
        <v>3.0825629999999999</v>
      </c>
      <c r="T73">
        <v>3.1191409999999999</v>
      </c>
      <c r="U73">
        <v>3.1548120000000002</v>
      </c>
      <c r="V73">
        <v>3.1896770000000001</v>
      </c>
      <c r="W73">
        <v>3.2238449999999998</v>
      </c>
      <c r="X73">
        <v>3.2573150000000002</v>
      </c>
      <c r="Y73">
        <v>3.290095</v>
      </c>
      <c r="Z73">
        <v>3.3222330000000002</v>
      </c>
      <c r="AA73">
        <v>3.3537949999999999</v>
      </c>
      <c r="AB73">
        <v>3.3848479999999999</v>
      </c>
      <c r="AC73">
        <v>3.4154439999999999</v>
      </c>
      <c r="AD73">
        <v>3.4456340000000001</v>
      </c>
      <c r="AE73" s="9">
        <v>1.7000000000000001E-2</v>
      </c>
    </row>
    <row r="74" spans="1:31">
      <c r="A74" t="s">
        <v>338</v>
      </c>
      <c r="B74" t="s">
        <v>2691</v>
      </c>
      <c r="C74" t="s">
        <v>2690</v>
      </c>
      <c r="D74" t="s">
        <v>194</v>
      </c>
      <c r="E74">
        <v>8.6271509999999996</v>
      </c>
      <c r="F74">
        <v>8.8739120000000007</v>
      </c>
      <c r="G74">
        <v>9.1088179999999994</v>
      </c>
      <c r="H74">
        <v>9.3348060000000004</v>
      </c>
      <c r="I74">
        <v>9.5546989999999994</v>
      </c>
      <c r="J74">
        <v>9.7704109999999993</v>
      </c>
      <c r="K74">
        <v>9.9763179999999991</v>
      </c>
      <c r="L74">
        <v>10.172041999999999</v>
      </c>
      <c r="M74">
        <v>10.358764000000001</v>
      </c>
      <c r="N74">
        <v>10.535639</v>
      </c>
      <c r="O74">
        <v>10.702966999999999</v>
      </c>
      <c r="P74">
        <v>10.865589999999999</v>
      </c>
      <c r="Q74">
        <v>11.016742000000001</v>
      </c>
      <c r="R74">
        <v>11.160425</v>
      </c>
      <c r="S74">
        <v>11.295287</v>
      </c>
      <c r="T74">
        <v>11.42648</v>
      </c>
      <c r="U74">
        <v>11.555186000000001</v>
      </c>
      <c r="V74">
        <v>11.677161999999999</v>
      </c>
      <c r="W74">
        <v>11.789802999999999</v>
      </c>
      <c r="X74">
        <v>11.888045</v>
      </c>
      <c r="Y74">
        <v>11.968591999999999</v>
      </c>
      <c r="Z74">
        <v>12.036063</v>
      </c>
      <c r="AA74">
        <v>12.093634</v>
      </c>
      <c r="AB74">
        <v>12.145685</v>
      </c>
      <c r="AC74">
        <v>12.196770000000001</v>
      </c>
      <c r="AD74">
        <v>12.244811</v>
      </c>
      <c r="AE74" s="9">
        <v>1.4E-2</v>
      </c>
    </row>
    <row r="75" spans="1:31">
      <c r="A75" t="s">
        <v>339</v>
      </c>
      <c r="B75" t="s">
        <v>2689</v>
      </c>
      <c r="C75" t="s">
        <v>2688</v>
      </c>
      <c r="D75" t="s">
        <v>194</v>
      </c>
      <c r="E75">
        <v>0.64750799999999997</v>
      </c>
      <c r="F75">
        <v>0.67507600000000001</v>
      </c>
      <c r="G75">
        <v>0.688334</v>
      </c>
      <c r="H75">
        <v>0.70993300000000004</v>
      </c>
      <c r="I75">
        <v>0.73007599999999995</v>
      </c>
      <c r="J75">
        <v>0.74805299999999997</v>
      </c>
      <c r="K75">
        <v>0.76425100000000001</v>
      </c>
      <c r="L75">
        <v>0.77945399999999998</v>
      </c>
      <c r="M75">
        <v>0.79393400000000003</v>
      </c>
      <c r="N75">
        <v>0.80802600000000002</v>
      </c>
      <c r="O75">
        <v>0.82153600000000004</v>
      </c>
      <c r="P75">
        <v>0.83333999999999997</v>
      </c>
      <c r="Q75">
        <v>0.84337399999999996</v>
      </c>
      <c r="R75">
        <v>0.85204999999999997</v>
      </c>
      <c r="S75">
        <v>0.85959300000000005</v>
      </c>
      <c r="T75">
        <v>0.86641100000000004</v>
      </c>
      <c r="U75">
        <v>0.87519000000000002</v>
      </c>
      <c r="V75">
        <v>0.88506099999999999</v>
      </c>
      <c r="W75">
        <v>0.89469500000000002</v>
      </c>
      <c r="X75">
        <v>0.90395899999999996</v>
      </c>
      <c r="Y75">
        <v>0.91264400000000001</v>
      </c>
      <c r="Z75">
        <v>0.92145100000000002</v>
      </c>
      <c r="AA75">
        <v>0.93086199999999997</v>
      </c>
      <c r="AB75">
        <v>0.93947800000000004</v>
      </c>
      <c r="AC75">
        <v>0.94730300000000001</v>
      </c>
      <c r="AD75">
        <v>0.95501599999999998</v>
      </c>
      <c r="AE75" s="9">
        <v>1.6E-2</v>
      </c>
    </row>
    <row r="76" spans="1:31">
      <c r="A76" t="s">
        <v>699</v>
      </c>
      <c r="B76" t="s">
        <v>2687</v>
      </c>
      <c r="C76" t="s">
        <v>2686</v>
      </c>
      <c r="D76" t="s">
        <v>194</v>
      </c>
      <c r="E76">
        <v>0.47585699999999997</v>
      </c>
      <c r="F76">
        <v>0.42205700000000002</v>
      </c>
      <c r="G76">
        <v>0.37659399999999998</v>
      </c>
      <c r="H76">
        <v>0.338501</v>
      </c>
      <c r="I76">
        <v>0.306585</v>
      </c>
      <c r="J76">
        <v>0.27970899999999999</v>
      </c>
      <c r="K76">
        <v>0.25713900000000001</v>
      </c>
      <c r="L76">
        <v>0.23830200000000001</v>
      </c>
      <c r="M76">
        <v>0.22267799999999999</v>
      </c>
      <c r="N76">
        <v>0.20979900000000001</v>
      </c>
      <c r="O76">
        <v>0.19930700000000001</v>
      </c>
      <c r="P76">
        <v>0.190861</v>
      </c>
      <c r="Q76">
        <v>0.18412600000000001</v>
      </c>
      <c r="R76">
        <v>0.17884700000000001</v>
      </c>
      <c r="S76">
        <v>0.17480699999999999</v>
      </c>
      <c r="T76">
        <v>0.171795</v>
      </c>
      <c r="U76">
        <v>0.16966000000000001</v>
      </c>
      <c r="V76">
        <v>0.16831499999999999</v>
      </c>
      <c r="W76">
        <v>0.167659</v>
      </c>
      <c r="X76">
        <v>0.1676</v>
      </c>
      <c r="Y76">
        <v>0.16806199999999999</v>
      </c>
      <c r="Z76">
        <v>0.16895399999999999</v>
      </c>
      <c r="AA76">
        <v>0.17022999999999999</v>
      </c>
      <c r="AB76">
        <v>0.17183999999999999</v>
      </c>
      <c r="AC76">
        <v>0.17374100000000001</v>
      </c>
      <c r="AD76">
        <v>0.175895</v>
      </c>
      <c r="AE76" s="9">
        <v>-3.9E-2</v>
      </c>
    </row>
    <row r="77" spans="1:31">
      <c r="A77" t="s">
        <v>206</v>
      </c>
      <c r="B77" t="s">
        <v>2685</v>
      </c>
      <c r="C77" t="s">
        <v>2684</v>
      </c>
      <c r="D77" t="s">
        <v>194</v>
      </c>
      <c r="E77">
        <v>17.362121999999999</v>
      </c>
      <c r="F77">
        <v>18.120519999999999</v>
      </c>
      <c r="G77">
        <v>18.829101999999999</v>
      </c>
      <c r="H77">
        <v>19.515839</v>
      </c>
      <c r="I77">
        <v>20.189909</v>
      </c>
      <c r="J77">
        <v>20.851711000000002</v>
      </c>
      <c r="K77">
        <v>21.499815000000002</v>
      </c>
      <c r="L77">
        <v>22.138054</v>
      </c>
      <c r="M77">
        <v>22.763999999999999</v>
      </c>
      <c r="N77">
        <v>23.378685000000001</v>
      </c>
      <c r="O77">
        <v>23.982783999999999</v>
      </c>
      <c r="P77">
        <v>24.57217</v>
      </c>
      <c r="Q77">
        <v>25.151173</v>
      </c>
      <c r="R77">
        <v>25.723199999999999</v>
      </c>
      <c r="S77">
        <v>26.288422000000001</v>
      </c>
      <c r="T77">
        <v>26.846848000000001</v>
      </c>
      <c r="U77">
        <v>27.398415</v>
      </c>
      <c r="V77">
        <v>27.942936</v>
      </c>
      <c r="W77">
        <v>28.480183</v>
      </c>
      <c r="X77">
        <v>29.009817000000002</v>
      </c>
      <c r="Y77">
        <v>29.531483000000001</v>
      </c>
      <c r="Z77">
        <v>30.044754000000001</v>
      </c>
      <c r="AA77">
        <v>30.549208</v>
      </c>
      <c r="AB77">
        <v>31.044312999999999</v>
      </c>
      <c r="AC77">
        <v>31.529593999999999</v>
      </c>
      <c r="AD77">
        <v>32.004528000000001</v>
      </c>
      <c r="AE77" s="9">
        <v>2.5000000000000001E-2</v>
      </c>
    </row>
    <row r="78" spans="1:31">
      <c r="A78" t="s">
        <v>340</v>
      </c>
      <c r="B78" t="s">
        <v>2683</v>
      </c>
      <c r="C78" t="s">
        <v>2682</v>
      </c>
      <c r="D78" t="s">
        <v>194</v>
      </c>
      <c r="E78">
        <v>3.423184</v>
      </c>
      <c r="F78">
        <v>3.6107589999999998</v>
      </c>
      <c r="G78">
        <v>3.800875</v>
      </c>
      <c r="H78">
        <v>3.9895149999999999</v>
      </c>
      <c r="I78">
        <v>4.1779780000000004</v>
      </c>
      <c r="J78">
        <v>4.3662179999999999</v>
      </c>
      <c r="K78">
        <v>4.5535839999999999</v>
      </c>
      <c r="L78">
        <v>4.7394860000000003</v>
      </c>
      <c r="M78">
        <v>4.9233599999999997</v>
      </c>
      <c r="N78">
        <v>5.1051849999999996</v>
      </c>
      <c r="O78">
        <v>5.2848030000000001</v>
      </c>
      <c r="P78">
        <v>5.4617459999999998</v>
      </c>
      <c r="Q78">
        <v>5.6373300000000004</v>
      </c>
      <c r="R78">
        <v>5.8109390000000003</v>
      </c>
      <c r="S78">
        <v>5.9832280000000004</v>
      </c>
      <c r="T78">
        <v>6.1554589999999996</v>
      </c>
      <c r="U78">
        <v>6.3274910000000002</v>
      </c>
      <c r="V78">
        <v>6.499231</v>
      </c>
      <c r="W78">
        <v>6.6704470000000002</v>
      </c>
      <c r="X78">
        <v>6.8410330000000004</v>
      </c>
      <c r="Y78">
        <v>7.0111270000000001</v>
      </c>
      <c r="Z78">
        <v>7.1809719999999997</v>
      </c>
      <c r="AA78">
        <v>7.3504069999999997</v>
      </c>
      <c r="AB78">
        <v>7.5193079999999997</v>
      </c>
      <c r="AC78">
        <v>7.6875739999999997</v>
      </c>
      <c r="AD78">
        <v>7.8550940000000002</v>
      </c>
      <c r="AE78" s="9">
        <v>3.4000000000000002E-2</v>
      </c>
    </row>
    <row r="79" spans="1:31">
      <c r="A79" t="s">
        <v>692</v>
      </c>
      <c r="B79" t="s">
        <v>2681</v>
      </c>
      <c r="C79" t="s">
        <v>2680</v>
      </c>
      <c r="D79" t="s">
        <v>194</v>
      </c>
      <c r="E79">
        <v>19.803460999999999</v>
      </c>
      <c r="F79">
        <v>20.548679</v>
      </c>
      <c r="G79">
        <v>21.198917000000002</v>
      </c>
      <c r="H79">
        <v>21.767309000000001</v>
      </c>
      <c r="I79">
        <v>22.266064</v>
      </c>
      <c r="J79">
        <v>22.706779000000001</v>
      </c>
      <c r="K79">
        <v>23.098610000000001</v>
      </c>
      <c r="L79">
        <v>23.448578000000001</v>
      </c>
      <c r="M79">
        <v>23.762236000000001</v>
      </c>
      <c r="N79">
        <v>24.044249000000001</v>
      </c>
      <c r="O79">
        <v>24.298673999999998</v>
      </c>
      <c r="P79">
        <v>24.529485999999999</v>
      </c>
      <c r="Q79">
        <v>24.739484999999998</v>
      </c>
      <c r="R79">
        <v>24.933277</v>
      </c>
      <c r="S79">
        <v>25.113233999999999</v>
      </c>
      <c r="T79">
        <v>25.281115</v>
      </c>
      <c r="U79">
        <v>25.438202</v>
      </c>
      <c r="V79">
        <v>25.586137999999998</v>
      </c>
      <c r="W79">
        <v>25.726053</v>
      </c>
      <c r="X79">
        <v>25.858837000000001</v>
      </c>
      <c r="Y79">
        <v>25.985292000000001</v>
      </c>
      <c r="Z79">
        <v>26.105982000000001</v>
      </c>
      <c r="AA79">
        <v>26.221277000000001</v>
      </c>
      <c r="AB79">
        <v>26.331917000000001</v>
      </c>
      <c r="AC79">
        <v>26.438707000000001</v>
      </c>
      <c r="AD79">
        <v>26.542497999999998</v>
      </c>
      <c r="AE79" s="9">
        <v>1.2E-2</v>
      </c>
    </row>
    <row r="80" spans="1:31">
      <c r="A80" t="s">
        <v>341</v>
      </c>
      <c r="B80" t="s">
        <v>2679</v>
      </c>
      <c r="C80" t="s">
        <v>2678</v>
      </c>
      <c r="D80" t="s">
        <v>194</v>
      </c>
      <c r="E80">
        <v>8.8007729999999995</v>
      </c>
      <c r="F80">
        <v>8.2775940000000006</v>
      </c>
      <c r="G80">
        <v>7.8187040000000003</v>
      </c>
      <c r="H80">
        <v>7.4284780000000001</v>
      </c>
      <c r="I80">
        <v>7.099774</v>
      </c>
      <c r="J80">
        <v>6.8228790000000004</v>
      </c>
      <c r="K80">
        <v>6.5915549999999996</v>
      </c>
      <c r="L80">
        <v>6.3975970000000002</v>
      </c>
      <c r="M80">
        <v>6.2355359999999997</v>
      </c>
      <c r="N80">
        <v>6.1006159999999996</v>
      </c>
      <c r="O80">
        <v>5.989312</v>
      </c>
      <c r="P80">
        <v>5.8981070000000004</v>
      </c>
      <c r="Q80">
        <v>5.8240030000000003</v>
      </c>
      <c r="R80">
        <v>5.7642559999999996</v>
      </c>
      <c r="S80">
        <v>5.7163940000000002</v>
      </c>
      <c r="T80">
        <v>5.6788850000000002</v>
      </c>
      <c r="U80">
        <v>5.6503160000000001</v>
      </c>
      <c r="V80">
        <v>5.6295210000000004</v>
      </c>
      <c r="W80">
        <v>5.6152870000000004</v>
      </c>
      <c r="X80">
        <v>5.6064870000000004</v>
      </c>
      <c r="Y80">
        <v>5.602176</v>
      </c>
      <c r="Z80">
        <v>5.6016069999999996</v>
      </c>
      <c r="AA80">
        <v>5.6044340000000004</v>
      </c>
      <c r="AB80">
        <v>5.6100950000000003</v>
      </c>
      <c r="AC80">
        <v>5.6182040000000004</v>
      </c>
      <c r="AD80">
        <v>5.6284879999999999</v>
      </c>
      <c r="AE80" s="9">
        <v>-1.7999999999999999E-2</v>
      </c>
    </row>
    <row r="81" spans="1:31">
      <c r="A81" t="s">
        <v>205</v>
      </c>
      <c r="B81" t="s">
        <v>2677</v>
      </c>
      <c r="C81" t="s">
        <v>2676</v>
      </c>
      <c r="D81" t="s">
        <v>194</v>
      </c>
      <c r="E81">
        <v>4.9472129999999996</v>
      </c>
      <c r="F81">
        <v>5.223986</v>
      </c>
      <c r="G81">
        <v>5.4771619999999999</v>
      </c>
      <c r="H81">
        <v>5.7276360000000004</v>
      </c>
      <c r="I81">
        <v>5.9776239999999996</v>
      </c>
      <c r="J81">
        <v>6.2310739999999996</v>
      </c>
      <c r="K81">
        <v>6.4893640000000001</v>
      </c>
      <c r="L81">
        <v>6.7491490000000001</v>
      </c>
      <c r="M81">
        <v>7.0109979999999998</v>
      </c>
      <c r="N81">
        <v>7.2763289999999996</v>
      </c>
      <c r="O81">
        <v>7.5456599999999998</v>
      </c>
      <c r="P81">
        <v>7.8198550000000004</v>
      </c>
      <c r="Q81">
        <v>8.0985530000000008</v>
      </c>
      <c r="R81">
        <v>8.3813300000000002</v>
      </c>
      <c r="S81">
        <v>8.6682930000000002</v>
      </c>
      <c r="T81">
        <v>8.9594919999999991</v>
      </c>
      <c r="U81">
        <v>9.2551480000000002</v>
      </c>
      <c r="V81">
        <v>9.5549970000000002</v>
      </c>
      <c r="W81">
        <v>9.8591770000000007</v>
      </c>
      <c r="X81">
        <v>10.167911999999999</v>
      </c>
      <c r="Y81">
        <v>10.481163</v>
      </c>
      <c r="Z81">
        <v>10.798802</v>
      </c>
      <c r="AA81">
        <v>11.120630999999999</v>
      </c>
      <c r="AB81">
        <v>11.446486</v>
      </c>
      <c r="AC81">
        <v>11.776161999999999</v>
      </c>
      <c r="AD81">
        <v>12.109522999999999</v>
      </c>
      <c r="AE81" s="9">
        <v>3.5999999999999997E-2</v>
      </c>
    </row>
    <row r="82" spans="1:31">
      <c r="A82" t="s">
        <v>342</v>
      </c>
      <c r="B82" t="s">
        <v>2675</v>
      </c>
      <c r="C82" t="s">
        <v>2674</v>
      </c>
      <c r="D82" t="s">
        <v>194</v>
      </c>
      <c r="E82">
        <v>2.285974</v>
      </c>
      <c r="F82">
        <v>2.2924950000000002</v>
      </c>
      <c r="G82">
        <v>2.3104360000000002</v>
      </c>
      <c r="H82">
        <v>2.3340070000000002</v>
      </c>
      <c r="I82">
        <v>2.3585750000000001</v>
      </c>
      <c r="J82">
        <v>2.383829</v>
      </c>
      <c r="K82">
        <v>2.409691</v>
      </c>
      <c r="L82">
        <v>2.436051</v>
      </c>
      <c r="M82">
        <v>2.4627569999999999</v>
      </c>
      <c r="N82">
        <v>2.4896259999999999</v>
      </c>
      <c r="O82">
        <v>2.5164930000000001</v>
      </c>
      <c r="P82">
        <v>2.5432260000000002</v>
      </c>
      <c r="Q82">
        <v>2.569715</v>
      </c>
      <c r="R82">
        <v>2.59585</v>
      </c>
      <c r="S82">
        <v>2.6215229999999998</v>
      </c>
      <c r="T82">
        <v>2.6466409999999998</v>
      </c>
      <c r="U82">
        <v>2.671119</v>
      </c>
      <c r="V82">
        <v>2.6948780000000001</v>
      </c>
      <c r="W82">
        <v>2.717848</v>
      </c>
      <c r="X82">
        <v>2.739967</v>
      </c>
      <c r="Y82">
        <v>2.7611750000000002</v>
      </c>
      <c r="Z82">
        <v>2.7814230000000002</v>
      </c>
      <c r="AA82">
        <v>2.8006600000000001</v>
      </c>
      <c r="AB82">
        <v>2.8188439999999999</v>
      </c>
      <c r="AC82">
        <v>2.8359350000000001</v>
      </c>
      <c r="AD82">
        <v>2.8519019999999999</v>
      </c>
      <c r="AE82" s="9">
        <v>8.9999999999999993E-3</v>
      </c>
    </row>
    <row r="83" spans="1:31">
      <c r="A83" t="s">
        <v>683</v>
      </c>
      <c r="B83" t="s">
        <v>2673</v>
      </c>
      <c r="C83" t="s">
        <v>2672</v>
      </c>
      <c r="D83" t="s">
        <v>194</v>
      </c>
      <c r="E83">
        <v>4.7625849999999996</v>
      </c>
      <c r="F83">
        <v>5.0333829999999997</v>
      </c>
      <c r="G83">
        <v>5.2902170000000002</v>
      </c>
      <c r="H83">
        <v>5.5300209999999996</v>
      </c>
      <c r="I83">
        <v>5.7648190000000001</v>
      </c>
      <c r="J83">
        <v>5.9990959999999998</v>
      </c>
      <c r="K83">
        <v>6.2341699999999998</v>
      </c>
      <c r="L83">
        <v>6.4710650000000003</v>
      </c>
      <c r="M83">
        <v>6.7098880000000003</v>
      </c>
      <c r="N83">
        <v>6.9501379999999999</v>
      </c>
      <c r="O83">
        <v>7.1912399999999996</v>
      </c>
      <c r="P83">
        <v>7.4334350000000002</v>
      </c>
      <c r="Q83">
        <v>7.6783279999999996</v>
      </c>
      <c r="R83">
        <v>7.9264169999999998</v>
      </c>
      <c r="S83">
        <v>8.1783940000000008</v>
      </c>
      <c r="T83">
        <v>8.4339440000000003</v>
      </c>
      <c r="U83">
        <v>8.6928350000000005</v>
      </c>
      <c r="V83">
        <v>8.9549970000000005</v>
      </c>
      <c r="W83">
        <v>9.2207469999999994</v>
      </c>
      <c r="X83">
        <v>9.4899920000000009</v>
      </c>
      <c r="Y83">
        <v>9.7625550000000008</v>
      </c>
      <c r="Z83">
        <v>10.038292999999999</v>
      </c>
      <c r="AA83">
        <v>10.316409999999999</v>
      </c>
      <c r="AB83">
        <v>10.596745</v>
      </c>
      <c r="AC83">
        <v>10.879801</v>
      </c>
      <c r="AD83">
        <v>11.165881000000001</v>
      </c>
      <c r="AE83" s="9">
        <v>3.5000000000000003E-2</v>
      </c>
    </row>
    <row r="84" spans="1:31">
      <c r="A84" t="s">
        <v>343</v>
      </c>
      <c r="B84" t="s">
        <v>2671</v>
      </c>
      <c r="C84" t="s">
        <v>2668</v>
      </c>
      <c r="D84" t="s">
        <v>194</v>
      </c>
      <c r="E84">
        <v>36.181755000000003</v>
      </c>
      <c r="F84">
        <v>36.955489999999998</v>
      </c>
      <c r="G84">
        <v>37.591845999999997</v>
      </c>
      <c r="H84">
        <v>38.131973000000002</v>
      </c>
      <c r="I84">
        <v>38.728152999999999</v>
      </c>
      <c r="J84">
        <v>39.369143999999999</v>
      </c>
      <c r="K84">
        <v>40.004364000000002</v>
      </c>
      <c r="L84">
        <v>40.685543000000003</v>
      </c>
      <c r="M84">
        <v>41.387745000000002</v>
      </c>
      <c r="N84">
        <v>42.115848999999997</v>
      </c>
      <c r="O84">
        <v>42.870693000000003</v>
      </c>
      <c r="P84">
        <v>43.55724</v>
      </c>
      <c r="Q84">
        <v>44.245109999999997</v>
      </c>
      <c r="R84">
        <v>44.931660000000001</v>
      </c>
      <c r="S84">
        <v>45.610008000000001</v>
      </c>
      <c r="T84">
        <v>46.294333999999999</v>
      </c>
      <c r="U84">
        <v>46.967154999999998</v>
      </c>
      <c r="V84">
        <v>47.65202</v>
      </c>
      <c r="W84">
        <v>48.350425999999999</v>
      </c>
      <c r="X84">
        <v>49.048313</v>
      </c>
      <c r="Y84">
        <v>49.747065999999997</v>
      </c>
      <c r="Z84">
        <v>50.436089000000003</v>
      </c>
      <c r="AA84">
        <v>51.106335000000001</v>
      </c>
      <c r="AB84">
        <v>51.778049000000003</v>
      </c>
      <c r="AC84">
        <v>52.439540999999998</v>
      </c>
      <c r="AD84">
        <v>53.105742999999997</v>
      </c>
      <c r="AE84" s="9">
        <v>1.4999999999999999E-2</v>
      </c>
    </row>
    <row r="85" spans="1:31">
      <c r="A85" t="s">
        <v>344</v>
      </c>
      <c r="B85" t="s">
        <v>2670</v>
      </c>
      <c r="C85" t="s">
        <v>2668</v>
      </c>
      <c r="D85" t="s">
        <v>194</v>
      </c>
      <c r="E85">
        <v>139.72500600000001</v>
      </c>
      <c r="F85">
        <v>144.72332800000001</v>
      </c>
      <c r="G85">
        <v>149.23396299999999</v>
      </c>
      <c r="H85">
        <v>153.34271200000001</v>
      </c>
      <c r="I85">
        <v>157.42896999999999</v>
      </c>
      <c r="J85">
        <v>161.48826600000001</v>
      </c>
      <c r="K85">
        <v>165.389816</v>
      </c>
      <c r="L85">
        <v>169.310272</v>
      </c>
      <c r="M85">
        <v>173.24710099999999</v>
      </c>
      <c r="N85">
        <v>177.22352599999999</v>
      </c>
      <c r="O85">
        <v>181.24494899999999</v>
      </c>
      <c r="P85">
        <v>185.09281899999999</v>
      </c>
      <c r="Q85">
        <v>188.92816199999999</v>
      </c>
      <c r="R85">
        <v>192.74288899999999</v>
      </c>
      <c r="S85">
        <v>196.53218100000001</v>
      </c>
      <c r="T85">
        <v>200.34471099999999</v>
      </c>
      <c r="U85">
        <v>204.132339</v>
      </c>
      <c r="V85">
        <v>207.97056599999999</v>
      </c>
      <c r="W85">
        <v>211.86218299999999</v>
      </c>
      <c r="X85">
        <v>215.75482199999999</v>
      </c>
      <c r="Y85">
        <v>219.647415</v>
      </c>
      <c r="Z85">
        <v>223.523483</v>
      </c>
      <c r="AA85">
        <v>227.35835299999999</v>
      </c>
      <c r="AB85">
        <v>231.218155</v>
      </c>
      <c r="AC85">
        <v>235.08410599999999</v>
      </c>
      <c r="AD85">
        <v>239.010178</v>
      </c>
      <c r="AE85" s="9">
        <v>2.1999999999999999E-2</v>
      </c>
    </row>
    <row r="86" spans="1:31">
      <c r="A86" t="s">
        <v>111</v>
      </c>
      <c r="B86" t="s">
        <v>2669</v>
      </c>
      <c r="C86" t="s">
        <v>2668</v>
      </c>
      <c r="D86" t="s">
        <v>194</v>
      </c>
      <c r="E86">
        <v>175.90678399999999</v>
      </c>
      <c r="F86">
        <v>181.678833</v>
      </c>
      <c r="G86">
        <v>186.825806</v>
      </c>
      <c r="H86">
        <v>191.47470100000001</v>
      </c>
      <c r="I86">
        <v>196.157104</v>
      </c>
      <c r="J86">
        <v>200.85742200000001</v>
      </c>
      <c r="K86">
        <v>205.39418000000001</v>
      </c>
      <c r="L86">
        <v>209.99580399999999</v>
      </c>
      <c r="M86">
        <v>214.63484199999999</v>
      </c>
      <c r="N86">
        <v>219.339371</v>
      </c>
      <c r="O86">
        <v>224.11563100000001</v>
      </c>
      <c r="P86">
        <v>228.650024</v>
      </c>
      <c r="Q86">
        <v>233.17321799999999</v>
      </c>
      <c r="R86">
        <v>237.67454499999999</v>
      </c>
      <c r="S86">
        <v>242.142166</v>
      </c>
      <c r="T86">
        <v>246.63906900000001</v>
      </c>
      <c r="U86">
        <v>251.09951799999999</v>
      </c>
      <c r="V86">
        <v>255.62257399999999</v>
      </c>
      <c r="W86">
        <v>260.21261600000003</v>
      </c>
      <c r="X86">
        <v>264.80316199999999</v>
      </c>
      <c r="Y86">
        <v>269.39450099999999</v>
      </c>
      <c r="Z86">
        <v>273.959564</v>
      </c>
      <c r="AA86">
        <v>278.46469100000002</v>
      </c>
      <c r="AB86">
        <v>282.996216</v>
      </c>
      <c r="AC86">
        <v>287.52362099999999</v>
      </c>
      <c r="AD86">
        <v>292.11593599999998</v>
      </c>
      <c r="AE86" s="9">
        <v>0.02</v>
      </c>
    </row>
    <row r="87" spans="1:31">
      <c r="A87" t="s">
        <v>112</v>
      </c>
    </row>
    <row r="88" spans="1:31">
      <c r="A88" t="s">
        <v>203</v>
      </c>
      <c r="B88" t="s">
        <v>2667</v>
      </c>
      <c r="C88" t="s">
        <v>2666</v>
      </c>
      <c r="D88" t="s">
        <v>194</v>
      </c>
      <c r="E88">
        <v>1422.048828</v>
      </c>
      <c r="F88">
        <v>1468.2332759999999</v>
      </c>
      <c r="G88">
        <v>1496.577759</v>
      </c>
      <c r="H88">
        <v>1509.595947</v>
      </c>
      <c r="I88">
        <v>1529.5269780000001</v>
      </c>
      <c r="J88">
        <v>1555.4132079999999</v>
      </c>
      <c r="K88">
        <v>1580.1010739999999</v>
      </c>
      <c r="L88">
        <v>1611.122803</v>
      </c>
      <c r="M88">
        <v>1644.945557</v>
      </c>
      <c r="N88">
        <v>1682.2456050000001</v>
      </c>
      <c r="O88">
        <v>1723.3199460000001</v>
      </c>
      <c r="P88">
        <v>1754.506226</v>
      </c>
      <c r="Q88">
        <v>1785.8876949999999</v>
      </c>
      <c r="R88">
        <v>1816.998169</v>
      </c>
      <c r="S88">
        <v>1846.7631839999999</v>
      </c>
      <c r="T88">
        <v>1877.2617190000001</v>
      </c>
      <c r="U88">
        <v>1905.855957</v>
      </c>
      <c r="V88">
        <v>1936.1079099999999</v>
      </c>
      <c r="W88">
        <v>1968.376221</v>
      </c>
      <c r="X88">
        <v>2000.6152340000001</v>
      </c>
      <c r="Y88">
        <v>2033.136841</v>
      </c>
      <c r="Z88">
        <v>2064.2653810000002</v>
      </c>
      <c r="AA88">
        <v>2092.6030270000001</v>
      </c>
      <c r="AB88">
        <v>2121.2827149999998</v>
      </c>
      <c r="AC88">
        <v>2148.4807129999999</v>
      </c>
      <c r="AD88">
        <v>2176.4729000000002</v>
      </c>
      <c r="AE88" s="9">
        <v>1.7000000000000001E-2</v>
      </c>
    </row>
    <row r="89" spans="1:31">
      <c r="A89" t="s">
        <v>209</v>
      </c>
      <c r="B89" t="s">
        <v>2665</v>
      </c>
      <c r="C89" t="s">
        <v>2664</v>
      </c>
      <c r="D89" t="s">
        <v>194</v>
      </c>
      <c r="E89">
        <v>897.18633999999997</v>
      </c>
      <c r="F89">
        <v>926.10199</v>
      </c>
      <c r="G89">
        <v>943.23931900000002</v>
      </c>
      <c r="H89">
        <v>950.25439500000005</v>
      </c>
      <c r="I89">
        <v>961.788635</v>
      </c>
      <c r="J89">
        <v>977.222351</v>
      </c>
      <c r="K89">
        <v>991.85101299999997</v>
      </c>
      <c r="L89">
        <v>1010.612854</v>
      </c>
      <c r="M89">
        <v>1031.1839600000001</v>
      </c>
      <c r="N89">
        <v>1054.0023189999999</v>
      </c>
      <c r="O89">
        <v>1079.259155</v>
      </c>
      <c r="P89">
        <v>1098.0113530000001</v>
      </c>
      <c r="Q89">
        <v>1116.8629149999999</v>
      </c>
      <c r="R89">
        <v>1135.508057</v>
      </c>
      <c r="S89">
        <v>1153.2456050000001</v>
      </c>
      <c r="T89">
        <v>1171.422607</v>
      </c>
      <c r="U89">
        <v>1188.324341</v>
      </c>
      <c r="V89">
        <v>1206.2735600000001</v>
      </c>
      <c r="W89">
        <v>1225.5010990000001</v>
      </c>
      <c r="X89">
        <v>1244.672607</v>
      </c>
      <c r="Y89">
        <v>1263.9907229999999</v>
      </c>
      <c r="Z89">
        <v>1282.365112</v>
      </c>
      <c r="AA89">
        <v>1298.889038</v>
      </c>
      <c r="AB89">
        <v>1315.599121</v>
      </c>
      <c r="AC89">
        <v>1331.311279</v>
      </c>
      <c r="AD89">
        <v>1347.5010990000001</v>
      </c>
      <c r="AE89" s="9">
        <v>1.6E-2</v>
      </c>
    </row>
    <row r="90" spans="1:31">
      <c r="A90" t="s">
        <v>210</v>
      </c>
      <c r="B90" t="s">
        <v>2663</v>
      </c>
      <c r="C90" t="s">
        <v>2662</v>
      </c>
      <c r="D90" t="s">
        <v>194</v>
      </c>
      <c r="E90">
        <v>439.12893700000001</v>
      </c>
      <c r="F90">
        <v>453.643372</v>
      </c>
      <c r="G90">
        <v>463.24298099999999</v>
      </c>
      <c r="H90">
        <v>468.62368800000002</v>
      </c>
      <c r="I90">
        <v>475.96005200000002</v>
      </c>
      <c r="J90">
        <v>484.97366299999999</v>
      </c>
      <c r="K90">
        <v>493.67294299999998</v>
      </c>
      <c r="L90">
        <v>504.17214999999999</v>
      </c>
      <c r="M90">
        <v>515.48889199999996</v>
      </c>
      <c r="N90">
        <v>527.81878700000004</v>
      </c>
      <c r="O90">
        <v>541.24926800000003</v>
      </c>
      <c r="P90">
        <v>551.928223</v>
      </c>
      <c r="Q90">
        <v>562.694885</v>
      </c>
      <c r="R90">
        <v>573.41772500000002</v>
      </c>
      <c r="S90">
        <v>583.79187000000002</v>
      </c>
      <c r="T90">
        <v>594.41925000000003</v>
      </c>
      <c r="U90">
        <v>604.542236</v>
      </c>
      <c r="V90">
        <v>615.17535399999997</v>
      </c>
      <c r="W90">
        <v>626.42407200000002</v>
      </c>
      <c r="X90">
        <v>637.70642099999998</v>
      </c>
      <c r="Y90">
        <v>649.11187700000005</v>
      </c>
      <c r="Z90">
        <v>660.16101100000003</v>
      </c>
      <c r="AA90">
        <v>670.44988999999998</v>
      </c>
      <c r="AB90">
        <v>680.87811299999998</v>
      </c>
      <c r="AC90">
        <v>690.92040999999995</v>
      </c>
      <c r="AD90">
        <v>701.23468000000003</v>
      </c>
      <c r="AE90" s="9">
        <v>1.9E-2</v>
      </c>
    </row>
    <row r="91" spans="1:31">
      <c r="A91" t="s">
        <v>211</v>
      </c>
      <c r="B91" t="s">
        <v>2661</v>
      </c>
      <c r="C91" t="s">
        <v>2660</v>
      </c>
      <c r="D91" t="s">
        <v>194</v>
      </c>
      <c r="E91">
        <v>85.733581999999998</v>
      </c>
      <c r="F91">
        <v>88.487808000000001</v>
      </c>
      <c r="G91">
        <v>90.095551</v>
      </c>
      <c r="H91">
        <v>90.717903000000007</v>
      </c>
      <c r="I91">
        <v>91.778419</v>
      </c>
      <c r="J91">
        <v>93.217254999999994</v>
      </c>
      <c r="K91">
        <v>94.577208999999996</v>
      </c>
      <c r="L91">
        <v>96.337615999999997</v>
      </c>
      <c r="M91">
        <v>98.272591000000006</v>
      </c>
      <c r="N91">
        <v>100.424454</v>
      </c>
      <c r="O91">
        <v>102.811615</v>
      </c>
      <c r="P91">
        <v>104.566551</v>
      </c>
      <c r="Q91">
        <v>106.330017</v>
      </c>
      <c r="R91">
        <v>108.072357</v>
      </c>
      <c r="S91">
        <v>109.72560900000001</v>
      </c>
      <c r="T91">
        <v>111.41992999999999</v>
      </c>
      <c r="U91">
        <v>112.989403</v>
      </c>
      <c r="V91">
        <v>114.65904999999999</v>
      </c>
      <c r="W91">
        <v>116.451126</v>
      </c>
      <c r="X91">
        <v>118.23632000000001</v>
      </c>
      <c r="Y91">
        <v>120.03424800000001</v>
      </c>
      <c r="Z91">
        <v>121.739395</v>
      </c>
      <c r="AA91">
        <v>123.26413700000001</v>
      </c>
      <c r="AB91">
        <v>124.80548899999999</v>
      </c>
      <c r="AC91">
        <v>126.248947</v>
      </c>
      <c r="AD91">
        <v>127.737106</v>
      </c>
      <c r="AE91" s="9">
        <v>1.6E-2</v>
      </c>
    </row>
    <row r="92" spans="1:31">
      <c r="A92" t="s">
        <v>204</v>
      </c>
      <c r="B92" t="s">
        <v>2659</v>
      </c>
      <c r="C92" t="s">
        <v>2658</v>
      </c>
      <c r="D92" t="s">
        <v>194</v>
      </c>
      <c r="E92">
        <v>153.52301</v>
      </c>
      <c r="F92">
        <v>156.75119000000001</v>
      </c>
      <c r="G92">
        <v>159.983383</v>
      </c>
      <c r="H92">
        <v>163.74200400000001</v>
      </c>
      <c r="I92">
        <v>167.565506</v>
      </c>
      <c r="J92">
        <v>171.46038799999999</v>
      </c>
      <c r="K92">
        <v>175.41145299999999</v>
      </c>
      <c r="L92">
        <v>179.41497799999999</v>
      </c>
      <c r="M92">
        <v>183.48803699999999</v>
      </c>
      <c r="N92">
        <v>187.62974500000001</v>
      </c>
      <c r="O92">
        <v>191.84021000000001</v>
      </c>
      <c r="P92">
        <v>196.11605800000001</v>
      </c>
      <c r="Q92">
        <v>200.45474200000001</v>
      </c>
      <c r="R92">
        <v>204.85633899999999</v>
      </c>
      <c r="S92">
        <v>209.33021500000001</v>
      </c>
      <c r="T92">
        <v>213.87429800000001</v>
      </c>
      <c r="U92">
        <v>218.496567</v>
      </c>
      <c r="V92">
        <v>223.19648699999999</v>
      </c>
      <c r="W92">
        <v>227.97309899999999</v>
      </c>
      <c r="X92">
        <v>232.822281</v>
      </c>
      <c r="Y92">
        <v>237.73857100000001</v>
      </c>
      <c r="Z92">
        <v>242.73268100000001</v>
      </c>
      <c r="AA92">
        <v>247.811859</v>
      </c>
      <c r="AB92">
        <v>252.97403</v>
      </c>
      <c r="AC92">
        <v>258.22345000000001</v>
      </c>
      <c r="AD92">
        <v>263.55206299999998</v>
      </c>
      <c r="AE92" s="9">
        <v>2.1999999999999999E-2</v>
      </c>
    </row>
    <row r="93" spans="1:31">
      <c r="A93" t="s">
        <v>209</v>
      </c>
      <c r="B93" t="s">
        <v>2657</v>
      </c>
      <c r="C93" t="s">
        <v>2656</v>
      </c>
      <c r="D93" t="s">
        <v>194</v>
      </c>
      <c r="E93">
        <v>61.755752999999999</v>
      </c>
      <c r="F93">
        <v>62.900623000000003</v>
      </c>
      <c r="G93">
        <v>64.050490999999994</v>
      </c>
      <c r="H93">
        <v>65.383162999999996</v>
      </c>
      <c r="I93">
        <v>66.736900000000006</v>
      </c>
      <c r="J93">
        <v>68.113144000000005</v>
      </c>
      <c r="K93">
        <v>69.501968000000005</v>
      </c>
      <c r="L93">
        <v>70.902373999999995</v>
      </c>
      <c r="M93">
        <v>72.325660999999997</v>
      </c>
      <c r="N93">
        <v>73.770522999999997</v>
      </c>
      <c r="O93">
        <v>75.236098999999996</v>
      </c>
      <c r="P93">
        <v>76.719832999999994</v>
      </c>
      <c r="Q93">
        <v>78.221237000000002</v>
      </c>
      <c r="R93">
        <v>79.740027999999995</v>
      </c>
      <c r="S93">
        <v>81.281479000000004</v>
      </c>
      <c r="T93">
        <v>82.842986999999994</v>
      </c>
      <c r="U93">
        <v>84.428764000000001</v>
      </c>
      <c r="V93">
        <v>86.037711999999999</v>
      </c>
      <c r="W93">
        <v>87.668266000000003</v>
      </c>
      <c r="X93">
        <v>89.317466999999994</v>
      </c>
      <c r="Y93">
        <v>90.982123999999999</v>
      </c>
      <c r="Z93">
        <v>92.668227999999999</v>
      </c>
      <c r="AA93">
        <v>94.378203999999997</v>
      </c>
      <c r="AB93">
        <v>96.109825000000001</v>
      </c>
      <c r="AC93">
        <v>97.865311000000005</v>
      </c>
      <c r="AD93">
        <v>99.639763000000002</v>
      </c>
      <c r="AE93" s="9">
        <v>1.9E-2</v>
      </c>
    </row>
    <row r="94" spans="1:31">
      <c r="A94" t="s">
        <v>210</v>
      </c>
      <c r="B94" t="s">
        <v>2655</v>
      </c>
      <c r="C94" t="s">
        <v>2654</v>
      </c>
      <c r="D94" t="s">
        <v>194</v>
      </c>
      <c r="E94">
        <v>84.148787999999996</v>
      </c>
      <c r="F94">
        <v>86.085739000000004</v>
      </c>
      <c r="G94">
        <v>88.021248</v>
      </c>
      <c r="H94">
        <v>90.276825000000002</v>
      </c>
      <c r="I94">
        <v>92.573463000000004</v>
      </c>
      <c r="J94">
        <v>94.916022999999996</v>
      </c>
      <c r="K94">
        <v>97.300262000000004</v>
      </c>
      <c r="L94">
        <v>99.723656000000005</v>
      </c>
      <c r="M94">
        <v>102.190704</v>
      </c>
      <c r="N94">
        <v>104.701958</v>
      </c>
      <c r="O94">
        <v>107.25846900000001</v>
      </c>
      <c r="P94">
        <v>109.859718</v>
      </c>
      <c r="Q94">
        <v>112.503685</v>
      </c>
      <c r="R94">
        <v>115.19077299999999</v>
      </c>
      <c r="S94">
        <v>117.92448400000001</v>
      </c>
      <c r="T94">
        <v>120.705574</v>
      </c>
      <c r="U94">
        <v>123.53733099999999</v>
      </c>
      <c r="V94">
        <v>126.420479</v>
      </c>
      <c r="W94">
        <v>129.355728</v>
      </c>
      <c r="X94">
        <v>132.34225499999999</v>
      </c>
      <c r="Y94">
        <v>135.37814299999999</v>
      </c>
      <c r="Z94">
        <v>138.46743799999999</v>
      </c>
      <c r="AA94">
        <v>141.61463900000001</v>
      </c>
      <c r="AB94">
        <v>144.82011399999999</v>
      </c>
      <c r="AC94">
        <v>148.08566300000001</v>
      </c>
      <c r="AD94">
        <v>151.40867600000001</v>
      </c>
      <c r="AE94" s="9">
        <v>2.4E-2</v>
      </c>
    </row>
    <row r="95" spans="1:31">
      <c r="A95" t="s">
        <v>211</v>
      </c>
      <c r="B95" t="s">
        <v>2653</v>
      </c>
      <c r="C95" t="s">
        <v>2652</v>
      </c>
      <c r="D95" t="s">
        <v>194</v>
      </c>
      <c r="E95">
        <v>7.6184760000000002</v>
      </c>
      <c r="F95">
        <v>7.7648130000000002</v>
      </c>
      <c r="G95">
        <v>7.9116549999999997</v>
      </c>
      <c r="H95">
        <v>8.0820089999999993</v>
      </c>
      <c r="I95">
        <v>8.2551279999999991</v>
      </c>
      <c r="J95">
        <v>8.4312310000000004</v>
      </c>
      <c r="K95">
        <v>8.6092189999999995</v>
      </c>
      <c r="L95">
        <v>8.7889490000000006</v>
      </c>
      <c r="M95">
        <v>8.9716729999999991</v>
      </c>
      <c r="N95">
        <v>9.1572580000000006</v>
      </c>
      <c r="O95">
        <v>9.3456290000000006</v>
      </c>
      <c r="P95">
        <v>9.5365099999999998</v>
      </c>
      <c r="Q95">
        <v>9.7298229999999997</v>
      </c>
      <c r="R95">
        <v>9.9255460000000006</v>
      </c>
      <c r="S95">
        <v>10.124275000000001</v>
      </c>
      <c r="T95">
        <v>10.325751</v>
      </c>
      <c r="U95">
        <v>10.530459</v>
      </c>
      <c r="V95">
        <v>10.738293000000001</v>
      </c>
      <c r="W95">
        <v>10.9491</v>
      </c>
      <c r="X95">
        <v>11.162554999999999</v>
      </c>
      <c r="Y95">
        <v>11.378303000000001</v>
      </c>
      <c r="Z95">
        <v>11.597022000000001</v>
      </c>
      <c r="AA95">
        <v>11.819027</v>
      </c>
      <c r="AB95">
        <v>12.044098</v>
      </c>
      <c r="AC95">
        <v>12.27248</v>
      </c>
      <c r="AD95">
        <v>12.503633000000001</v>
      </c>
      <c r="AE95" s="9">
        <v>0.02</v>
      </c>
    </row>
    <row r="96" spans="1:31">
      <c r="A96" t="s">
        <v>713</v>
      </c>
      <c r="B96" t="s">
        <v>2651</v>
      </c>
      <c r="C96" t="s">
        <v>2650</v>
      </c>
      <c r="D96" t="s">
        <v>194</v>
      </c>
      <c r="E96">
        <v>125.195137</v>
      </c>
      <c r="F96">
        <v>129.65220600000001</v>
      </c>
      <c r="G96">
        <v>134.191498</v>
      </c>
      <c r="H96">
        <v>138.78720100000001</v>
      </c>
      <c r="I96">
        <v>143.481537</v>
      </c>
      <c r="J96">
        <v>148.29255699999999</v>
      </c>
      <c r="K96">
        <v>153.22500600000001</v>
      </c>
      <c r="L96">
        <v>158.290054</v>
      </c>
      <c r="M96">
        <v>163.494247</v>
      </c>
      <c r="N96">
        <v>168.83618200000001</v>
      </c>
      <c r="O96">
        <v>174.31922900000001</v>
      </c>
      <c r="P96">
        <v>179.94657900000001</v>
      </c>
      <c r="Q96">
        <v>185.72125199999999</v>
      </c>
      <c r="R96">
        <v>191.646591</v>
      </c>
      <c r="S96">
        <v>197.718277</v>
      </c>
      <c r="T96">
        <v>203.93481399999999</v>
      </c>
      <c r="U96">
        <v>210.30452</v>
      </c>
      <c r="V96">
        <v>216.828598</v>
      </c>
      <c r="W96">
        <v>223.50592</v>
      </c>
      <c r="X96">
        <v>230.34137000000001</v>
      </c>
      <c r="Y96">
        <v>237.33680699999999</v>
      </c>
      <c r="Z96">
        <v>244.49108899999999</v>
      </c>
      <c r="AA96">
        <v>251.80650299999999</v>
      </c>
      <c r="AB96">
        <v>259.290009</v>
      </c>
      <c r="AC96">
        <v>266.941101</v>
      </c>
      <c r="AD96">
        <v>274.760559</v>
      </c>
      <c r="AE96" s="9">
        <v>3.2000000000000001E-2</v>
      </c>
    </row>
    <row r="97" spans="1:31">
      <c r="A97" t="s">
        <v>209</v>
      </c>
      <c r="B97" t="s">
        <v>2649</v>
      </c>
      <c r="C97" t="s">
        <v>2648</v>
      </c>
      <c r="D97" t="s">
        <v>194</v>
      </c>
      <c r="E97">
        <v>94.111480999999998</v>
      </c>
      <c r="F97">
        <v>97.493561</v>
      </c>
      <c r="G97">
        <v>100.93884300000001</v>
      </c>
      <c r="H97">
        <v>104.42688800000001</v>
      </c>
      <c r="I97">
        <v>107.990891</v>
      </c>
      <c r="J97">
        <v>111.64505</v>
      </c>
      <c r="K97">
        <v>115.39299800000001</v>
      </c>
      <c r="L97">
        <v>119.24353000000001</v>
      </c>
      <c r="M97">
        <v>123.201813</v>
      </c>
      <c r="N97">
        <v>127.26692199999999</v>
      </c>
      <c r="O97">
        <v>131.441498</v>
      </c>
      <c r="P97">
        <v>135.728027</v>
      </c>
      <c r="Q97">
        <v>140.128952</v>
      </c>
      <c r="R97">
        <v>144.646851</v>
      </c>
      <c r="S97">
        <v>149.27865600000001</v>
      </c>
      <c r="T97">
        <v>154.02299500000001</v>
      </c>
      <c r="U97">
        <v>158.886414</v>
      </c>
      <c r="V97">
        <v>163.869934</v>
      </c>
      <c r="W97">
        <v>168.97294600000001</v>
      </c>
      <c r="X97">
        <v>174.199219</v>
      </c>
      <c r="Y97">
        <v>179.550308</v>
      </c>
      <c r="Z97">
        <v>185.025543</v>
      </c>
      <c r="AA97">
        <v>190.626801</v>
      </c>
      <c r="AB97">
        <v>196.35943599999999</v>
      </c>
      <c r="AC97">
        <v>202.223251</v>
      </c>
      <c r="AD97">
        <v>208.219009</v>
      </c>
      <c r="AE97" s="9">
        <v>3.2000000000000001E-2</v>
      </c>
    </row>
    <row r="98" spans="1:31">
      <c r="A98" t="s">
        <v>210</v>
      </c>
      <c r="B98" t="s">
        <v>2647</v>
      </c>
      <c r="C98" t="s">
        <v>2646</v>
      </c>
      <c r="D98" t="s">
        <v>194</v>
      </c>
      <c r="E98">
        <v>24.408756</v>
      </c>
      <c r="F98">
        <v>25.234297000000002</v>
      </c>
      <c r="G98">
        <v>26.073988</v>
      </c>
      <c r="H98">
        <v>26.924144999999999</v>
      </c>
      <c r="I98">
        <v>27.791046000000001</v>
      </c>
      <c r="J98">
        <v>28.677401</v>
      </c>
      <c r="K98">
        <v>29.583922999999999</v>
      </c>
      <c r="L98">
        <v>30.512312000000001</v>
      </c>
      <c r="M98">
        <v>31.463519999999999</v>
      </c>
      <c r="N98">
        <v>32.437064999999997</v>
      </c>
      <c r="O98">
        <v>33.433472000000002</v>
      </c>
      <c r="P98">
        <v>34.453217000000002</v>
      </c>
      <c r="Q98">
        <v>35.496718999999999</v>
      </c>
      <c r="R98">
        <v>36.564480000000003</v>
      </c>
      <c r="S98">
        <v>37.655369</v>
      </c>
      <c r="T98">
        <v>38.769539000000002</v>
      </c>
      <c r="U98">
        <v>39.908172999999998</v>
      </c>
      <c r="V98">
        <v>41.071285000000003</v>
      </c>
      <c r="W98">
        <v>42.258408000000003</v>
      </c>
      <c r="X98">
        <v>43.470329</v>
      </c>
      <c r="Y98">
        <v>44.707180000000001</v>
      </c>
      <c r="Z98">
        <v>45.968494</v>
      </c>
      <c r="AA98">
        <v>47.254497999999998</v>
      </c>
      <c r="AB98">
        <v>48.566391000000003</v>
      </c>
      <c r="AC98">
        <v>49.903812000000002</v>
      </c>
      <c r="AD98">
        <v>51.266669999999998</v>
      </c>
      <c r="AE98" s="9">
        <v>0.03</v>
      </c>
    </row>
    <row r="99" spans="1:31">
      <c r="A99" t="s">
        <v>211</v>
      </c>
      <c r="B99" t="s">
        <v>2645</v>
      </c>
      <c r="C99" t="s">
        <v>2644</v>
      </c>
      <c r="D99" t="s">
        <v>194</v>
      </c>
      <c r="E99">
        <v>6.674906</v>
      </c>
      <c r="F99">
        <v>6.9243430000000004</v>
      </c>
      <c r="G99">
        <v>7.1786789999999998</v>
      </c>
      <c r="H99">
        <v>7.4361629999999996</v>
      </c>
      <c r="I99">
        <v>7.6995829999999996</v>
      </c>
      <c r="J99">
        <v>7.9701230000000001</v>
      </c>
      <c r="K99">
        <v>8.2480860000000007</v>
      </c>
      <c r="L99">
        <v>8.5342029999999998</v>
      </c>
      <c r="M99">
        <v>8.8289120000000008</v>
      </c>
      <c r="N99">
        <v>9.1321910000000006</v>
      </c>
      <c r="O99">
        <v>9.4442579999999996</v>
      </c>
      <c r="P99">
        <v>9.7653230000000004</v>
      </c>
      <c r="Q99">
        <v>10.09559</v>
      </c>
      <c r="R99">
        <v>10.435283999999999</v>
      </c>
      <c r="S99">
        <v>10.784245</v>
      </c>
      <c r="T99">
        <v>11.142282</v>
      </c>
      <c r="U99">
        <v>11.509945999999999</v>
      </c>
      <c r="V99">
        <v>11.887375</v>
      </c>
      <c r="W99">
        <v>12.274566</v>
      </c>
      <c r="X99">
        <v>12.671827</v>
      </c>
      <c r="Y99">
        <v>13.079319</v>
      </c>
      <c r="Z99">
        <v>13.497047999999999</v>
      </c>
      <c r="AA99">
        <v>13.925196</v>
      </c>
      <c r="AB99">
        <v>14.364179999999999</v>
      </c>
      <c r="AC99">
        <v>14.814038999999999</v>
      </c>
      <c r="AD99">
        <v>15.274884999999999</v>
      </c>
      <c r="AE99" s="9">
        <v>3.4000000000000002E-2</v>
      </c>
    </row>
    <row r="100" spans="1:31">
      <c r="A100" t="s">
        <v>710</v>
      </c>
      <c r="B100" t="s">
        <v>2643</v>
      </c>
      <c r="C100" t="s">
        <v>2642</v>
      </c>
      <c r="D100" t="s">
        <v>194</v>
      </c>
      <c r="E100">
        <v>1684.459961</v>
      </c>
      <c r="F100">
        <v>1718.778198</v>
      </c>
      <c r="G100">
        <v>1753.424072</v>
      </c>
      <c r="H100">
        <v>1788.4212649999999</v>
      </c>
      <c r="I100">
        <v>1823.810669</v>
      </c>
      <c r="J100">
        <v>1859.6085210000001</v>
      </c>
      <c r="K100">
        <v>1895.75647</v>
      </c>
      <c r="L100">
        <v>1932.350952</v>
      </c>
      <c r="M100">
        <v>1969.5593260000001</v>
      </c>
      <c r="N100">
        <v>2007.4470209999999</v>
      </c>
      <c r="O100">
        <v>2045.963013</v>
      </c>
      <c r="P100">
        <v>2085.1591800000001</v>
      </c>
      <c r="Q100">
        <v>2124.968018</v>
      </c>
      <c r="R100">
        <v>2165.3234859999998</v>
      </c>
      <c r="S100">
        <v>2206.2604980000001</v>
      </c>
      <c r="T100">
        <v>2247.774414</v>
      </c>
      <c r="U100">
        <v>2289.8474120000001</v>
      </c>
      <c r="V100">
        <v>2332.517578</v>
      </c>
      <c r="W100">
        <v>2375.7565920000002</v>
      </c>
      <c r="X100">
        <v>2419.5266109999998</v>
      </c>
      <c r="Y100">
        <v>2463.7990719999998</v>
      </c>
      <c r="Z100">
        <v>2508.610107</v>
      </c>
      <c r="AA100">
        <v>2553.9504390000002</v>
      </c>
      <c r="AB100">
        <v>2599.780029</v>
      </c>
      <c r="AC100">
        <v>2646.1127929999998</v>
      </c>
      <c r="AD100">
        <v>2692.961914</v>
      </c>
      <c r="AE100" s="9">
        <v>1.9E-2</v>
      </c>
    </row>
    <row r="101" spans="1:31">
      <c r="A101" t="s">
        <v>209</v>
      </c>
      <c r="B101" t="s">
        <v>2641</v>
      </c>
      <c r="C101" t="s">
        <v>2640</v>
      </c>
      <c r="D101" t="s">
        <v>194</v>
      </c>
      <c r="E101">
        <v>864.38037099999997</v>
      </c>
      <c r="F101">
        <v>883.00707999999997</v>
      </c>
      <c r="G101">
        <v>901.83013900000003</v>
      </c>
      <c r="H101">
        <v>920.840149</v>
      </c>
      <c r="I101">
        <v>940.03234899999995</v>
      </c>
      <c r="J101">
        <v>959.41461200000003</v>
      </c>
      <c r="K101">
        <v>978.95013400000005</v>
      </c>
      <c r="L101">
        <v>998.71148700000003</v>
      </c>
      <c r="M101">
        <v>1018.817078</v>
      </c>
      <c r="N101">
        <v>1039.30249</v>
      </c>
      <c r="O101">
        <v>1060.1397710000001</v>
      </c>
      <c r="P101">
        <v>1081.369751</v>
      </c>
      <c r="Q101">
        <v>1102.944702</v>
      </c>
      <c r="R101">
        <v>1124.827393</v>
      </c>
      <c r="S101">
        <v>1147.043457</v>
      </c>
      <c r="T101">
        <v>1169.591919</v>
      </c>
      <c r="U101">
        <v>1192.462524</v>
      </c>
      <c r="V101">
        <v>1215.6829829999999</v>
      </c>
      <c r="W101">
        <v>1239.238525</v>
      </c>
      <c r="X101">
        <v>1263.104736</v>
      </c>
      <c r="Y101">
        <v>1287.2658690000001</v>
      </c>
      <c r="Z101">
        <v>1311.746582</v>
      </c>
      <c r="AA101">
        <v>1336.5437010000001</v>
      </c>
      <c r="AB101">
        <v>1361.6401370000001</v>
      </c>
      <c r="AC101">
        <v>1387.051025</v>
      </c>
      <c r="AD101">
        <v>1412.789673</v>
      </c>
      <c r="AE101" s="9">
        <v>0.02</v>
      </c>
    </row>
    <row r="102" spans="1:31">
      <c r="A102" t="s">
        <v>210</v>
      </c>
      <c r="B102" t="s">
        <v>2639</v>
      </c>
      <c r="C102" t="s">
        <v>2638</v>
      </c>
      <c r="D102" t="s">
        <v>194</v>
      </c>
      <c r="E102">
        <v>758.97247300000004</v>
      </c>
      <c r="F102">
        <v>773.32983400000001</v>
      </c>
      <c r="G102">
        <v>787.80413799999997</v>
      </c>
      <c r="H102">
        <v>802.42926</v>
      </c>
      <c r="I102">
        <v>817.251892</v>
      </c>
      <c r="J102">
        <v>832.27978499999995</v>
      </c>
      <c r="K102">
        <v>847.49426300000005</v>
      </c>
      <c r="L102">
        <v>862.913635</v>
      </c>
      <c r="M102">
        <v>878.57763699999998</v>
      </c>
      <c r="N102">
        <v>894.513733</v>
      </c>
      <c r="O102">
        <v>910.70086700000002</v>
      </c>
      <c r="P102">
        <v>927.14721699999996</v>
      </c>
      <c r="Q102">
        <v>943.83605999999997</v>
      </c>
      <c r="R102">
        <v>960.74182099999996</v>
      </c>
      <c r="S102">
        <v>977.87133800000004</v>
      </c>
      <c r="T102">
        <v>995.22137499999997</v>
      </c>
      <c r="U102">
        <v>1012.784912</v>
      </c>
      <c r="V102">
        <v>1030.570557</v>
      </c>
      <c r="W102">
        <v>1048.565063</v>
      </c>
      <c r="X102">
        <v>1066.7570800000001</v>
      </c>
      <c r="Y102">
        <v>1085.1357419999999</v>
      </c>
      <c r="Z102">
        <v>1103.709717</v>
      </c>
      <c r="AA102">
        <v>1122.473999</v>
      </c>
      <c r="AB102">
        <v>1141.405884</v>
      </c>
      <c r="AC102">
        <v>1160.5032960000001</v>
      </c>
      <c r="AD102">
        <v>1179.7651370000001</v>
      </c>
      <c r="AE102" s="9">
        <v>1.7999999999999999E-2</v>
      </c>
    </row>
    <row r="103" spans="1:31">
      <c r="A103" t="s">
        <v>211</v>
      </c>
      <c r="B103" t="s">
        <v>2637</v>
      </c>
      <c r="C103" t="s">
        <v>2636</v>
      </c>
      <c r="D103" t="s">
        <v>194</v>
      </c>
      <c r="E103">
        <v>61.107044000000002</v>
      </c>
      <c r="F103">
        <v>62.441302999999998</v>
      </c>
      <c r="G103">
        <v>63.789932</v>
      </c>
      <c r="H103">
        <v>65.151886000000005</v>
      </c>
      <c r="I103">
        <v>66.526398</v>
      </c>
      <c r="J103">
        <v>67.914017000000001</v>
      </c>
      <c r="K103">
        <v>69.312019000000006</v>
      </c>
      <c r="L103">
        <v>70.725921999999997</v>
      </c>
      <c r="M103">
        <v>72.164658000000003</v>
      </c>
      <c r="N103">
        <v>73.630791000000002</v>
      </c>
      <c r="O103">
        <v>75.122298999999998</v>
      </c>
      <c r="P103">
        <v>76.642325999999997</v>
      </c>
      <c r="Q103">
        <v>78.187247999999997</v>
      </c>
      <c r="R103">
        <v>79.754401999999999</v>
      </c>
      <c r="S103">
        <v>81.345741000000004</v>
      </c>
      <c r="T103">
        <v>82.961181999999994</v>
      </c>
      <c r="U103">
        <v>84.599997999999999</v>
      </c>
      <c r="V103">
        <v>86.264313000000001</v>
      </c>
      <c r="W103">
        <v>87.953048999999993</v>
      </c>
      <c r="X103">
        <v>89.664421000000004</v>
      </c>
      <c r="Y103">
        <v>91.397246999999993</v>
      </c>
      <c r="Z103">
        <v>93.153435000000002</v>
      </c>
      <c r="AA103">
        <v>94.932747000000006</v>
      </c>
      <c r="AB103">
        <v>96.734047000000004</v>
      </c>
      <c r="AC103">
        <v>98.558548000000002</v>
      </c>
      <c r="AD103">
        <v>100.40728799999999</v>
      </c>
      <c r="AE103" s="9">
        <v>0.02</v>
      </c>
    </row>
    <row r="104" spans="1:31">
      <c r="A104" t="s">
        <v>336</v>
      </c>
      <c r="B104" t="s">
        <v>2635</v>
      </c>
      <c r="C104" t="s">
        <v>2634</v>
      </c>
      <c r="D104" t="s">
        <v>194</v>
      </c>
      <c r="E104">
        <v>223.10365300000001</v>
      </c>
      <c r="F104">
        <v>224.82252500000001</v>
      </c>
      <c r="G104">
        <v>226.523438</v>
      </c>
      <c r="H104">
        <v>227.73524499999999</v>
      </c>
      <c r="I104">
        <v>228.690414</v>
      </c>
      <c r="J104">
        <v>229.440247</v>
      </c>
      <c r="K104">
        <v>229.91059899999999</v>
      </c>
      <c r="L104">
        <v>230.30450400000001</v>
      </c>
      <c r="M104">
        <v>230.581818</v>
      </c>
      <c r="N104">
        <v>230.66790800000001</v>
      </c>
      <c r="O104">
        <v>230.58935500000001</v>
      </c>
      <c r="P104">
        <v>230.379257</v>
      </c>
      <c r="Q104">
        <v>230.127411</v>
      </c>
      <c r="R104">
        <v>229.833282</v>
      </c>
      <c r="S104">
        <v>229.487122</v>
      </c>
      <c r="T104">
        <v>229.18251000000001</v>
      </c>
      <c r="U104">
        <v>228.95282</v>
      </c>
      <c r="V104">
        <v>228.79997299999999</v>
      </c>
      <c r="W104">
        <v>228.73371900000001</v>
      </c>
      <c r="X104">
        <v>228.76908900000001</v>
      </c>
      <c r="Y104">
        <v>228.969482</v>
      </c>
      <c r="Z104">
        <v>229.322937</v>
      </c>
      <c r="AA104">
        <v>229.784988</v>
      </c>
      <c r="AB104">
        <v>230.312836</v>
      </c>
      <c r="AC104">
        <v>230.87681599999999</v>
      </c>
      <c r="AD104">
        <v>231.55372600000001</v>
      </c>
      <c r="AE104" s="9">
        <v>1E-3</v>
      </c>
    </row>
    <row r="105" spans="1:31">
      <c r="A105" t="s">
        <v>209</v>
      </c>
      <c r="B105" t="s">
        <v>2633</v>
      </c>
      <c r="C105" t="s">
        <v>2632</v>
      </c>
      <c r="D105" t="s">
        <v>194</v>
      </c>
      <c r="E105">
        <v>75.495750000000001</v>
      </c>
      <c r="F105">
        <v>75.999092000000005</v>
      </c>
      <c r="G105">
        <v>76.499649000000005</v>
      </c>
      <c r="H105">
        <v>76.932747000000006</v>
      </c>
      <c r="I105">
        <v>77.331992999999997</v>
      </c>
      <c r="J105">
        <v>77.703902999999997</v>
      </c>
      <c r="K105">
        <v>78.037102000000004</v>
      </c>
      <c r="L105">
        <v>78.360275000000001</v>
      </c>
      <c r="M105">
        <v>78.668059999999997</v>
      </c>
      <c r="N105">
        <v>78.948966999999996</v>
      </c>
      <c r="O105">
        <v>79.205803000000003</v>
      </c>
      <c r="P105">
        <v>79.444748000000004</v>
      </c>
      <c r="Q105">
        <v>79.679276000000002</v>
      </c>
      <c r="R105">
        <v>79.909728999999999</v>
      </c>
      <c r="S105">
        <v>80.134590000000003</v>
      </c>
      <c r="T105">
        <v>80.363724000000005</v>
      </c>
      <c r="U105">
        <v>80.602538999999993</v>
      </c>
      <c r="V105">
        <v>80.853667999999999</v>
      </c>
      <c r="W105">
        <v>81.120720000000006</v>
      </c>
      <c r="X105">
        <v>81.404731999999996</v>
      </c>
      <c r="Y105">
        <v>81.714691000000002</v>
      </c>
      <c r="Z105">
        <v>82.049362000000002</v>
      </c>
      <c r="AA105">
        <v>82.403510999999995</v>
      </c>
      <c r="AB105">
        <v>82.770927</v>
      </c>
      <c r="AC105">
        <v>83.146118000000001</v>
      </c>
      <c r="AD105">
        <v>83.539519999999996</v>
      </c>
      <c r="AE105" s="9">
        <v>4.0000000000000001E-3</v>
      </c>
    </row>
    <row r="106" spans="1:31">
      <c r="A106" t="s">
        <v>210</v>
      </c>
      <c r="B106" t="s">
        <v>2631</v>
      </c>
      <c r="C106" t="s">
        <v>2630</v>
      </c>
      <c r="D106" t="s">
        <v>194</v>
      </c>
      <c r="E106">
        <v>140.39276100000001</v>
      </c>
      <c r="F106">
        <v>141.56153900000001</v>
      </c>
      <c r="G106">
        <v>142.71534700000001</v>
      </c>
      <c r="H106">
        <v>143.45225500000001</v>
      </c>
      <c r="I106">
        <v>143.96871899999999</v>
      </c>
      <c r="J106">
        <v>144.30908199999999</v>
      </c>
      <c r="K106">
        <v>144.411407</v>
      </c>
      <c r="L106">
        <v>144.44798299999999</v>
      </c>
      <c r="M106">
        <v>144.38443000000001</v>
      </c>
      <c r="N106">
        <v>144.158447</v>
      </c>
      <c r="O106">
        <v>143.79367099999999</v>
      </c>
      <c r="P106">
        <v>143.31648300000001</v>
      </c>
      <c r="Q106">
        <v>142.80221599999999</v>
      </c>
      <c r="R106">
        <v>142.24996899999999</v>
      </c>
      <c r="S106">
        <v>141.65159600000001</v>
      </c>
      <c r="T106">
        <v>141.09025600000001</v>
      </c>
      <c r="U106">
        <v>140.593491</v>
      </c>
      <c r="V106">
        <v>140.16030900000001</v>
      </c>
      <c r="W106">
        <v>139.796539</v>
      </c>
      <c r="X106">
        <v>139.516098</v>
      </c>
      <c r="Y106">
        <v>139.372772</v>
      </c>
      <c r="Z106">
        <v>139.355896</v>
      </c>
      <c r="AA106">
        <v>139.42652899999999</v>
      </c>
      <c r="AB106">
        <v>139.54863</v>
      </c>
      <c r="AC106">
        <v>139.698395</v>
      </c>
      <c r="AD106">
        <v>139.94148300000001</v>
      </c>
      <c r="AE106" s="9">
        <v>0</v>
      </c>
    </row>
    <row r="107" spans="1:31">
      <c r="A107" t="s">
        <v>211</v>
      </c>
      <c r="B107" t="s">
        <v>2629</v>
      </c>
      <c r="C107" t="s">
        <v>2628</v>
      </c>
      <c r="D107" t="s">
        <v>194</v>
      </c>
      <c r="E107">
        <v>7.2151449999999997</v>
      </c>
      <c r="F107">
        <v>7.2619069999999999</v>
      </c>
      <c r="G107">
        <v>7.3084600000000002</v>
      </c>
      <c r="H107">
        <v>7.3502470000000004</v>
      </c>
      <c r="I107">
        <v>7.3897050000000002</v>
      </c>
      <c r="J107">
        <v>7.4272729999999996</v>
      </c>
      <c r="K107">
        <v>7.4620990000000003</v>
      </c>
      <c r="L107">
        <v>7.496238</v>
      </c>
      <c r="M107">
        <v>7.529318</v>
      </c>
      <c r="N107">
        <v>7.5604779999999998</v>
      </c>
      <c r="O107">
        <v>7.58988</v>
      </c>
      <c r="P107">
        <v>7.6180279999999998</v>
      </c>
      <c r="Q107">
        <v>7.6459200000000003</v>
      </c>
      <c r="R107">
        <v>7.6735980000000001</v>
      </c>
      <c r="S107">
        <v>7.7009480000000003</v>
      </c>
      <c r="T107">
        <v>7.7285380000000004</v>
      </c>
      <c r="U107">
        <v>7.7567839999999997</v>
      </c>
      <c r="V107">
        <v>7.7859730000000003</v>
      </c>
      <c r="W107">
        <v>7.8164540000000002</v>
      </c>
      <c r="X107">
        <v>7.8482589999999997</v>
      </c>
      <c r="Y107">
        <v>7.8820300000000003</v>
      </c>
      <c r="Z107">
        <v>7.9176989999999998</v>
      </c>
      <c r="AA107">
        <v>7.9549339999999997</v>
      </c>
      <c r="AB107">
        <v>7.9932819999999998</v>
      </c>
      <c r="AC107">
        <v>8.0322990000000001</v>
      </c>
      <c r="AD107">
        <v>8.0727130000000002</v>
      </c>
      <c r="AE107" s="9">
        <v>5.0000000000000001E-3</v>
      </c>
    </row>
    <row r="108" spans="1:31">
      <c r="A108" t="s">
        <v>337</v>
      </c>
      <c r="B108" t="s">
        <v>2627</v>
      </c>
      <c r="C108" t="s">
        <v>2626</v>
      </c>
      <c r="D108" t="s">
        <v>194</v>
      </c>
      <c r="E108">
        <v>198.410461</v>
      </c>
      <c r="F108">
        <v>204.20457500000001</v>
      </c>
      <c r="G108">
        <v>210.18112199999999</v>
      </c>
      <c r="H108">
        <v>216.366623</v>
      </c>
      <c r="I108">
        <v>222.595764</v>
      </c>
      <c r="J108">
        <v>228.884109</v>
      </c>
      <c r="K108">
        <v>235.27534499999999</v>
      </c>
      <c r="L108">
        <v>241.74443099999999</v>
      </c>
      <c r="M108">
        <v>248.28384399999999</v>
      </c>
      <c r="N108">
        <v>254.90438800000001</v>
      </c>
      <c r="O108">
        <v>261.56607100000002</v>
      </c>
      <c r="P108">
        <v>268.30892899999998</v>
      </c>
      <c r="Q108">
        <v>275.14407299999999</v>
      </c>
      <c r="R108">
        <v>281.98037699999998</v>
      </c>
      <c r="S108">
        <v>288.88662699999998</v>
      </c>
      <c r="T108">
        <v>295.86981200000002</v>
      </c>
      <c r="U108">
        <v>302.953644</v>
      </c>
      <c r="V108">
        <v>310.138306</v>
      </c>
      <c r="W108">
        <v>317.42538500000001</v>
      </c>
      <c r="X108">
        <v>324.80926499999998</v>
      </c>
      <c r="Y108">
        <v>332.284943</v>
      </c>
      <c r="Z108">
        <v>339.85162400000002</v>
      </c>
      <c r="AA108">
        <v>347.50949100000003</v>
      </c>
      <c r="AB108">
        <v>355.26086400000003</v>
      </c>
      <c r="AC108">
        <v>363.10723899999999</v>
      </c>
      <c r="AD108">
        <v>371.05029300000001</v>
      </c>
      <c r="AE108" s="9">
        <v>2.5000000000000001E-2</v>
      </c>
    </row>
    <row r="109" spans="1:31">
      <c r="A109" t="s">
        <v>209</v>
      </c>
      <c r="B109" t="s">
        <v>2625</v>
      </c>
      <c r="C109" t="s">
        <v>2624</v>
      </c>
      <c r="D109" t="s">
        <v>194</v>
      </c>
      <c r="E109">
        <v>69.029549000000003</v>
      </c>
      <c r="F109">
        <v>70.989502000000002</v>
      </c>
      <c r="G109">
        <v>73.001082999999994</v>
      </c>
      <c r="H109">
        <v>75.059714999999997</v>
      </c>
      <c r="I109">
        <v>77.106376999999995</v>
      </c>
      <c r="J109">
        <v>79.154151999999996</v>
      </c>
      <c r="K109">
        <v>81.230057000000002</v>
      </c>
      <c r="L109">
        <v>83.319061000000005</v>
      </c>
      <c r="M109">
        <v>85.415817000000004</v>
      </c>
      <c r="N109">
        <v>87.526343999999995</v>
      </c>
      <c r="O109">
        <v>89.624747999999997</v>
      </c>
      <c r="P109">
        <v>91.734511999999995</v>
      </c>
      <c r="Q109">
        <v>93.862258999999995</v>
      </c>
      <c r="R109">
        <v>95.950119000000001</v>
      </c>
      <c r="S109">
        <v>98.039237999999997</v>
      </c>
      <c r="T109">
        <v>100.13226299999999</v>
      </c>
      <c r="U109">
        <v>102.24350699999999</v>
      </c>
      <c r="V109">
        <v>104.372215</v>
      </c>
      <c r="W109">
        <v>106.518837</v>
      </c>
      <c r="X109">
        <v>108.679497</v>
      </c>
      <c r="Y109">
        <v>110.851067</v>
      </c>
      <c r="Z109">
        <v>113.03274500000001</v>
      </c>
      <c r="AA109">
        <v>115.22473100000001</v>
      </c>
      <c r="AB109">
        <v>117.428017</v>
      </c>
      <c r="AC109">
        <v>119.643028</v>
      </c>
      <c r="AD109">
        <v>121.870476</v>
      </c>
      <c r="AE109" s="9">
        <v>2.3E-2</v>
      </c>
    </row>
    <row r="110" spans="1:31">
      <c r="A110" t="s">
        <v>210</v>
      </c>
      <c r="B110" t="s">
        <v>2623</v>
      </c>
      <c r="C110" t="s">
        <v>2622</v>
      </c>
      <c r="D110" t="s">
        <v>194</v>
      </c>
      <c r="E110">
        <v>123.36409</v>
      </c>
      <c r="F110">
        <v>127.02831999999999</v>
      </c>
      <c r="G110">
        <v>130.81907699999999</v>
      </c>
      <c r="H110">
        <v>134.768036</v>
      </c>
      <c r="I110">
        <v>138.774124</v>
      </c>
      <c r="J110">
        <v>142.83854700000001</v>
      </c>
      <c r="K110">
        <v>146.975357</v>
      </c>
      <c r="L110">
        <v>151.176041</v>
      </c>
      <c r="M110">
        <v>155.43888899999999</v>
      </c>
      <c r="N110">
        <v>159.768158</v>
      </c>
      <c r="O110">
        <v>164.15214499999999</v>
      </c>
      <c r="P110">
        <v>168.60528600000001</v>
      </c>
      <c r="Q110">
        <v>173.131348</v>
      </c>
      <c r="R110">
        <v>177.70262099999999</v>
      </c>
      <c r="S110">
        <v>182.34288000000001</v>
      </c>
      <c r="T110">
        <v>187.05612199999999</v>
      </c>
      <c r="U110">
        <v>191.85055500000001</v>
      </c>
      <c r="V110">
        <v>196.72709699999999</v>
      </c>
      <c r="W110">
        <v>201.686905</v>
      </c>
      <c r="X110">
        <v>206.72851600000001</v>
      </c>
      <c r="Y110">
        <v>211.85046399999999</v>
      </c>
      <c r="Z110">
        <v>217.052795</v>
      </c>
      <c r="AA110">
        <v>222.33543399999999</v>
      </c>
      <c r="AB110">
        <v>227.69967700000001</v>
      </c>
      <c r="AC110">
        <v>233.14648399999999</v>
      </c>
      <c r="AD110">
        <v>238.67678799999999</v>
      </c>
      <c r="AE110" s="9">
        <v>2.7E-2</v>
      </c>
    </row>
    <row r="111" spans="1:31">
      <c r="A111" t="s">
        <v>211</v>
      </c>
      <c r="B111" t="s">
        <v>2621</v>
      </c>
      <c r="C111" t="s">
        <v>2620</v>
      </c>
      <c r="D111" t="s">
        <v>194</v>
      </c>
      <c r="E111">
        <v>6.0168400000000002</v>
      </c>
      <c r="F111">
        <v>6.18675</v>
      </c>
      <c r="G111">
        <v>6.3609650000000002</v>
      </c>
      <c r="H111">
        <v>6.538856</v>
      </c>
      <c r="I111">
        <v>6.7152520000000004</v>
      </c>
      <c r="J111">
        <v>6.8914239999999998</v>
      </c>
      <c r="K111">
        <v>7.0699209999999999</v>
      </c>
      <c r="L111">
        <v>7.2493299999999996</v>
      </c>
      <c r="M111">
        <v>7.4291340000000003</v>
      </c>
      <c r="N111">
        <v>7.6099009999999998</v>
      </c>
      <c r="O111">
        <v>7.789174</v>
      </c>
      <c r="P111">
        <v>7.9691559999999999</v>
      </c>
      <c r="Q111">
        <v>8.1504740000000009</v>
      </c>
      <c r="R111">
        <v>8.3276439999999994</v>
      </c>
      <c r="S111">
        <v>8.5045450000000002</v>
      </c>
      <c r="T111">
        <v>8.6814079999999993</v>
      </c>
      <c r="U111">
        <v>8.8595790000000001</v>
      </c>
      <c r="V111">
        <v>9.0389820000000007</v>
      </c>
      <c r="W111">
        <v>9.2196510000000007</v>
      </c>
      <c r="X111">
        <v>9.4012209999999996</v>
      </c>
      <c r="Y111">
        <v>9.5833910000000007</v>
      </c>
      <c r="Z111">
        <v>9.7660859999999996</v>
      </c>
      <c r="AA111">
        <v>9.9493270000000003</v>
      </c>
      <c r="AB111">
        <v>10.1332</v>
      </c>
      <c r="AC111">
        <v>10.317741</v>
      </c>
      <c r="AD111">
        <v>10.503016000000001</v>
      </c>
      <c r="AE111" s="9">
        <v>2.3E-2</v>
      </c>
    </row>
    <row r="112" spans="1:31">
      <c r="A112" t="s">
        <v>338</v>
      </c>
      <c r="B112" t="s">
        <v>2619</v>
      </c>
      <c r="C112" t="s">
        <v>2618</v>
      </c>
      <c r="D112" t="s">
        <v>194</v>
      </c>
      <c r="E112">
        <v>118.269302</v>
      </c>
      <c r="F112">
        <v>124.674477</v>
      </c>
      <c r="G112">
        <v>130.920029</v>
      </c>
      <c r="H112">
        <v>137.08445699999999</v>
      </c>
      <c r="I112">
        <v>143.26277200000001</v>
      </c>
      <c r="J112">
        <v>149.53698700000001</v>
      </c>
      <c r="K112">
        <v>155.633118</v>
      </c>
      <c r="L112">
        <v>161.52098100000001</v>
      </c>
      <c r="M112">
        <v>167.26478599999999</v>
      </c>
      <c r="N112">
        <v>172.81474299999999</v>
      </c>
      <c r="O112">
        <v>178.15687600000001</v>
      </c>
      <c r="P112">
        <v>183.51745600000001</v>
      </c>
      <c r="Q112">
        <v>188.56248500000001</v>
      </c>
      <c r="R112">
        <v>193.48852500000001</v>
      </c>
      <c r="S112">
        <v>198.20236199999999</v>
      </c>
      <c r="T112">
        <v>202.93879699999999</v>
      </c>
      <c r="U112">
        <v>207.77690100000001</v>
      </c>
      <c r="V112">
        <v>212.46725499999999</v>
      </c>
      <c r="W112">
        <v>216.83812</v>
      </c>
      <c r="X112">
        <v>220.65922499999999</v>
      </c>
      <c r="Y112">
        <v>223.73472599999999</v>
      </c>
      <c r="Z112">
        <v>226.27563499999999</v>
      </c>
      <c r="AA112">
        <v>228.519531</v>
      </c>
      <c r="AB112">
        <v>230.751541</v>
      </c>
      <c r="AC112">
        <v>233.22546399999999</v>
      </c>
      <c r="AD112">
        <v>235.830353</v>
      </c>
      <c r="AE112" s="9">
        <v>2.8000000000000001E-2</v>
      </c>
    </row>
    <row r="113" spans="1:31">
      <c r="A113" t="s">
        <v>209</v>
      </c>
      <c r="B113" t="s">
        <v>2617</v>
      </c>
      <c r="C113" t="s">
        <v>2616</v>
      </c>
      <c r="D113" t="s">
        <v>194</v>
      </c>
      <c r="E113">
        <v>23.411591000000001</v>
      </c>
      <c r="F113">
        <v>24.417916999999999</v>
      </c>
      <c r="G113">
        <v>25.395171999999999</v>
      </c>
      <c r="H113">
        <v>26.355919</v>
      </c>
      <c r="I113">
        <v>27.314820999999998</v>
      </c>
      <c r="J113">
        <v>28.284123999999998</v>
      </c>
      <c r="K113">
        <v>29.222660000000001</v>
      </c>
      <c r="L113">
        <v>30.125996000000001</v>
      </c>
      <c r="M113">
        <v>31.003620000000002</v>
      </c>
      <c r="N113">
        <v>31.848188</v>
      </c>
      <c r="O113">
        <v>32.658011999999999</v>
      </c>
      <c r="P113">
        <v>33.466965000000002</v>
      </c>
      <c r="Q113">
        <v>34.225304000000001</v>
      </c>
      <c r="R113">
        <v>34.962333999999998</v>
      </c>
      <c r="S113">
        <v>35.664558</v>
      </c>
      <c r="T113">
        <v>36.366695</v>
      </c>
      <c r="U113">
        <v>37.080429000000002</v>
      </c>
      <c r="V113">
        <v>37.769278999999997</v>
      </c>
      <c r="W113">
        <v>38.408423999999997</v>
      </c>
      <c r="X113">
        <v>38.963557999999999</v>
      </c>
      <c r="Y113">
        <v>39.40625</v>
      </c>
      <c r="Z113">
        <v>39.768107999999998</v>
      </c>
      <c r="AA113">
        <v>40.083309</v>
      </c>
      <c r="AB113">
        <v>40.393191999999999</v>
      </c>
      <c r="AC113">
        <v>40.734909000000002</v>
      </c>
      <c r="AD113">
        <v>41.092162999999999</v>
      </c>
      <c r="AE113" s="9">
        <v>2.3E-2</v>
      </c>
    </row>
    <row r="114" spans="1:31">
      <c r="A114" t="s">
        <v>210</v>
      </c>
      <c r="B114" t="s">
        <v>2615</v>
      </c>
      <c r="C114" t="s">
        <v>2614</v>
      </c>
      <c r="D114" t="s">
        <v>194</v>
      </c>
      <c r="E114">
        <v>93.274506000000002</v>
      </c>
      <c r="F114">
        <v>98.618347</v>
      </c>
      <c r="G114">
        <v>103.833473</v>
      </c>
      <c r="H114">
        <v>108.985123</v>
      </c>
      <c r="I114">
        <v>114.15286999999999</v>
      </c>
      <c r="J114">
        <v>119.405838</v>
      </c>
      <c r="K114">
        <v>124.513351</v>
      </c>
      <c r="L114">
        <v>129.44986</v>
      </c>
      <c r="M114">
        <v>134.26960800000001</v>
      </c>
      <c r="N114">
        <v>138.93057300000001</v>
      </c>
      <c r="O114">
        <v>143.420456</v>
      </c>
      <c r="P114">
        <v>147.929947</v>
      </c>
      <c r="Q114">
        <v>152.17733799999999</v>
      </c>
      <c r="R114">
        <v>156.32839999999999</v>
      </c>
      <c r="S114">
        <v>160.30401599999999</v>
      </c>
      <c r="T114">
        <v>164.302582</v>
      </c>
      <c r="U114">
        <v>168.39086900000001</v>
      </c>
      <c r="V114">
        <v>172.35771199999999</v>
      </c>
      <c r="W114">
        <v>176.05749499999999</v>
      </c>
      <c r="X114">
        <v>179.295975</v>
      </c>
      <c r="Y114">
        <v>181.90711999999999</v>
      </c>
      <c r="Z114">
        <v>184.068771</v>
      </c>
      <c r="AA114">
        <v>185.98254399999999</v>
      </c>
      <c r="AB114">
        <v>187.890289</v>
      </c>
      <c r="AC114">
        <v>190.00676000000001</v>
      </c>
      <c r="AD114">
        <v>192.238159</v>
      </c>
      <c r="AE114" s="9">
        <v>2.9000000000000001E-2</v>
      </c>
    </row>
    <row r="115" spans="1:31">
      <c r="A115" t="s">
        <v>211</v>
      </c>
      <c r="B115" t="s">
        <v>2613</v>
      </c>
      <c r="C115" t="s">
        <v>2612</v>
      </c>
      <c r="D115" t="s">
        <v>194</v>
      </c>
      <c r="E115">
        <v>1.583207</v>
      </c>
      <c r="F115">
        <v>1.6382140000000001</v>
      </c>
      <c r="G115">
        <v>1.691381</v>
      </c>
      <c r="H115">
        <v>1.743409</v>
      </c>
      <c r="I115">
        <v>1.7950839999999999</v>
      </c>
      <c r="J115">
        <v>1.8470329999999999</v>
      </c>
      <c r="K115">
        <v>1.8971260000000001</v>
      </c>
      <c r="L115">
        <v>1.945139</v>
      </c>
      <c r="M115">
        <v>1.9915529999999999</v>
      </c>
      <c r="N115">
        <v>2.0359959999999999</v>
      </c>
      <c r="O115">
        <v>2.0784099999999999</v>
      </c>
      <c r="P115">
        <v>2.1205379999999998</v>
      </c>
      <c r="Q115">
        <v>2.1598350000000002</v>
      </c>
      <c r="R115">
        <v>2.1978019999999998</v>
      </c>
      <c r="S115">
        <v>2.2337760000000002</v>
      </c>
      <c r="T115">
        <v>2.2695159999999999</v>
      </c>
      <c r="U115">
        <v>2.3056139999999998</v>
      </c>
      <c r="V115">
        <v>2.3402479999999999</v>
      </c>
      <c r="W115">
        <v>2.3721950000000001</v>
      </c>
      <c r="X115">
        <v>2.399699</v>
      </c>
      <c r="Y115">
        <v>2.4213520000000002</v>
      </c>
      <c r="Z115">
        <v>2.4387840000000001</v>
      </c>
      <c r="AA115">
        <v>2.4536669999999998</v>
      </c>
      <c r="AB115">
        <v>2.4680430000000002</v>
      </c>
      <c r="AC115">
        <v>2.483771</v>
      </c>
      <c r="AD115">
        <v>2.5000309999999999</v>
      </c>
      <c r="AE115" s="9">
        <v>1.7999999999999999E-2</v>
      </c>
    </row>
    <row r="116" spans="1:31">
      <c r="A116" t="s">
        <v>339</v>
      </c>
      <c r="B116" t="s">
        <v>2611</v>
      </c>
      <c r="C116" t="s">
        <v>2610</v>
      </c>
      <c r="D116" t="s">
        <v>194</v>
      </c>
      <c r="E116">
        <v>161.57475299999999</v>
      </c>
      <c r="F116">
        <v>181.70813000000001</v>
      </c>
      <c r="G116">
        <v>193.723221</v>
      </c>
      <c r="H116">
        <v>201.39308199999999</v>
      </c>
      <c r="I116">
        <v>204.35287500000001</v>
      </c>
      <c r="J116">
        <v>207.35012800000001</v>
      </c>
      <c r="K116">
        <v>210.382721</v>
      </c>
      <c r="L116">
        <v>213.506561</v>
      </c>
      <c r="M116">
        <v>216.74534600000001</v>
      </c>
      <c r="N116">
        <v>220.10450700000001</v>
      </c>
      <c r="O116">
        <v>223.557007</v>
      </c>
      <c r="P116">
        <v>227.00103799999999</v>
      </c>
      <c r="Q116">
        <v>230.420151</v>
      </c>
      <c r="R116">
        <v>233.84684799999999</v>
      </c>
      <c r="S116">
        <v>237.29299900000001</v>
      </c>
      <c r="T116">
        <v>240.787125</v>
      </c>
      <c r="U116">
        <v>244.55680799999999</v>
      </c>
      <c r="V116">
        <v>248.524338</v>
      </c>
      <c r="W116">
        <v>252.56860399999999</v>
      </c>
      <c r="X116">
        <v>256.67440800000003</v>
      </c>
      <c r="Y116">
        <v>260.83218399999998</v>
      </c>
      <c r="Z116">
        <v>265.09463499999998</v>
      </c>
      <c r="AA116">
        <v>269.47885100000002</v>
      </c>
      <c r="AB116">
        <v>273.84585600000003</v>
      </c>
      <c r="AC116">
        <v>278.19958500000001</v>
      </c>
      <c r="AD116">
        <v>282.59268200000002</v>
      </c>
      <c r="AE116" s="9">
        <v>2.3E-2</v>
      </c>
    </row>
    <row r="117" spans="1:31">
      <c r="A117" t="s">
        <v>209</v>
      </c>
      <c r="B117" t="s">
        <v>2609</v>
      </c>
      <c r="C117" t="s">
        <v>2608</v>
      </c>
      <c r="D117" t="s">
        <v>194</v>
      </c>
      <c r="E117">
        <v>117.987534</v>
      </c>
      <c r="F117">
        <v>129.52288799999999</v>
      </c>
      <c r="G117">
        <v>136.38978599999999</v>
      </c>
      <c r="H117">
        <v>140.984283</v>
      </c>
      <c r="I117">
        <v>142.959869</v>
      </c>
      <c r="J117">
        <v>144.96014400000001</v>
      </c>
      <c r="K117">
        <v>146.98387099999999</v>
      </c>
      <c r="L117">
        <v>149.07118199999999</v>
      </c>
      <c r="M117">
        <v>151.23812899999999</v>
      </c>
      <c r="N117">
        <v>153.488846</v>
      </c>
      <c r="O117">
        <v>155.80313100000001</v>
      </c>
      <c r="P117">
        <v>158.10571300000001</v>
      </c>
      <c r="Q117">
        <v>160.38452100000001</v>
      </c>
      <c r="R117">
        <v>162.662857</v>
      </c>
      <c r="S117">
        <v>164.949341</v>
      </c>
      <c r="T117">
        <v>167.26385500000001</v>
      </c>
      <c r="U117">
        <v>169.773529</v>
      </c>
      <c r="V117">
        <v>172.421188</v>
      </c>
      <c r="W117">
        <v>175.118088</v>
      </c>
      <c r="X117">
        <v>177.853027</v>
      </c>
      <c r="Y117">
        <v>180.618256</v>
      </c>
      <c r="Z117">
        <v>183.45259100000001</v>
      </c>
      <c r="AA117">
        <v>186.369888</v>
      </c>
      <c r="AB117">
        <v>189.26944</v>
      </c>
      <c r="AC117">
        <v>192.153717</v>
      </c>
      <c r="AD117">
        <v>195.06158400000001</v>
      </c>
      <c r="AE117" s="9">
        <v>0.02</v>
      </c>
    </row>
    <row r="118" spans="1:31">
      <c r="A118" t="s">
        <v>210</v>
      </c>
      <c r="B118" t="s">
        <v>2607</v>
      </c>
      <c r="C118" t="s">
        <v>2606</v>
      </c>
      <c r="D118" t="s">
        <v>194</v>
      </c>
      <c r="E118">
        <v>33.605080000000001</v>
      </c>
      <c r="F118">
        <v>41.705432999999999</v>
      </c>
      <c r="G118">
        <v>46.560657999999997</v>
      </c>
      <c r="H118">
        <v>49.399281000000002</v>
      </c>
      <c r="I118">
        <v>50.244391999999998</v>
      </c>
      <c r="J118">
        <v>51.100605000000002</v>
      </c>
      <c r="K118">
        <v>51.967072000000002</v>
      </c>
      <c r="L118">
        <v>52.856273999999999</v>
      </c>
      <c r="M118">
        <v>53.774718999999997</v>
      </c>
      <c r="N118">
        <v>54.723278000000001</v>
      </c>
      <c r="O118">
        <v>55.696933999999999</v>
      </c>
      <c r="P118">
        <v>56.675632</v>
      </c>
      <c r="Q118">
        <v>57.656089999999999</v>
      </c>
      <c r="R118">
        <v>58.645504000000003</v>
      </c>
      <c r="S118">
        <v>59.646445999999997</v>
      </c>
      <c r="T118">
        <v>60.666046000000001</v>
      </c>
      <c r="U118">
        <v>61.750442999999997</v>
      </c>
      <c r="V118">
        <v>62.884014000000001</v>
      </c>
      <c r="W118">
        <v>64.041938999999999</v>
      </c>
      <c r="X118">
        <v>65.221153000000001</v>
      </c>
      <c r="Y118">
        <v>66.420692000000003</v>
      </c>
      <c r="Z118">
        <v>67.651047000000005</v>
      </c>
      <c r="AA118">
        <v>68.914032000000006</v>
      </c>
      <c r="AB118">
        <v>70.179893000000007</v>
      </c>
      <c r="AC118">
        <v>71.449875000000006</v>
      </c>
      <c r="AD118">
        <v>72.734427999999994</v>
      </c>
      <c r="AE118" s="9">
        <v>3.1E-2</v>
      </c>
    </row>
    <row r="119" spans="1:31">
      <c r="A119" t="s">
        <v>211</v>
      </c>
      <c r="B119" t="s">
        <v>2605</v>
      </c>
      <c r="C119" t="s">
        <v>2604</v>
      </c>
      <c r="D119" t="s">
        <v>194</v>
      </c>
      <c r="E119">
        <v>9.982132</v>
      </c>
      <c r="F119">
        <v>10.479811</v>
      </c>
      <c r="G119">
        <v>10.772781999999999</v>
      </c>
      <c r="H119">
        <v>11.009517000000001</v>
      </c>
      <c r="I119">
        <v>11.148605999999999</v>
      </c>
      <c r="J119">
        <v>11.289377</v>
      </c>
      <c r="K119">
        <v>11.431779000000001</v>
      </c>
      <c r="L119">
        <v>11.579103</v>
      </c>
      <c r="M119">
        <v>11.732507999999999</v>
      </c>
      <c r="N119">
        <v>11.892381</v>
      </c>
      <c r="O119">
        <v>12.056938000000001</v>
      </c>
      <c r="P119">
        <v>12.219676</v>
      </c>
      <c r="Q119">
        <v>12.37955</v>
      </c>
      <c r="R119">
        <v>12.538484</v>
      </c>
      <c r="S119">
        <v>12.697193</v>
      </c>
      <c r="T119">
        <v>12.857211</v>
      </c>
      <c r="U119">
        <v>13.032829</v>
      </c>
      <c r="V119">
        <v>13.219137</v>
      </c>
      <c r="W119">
        <v>13.408585</v>
      </c>
      <c r="X119">
        <v>13.600213</v>
      </c>
      <c r="Y119">
        <v>13.793241999999999</v>
      </c>
      <c r="Z119">
        <v>13.991013000000001</v>
      </c>
      <c r="AA119">
        <v>14.194908</v>
      </c>
      <c r="AB119">
        <v>14.396512</v>
      </c>
      <c r="AC119">
        <v>14.595986999999999</v>
      </c>
      <c r="AD119">
        <v>14.796673999999999</v>
      </c>
      <c r="AE119" s="9">
        <v>1.6E-2</v>
      </c>
    </row>
    <row r="120" spans="1:31">
      <c r="A120" t="s">
        <v>699</v>
      </c>
      <c r="B120" t="s">
        <v>2603</v>
      </c>
      <c r="C120" t="s">
        <v>2602</v>
      </c>
      <c r="D120" t="s">
        <v>194</v>
      </c>
      <c r="E120">
        <v>65.509933000000004</v>
      </c>
      <c r="F120">
        <v>68.677513000000005</v>
      </c>
      <c r="G120">
        <v>71.140915000000007</v>
      </c>
      <c r="H120">
        <v>74.722579999999994</v>
      </c>
      <c r="I120">
        <v>77.332970000000003</v>
      </c>
      <c r="J120">
        <v>79.924942000000001</v>
      </c>
      <c r="K120">
        <v>82.506439</v>
      </c>
      <c r="L120">
        <v>85.129028000000005</v>
      </c>
      <c r="M120">
        <v>87.810248999999999</v>
      </c>
      <c r="N120">
        <v>90.553070000000005</v>
      </c>
      <c r="O120">
        <v>93.384726999999998</v>
      </c>
      <c r="P120">
        <v>96.317749000000006</v>
      </c>
      <c r="Q120">
        <v>99.335669999999993</v>
      </c>
      <c r="R120">
        <v>102.42898599999999</v>
      </c>
      <c r="S120">
        <v>105.600998</v>
      </c>
      <c r="T120">
        <v>108.836128</v>
      </c>
      <c r="U120">
        <v>112.135109</v>
      </c>
      <c r="V120">
        <v>115.525436</v>
      </c>
      <c r="W120">
        <v>119.010109</v>
      </c>
      <c r="X120">
        <v>122.58757799999999</v>
      </c>
      <c r="Y120">
        <v>126.25926200000001</v>
      </c>
      <c r="Z120">
        <v>130.003128</v>
      </c>
      <c r="AA120">
        <v>133.83007799999999</v>
      </c>
      <c r="AB120">
        <v>137.740341</v>
      </c>
      <c r="AC120">
        <v>141.742569</v>
      </c>
      <c r="AD120">
        <v>145.84314000000001</v>
      </c>
      <c r="AE120" s="9">
        <v>3.3000000000000002E-2</v>
      </c>
    </row>
    <row r="121" spans="1:31">
      <c r="A121" t="s">
        <v>209</v>
      </c>
      <c r="B121" t="s">
        <v>2601</v>
      </c>
      <c r="C121" t="s">
        <v>2600</v>
      </c>
      <c r="D121" t="s">
        <v>194</v>
      </c>
      <c r="E121">
        <v>50.047905</v>
      </c>
      <c r="F121">
        <v>52.466721</v>
      </c>
      <c r="G121">
        <v>54.348492</v>
      </c>
      <c r="H121">
        <v>57.082709999999999</v>
      </c>
      <c r="I121">
        <v>59.076931000000002</v>
      </c>
      <c r="J121">
        <v>61.057017999999999</v>
      </c>
      <c r="K121">
        <v>63.029057000000002</v>
      </c>
      <c r="L121">
        <v>65.032471000000001</v>
      </c>
      <c r="M121">
        <v>67.080658</v>
      </c>
      <c r="N121">
        <v>69.175895999999995</v>
      </c>
      <c r="O121">
        <v>71.339011999999997</v>
      </c>
      <c r="P121">
        <v>73.579566999999997</v>
      </c>
      <c r="Q121">
        <v>75.884979000000001</v>
      </c>
      <c r="R121">
        <v>78.247962999999999</v>
      </c>
      <c r="S121">
        <v>80.671051000000006</v>
      </c>
      <c r="T121">
        <v>83.142334000000005</v>
      </c>
      <c r="U121">
        <v>85.662375999999995</v>
      </c>
      <c r="V121">
        <v>88.252173999999997</v>
      </c>
      <c r="W121">
        <v>90.914023999999998</v>
      </c>
      <c r="X121">
        <v>93.646766999999997</v>
      </c>
      <c r="Y121">
        <v>96.451469000000003</v>
      </c>
      <c r="Z121">
        <v>99.311301999999998</v>
      </c>
      <c r="AA121">
        <v>102.234596</v>
      </c>
      <c r="AB121">
        <v>105.221535</v>
      </c>
      <c r="AC121">
        <v>108.278679</v>
      </c>
      <c r="AD121">
        <v>111.410957</v>
      </c>
      <c r="AE121" s="9">
        <v>3.3000000000000002E-2</v>
      </c>
    </row>
    <row r="122" spans="1:31">
      <c r="A122" t="s">
        <v>210</v>
      </c>
      <c r="B122" t="s">
        <v>2599</v>
      </c>
      <c r="C122" t="s">
        <v>2598</v>
      </c>
      <c r="D122" t="s">
        <v>194</v>
      </c>
      <c r="E122">
        <v>10.346156000000001</v>
      </c>
      <c r="F122">
        <v>10.865069999999999</v>
      </c>
      <c r="G122">
        <v>11.25741</v>
      </c>
      <c r="H122">
        <v>11.857099</v>
      </c>
      <c r="I122">
        <v>12.270179000000001</v>
      </c>
      <c r="J122">
        <v>12.681398</v>
      </c>
      <c r="K122">
        <v>13.091692</v>
      </c>
      <c r="L122">
        <v>13.508883000000001</v>
      </c>
      <c r="M122">
        <v>13.935513</v>
      </c>
      <c r="N122">
        <v>14.371999000000001</v>
      </c>
      <c r="O122">
        <v>14.822459</v>
      </c>
      <c r="P122">
        <v>15.288921999999999</v>
      </c>
      <c r="Q122">
        <v>15.76901</v>
      </c>
      <c r="R122">
        <v>16.261216999999998</v>
      </c>
      <c r="S122">
        <v>16.766123</v>
      </c>
      <c r="T122">
        <v>17.281552999999999</v>
      </c>
      <c r="U122">
        <v>17.807554</v>
      </c>
      <c r="V122">
        <v>18.348305</v>
      </c>
      <c r="W122">
        <v>18.904219000000001</v>
      </c>
      <c r="X122">
        <v>19.475031000000001</v>
      </c>
      <c r="Y122">
        <v>20.060934</v>
      </c>
      <c r="Z122">
        <v>20.658508000000001</v>
      </c>
      <c r="AA122">
        <v>21.269428000000001</v>
      </c>
      <c r="AB122">
        <v>21.89377</v>
      </c>
      <c r="AC122">
        <v>22.532948999999999</v>
      </c>
      <c r="AD122">
        <v>23.188065999999999</v>
      </c>
      <c r="AE122" s="9">
        <v>3.3000000000000002E-2</v>
      </c>
    </row>
    <row r="123" spans="1:31">
      <c r="A123" t="s">
        <v>211</v>
      </c>
      <c r="B123" t="s">
        <v>2597</v>
      </c>
      <c r="C123" t="s">
        <v>2596</v>
      </c>
      <c r="D123" t="s">
        <v>194</v>
      </c>
      <c r="E123">
        <v>5.115869</v>
      </c>
      <c r="F123">
        <v>5.3457249999999998</v>
      </c>
      <c r="G123">
        <v>5.5350109999999999</v>
      </c>
      <c r="H123">
        <v>5.7827679999999999</v>
      </c>
      <c r="I123">
        <v>5.9858570000000002</v>
      </c>
      <c r="J123">
        <v>6.1865240000000004</v>
      </c>
      <c r="K123">
        <v>6.3856859999999998</v>
      </c>
      <c r="L123">
        <v>6.5876789999999996</v>
      </c>
      <c r="M123">
        <v>6.794079</v>
      </c>
      <c r="N123">
        <v>7.0051709999999998</v>
      </c>
      <c r="O123">
        <v>7.2232529999999997</v>
      </c>
      <c r="P123">
        <v>7.4492560000000001</v>
      </c>
      <c r="Q123">
        <v>7.6816890000000004</v>
      </c>
      <c r="R123">
        <v>7.9198069999999996</v>
      </c>
      <c r="S123">
        <v>8.1638169999999999</v>
      </c>
      <c r="T123">
        <v>8.412236</v>
      </c>
      <c r="U123">
        <v>8.665184</v>
      </c>
      <c r="V123">
        <v>8.9249620000000007</v>
      </c>
      <c r="W123">
        <v>9.1918609999999994</v>
      </c>
      <c r="X123">
        <v>9.4657789999999995</v>
      </c>
      <c r="Y123">
        <v>9.7468570000000003</v>
      </c>
      <c r="Z123">
        <v>10.033315999999999</v>
      </c>
      <c r="AA123">
        <v>10.326048999999999</v>
      </c>
      <c r="AB123">
        <v>10.625047</v>
      </c>
      <c r="AC123">
        <v>10.930925</v>
      </c>
      <c r="AD123">
        <v>11.244109</v>
      </c>
      <c r="AE123" s="9">
        <v>3.2000000000000001E-2</v>
      </c>
    </row>
    <row r="124" spans="1:31">
      <c r="A124" t="s">
        <v>206</v>
      </c>
      <c r="B124" t="s">
        <v>2595</v>
      </c>
      <c r="C124" t="s">
        <v>2594</v>
      </c>
      <c r="D124" t="s">
        <v>194</v>
      </c>
      <c r="E124">
        <v>936.21020499999997</v>
      </c>
      <c r="F124">
        <v>987.149902</v>
      </c>
      <c r="G124">
        <v>1038.0001219999999</v>
      </c>
      <c r="H124">
        <v>1090.720581</v>
      </c>
      <c r="I124">
        <v>1145.8204350000001</v>
      </c>
      <c r="J124">
        <v>1203.1046140000001</v>
      </c>
      <c r="K124">
        <v>1262.240967</v>
      </c>
      <c r="L124">
        <v>1323.3995359999999</v>
      </c>
      <c r="M124">
        <v>1386.1922609999999</v>
      </c>
      <c r="N124">
        <v>1450.5645750000001</v>
      </c>
      <c r="O124">
        <v>1516.445068</v>
      </c>
      <c r="P124">
        <v>1583.291504</v>
      </c>
      <c r="Q124">
        <v>1651.4217530000001</v>
      </c>
      <c r="R124">
        <v>1721.0950929999999</v>
      </c>
      <c r="S124">
        <v>1792.266357</v>
      </c>
      <c r="T124">
        <v>1864.8164059999999</v>
      </c>
      <c r="U124">
        <v>1938.716797</v>
      </c>
      <c r="V124">
        <v>2013.8991699999999</v>
      </c>
      <c r="W124">
        <v>2090.2871089999999</v>
      </c>
      <c r="X124">
        <v>2167.8032229999999</v>
      </c>
      <c r="Y124">
        <v>2246.389893</v>
      </c>
      <c r="Z124">
        <v>2325.9807129999999</v>
      </c>
      <c r="AA124">
        <v>2406.4941410000001</v>
      </c>
      <c r="AB124">
        <v>2487.8408199999999</v>
      </c>
      <c r="AC124">
        <v>2569.9494629999999</v>
      </c>
      <c r="AD124">
        <v>2652.719971</v>
      </c>
      <c r="AE124" s="9">
        <v>4.2999999999999997E-2</v>
      </c>
    </row>
    <row r="125" spans="1:31">
      <c r="A125" t="s">
        <v>209</v>
      </c>
      <c r="B125" t="s">
        <v>2593</v>
      </c>
      <c r="C125" t="s">
        <v>2592</v>
      </c>
      <c r="D125" t="s">
        <v>194</v>
      </c>
      <c r="E125">
        <v>621.688354</v>
      </c>
      <c r="F125">
        <v>656.07244900000001</v>
      </c>
      <c r="G125">
        <v>690.25488299999995</v>
      </c>
      <c r="H125">
        <v>725.69146699999999</v>
      </c>
      <c r="I125">
        <v>762.75372300000004</v>
      </c>
      <c r="J125">
        <v>801.29119900000001</v>
      </c>
      <c r="K125">
        <v>841.05304000000001</v>
      </c>
      <c r="L125">
        <v>882.160034</v>
      </c>
      <c r="M125">
        <v>924.31909199999996</v>
      </c>
      <c r="N125">
        <v>967.48284899999999</v>
      </c>
      <c r="O125">
        <v>1011.590515</v>
      </c>
      <c r="P125">
        <v>1056.2349850000001</v>
      </c>
      <c r="Q125">
        <v>1101.645264</v>
      </c>
      <c r="R125">
        <v>1148.0040280000001</v>
      </c>
      <c r="S125">
        <v>1195.2742920000001</v>
      </c>
      <c r="T125">
        <v>1243.3572999999999</v>
      </c>
      <c r="U125">
        <v>1292.2298579999999</v>
      </c>
      <c r="V125">
        <v>1341.8366699999999</v>
      </c>
      <c r="W125">
        <v>1392.1141359999999</v>
      </c>
      <c r="X125">
        <v>1443.0020750000001</v>
      </c>
      <c r="Y125">
        <v>1494.462158</v>
      </c>
      <c r="Z125">
        <v>1546.4506839999999</v>
      </c>
      <c r="AA125">
        <v>1598.9068600000001</v>
      </c>
      <c r="AB125">
        <v>1651.7669679999999</v>
      </c>
      <c r="AC125">
        <v>1704.987427</v>
      </c>
      <c r="AD125">
        <v>1758.494385</v>
      </c>
      <c r="AE125" s="9">
        <v>4.2000000000000003E-2</v>
      </c>
    </row>
    <row r="126" spans="1:31">
      <c r="A126" t="s">
        <v>210</v>
      </c>
      <c r="B126" t="s">
        <v>2591</v>
      </c>
      <c r="C126" t="s">
        <v>2590</v>
      </c>
      <c r="D126" t="s">
        <v>194</v>
      </c>
      <c r="E126">
        <v>250.68653900000001</v>
      </c>
      <c r="F126">
        <v>263.703461</v>
      </c>
      <c r="G126">
        <v>276.855255</v>
      </c>
      <c r="H126">
        <v>290.49447600000002</v>
      </c>
      <c r="I126">
        <v>304.71929899999998</v>
      </c>
      <c r="J126">
        <v>319.50177000000002</v>
      </c>
      <c r="K126">
        <v>334.78637700000002</v>
      </c>
      <c r="L126">
        <v>350.609802</v>
      </c>
      <c r="M126">
        <v>366.90774499999998</v>
      </c>
      <c r="N126">
        <v>383.67816199999999</v>
      </c>
      <c r="O126">
        <v>400.91674799999998</v>
      </c>
      <c r="P126">
        <v>418.53076199999998</v>
      </c>
      <c r="Q126">
        <v>436.58557100000002</v>
      </c>
      <c r="R126">
        <v>455.13864100000001</v>
      </c>
      <c r="S126">
        <v>474.18588299999999</v>
      </c>
      <c r="T126">
        <v>493.71713299999999</v>
      </c>
      <c r="U126">
        <v>513.72949200000005</v>
      </c>
      <c r="V126">
        <v>534.216003</v>
      </c>
      <c r="W126">
        <v>555.17040999999995</v>
      </c>
      <c r="X126">
        <v>576.58215299999995</v>
      </c>
      <c r="Y126">
        <v>598.43542500000001</v>
      </c>
      <c r="Z126">
        <v>620.71215800000004</v>
      </c>
      <c r="AA126">
        <v>643.39813200000003</v>
      </c>
      <c r="AB126">
        <v>666.47363299999995</v>
      </c>
      <c r="AC126">
        <v>689.91625999999997</v>
      </c>
      <c r="AD126">
        <v>713.70678699999996</v>
      </c>
      <c r="AE126" s="9">
        <v>4.2999999999999997E-2</v>
      </c>
    </row>
    <row r="127" spans="1:31">
      <c r="A127" t="s">
        <v>211</v>
      </c>
      <c r="B127" t="s">
        <v>2589</v>
      </c>
      <c r="C127" t="s">
        <v>2588</v>
      </c>
      <c r="D127" t="s">
        <v>194</v>
      </c>
      <c r="E127">
        <v>63.835247000000003</v>
      </c>
      <c r="F127">
        <v>67.373985000000005</v>
      </c>
      <c r="G127">
        <v>70.889931000000004</v>
      </c>
      <c r="H127">
        <v>74.534820999999994</v>
      </c>
      <c r="I127">
        <v>78.347335999999999</v>
      </c>
      <c r="J127">
        <v>82.311653000000007</v>
      </c>
      <c r="K127">
        <v>86.401627000000005</v>
      </c>
      <c r="L127">
        <v>90.629761000000002</v>
      </c>
      <c r="M127">
        <v>94.965423999999999</v>
      </c>
      <c r="N127">
        <v>99.403603000000004</v>
      </c>
      <c r="O127">
        <v>103.93787399999999</v>
      </c>
      <c r="P127">
        <v>108.52572600000001</v>
      </c>
      <c r="Q127">
        <v>113.190933</v>
      </c>
      <c r="R127">
        <v>117.952415</v>
      </c>
      <c r="S127">
        <v>122.80629</v>
      </c>
      <c r="T127">
        <v>127.742088</v>
      </c>
      <c r="U127">
        <v>132.75740099999999</v>
      </c>
      <c r="V127">
        <v>137.84641999999999</v>
      </c>
      <c r="W127">
        <v>143.002396</v>
      </c>
      <c r="X127">
        <v>148.21902499999999</v>
      </c>
      <c r="Y127">
        <v>153.49231</v>
      </c>
      <c r="Z127">
        <v>158.81788599999999</v>
      </c>
      <c r="AA127">
        <v>164.18933100000001</v>
      </c>
      <c r="AB127">
        <v>169.60011299999999</v>
      </c>
      <c r="AC127">
        <v>175.04570000000001</v>
      </c>
      <c r="AD127">
        <v>180.518539</v>
      </c>
      <c r="AE127" s="9">
        <v>4.2000000000000003E-2</v>
      </c>
    </row>
    <row r="128" spans="1:31">
      <c r="A128" t="s">
        <v>340</v>
      </c>
      <c r="B128" t="s">
        <v>2587</v>
      </c>
      <c r="C128" t="s">
        <v>2586</v>
      </c>
      <c r="D128" t="s">
        <v>194</v>
      </c>
      <c r="E128">
        <v>230.973907</v>
      </c>
      <c r="F128">
        <v>249.562454</v>
      </c>
      <c r="G128">
        <v>269.73525999999998</v>
      </c>
      <c r="H128">
        <v>290.86743200000001</v>
      </c>
      <c r="I128">
        <v>313.08288599999997</v>
      </c>
      <c r="J128">
        <v>336.31631499999997</v>
      </c>
      <c r="K128">
        <v>360.40683000000001</v>
      </c>
      <c r="L128">
        <v>385.19262700000002</v>
      </c>
      <c r="M128">
        <v>410.50689699999998</v>
      </c>
      <c r="N128">
        <v>436.27273600000001</v>
      </c>
      <c r="O128">
        <v>462.39141799999999</v>
      </c>
      <c r="P128">
        <v>488.70770299999998</v>
      </c>
      <c r="Q128">
        <v>515.410706</v>
      </c>
      <c r="R128">
        <v>542.33282499999996</v>
      </c>
      <c r="S128">
        <v>569.54925500000002</v>
      </c>
      <c r="T128">
        <v>597.25622599999997</v>
      </c>
      <c r="U128">
        <v>625.40460199999995</v>
      </c>
      <c r="V128">
        <v>653.95147699999995</v>
      </c>
      <c r="W128">
        <v>682.82287599999995</v>
      </c>
      <c r="X128">
        <v>711.96472200000005</v>
      </c>
      <c r="Y128">
        <v>741.37872300000004</v>
      </c>
      <c r="Z128">
        <v>771.09826699999996</v>
      </c>
      <c r="AA128">
        <v>801.06762700000002</v>
      </c>
      <c r="AB128">
        <v>831.23736599999995</v>
      </c>
      <c r="AC128">
        <v>861.55950900000005</v>
      </c>
      <c r="AD128">
        <v>891.98150599999997</v>
      </c>
      <c r="AE128" s="9">
        <v>5.6000000000000001E-2</v>
      </c>
    </row>
    <row r="129" spans="1:31">
      <c r="A129" t="s">
        <v>209</v>
      </c>
      <c r="B129" t="s">
        <v>2585</v>
      </c>
      <c r="C129" t="s">
        <v>2584</v>
      </c>
      <c r="D129" t="s">
        <v>194</v>
      </c>
      <c r="E129">
        <v>147.591522</v>
      </c>
      <c r="F129">
        <v>159.79884300000001</v>
      </c>
      <c r="G129">
        <v>173.07870500000001</v>
      </c>
      <c r="H129">
        <v>187.01431299999999</v>
      </c>
      <c r="I129">
        <v>201.68985000000001</v>
      </c>
      <c r="J129">
        <v>217.06231700000001</v>
      </c>
      <c r="K129">
        <v>233.023911</v>
      </c>
      <c r="L129">
        <v>249.46519499999999</v>
      </c>
      <c r="M129">
        <v>266.27285799999999</v>
      </c>
      <c r="N129">
        <v>283.393799</v>
      </c>
      <c r="O129">
        <v>300.76001000000002</v>
      </c>
      <c r="P129">
        <v>318.26495399999999</v>
      </c>
      <c r="Q129">
        <v>336.036743</v>
      </c>
      <c r="R129">
        <v>353.96051</v>
      </c>
      <c r="S129">
        <v>372.08648699999998</v>
      </c>
      <c r="T129">
        <v>390.54534899999999</v>
      </c>
      <c r="U129">
        <v>409.30426</v>
      </c>
      <c r="V129">
        <v>428.33377100000001</v>
      </c>
      <c r="W129">
        <v>447.58297700000003</v>
      </c>
      <c r="X129">
        <v>467.01400799999999</v>
      </c>
      <c r="Y129">
        <v>486.62734999999998</v>
      </c>
      <c r="Z129">
        <v>506.44555700000001</v>
      </c>
      <c r="AA129">
        <v>526.42999299999997</v>
      </c>
      <c r="AB129">
        <v>546.54638699999998</v>
      </c>
      <c r="AC129">
        <v>566.76086399999997</v>
      </c>
      <c r="AD129">
        <v>587.03656000000001</v>
      </c>
      <c r="AE129" s="9">
        <v>5.7000000000000002E-2</v>
      </c>
    </row>
    <row r="130" spans="1:31">
      <c r="A130" t="s">
        <v>210</v>
      </c>
      <c r="B130" t="s">
        <v>2583</v>
      </c>
      <c r="C130" t="s">
        <v>2582</v>
      </c>
      <c r="D130" t="s">
        <v>194</v>
      </c>
      <c r="E130">
        <v>72.903976</v>
      </c>
      <c r="F130">
        <v>78.372237999999996</v>
      </c>
      <c r="G130">
        <v>84.267600999999999</v>
      </c>
      <c r="H130">
        <v>90.414092999999994</v>
      </c>
      <c r="I130">
        <v>96.844634999999997</v>
      </c>
      <c r="J130">
        <v>103.54026</v>
      </c>
      <c r="K130">
        <v>110.45618399999999</v>
      </c>
      <c r="L130">
        <v>117.548637</v>
      </c>
      <c r="M130">
        <v>124.773186</v>
      </c>
      <c r="N130">
        <v>132.110275</v>
      </c>
      <c r="O130">
        <v>139.53469799999999</v>
      </c>
      <c r="P130">
        <v>147.006393</v>
      </c>
      <c r="Q130">
        <v>154.57637</v>
      </c>
      <c r="R130">
        <v>162.200943</v>
      </c>
      <c r="S130">
        <v>169.901184</v>
      </c>
      <c r="T130">
        <v>177.73287999999999</v>
      </c>
      <c r="U130">
        <v>185.682007</v>
      </c>
      <c r="V130">
        <v>193.73756399999999</v>
      </c>
      <c r="W130">
        <v>201.88063</v>
      </c>
      <c r="X130">
        <v>210.09814499999999</v>
      </c>
      <c r="Y130">
        <v>218.391403</v>
      </c>
      <c r="Z130">
        <v>226.76942399999999</v>
      </c>
      <c r="AA130">
        <v>235.21824599999999</v>
      </c>
      <c r="AB130">
        <v>243.72569300000001</v>
      </c>
      <c r="AC130">
        <v>252.28031899999999</v>
      </c>
      <c r="AD130">
        <v>260.86968999999999</v>
      </c>
      <c r="AE130" s="9">
        <v>5.1999999999999998E-2</v>
      </c>
    </row>
    <row r="131" spans="1:31">
      <c r="A131" t="s">
        <v>211</v>
      </c>
      <c r="B131" t="s">
        <v>2581</v>
      </c>
      <c r="C131" t="s">
        <v>2580</v>
      </c>
      <c r="D131" t="s">
        <v>194</v>
      </c>
      <c r="E131">
        <v>10.478415</v>
      </c>
      <c r="F131">
        <v>11.391368</v>
      </c>
      <c r="G131">
        <v>12.388927000000001</v>
      </c>
      <c r="H131">
        <v>13.43904</v>
      </c>
      <c r="I131">
        <v>14.548394999999999</v>
      </c>
      <c r="J131">
        <v>15.713751</v>
      </c>
      <c r="K131">
        <v>16.926762</v>
      </c>
      <c r="L131">
        <v>18.178806000000002</v>
      </c>
      <c r="M131">
        <v>19.460888000000001</v>
      </c>
      <c r="N131">
        <v>20.768695999999998</v>
      </c>
      <c r="O131">
        <v>22.096700999999999</v>
      </c>
      <c r="P131">
        <v>23.436304</v>
      </c>
      <c r="Q131">
        <v>24.797616999999999</v>
      </c>
      <c r="R131">
        <v>26.171406000000001</v>
      </c>
      <c r="S131">
        <v>27.561547999999998</v>
      </c>
      <c r="T131">
        <v>28.978034999999998</v>
      </c>
      <c r="U131">
        <v>30.418367</v>
      </c>
      <c r="V131">
        <v>31.880151999999999</v>
      </c>
      <c r="W131">
        <v>33.359264000000003</v>
      </c>
      <c r="X131">
        <v>34.852558000000002</v>
      </c>
      <c r="Y131">
        <v>36.359974000000001</v>
      </c>
      <c r="Z131">
        <v>37.883285999999998</v>
      </c>
      <c r="AA131">
        <v>39.419327000000003</v>
      </c>
      <c r="AB131">
        <v>40.965279000000002</v>
      </c>
      <c r="AC131">
        <v>42.518303000000003</v>
      </c>
      <c r="AD131">
        <v>44.075294</v>
      </c>
      <c r="AE131" s="9">
        <v>5.8999999999999997E-2</v>
      </c>
    </row>
    <row r="132" spans="1:31">
      <c r="A132" t="s">
        <v>692</v>
      </c>
      <c r="B132" t="s">
        <v>2579</v>
      </c>
      <c r="C132" t="s">
        <v>2578</v>
      </c>
      <c r="D132" t="s">
        <v>194</v>
      </c>
      <c r="E132">
        <v>738.99859600000002</v>
      </c>
      <c r="F132">
        <v>773.85082999999997</v>
      </c>
      <c r="G132">
        <v>809.40240500000004</v>
      </c>
      <c r="H132">
        <v>845.525757</v>
      </c>
      <c r="I132">
        <v>882.277466</v>
      </c>
      <c r="J132">
        <v>919.97680700000001</v>
      </c>
      <c r="K132">
        <v>958.78204300000004</v>
      </c>
      <c r="L132">
        <v>998.67022699999995</v>
      </c>
      <c r="M132">
        <v>1039.534302</v>
      </c>
      <c r="N132">
        <v>1081.241211</v>
      </c>
      <c r="O132">
        <v>1123.682861</v>
      </c>
      <c r="P132">
        <v>1166.9107670000001</v>
      </c>
      <c r="Q132">
        <v>1210.804443</v>
      </c>
      <c r="R132">
        <v>1255.855225</v>
      </c>
      <c r="S132">
        <v>1302.104004</v>
      </c>
      <c r="T132">
        <v>1349.505737</v>
      </c>
      <c r="U132">
        <v>1397.949341</v>
      </c>
      <c r="V132">
        <v>1447.5043949999999</v>
      </c>
      <c r="W132">
        <v>1498.161987</v>
      </c>
      <c r="X132">
        <v>1549.8865969999999</v>
      </c>
      <c r="Y132">
        <v>1602.648193</v>
      </c>
      <c r="Z132">
        <v>1656.3923339999999</v>
      </c>
      <c r="AA132">
        <v>1710.989014</v>
      </c>
      <c r="AB132">
        <v>1766.4907229999999</v>
      </c>
      <c r="AC132">
        <v>1823.0507809999999</v>
      </c>
      <c r="AD132">
        <v>1880.8292240000001</v>
      </c>
      <c r="AE132" s="9">
        <v>3.7999999999999999E-2</v>
      </c>
    </row>
    <row r="133" spans="1:31">
      <c r="A133" t="s">
        <v>209</v>
      </c>
      <c r="B133" t="s">
        <v>2577</v>
      </c>
      <c r="C133" t="s">
        <v>2576</v>
      </c>
      <c r="D133" t="s">
        <v>194</v>
      </c>
      <c r="E133">
        <v>288.345123</v>
      </c>
      <c r="F133">
        <v>303.40893599999998</v>
      </c>
      <c r="G133">
        <v>318.74945100000002</v>
      </c>
      <c r="H133">
        <v>334.28720099999998</v>
      </c>
      <c r="I133">
        <v>350.05493200000001</v>
      </c>
      <c r="J133">
        <v>366.22366299999999</v>
      </c>
      <c r="K133">
        <v>382.87957799999998</v>
      </c>
      <c r="L133">
        <v>400.01474000000002</v>
      </c>
      <c r="M133">
        <v>417.56631499999997</v>
      </c>
      <c r="N133">
        <v>435.46365400000002</v>
      </c>
      <c r="O133">
        <v>453.649384</v>
      </c>
      <c r="P133">
        <v>472.14041099999997</v>
      </c>
      <c r="Q133">
        <v>490.865295</v>
      </c>
      <c r="R133">
        <v>510.09726000000001</v>
      </c>
      <c r="S133">
        <v>529.85497999999995</v>
      </c>
      <c r="T133">
        <v>550.11462400000005</v>
      </c>
      <c r="U133">
        <v>570.81732199999999</v>
      </c>
      <c r="V133">
        <v>592.00238000000002</v>
      </c>
      <c r="W133">
        <v>613.65765399999998</v>
      </c>
      <c r="X133">
        <v>635.75982699999997</v>
      </c>
      <c r="Y133">
        <v>658.29315199999996</v>
      </c>
      <c r="Z133">
        <v>681.21777299999997</v>
      </c>
      <c r="AA133">
        <v>704.47381600000006</v>
      </c>
      <c r="AB133">
        <v>728.09136999999998</v>
      </c>
      <c r="AC133">
        <v>752.13647500000002</v>
      </c>
      <c r="AD133">
        <v>776.70764199999996</v>
      </c>
      <c r="AE133" s="9">
        <v>0.04</v>
      </c>
    </row>
    <row r="134" spans="1:31">
      <c r="A134" t="s">
        <v>210</v>
      </c>
      <c r="B134" t="s">
        <v>2575</v>
      </c>
      <c r="C134" t="s">
        <v>2574</v>
      </c>
      <c r="D134" t="s">
        <v>194</v>
      </c>
      <c r="E134">
        <v>430.86456299999998</v>
      </c>
      <c r="F134">
        <v>449.56857300000001</v>
      </c>
      <c r="G134">
        <v>468.67623900000001</v>
      </c>
      <c r="H134">
        <v>488.14581299999998</v>
      </c>
      <c r="I134">
        <v>507.99841300000003</v>
      </c>
      <c r="J134">
        <v>528.36914100000001</v>
      </c>
      <c r="K134">
        <v>549.32318099999998</v>
      </c>
      <c r="L134">
        <v>570.84606900000006</v>
      </c>
      <c r="M134">
        <v>592.89862100000005</v>
      </c>
      <c r="N134">
        <v>615.42394999999999</v>
      </c>
      <c r="O134">
        <v>638.37579300000004</v>
      </c>
      <c r="P134">
        <v>661.78772000000004</v>
      </c>
      <c r="Q134">
        <v>685.61645499999997</v>
      </c>
      <c r="R134">
        <v>710.05835000000002</v>
      </c>
      <c r="S134">
        <v>735.13439900000003</v>
      </c>
      <c r="T134">
        <v>760.82531700000004</v>
      </c>
      <c r="U134">
        <v>787.08337400000005</v>
      </c>
      <c r="V134">
        <v>813.93566899999996</v>
      </c>
      <c r="W134">
        <v>841.38665800000001</v>
      </c>
      <c r="X134">
        <v>869.42614700000001</v>
      </c>
      <c r="Y134">
        <v>898.04101600000001</v>
      </c>
      <c r="Z134">
        <v>927.21984899999995</v>
      </c>
      <c r="AA134">
        <v>956.89685099999997</v>
      </c>
      <c r="AB134">
        <v>987.09271200000001</v>
      </c>
      <c r="AC134">
        <v>1017.889282</v>
      </c>
      <c r="AD134">
        <v>1049.3405760000001</v>
      </c>
      <c r="AE134" s="9">
        <v>3.5999999999999997E-2</v>
      </c>
    </row>
    <row r="135" spans="1:31">
      <c r="A135" t="s">
        <v>211</v>
      </c>
      <c r="B135" t="s">
        <v>2573</v>
      </c>
      <c r="C135" t="s">
        <v>2572</v>
      </c>
      <c r="D135" t="s">
        <v>194</v>
      </c>
      <c r="E135">
        <v>19.788975000000001</v>
      </c>
      <c r="F135">
        <v>20.873276000000001</v>
      </c>
      <c r="G135">
        <v>21.976696</v>
      </c>
      <c r="H135">
        <v>23.092759999999998</v>
      </c>
      <c r="I135">
        <v>24.224088999999999</v>
      </c>
      <c r="J135">
        <v>25.384011999999998</v>
      </c>
      <c r="K135">
        <v>26.579287000000001</v>
      </c>
      <c r="L135">
        <v>27.809414</v>
      </c>
      <c r="M135">
        <v>29.069336</v>
      </c>
      <c r="N135">
        <v>30.353580000000001</v>
      </c>
      <c r="O135">
        <v>31.657667</v>
      </c>
      <c r="P135">
        <v>32.982655000000001</v>
      </c>
      <c r="Q135">
        <v>34.322803</v>
      </c>
      <c r="R135">
        <v>35.699669</v>
      </c>
      <c r="S135">
        <v>37.114628000000003</v>
      </c>
      <c r="T135">
        <v>38.565818999999998</v>
      </c>
      <c r="U135">
        <v>40.048682999999997</v>
      </c>
      <c r="V135">
        <v>41.566322</v>
      </c>
      <c r="W135">
        <v>43.117618999999998</v>
      </c>
      <c r="X135">
        <v>44.700637999999998</v>
      </c>
      <c r="Y135">
        <v>46.314148000000003</v>
      </c>
      <c r="Z135">
        <v>47.954796000000002</v>
      </c>
      <c r="AA135">
        <v>49.618160000000003</v>
      </c>
      <c r="AB135">
        <v>51.306609999999999</v>
      </c>
      <c r="AC135">
        <v>53.024906000000001</v>
      </c>
      <c r="AD135">
        <v>54.781039999999997</v>
      </c>
      <c r="AE135" s="9">
        <v>4.2000000000000003E-2</v>
      </c>
    </row>
    <row r="136" spans="1:31">
      <c r="A136" t="s">
        <v>341</v>
      </c>
      <c r="B136" t="s">
        <v>2571</v>
      </c>
      <c r="C136" t="s">
        <v>2570</v>
      </c>
      <c r="D136" t="s">
        <v>194</v>
      </c>
      <c r="E136">
        <v>466.72503699999999</v>
      </c>
      <c r="F136">
        <v>489.19940200000002</v>
      </c>
      <c r="G136">
        <v>511.09738199999998</v>
      </c>
      <c r="H136">
        <v>533.08062700000005</v>
      </c>
      <c r="I136">
        <v>555.45568800000001</v>
      </c>
      <c r="J136">
        <v>578.23632799999996</v>
      </c>
      <c r="K136">
        <v>601.59436000000005</v>
      </c>
      <c r="L136">
        <v>625.56756600000006</v>
      </c>
      <c r="M136">
        <v>650.191956</v>
      </c>
      <c r="N136">
        <v>675.50469999999996</v>
      </c>
      <c r="O136">
        <v>701.57244900000001</v>
      </c>
      <c r="P136">
        <v>728.44323699999995</v>
      </c>
      <c r="Q136">
        <v>756.15301499999998</v>
      </c>
      <c r="R136">
        <v>784.703979</v>
      </c>
      <c r="S136">
        <v>814.128784</v>
      </c>
      <c r="T136">
        <v>844.48846400000002</v>
      </c>
      <c r="U136">
        <v>875.75836200000003</v>
      </c>
      <c r="V136">
        <v>907.96075399999995</v>
      </c>
      <c r="W136">
        <v>941.11724900000002</v>
      </c>
      <c r="X136">
        <v>975.25647000000004</v>
      </c>
      <c r="Y136">
        <v>1010.434021</v>
      </c>
      <c r="Z136">
        <v>1046.6088870000001</v>
      </c>
      <c r="AA136">
        <v>1083.8360600000001</v>
      </c>
      <c r="AB136">
        <v>1122.2025149999999</v>
      </c>
      <c r="AC136">
        <v>1161.7468260000001</v>
      </c>
      <c r="AD136">
        <v>1202.4589840000001</v>
      </c>
      <c r="AE136" s="9">
        <v>3.9E-2</v>
      </c>
    </row>
    <row r="137" spans="1:31">
      <c r="A137" t="s">
        <v>209</v>
      </c>
      <c r="B137" t="s">
        <v>2569</v>
      </c>
      <c r="C137" t="s">
        <v>2568</v>
      </c>
      <c r="D137" t="s">
        <v>194</v>
      </c>
      <c r="E137">
        <v>145.97792100000001</v>
      </c>
      <c r="F137">
        <v>153.70373499999999</v>
      </c>
      <c r="G137">
        <v>160.77865600000001</v>
      </c>
      <c r="H137">
        <v>167.74844400000001</v>
      </c>
      <c r="I137">
        <v>174.78280599999999</v>
      </c>
      <c r="J137">
        <v>181.87915000000001</v>
      </c>
      <c r="K137">
        <v>189.12948600000001</v>
      </c>
      <c r="L137">
        <v>196.50741600000001</v>
      </c>
      <c r="M137">
        <v>204.032318</v>
      </c>
      <c r="N137">
        <v>211.71987899999999</v>
      </c>
      <c r="O137">
        <v>219.60841400000001</v>
      </c>
      <c r="P137">
        <v>227.71388200000001</v>
      </c>
      <c r="Q137">
        <v>236.048553</v>
      </c>
      <c r="R137">
        <v>244.60992400000001</v>
      </c>
      <c r="S137">
        <v>253.39781199999999</v>
      </c>
      <c r="T137">
        <v>262.439728</v>
      </c>
      <c r="U137">
        <v>271.73779300000001</v>
      </c>
      <c r="V137">
        <v>281.306061</v>
      </c>
      <c r="W137">
        <v>291.14968900000002</v>
      </c>
      <c r="X137">
        <v>301.27151500000002</v>
      </c>
      <c r="Y137">
        <v>311.68170199999997</v>
      </c>
      <c r="Z137">
        <v>322.370026</v>
      </c>
      <c r="AA137">
        <v>333.36138899999997</v>
      </c>
      <c r="AB137">
        <v>344.675995</v>
      </c>
      <c r="AC137">
        <v>356.326752</v>
      </c>
      <c r="AD137">
        <v>368.31726099999997</v>
      </c>
      <c r="AE137" s="9">
        <v>3.7999999999999999E-2</v>
      </c>
    </row>
    <row r="138" spans="1:31">
      <c r="A138" t="s">
        <v>210</v>
      </c>
      <c r="B138" t="s">
        <v>2567</v>
      </c>
      <c r="C138" t="s">
        <v>2566</v>
      </c>
      <c r="D138" t="s">
        <v>194</v>
      </c>
      <c r="E138">
        <v>317.42691000000002</v>
      </c>
      <c r="F138">
        <v>331.95461999999998</v>
      </c>
      <c r="G138">
        <v>346.602081</v>
      </c>
      <c r="H138">
        <v>361.45092799999998</v>
      </c>
      <c r="I138">
        <v>376.62933299999997</v>
      </c>
      <c r="J138">
        <v>392.15405299999998</v>
      </c>
      <c r="K138">
        <v>408.10046399999999</v>
      </c>
      <c r="L138">
        <v>424.535706</v>
      </c>
      <c r="M138">
        <v>441.47549400000003</v>
      </c>
      <c r="N138">
        <v>458.94073500000002</v>
      </c>
      <c r="O138">
        <v>476.95773300000002</v>
      </c>
      <c r="P138">
        <v>495.55810500000001</v>
      </c>
      <c r="Q138">
        <v>514.76513699999998</v>
      </c>
      <c r="R138">
        <v>534.58392300000003</v>
      </c>
      <c r="S138">
        <v>555.04779099999996</v>
      </c>
      <c r="T138">
        <v>576.18933100000004</v>
      </c>
      <c r="U138">
        <v>597.98101799999995</v>
      </c>
      <c r="V138">
        <v>620.430115</v>
      </c>
      <c r="W138">
        <v>643.553223</v>
      </c>
      <c r="X138">
        <v>667.37658699999997</v>
      </c>
      <c r="Y138">
        <v>691.94537400000002</v>
      </c>
      <c r="Z138">
        <v>717.22949200000005</v>
      </c>
      <c r="AA138">
        <v>743.25756799999999</v>
      </c>
      <c r="AB138">
        <v>770.096497</v>
      </c>
      <c r="AC138">
        <v>797.77172900000005</v>
      </c>
      <c r="AD138">
        <v>826.26873799999998</v>
      </c>
      <c r="AE138" s="9">
        <v>3.9E-2</v>
      </c>
    </row>
    <row r="139" spans="1:31">
      <c r="A139" t="s">
        <v>211</v>
      </c>
      <c r="B139" t="s">
        <v>2565</v>
      </c>
      <c r="C139" t="s">
        <v>2564</v>
      </c>
      <c r="D139" t="s">
        <v>194</v>
      </c>
      <c r="E139">
        <v>3.3201779999999999</v>
      </c>
      <c r="F139">
        <v>3.5410490000000001</v>
      </c>
      <c r="G139">
        <v>3.7166079999999999</v>
      </c>
      <c r="H139">
        <v>3.8812289999999998</v>
      </c>
      <c r="I139">
        <v>4.0435610000000004</v>
      </c>
      <c r="J139">
        <v>4.2031000000000001</v>
      </c>
      <c r="K139">
        <v>4.3644129999999999</v>
      </c>
      <c r="L139">
        <v>4.5244280000000003</v>
      </c>
      <c r="M139">
        <v>4.6841090000000003</v>
      </c>
      <c r="N139">
        <v>4.8440789999999998</v>
      </c>
      <c r="O139">
        <v>5.0063389999999997</v>
      </c>
      <c r="P139">
        <v>5.1713100000000001</v>
      </c>
      <c r="Q139">
        <v>5.3393459999999999</v>
      </c>
      <c r="R139">
        <v>5.5101769999999997</v>
      </c>
      <c r="S139">
        <v>5.683128</v>
      </c>
      <c r="T139">
        <v>5.8593679999999999</v>
      </c>
      <c r="U139">
        <v>6.0395810000000001</v>
      </c>
      <c r="V139">
        <v>6.2245530000000002</v>
      </c>
      <c r="W139">
        <v>6.4142890000000001</v>
      </c>
      <c r="X139">
        <v>6.6084639999999997</v>
      </c>
      <c r="Y139">
        <v>6.8068379999999999</v>
      </c>
      <c r="Z139">
        <v>7.0093459999999999</v>
      </c>
      <c r="AA139">
        <v>7.2170560000000004</v>
      </c>
      <c r="AB139">
        <v>7.4299720000000002</v>
      </c>
      <c r="AC139">
        <v>7.6484399999999999</v>
      </c>
      <c r="AD139">
        <v>7.872986</v>
      </c>
      <c r="AE139" s="9">
        <v>3.5000000000000003E-2</v>
      </c>
    </row>
    <row r="140" spans="1:31">
      <c r="A140" t="s">
        <v>205</v>
      </c>
      <c r="B140" t="s">
        <v>2563</v>
      </c>
      <c r="C140" t="s">
        <v>2562</v>
      </c>
      <c r="D140" t="s">
        <v>194</v>
      </c>
      <c r="E140">
        <v>234.120102</v>
      </c>
      <c r="F140">
        <v>245.91430700000001</v>
      </c>
      <c r="G140">
        <v>257.19220000000001</v>
      </c>
      <c r="H140">
        <v>268.65457199999997</v>
      </c>
      <c r="I140">
        <v>280.368469</v>
      </c>
      <c r="J140">
        <v>292.463348</v>
      </c>
      <c r="K140">
        <v>304.98324600000001</v>
      </c>
      <c r="L140">
        <v>317.80999800000001</v>
      </c>
      <c r="M140">
        <v>330.96170000000001</v>
      </c>
      <c r="N140">
        <v>344.48852499999998</v>
      </c>
      <c r="O140">
        <v>358.41076700000002</v>
      </c>
      <c r="P140">
        <v>372.76132200000001</v>
      </c>
      <c r="Q140">
        <v>387.53118899999998</v>
      </c>
      <c r="R140">
        <v>402.71044899999998</v>
      </c>
      <c r="S140">
        <v>418.30813599999999</v>
      </c>
      <c r="T140">
        <v>434.32543900000002</v>
      </c>
      <c r="U140">
        <v>450.779785</v>
      </c>
      <c r="V140">
        <v>467.66842700000001</v>
      </c>
      <c r="W140">
        <v>485.00405899999998</v>
      </c>
      <c r="X140">
        <v>502.802277</v>
      </c>
      <c r="Y140">
        <v>521.06945800000005</v>
      </c>
      <c r="Z140">
        <v>539.80938700000002</v>
      </c>
      <c r="AA140">
        <v>559.02417000000003</v>
      </c>
      <c r="AB140">
        <v>578.71667500000001</v>
      </c>
      <c r="AC140">
        <v>598.88751200000002</v>
      </c>
      <c r="AD140">
        <v>619.54083300000002</v>
      </c>
      <c r="AE140" s="9">
        <v>0.04</v>
      </c>
    </row>
    <row r="141" spans="1:31">
      <c r="A141" t="s">
        <v>209</v>
      </c>
      <c r="B141" t="s">
        <v>2561</v>
      </c>
      <c r="C141" t="s">
        <v>2560</v>
      </c>
      <c r="D141" t="s">
        <v>194</v>
      </c>
      <c r="E141">
        <v>90.630065999999999</v>
      </c>
      <c r="F141">
        <v>95.233283999999998</v>
      </c>
      <c r="G141">
        <v>99.655608999999998</v>
      </c>
      <c r="H141">
        <v>104.159325</v>
      </c>
      <c r="I141">
        <v>108.770065</v>
      </c>
      <c r="J141">
        <v>113.536705</v>
      </c>
      <c r="K141">
        <v>118.47635699999999</v>
      </c>
      <c r="L141">
        <v>123.545029</v>
      </c>
      <c r="M141">
        <v>128.749863</v>
      </c>
      <c r="N141">
        <v>134.11024499999999</v>
      </c>
      <c r="O141">
        <v>139.63436899999999</v>
      </c>
      <c r="P141">
        <v>145.33505199999999</v>
      </c>
      <c r="Q141">
        <v>151.20924400000001</v>
      </c>
      <c r="R141">
        <v>157.25379899999999</v>
      </c>
      <c r="S141">
        <v>163.472748</v>
      </c>
      <c r="T141">
        <v>169.86566199999999</v>
      </c>
      <c r="U141">
        <v>176.44023100000001</v>
      </c>
      <c r="V141">
        <v>183.19603000000001</v>
      </c>
      <c r="W141">
        <v>190.13841199999999</v>
      </c>
      <c r="X141">
        <v>197.273788</v>
      </c>
      <c r="Y141">
        <v>204.60498000000001</v>
      </c>
      <c r="Z141">
        <v>212.134109</v>
      </c>
      <c r="AA141">
        <v>219.862762</v>
      </c>
      <c r="AB141">
        <v>227.79255699999999</v>
      </c>
      <c r="AC141">
        <v>235.92416399999999</v>
      </c>
      <c r="AD141">
        <v>244.25971999999999</v>
      </c>
      <c r="AE141" s="9">
        <v>0.04</v>
      </c>
    </row>
    <row r="142" spans="1:31">
      <c r="A142" t="s">
        <v>210</v>
      </c>
      <c r="B142" t="s">
        <v>2559</v>
      </c>
      <c r="C142" t="s">
        <v>2558</v>
      </c>
      <c r="D142" t="s">
        <v>194</v>
      </c>
      <c r="E142">
        <v>136.33462499999999</v>
      </c>
      <c r="F142">
        <v>143.155609</v>
      </c>
      <c r="G142">
        <v>149.65213</v>
      </c>
      <c r="H142">
        <v>156.243561</v>
      </c>
      <c r="I142">
        <v>162.96942100000001</v>
      </c>
      <c r="J142">
        <v>169.906509</v>
      </c>
      <c r="K142">
        <v>177.08050499999999</v>
      </c>
      <c r="L142">
        <v>184.420334</v>
      </c>
      <c r="M142">
        <v>191.936386</v>
      </c>
      <c r="N142">
        <v>199.65799000000001</v>
      </c>
      <c r="O142">
        <v>207.59639000000001</v>
      </c>
      <c r="P142">
        <v>215.770782</v>
      </c>
      <c r="Q142">
        <v>224.175308</v>
      </c>
      <c r="R142">
        <v>232.803314</v>
      </c>
      <c r="S142">
        <v>241.65943899999999</v>
      </c>
      <c r="T142">
        <v>250.745499</v>
      </c>
      <c r="U142">
        <v>260.07034299999998</v>
      </c>
      <c r="V142">
        <v>269.63171399999999</v>
      </c>
      <c r="W142">
        <v>279.43637100000001</v>
      </c>
      <c r="X142">
        <v>289.49298099999999</v>
      </c>
      <c r="Y142">
        <v>299.80471799999998</v>
      </c>
      <c r="Z142">
        <v>310.373108</v>
      </c>
      <c r="AA142">
        <v>321.19833399999999</v>
      </c>
      <c r="AB142">
        <v>332.28131100000002</v>
      </c>
      <c r="AC142">
        <v>343.62204000000003</v>
      </c>
      <c r="AD142">
        <v>355.22219799999999</v>
      </c>
      <c r="AE142" s="9">
        <v>3.9E-2</v>
      </c>
    </row>
    <row r="143" spans="1:31">
      <c r="A143" t="s">
        <v>211</v>
      </c>
      <c r="B143" t="s">
        <v>2557</v>
      </c>
      <c r="C143" t="s">
        <v>2556</v>
      </c>
      <c r="D143" t="s">
        <v>194</v>
      </c>
      <c r="E143">
        <v>7.1554260000000003</v>
      </c>
      <c r="F143">
        <v>7.5254260000000004</v>
      </c>
      <c r="G143">
        <v>7.8844609999999999</v>
      </c>
      <c r="H143">
        <v>8.2516630000000006</v>
      </c>
      <c r="I143">
        <v>8.6290010000000006</v>
      </c>
      <c r="J143">
        <v>9.0201209999999996</v>
      </c>
      <c r="K143">
        <v>9.4263840000000005</v>
      </c>
      <c r="L143">
        <v>9.8446230000000003</v>
      </c>
      <c r="M143">
        <v>10.27542</v>
      </c>
      <c r="N143">
        <v>10.720305</v>
      </c>
      <c r="O143">
        <v>11.17999</v>
      </c>
      <c r="P143">
        <v>11.655481999999999</v>
      </c>
      <c r="Q143">
        <v>12.146635</v>
      </c>
      <c r="R143">
        <v>12.653316999999999</v>
      </c>
      <c r="S143">
        <v>13.175935000000001</v>
      </c>
      <c r="T143">
        <v>13.714297999999999</v>
      </c>
      <c r="U143">
        <v>14.269194000000001</v>
      </c>
      <c r="V143">
        <v>14.840680000000001</v>
      </c>
      <c r="W143">
        <v>15.429266</v>
      </c>
      <c r="X143">
        <v>16.035523999999999</v>
      </c>
      <c r="Y143">
        <v>16.659738999999998</v>
      </c>
      <c r="Z143">
        <v>17.302185000000001</v>
      </c>
      <c r="AA143">
        <v>17.963128999999999</v>
      </c>
      <c r="AB143">
        <v>18.642796000000001</v>
      </c>
      <c r="AC143">
        <v>19.341294999999999</v>
      </c>
      <c r="AD143">
        <v>20.058904999999999</v>
      </c>
      <c r="AE143" s="9">
        <v>4.2000000000000003E-2</v>
      </c>
    </row>
    <row r="144" spans="1:31">
      <c r="A144" t="s">
        <v>342</v>
      </c>
      <c r="B144" t="s">
        <v>2555</v>
      </c>
      <c r="C144" t="s">
        <v>2554</v>
      </c>
      <c r="D144" t="s">
        <v>194</v>
      </c>
      <c r="E144">
        <v>132.907532</v>
      </c>
      <c r="F144">
        <v>135.17515599999999</v>
      </c>
      <c r="G144">
        <v>138.18571499999999</v>
      </c>
      <c r="H144">
        <v>141.49491900000001</v>
      </c>
      <c r="I144">
        <v>144.74092099999999</v>
      </c>
      <c r="J144">
        <v>147.92227199999999</v>
      </c>
      <c r="K144">
        <v>151.054123</v>
      </c>
      <c r="L144">
        <v>154.14518699999999</v>
      </c>
      <c r="M144">
        <v>157.19807399999999</v>
      </c>
      <c r="N144">
        <v>160.20971700000001</v>
      </c>
      <c r="O144">
        <v>163.177032</v>
      </c>
      <c r="P144">
        <v>166.09780900000001</v>
      </c>
      <c r="Q144">
        <v>168.97027600000001</v>
      </c>
      <c r="R144">
        <v>171.79119900000001</v>
      </c>
      <c r="S144">
        <v>174.55661000000001</v>
      </c>
      <c r="T144">
        <v>177.25762900000001</v>
      </c>
      <c r="U144">
        <v>179.89334099999999</v>
      </c>
      <c r="V144">
        <v>182.461105</v>
      </c>
      <c r="W144">
        <v>184.956726</v>
      </c>
      <c r="X144">
        <v>187.37617499999999</v>
      </c>
      <c r="Y144">
        <v>189.71571399999999</v>
      </c>
      <c r="Z144">
        <v>191.971497</v>
      </c>
      <c r="AA144">
        <v>194.13931299999999</v>
      </c>
      <c r="AB144">
        <v>196.21594200000001</v>
      </c>
      <c r="AC144">
        <v>198.19818100000001</v>
      </c>
      <c r="AD144">
        <v>200.082382</v>
      </c>
      <c r="AE144" s="9">
        <v>1.6E-2</v>
      </c>
    </row>
    <row r="145" spans="1:31">
      <c r="A145" t="s">
        <v>209</v>
      </c>
      <c r="B145" t="s">
        <v>2553</v>
      </c>
      <c r="C145" t="s">
        <v>2552</v>
      </c>
      <c r="D145" t="s">
        <v>194</v>
      </c>
      <c r="E145">
        <v>73.544578999999999</v>
      </c>
      <c r="F145">
        <v>74.746375999999998</v>
      </c>
      <c r="G145">
        <v>76.298858999999993</v>
      </c>
      <c r="H145">
        <v>77.992378000000002</v>
      </c>
      <c r="I145">
        <v>79.656868000000003</v>
      </c>
      <c r="J145">
        <v>81.291740000000004</v>
      </c>
      <c r="K145">
        <v>82.904015000000001</v>
      </c>
      <c r="L145">
        <v>84.497619999999998</v>
      </c>
      <c r="M145">
        <v>86.073768999999999</v>
      </c>
      <c r="N145">
        <v>87.630973999999995</v>
      </c>
      <c r="O145">
        <v>89.167770000000004</v>
      </c>
      <c r="P145">
        <v>90.682998999999995</v>
      </c>
      <c r="Q145">
        <v>92.175765999999996</v>
      </c>
      <c r="R145">
        <v>93.644478000000007</v>
      </c>
      <c r="S145">
        <v>95.087112000000005</v>
      </c>
      <c r="T145">
        <v>96.497742000000002</v>
      </c>
      <c r="U145">
        <v>97.876579000000007</v>
      </c>
      <c r="V145">
        <v>99.221748000000005</v>
      </c>
      <c r="W145">
        <v>100.53138</v>
      </c>
      <c r="X145">
        <v>101.803673</v>
      </c>
      <c r="Y145">
        <v>103.036743</v>
      </c>
      <c r="Z145">
        <v>104.228966</v>
      </c>
      <c r="AA145">
        <v>105.378471</v>
      </c>
      <c r="AB145">
        <v>106.48362</v>
      </c>
      <c r="AC145">
        <v>107.54274700000001</v>
      </c>
      <c r="AD145">
        <v>108.554413</v>
      </c>
      <c r="AE145" s="9">
        <v>1.6E-2</v>
      </c>
    </row>
    <row r="146" spans="1:31">
      <c r="A146" t="s">
        <v>210</v>
      </c>
      <c r="B146" t="s">
        <v>2551</v>
      </c>
      <c r="C146" t="s">
        <v>2550</v>
      </c>
      <c r="D146" t="s">
        <v>194</v>
      </c>
      <c r="E146">
        <v>52.431319999999999</v>
      </c>
      <c r="F146">
        <v>53.385646999999999</v>
      </c>
      <c r="G146">
        <v>54.701168000000003</v>
      </c>
      <c r="H146">
        <v>56.161845999999997</v>
      </c>
      <c r="I146">
        <v>57.590857999999997</v>
      </c>
      <c r="J146">
        <v>58.987414999999999</v>
      </c>
      <c r="K146">
        <v>60.359070000000003</v>
      </c>
      <c r="L146">
        <v>61.710236000000002</v>
      </c>
      <c r="M146">
        <v>63.042191000000003</v>
      </c>
      <c r="N146">
        <v>64.353493</v>
      </c>
      <c r="O146">
        <v>65.642677000000006</v>
      </c>
      <c r="P146">
        <v>66.908798000000004</v>
      </c>
      <c r="Q146">
        <v>68.151024000000007</v>
      </c>
      <c r="R146">
        <v>69.367867000000004</v>
      </c>
      <c r="S146">
        <v>70.557602000000003</v>
      </c>
      <c r="T146">
        <v>71.717819000000006</v>
      </c>
      <c r="U146">
        <v>72.847412000000006</v>
      </c>
      <c r="V146">
        <v>73.945746999999997</v>
      </c>
      <c r="W146">
        <v>75.010658000000006</v>
      </c>
      <c r="X146">
        <v>76.040122999999994</v>
      </c>
      <c r="Y146">
        <v>77.032448000000002</v>
      </c>
      <c r="Z146">
        <v>77.985480999999993</v>
      </c>
      <c r="AA146">
        <v>78.897125000000003</v>
      </c>
      <c r="AB146">
        <v>79.765906999999999</v>
      </c>
      <c r="AC146">
        <v>80.590468999999999</v>
      </c>
      <c r="AD146">
        <v>81.368660000000006</v>
      </c>
      <c r="AE146" s="9">
        <v>1.7999999999999999E-2</v>
      </c>
    </row>
    <row r="147" spans="1:31">
      <c r="A147" t="s">
        <v>211</v>
      </c>
      <c r="B147" t="s">
        <v>2549</v>
      </c>
      <c r="C147" t="s">
        <v>2548</v>
      </c>
      <c r="D147" t="s">
        <v>194</v>
      </c>
      <c r="E147">
        <v>6.9316319999999996</v>
      </c>
      <c r="F147">
        <v>7.0431350000000004</v>
      </c>
      <c r="G147">
        <v>7.1856780000000002</v>
      </c>
      <c r="H147">
        <v>7.3407049999999998</v>
      </c>
      <c r="I147">
        <v>7.4931970000000003</v>
      </c>
      <c r="J147">
        <v>7.6431019999999998</v>
      </c>
      <c r="K147">
        <v>7.7910360000000001</v>
      </c>
      <c r="L147">
        <v>7.9373389999999997</v>
      </c>
      <c r="M147">
        <v>8.0821199999999997</v>
      </c>
      <c r="N147">
        <v>8.2252460000000003</v>
      </c>
      <c r="O147">
        <v>8.3665850000000006</v>
      </c>
      <c r="P147">
        <v>8.5060300000000009</v>
      </c>
      <c r="Q147">
        <v>8.6435010000000005</v>
      </c>
      <c r="R147">
        <v>8.7788540000000008</v>
      </c>
      <c r="S147">
        <v>8.9119030000000006</v>
      </c>
      <c r="T147">
        <v>9.0420590000000001</v>
      </c>
      <c r="U147">
        <v>9.169359</v>
      </c>
      <c r="V147">
        <v>9.2936189999999996</v>
      </c>
      <c r="W147">
        <v>9.4146780000000003</v>
      </c>
      <c r="X147">
        <v>9.5323740000000008</v>
      </c>
      <c r="Y147">
        <v>9.6465409999999991</v>
      </c>
      <c r="Z147">
        <v>9.7570429999999995</v>
      </c>
      <c r="AA147">
        <v>9.8637160000000002</v>
      </c>
      <c r="AB147">
        <v>9.9664129999999993</v>
      </c>
      <c r="AC147">
        <v>10.064977000000001</v>
      </c>
      <c r="AD147">
        <v>10.159297</v>
      </c>
      <c r="AE147" s="9">
        <v>1.4999999999999999E-2</v>
      </c>
    </row>
    <row r="148" spans="1:31">
      <c r="A148" t="s">
        <v>683</v>
      </c>
      <c r="B148" t="s">
        <v>2547</v>
      </c>
      <c r="C148" t="s">
        <v>2546</v>
      </c>
      <c r="D148" t="s">
        <v>194</v>
      </c>
      <c r="E148">
        <v>225.805969</v>
      </c>
      <c r="F148">
        <v>233.132431</v>
      </c>
      <c r="G148">
        <v>240.44184899999999</v>
      </c>
      <c r="H148">
        <v>247.70794699999999</v>
      </c>
      <c r="I148">
        <v>255.04452499999999</v>
      </c>
      <c r="J148">
        <v>262.49646000000001</v>
      </c>
      <c r="K148">
        <v>270.07492100000002</v>
      </c>
      <c r="L148">
        <v>277.78686499999998</v>
      </c>
      <c r="M148">
        <v>285.63098100000002</v>
      </c>
      <c r="N148">
        <v>293.60537699999998</v>
      </c>
      <c r="O148">
        <v>301.70101899999997</v>
      </c>
      <c r="P148">
        <v>309.91436800000002</v>
      </c>
      <c r="Q148">
        <v>318.25787400000002</v>
      </c>
      <c r="R148">
        <v>326.73956299999998</v>
      </c>
      <c r="S148">
        <v>335.36563100000001</v>
      </c>
      <c r="T148">
        <v>344.12750199999999</v>
      </c>
      <c r="U148">
        <v>353.02172899999999</v>
      </c>
      <c r="V148">
        <v>362.05062900000001</v>
      </c>
      <c r="W148">
        <v>371.21701000000002</v>
      </c>
      <c r="X148">
        <v>380.51950099999999</v>
      </c>
      <c r="Y148">
        <v>389.95986900000003</v>
      </c>
      <c r="Z148">
        <v>399.53707900000001</v>
      </c>
      <c r="AA148">
        <v>409.24917599999998</v>
      </c>
      <c r="AB148">
        <v>419.09463499999998</v>
      </c>
      <c r="AC148">
        <v>429.073486</v>
      </c>
      <c r="AD148">
        <v>439.19454999999999</v>
      </c>
      <c r="AE148" s="9">
        <v>2.7E-2</v>
      </c>
    </row>
    <row r="149" spans="1:31">
      <c r="A149" t="s">
        <v>209</v>
      </c>
      <c r="B149" t="s">
        <v>2545</v>
      </c>
      <c r="C149" t="s">
        <v>2544</v>
      </c>
      <c r="D149" t="s">
        <v>194</v>
      </c>
      <c r="E149">
        <v>136.98419200000001</v>
      </c>
      <c r="F149">
        <v>141.36958300000001</v>
      </c>
      <c r="G149">
        <v>145.71807899999999</v>
      </c>
      <c r="H149">
        <v>150.010696</v>
      </c>
      <c r="I149">
        <v>154.32934599999999</v>
      </c>
      <c r="J149">
        <v>158.70533800000001</v>
      </c>
      <c r="K149">
        <v>163.14634699999999</v>
      </c>
      <c r="L149">
        <v>167.65725699999999</v>
      </c>
      <c r="M149">
        <v>172.23699999999999</v>
      </c>
      <c r="N149">
        <v>176.883408</v>
      </c>
      <c r="O149">
        <v>181.59030200000001</v>
      </c>
      <c r="P149">
        <v>186.35574299999999</v>
      </c>
      <c r="Q149">
        <v>191.188705</v>
      </c>
      <c r="R149">
        <v>196.09399400000001</v>
      </c>
      <c r="S149">
        <v>201.075714</v>
      </c>
      <c r="T149">
        <v>206.128433</v>
      </c>
      <c r="U149">
        <v>211.24964900000001</v>
      </c>
      <c r="V149">
        <v>216.440338</v>
      </c>
      <c r="W149">
        <v>221.70225500000001</v>
      </c>
      <c r="X149">
        <v>227.03434799999999</v>
      </c>
      <c r="Y149">
        <v>232.43708799999999</v>
      </c>
      <c r="Z149">
        <v>237.909561</v>
      </c>
      <c r="AA149">
        <v>243.44949299999999</v>
      </c>
      <c r="AB149">
        <v>249.05564899999999</v>
      </c>
      <c r="AC149">
        <v>254.72860700000001</v>
      </c>
      <c r="AD149">
        <v>260.47341899999998</v>
      </c>
      <c r="AE149" s="9">
        <v>2.5999999999999999E-2</v>
      </c>
    </row>
    <row r="150" spans="1:31">
      <c r="A150" t="s">
        <v>210</v>
      </c>
      <c r="B150" t="s">
        <v>2543</v>
      </c>
      <c r="C150" t="s">
        <v>2542</v>
      </c>
      <c r="D150" t="s">
        <v>194</v>
      </c>
      <c r="E150">
        <v>82.253112999999999</v>
      </c>
      <c r="F150">
        <v>84.988822999999996</v>
      </c>
      <c r="G150">
        <v>87.748328999999998</v>
      </c>
      <c r="H150">
        <v>90.525581000000003</v>
      </c>
      <c r="I150">
        <v>93.347426999999996</v>
      </c>
      <c r="J150">
        <v>96.225555</v>
      </c>
      <c r="K150">
        <v>99.163032999999999</v>
      </c>
      <c r="L150">
        <v>102.161697</v>
      </c>
      <c r="M150">
        <v>105.221329</v>
      </c>
      <c r="N150">
        <v>108.342422</v>
      </c>
      <c r="O150">
        <v>111.522491</v>
      </c>
      <c r="P150">
        <v>114.759911</v>
      </c>
      <c r="Q150">
        <v>118.057693</v>
      </c>
      <c r="R150">
        <v>121.418846</v>
      </c>
      <c r="S150">
        <v>124.845184</v>
      </c>
      <c r="T150">
        <v>128.333923</v>
      </c>
      <c r="U150">
        <v>131.88415499999999</v>
      </c>
      <c r="V150">
        <v>135.49733000000001</v>
      </c>
      <c r="W150">
        <v>139.174286</v>
      </c>
      <c r="X150">
        <v>142.91493199999999</v>
      </c>
      <c r="Y150">
        <v>146.72044399999999</v>
      </c>
      <c r="Z150">
        <v>150.59080499999999</v>
      </c>
      <c r="AA150">
        <v>154.526611</v>
      </c>
      <c r="AB150">
        <v>158.52757299999999</v>
      </c>
      <c r="AC150">
        <v>162.59309400000001</v>
      </c>
      <c r="AD150">
        <v>166.72673</v>
      </c>
      <c r="AE150" s="9">
        <v>2.9000000000000001E-2</v>
      </c>
    </row>
    <row r="151" spans="1:31">
      <c r="A151" t="s">
        <v>211</v>
      </c>
      <c r="B151" t="s">
        <v>2541</v>
      </c>
      <c r="C151" t="s">
        <v>2540</v>
      </c>
      <c r="D151" t="s">
        <v>194</v>
      </c>
      <c r="E151">
        <v>6.5686640000000001</v>
      </c>
      <c r="F151">
        <v>6.7740309999999999</v>
      </c>
      <c r="G151">
        <v>6.975422</v>
      </c>
      <c r="H151">
        <v>7.1716699999999998</v>
      </c>
      <c r="I151">
        <v>7.3677760000000001</v>
      </c>
      <c r="J151">
        <v>7.5655809999999999</v>
      </c>
      <c r="K151">
        <v>7.7655289999999999</v>
      </c>
      <c r="L151">
        <v>7.9679070000000003</v>
      </c>
      <c r="M151">
        <v>8.1726430000000008</v>
      </c>
      <c r="N151">
        <v>8.3795439999999992</v>
      </c>
      <c r="O151">
        <v>8.58826</v>
      </c>
      <c r="P151">
        <v>8.7987169999999999</v>
      </c>
      <c r="Q151">
        <v>9.0114579999999993</v>
      </c>
      <c r="R151">
        <v>9.2267130000000002</v>
      </c>
      <c r="S151">
        <v>9.4447039999999998</v>
      </c>
      <c r="T151">
        <v>9.6651509999999998</v>
      </c>
      <c r="U151">
        <v>9.8879029999999997</v>
      </c>
      <c r="V151">
        <v>10.112970000000001</v>
      </c>
      <c r="W151">
        <v>10.340441</v>
      </c>
      <c r="X151">
        <v>10.570240999999999</v>
      </c>
      <c r="Y151">
        <v>10.802353999999999</v>
      </c>
      <c r="Z151">
        <v>11.036707</v>
      </c>
      <c r="AA151">
        <v>11.273096000000001</v>
      </c>
      <c r="AB151">
        <v>11.511441</v>
      </c>
      <c r="AC151">
        <v>11.751815000000001</v>
      </c>
      <c r="AD151">
        <v>11.994434</v>
      </c>
      <c r="AE151" s="9">
        <v>2.4E-2</v>
      </c>
    </row>
    <row r="152" spans="1:31">
      <c r="A152" t="s">
        <v>345</v>
      </c>
      <c r="B152" t="s">
        <v>2539</v>
      </c>
      <c r="C152" t="s">
        <v>2538</v>
      </c>
      <c r="D152" t="s">
        <v>194</v>
      </c>
      <c r="E152">
        <v>3758.1677249999998</v>
      </c>
      <c r="F152">
        <v>3907.2329100000002</v>
      </c>
      <c r="G152">
        <v>4040.2272950000001</v>
      </c>
      <c r="H152">
        <v>4164.2241210000002</v>
      </c>
      <c r="I152">
        <v>4292.3759769999997</v>
      </c>
      <c r="J152">
        <v>4427.544922</v>
      </c>
      <c r="K152">
        <v>4564.8115230000003</v>
      </c>
      <c r="L152">
        <v>4709.2260740000002</v>
      </c>
      <c r="M152">
        <v>4858.1865230000003</v>
      </c>
      <c r="N152">
        <v>5012.015625</v>
      </c>
      <c r="O152">
        <v>5170.7084960000002</v>
      </c>
      <c r="P152">
        <v>5324.8891599999997</v>
      </c>
      <c r="Q152">
        <v>5481.3632809999999</v>
      </c>
      <c r="R152">
        <v>5640.1196289999998</v>
      </c>
      <c r="S152">
        <v>5800.5566410000001</v>
      </c>
      <c r="T152">
        <v>5964.0976559999999</v>
      </c>
      <c r="U152">
        <v>6129.1206050000001</v>
      </c>
      <c r="V152">
        <v>6297.8706050000001</v>
      </c>
      <c r="W152">
        <v>6470.3369140000004</v>
      </c>
      <c r="X152">
        <v>6645.0009769999997</v>
      </c>
      <c r="Y152">
        <v>6821.9736329999996</v>
      </c>
      <c r="Z152">
        <v>7000.1752930000002</v>
      </c>
      <c r="AA152">
        <v>7178.6171880000002</v>
      </c>
      <c r="AB152">
        <v>7359.2045900000003</v>
      </c>
      <c r="AC152">
        <v>7540.814453</v>
      </c>
      <c r="AD152">
        <v>7724.9672849999997</v>
      </c>
      <c r="AE152" s="9">
        <v>2.9000000000000001E-2</v>
      </c>
    </row>
    <row r="153" spans="1:31">
      <c r="A153" t="s">
        <v>346</v>
      </c>
      <c r="B153" t="s">
        <v>2537</v>
      </c>
      <c r="C153" t="s">
        <v>2536</v>
      </c>
      <c r="D153" t="s">
        <v>194</v>
      </c>
      <c r="E153">
        <v>3050.5427249999998</v>
      </c>
      <c r="F153">
        <v>3163.2009280000002</v>
      </c>
      <c r="G153">
        <v>3268.8310550000001</v>
      </c>
      <c r="H153">
        <v>3370.1516109999998</v>
      </c>
      <c r="I153">
        <v>3473.086182</v>
      </c>
      <c r="J153">
        <v>3579.866943</v>
      </c>
      <c r="K153">
        <v>3688.279297</v>
      </c>
      <c r="L153">
        <v>3800.5932619999999</v>
      </c>
      <c r="M153">
        <v>3915.7790530000002</v>
      </c>
      <c r="N153">
        <v>4033.9311520000001</v>
      </c>
      <c r="O153">
        <v>4155.0747069999998</v>
      </c>
      <c r="P153">
        <v>4275.5268550000001</v>
      </c>
      <c r="Q153">
        <v>4397.9946289999998</v>
      </c>
      <c r="R153">
        <v>4522.6748049999997</v>
      </c>
      <c r="S153">
        <v>4649.2856449999999</v>
      </c>
      <c r="T153">
        <v>4778.7744140000004</v>
      </c>
      <c r="U153">
        <v>4910.4433589999999</v>
      </c>
      <c r="V153">
        <v>5045.109375</v>
      </c>
      <c r="W153">
        <v>5182.703125</v>
      </c>
      <c r="X153">
        <v>5322.4438479999999</v>
      </c>
      <c r="Y153">
        <v>5464.3159180000002</v>
      </c>
      <c r="Z153">
        <v>5607.9746089999999</v>
      </c>
      <c r="AA153">
        <v>5753.1132809999999</v>
      </c>
      <c r="AB153">
        <v>5900.8466799999997</v>
      </c>
      <c r="AC153">
        <v>6050.9116210000002</v>
      </c>
      <c r="AD153">
        <v>6203.9570309999999</v>
      </c>
      <c r="AE153" s="9">
        <v>2.9000000000000001E-2</v>
      </c>
    </row>
    <row r="154" spans="1:31">
      <c r="A154" t="s">
        <v>347</v>
      </c>
      <c r="B154" t="s">
        <v>2535</v>
      </c>
      <c r="C154" t="s">
        <v>2534</v>
      </c>
      <c r="D154" t="s">
        <v>194</v>
      </c>
      <c r="E154">
        <v>309.12573200000003</v>
      </c>
      <c r="F154">
        <v>321.05297899999999</v>
      </c>
      <c r="G154">
        <v>331.66217</v>
      </c>
      <c r="H154">
        <v>341.52462800000001</v>
      </c>
      <c r="I154">
        <v>351.94741800000003</v>
      </c>
      <c r="J154">
        <v>363.01556399999998</v>
      </c>
      <c r="K154">
        <v>374.24813799999998</v>
      </c>
      <c r="L154">
        <v>386.13647500000002</v>
      </c>
      <c r="M154">
        <v>398.42437699999999</v>
      </c>
      <c r="N154">
        <v>411.14367700000003</v>
      </c>
      <c r="O154">
        <v>424.29482999999999</v>
      </c>
      <c r="P154">
        <v>436.963593</v>
      </c>
      <c r="Q154">
        <v>449.81243899999998</v>
      </c>
      <c r="R154">
        <v>462.83746300000001</v>
      </c>
      <c r="S154">
        <v>475.97830199999999</v>
      </c>
      <c r="T154">
        <v>489.364868</v>
      </c>
      <c r="U154">
        <v>502.84027099999997</v>
      </c>
      <c r="V154">
        <v>516.62304700000004</v>
      </c>
      <c r="W154">
        <v>530.71453899999995</v>
      </c>
      <c r="X154">
        <v>544.96911599999999</v>
      </c>
      <c r="Y154">
        <v>559.39794900000004</v>
      </c>
      <c r="Z154">
        <v>573.895081</v>
      </c>
      <c r="AA154">
        <v>588.36389199999996</v>
      </c>
      <c r="AB154">
        <v>602.98657200000002</v>
      </c>
      <c r="AC154">
        <v>617.65033000000005</v>
      </c>
      <c r="AD154">
        <v>632.50006099999996</v>
      </c>
      <c r="AE154" s="9">
        <v>2.9000000000000001E-2</v>
      </c>
    </row>
    <row r="155" spans="1:31">
      <c r="A155" t="s">
        <v>111</v>
      </c>
      <c r="B155" t="s">
        <v>2533</v>
      </c>
      <c r="C155" t="s">
        <v>2532</v>
      </c>
      <c r="D155" t="s">
        <v>194</v>
      </c>
      <c r="E155">
        <v>7117.8364259999998</v>
      </c>
      <c r="F155">
        <v>7391.4868159999996</v>
      </c>
      <c r="G155">
        <v>7640.720703</v>
      </c>
      <c r="H155">
        <v>7875.8999020000001</v>
      </c>
      <c r="I155">
        <v>8117.4101559999999</v>
      </c>
      <c r="J155">
        <v>8370.4277340000008</v>
      </c>
      <c r="K155">
        <v>8627.3388670000004</v>
      </c>
      <c r="L155">
        <v>8895.9560550000006</v>
      </c>
      <c r="M155">
        <v>9172.3886719999991</v>
      </c>
      <c r="N155">
        <v>9457.0908199999994</v>
      </c>
      <c r="O155">
        <v>9750.0771480000003</v>
      </c>
      <c r="P155">
        <v>10037.377930000001</v>
      </c>
      <c r="Q155">
        <v>10329.169921999999</v>
      </c>
      <c r="R155">
        <v>10625.630859000001</v>
      </c>
      <c r="S155">
        <v>10925.822265999999</v>
      </c>
      <c r="T155">
        <v>11232.236328000001</v>
      </c>
      <c r="U155">
        <v>11542.404296999999</v>
      </c>
      <c r="V155">
        <v>11859.600586</v>
      </c>
      <c r="W155">
        <v>12183.753906</v>
      </c>
      <c r="X155">
        <v>12512.414062</v>
      </c>
      <c r="Y155">
        <v>12845.688477</v>
      </c>
      <c r="Z155">
        <v>13182.042969</v>
      </c>
      <c r="AA155">
        <v>13520.09375</v>
      </c>
      <c r="AB155">
        <v>13863.038086</v>
      </c>
      <c r="AC155">
        <v>14209.375977</v>
      </c>
      <c r="AD155">
        <v>14561.425781</v>
      </c>
      <c r="AE155" s="9">
        <v>2.9000000000000001E-2</v>
      </c>
    </row>
    <row r="156" spans="1:31">
      <c r="A156" t="s">
        <v>292</v>
      </c>
    </row>
    <row r="157" spans="1:31">
      <c r="A157" t="s">
        <v>203</v>
      </c>
      <c r="B157" t="s">
        <v>2531</v>
      </c>
      <c r="C157" t="s">
        <v>2530</v>
      </c>
      <c r="D157" t="s">
        <v>192</v>
      </c>
      <c r="E157">
        <v>393.74005099999999</v>
      </c>
      <c r="F157">
        <v>529.69665499999996</v>
      </c>
      <c r="G157">
        <v>444.42446899999999</v>
      </c>
      <c r="H157">
        <v>368.82611100000003</v>
      </c>
      <c r="I157">
        <v>408.27462800000001</v>
      </c>
      <c r="J157">
        <v>437.21096799999998</v>
      </c>
      <c r="K157">
        <v>433.30026199999998</v>
      </c>
      <c r="L157">
        <v>468.10775799999999</v>
      </c>
      <c r="M157">
        <v>484.00753800000001</v>
      </c>
      <c r="N157">
        <v>503.05838</v>
      </c>
      <c r="O157">
        <v>523.92334000000005</v>
      </c>
      <c r="P157">
        <v>473.242188</v>
      </c>
      <c r="Q157">
        <v>475.14935300000002</v>
      </c>
      <c r="R157">
        <v>475.66137700000002</v>
      </c>
      <c r="S157">
        <v>470.98584</v>
      </c>
      <c r="T157">
        <v>477.72027600000001</v>
      </c>
      <c r="U157">
        <v>471.25872800000002</v>
      </c>
      <c r="V157">
        <v>483.84588600000001</v>
      </c>
      <c r="W157">
        <v>499.138214</v>
      </c>
      <c r="X157">
        <v>504.107147</v>
      </c>
      <c r="Y157">
        <v>511.038025</v>
      </c>
      <c r="Z157">
        <v>509.66735799999998</v>
      </c>
      <c r="AA157">
        <v>501.10824600000001</v>
      </c>
      <c r="AB157">
        <v>509.20022599999999</v>
      </c>
      <c r="AC157">
        <v>508.21466099999998</v>
      </c>
      <c r="AD157">
        <v>519.25848399999995</v>
      </c>
      <c r="AE157" s="9">
        <v>1.0999999999999999E-2</v>
      </c>
    </row>
    <row r="158" spans="1:31">
      <c r="A158" t="s">
        <v>209</v>
      </c>
      <c r="B158" t="s">
        <v>2529</v>
      </c>
      <c r="C158" t="s">
        <v>2528</v>
      </c>
      <c r="D158" t="s">
        <v>192</v>
      </c>
      <c r="E158">
        <v>228.62789900000001</v>
      </c>
      <c r="F158">
        <v>311.71655299999998</v>
      </c>
      <c r="G158">
        <v>260.22766100000001</v>
      </c>
      <c r="H158">
        <v>214.76019299999999</v>
      </c>
      <c r="I158">
        <v>239.168091</v>
      </c>
      <c r="J158">
        <v>257.20541400000002</v>
      </c>
      <c r="K158">
        <v>255.52259799999999</v>
      </c>
      <c r="L158">
        <v>277.19921900000003</v>
      </c>
      <c r="M158">
        <v>287.28125</v>
      </c>
      <c r="N158">
        <v>299.26074199999999</v>
      </c>
      <c r="O158">
        <v>312.24511699999999</v>
      </c>
      <c r="P158">
        <v>281.97949199999999</v>
      </c>
      <c r="Q158">
        <v>283.40722699999998</v>
      </c>
      <c r="R158">
        <v>283.78173800000002</v>
      </c>
      <c r="S158">
        <v>281.02783199999999</v>
      </c>
      <c r="T158">
        <v>285.05566399999998</v>
      </c>
      <c r="U158">
        <v>281.13037100000003</v>
      </c>
      <c r="V158">
        <v>288.68310500000001</v>
      </c>
      <c r="W158">
        <v>297.86230499999999</v>
      </c>
      <c r="X158">
        <v>300.82275399999997</v>
      </c>
      <c r="Y158">
        <v>305.00292999999999</v>
      </c>
      <c r="Z158">
        <v>304.17871100000002</v>
      </c>
      <c r="AA158">
        <v>299.056152</v>
      </c>
      <c r="AB158">
        <v>303.97070300000001</v>
      </c>
      <c r="AC158">
        <v>303.36425800000001</v>
      </c>
      <c r="AD158">
        <v>310.01416</v>
      </c>
      <c r="AE158" s="9">
        <v>1.2E-2</v>
      </c>
    </row>
    <row r="159" spans="1:31">
      <c r="A159" t="s">
        <v>210</v>
      </c>
      <c r="B159" t="s">
        <v>2527</v>
      </c>
      <c r="C159" t="s">
        <v>2526</v>
      </c>
      <c r="D159" t="s">
        <v>192</v>
      </c>
      <c r="E159">
        <v>78.699188000000007</v>
      </c>
      <c r="F159">
        <v>95.726906</v>
      </c>
      <c r="G159">
        <v>82.855857999999998</v>
      </c>
      <c r="H159">
        <v>71.426743000000002</v>
      </c>
      <c r="I159">
        <v>75.240691999999996</v>
      </c>
      <c r="J159">
        <v>77.129822000000004</v>
      </c>
      <c r="K159">
        <v>74.418785</v>
      </c>
      <c r="L159">
        <v>76.909760000000006</v>
      </c>
      <c r="M159">
        <v>76.905852999999993</v>
      </c>
      <c r="N159">
        <v>77.438254999999998</v>
      </c>
      <c r="O159">
        <v>78.473145000000002</v>
      </c>
      <c r="P159">
        <v>70.276595999999998</v>
      </c>
      <c r="Q159">
        <v>69.616623000000004</v>
      </c>
      <c r="R159">
        <v>69.148696999999999</v>
      </c>
      <c r="S159">
        <v>68.233397999999994</v>
      </c>
      <c r="T159">
        <v>69.219543000000002</v>
      </c>
      <c r="U159">
        <v>68.599297000000007</v>
      </c>
      <c r="V159">
        <v>70.772887999999995</v>
      </c>
      <c r="W159">
        <v>73.444618000000006</v>
      </c>
      <c r="X159">
        <v>74.789519999999996</v>
      </c>
      <c r="Y159">
        <v>76.474311999999998</v>
      </c>
      <c r="Z159">
        <v>77.116569999999996</v>
      </c>
      <c r="AA159">
        <v>76.794044</v>
      </c>
      <c r="AB159">
        <v>78.793723999999997</v>
      </c>
      <c r="AC159">
        <v>79.582352</v>
      </c>
      <c r="AD159">
        <v>82.016784999999999</v>
      </c>
      <c r="AE159" s="9">
        <v>2E-3</v>
      </c>
    </row>
    <row r="160" spans="1:31">
      <c r="A160" t="s">
        <v>211</v>
      </c>
      <c r="B160" t="s">
        <v>2525</v>
      </c>
      <c r="C160" t="s">
        <v>2524</v>
      </c>
      <c r="D160" t="s">
        <v>192</v>
      </c>
      <c r="E160">
        <v>86.412964000000002</v>
      </c>
      <c r="F160">
        <v>122.253174</v>
      </c>
      <c r="G160">
        <v>101.340942</v>
      </c>
      <c r="H160">
        <v>82.639160000000004</v>
      </c>
      <c r="I160">
        <v>93.865844999999993</v>
      </c>
      <c r="J160">
        <v>102.875732</v>
      </c>
      <c r="K160">
        <v>103.358887</v>
      </c>
      <c r="L160">
        <v>113.998779</v>
      </c>
      <c r="M160">
        <v>119.820435</v>
      </c>
      <c r="N160">
        <v>126.359375</v>
      </c>
      <c r="O160">
        <v>133.20507799999999</v>
      </c>
      <c r="P160">
        <v>120.98608400000001</v>
      </c>
      <c r="Q160">
        <v>122.125488</v>
      </c>
      <c r="R160">
        <v>122.730957</v>
      </c>
      <c r="S160">
        <v>121.724609</v>
      </c>
      <c r="T160">
        <v>123.44506800000001</v>
      </c>
      <c r="U160">
        <v>121.529053</v>
      </c>
      <c r="V160">
        <v>124.389893</v>
      </c>
      <c r="W160">
        <v>127.831299</v>
      </c>
      <c r="X160">
        <v>128.49487300000001</v>
      </c>
      <c r="Y160">
        <v>129.56079099999999</v>
      </c>
      <c r="Z160">
        <v>128.37207000000001</v>
      </c>
      <c r="AA160">
        <v>125.25805699999999</v>
      </c>
      <c r="AB160">
        <v>126.43579099999999</v>
      </c>
      <c r="AC160">
        <v>125.268066</v>
      </c>
      <c r="AD160">
        <v>127.22753899999999</v>
      </c>
      <c r="AE160" s="9">
        <v>1.6E-2</v>
      </c>
    </row>
    <row r="161" spans="1:31">
      <c r="A161" t="s">
        <v>204</v>
      </c>
      <c r="B161" t="s">
        <v>2523</v>
      </c>
      <c r="C161" t="s">
        <v>2522</v>
      </c>
      <c r="D161" t="s">
        <v>192</v>
      </c>
      <c r="E161">
        <v>81.869727999999995</v>
      </c>
      <c r="F161">
        <v>53.512436000000001</v>
      </c>
      <c r="G161">
        <v>54.587676999999999</v>
      </c>
      <c r="H161">
        <v>58.976188999999998</v>
      </c>
      <c r="I161">
        <v>59.28801</v>
      </c>
      <c r="J161">
        <v>58.870724000000003</v>
      </c>
      <c r="K161">
        <v>59.213149999999999</v>
      </c>
      <c r="L161">
        <v>59.587657999999998</v>
      </c>
      <c r="M161">
        <v>60.201873999999997</v>
      </c>
      <c r="N161">
        <v>60.876617000000003</v>
      </c>
      <c r="O161">
        <v>61.625908000000003</v>
      </c>
      <c r="P161">
        <v>62.384262</v>
      </c>
      <c r="Q161">
        <v>63.229087999999997</v>
      </c>
      <c r="R161">
        <v>64.172493000000003</v>
      </c>
      <c r="S161">
        <v>65.207115000000002</v>
      </c>
      <c r="T161">
        <v>66.200500000000005</v>
      </c>
      <c r="U161">
        <v>67.308395000000004</v>
      </c>
      <c r="V161">
        <v>68.809218999999999</v>
      </c>
      <c r="W161">
        <v>70.232680999999999</v>
      </c>
      <c r="X161">
        <v>71.690871999999999</v>
      </c>
      <c r="Y161">
        <v>73.051483000000005</v>
      </c>
      <c r="Z161">
        <v>74.546631000000005</v>
      </c>
      <c r="AA161">
        <v>76.143615999999994</v>
      </c>
      <c r="AB161">
        <v>77.754645999999994</v>
      </c>
      <c r="AC161">
        <v>79.428985999999995</v>
      </c>
      <c r="AD161">
        <v>81.066269000000005</v>
      </c>
      <c r="AE161" s="9">
        <v>0</v>
      </c>
    </row>
    <row r="162" spans="1:31">
      <c r="A162" t="s">
        <v>209</v>
      </c>
      <c r="B162" t="s">
        <v>2521</v>
      </c>
      <c r="C162" t="s">
        <v>2520</v>
      </c>
      <c r="D162" t="s">
        <v>192</v>
      </c>
      <c r="E162">
        <v>20.367187999999999</v>
      </c>
      <c r="F162">
        <v>21.354523</v>
      </c>
      <c r="G162">
        <v>22.039916999999999</v>
      </c>
      <c r="H162">
        <v>24.506775000000001</v>
      </c>
      <c r="I162">
        <v>24.716643999999999</v>
      </c>
      <c r="J162">
        <v>24.587769000000002</v>
      </c>
      <c r="K162">
        <v>24.787963999999999</v>
      </c>
      <c r="L162">
        <v>25.011230000000001</v>
      </c>
      <c r="M162">
        <v>25.336914</v>
      </c>
      <c r="N162">
        <v>25.685974000000002</v>
      </c>
      <c r="O162">
        <v>26.060210999999999</v>
      </c>
      <c r="P162">
        <v>26.450043000000001</v>
      </c>
      <c r="Q162">
        <v>26.871704000000001</v>
      </c>
      <c r="R162">
        <v>27.323944000000001</v>
      </c>
      <c r="S162">
        <v>27.839995999999999</v>
      </c>
      <c r="T162">
        <v>28.366088999999999</v>
      </c>
      <c r="U162">
        <v>28.940674000000001</v>
      </c>
      <c r="V162">
        <v>29.523009999999999</v>
      </c>
      <c r="W162">
        <v>30.104309000000001</v>
      </c>
      <c r="X162">
        <v>30.666443000000001</v>
      </c>
      <c r="Y162">
        <v>31.202636999999999</v>
      </c>
      <c r="Z162">
        <v>31.767821999999999</v>
      </c>
      <c r="AA162">
        <v>32.335754000000001</v>
      </c>
      <c r="AB162">
        <v>32.878174000000001</v>
      </c>
      <c r="AC162">
        <v>33.424315999999997</v>
      </c>
      <c r="AD162">
        <v>33.931395999999999</v>
      </c>
      <c r="AE162" s="9">
        <v>2.1000000000000001E-2</v>
      </c>
    </row>
    <row r="163" spans="1:31">
      <c r="A163" t="s">
        <v>210</v>
      </c>
      <c r="B163" t="s">
        <v>2519</v>
      </c>
      <c r="C163" t="s">
        <v>2518</v>
      </c>
      <c r="D163" t="s">
        <v>192</v>
      </c>
      <c r="E163">
        <v>7.2837740000000002</v>
      </c>
      <c r="F163">
        <v>7.3379669999999999</v>
      </c>
      <c r="G163">
        <v>8.2102360000000001</v>
      </c>
      <c r="H163">
        <v>9.3606409999999993</v>
      </c>
      <c r="I163">
        <v>9.46889</v>
      </c>
      <c r="J163">
        <v>9.4636589999999998</v>
      </c>
      <c r="K163">
        <v>9.6131430000000009</v>
      </c>
      <c r="L163">
        <v>9.7554470000000002</v>
      </c>
      <c r="M163">
        <v>9.9122009999999996</v>
      </c>
      <c r="N163">
        <v>10.058228</v>
      </c>
      <c r="O163">
        <v>10.218994</v>
      </c>
      <c r="P163">
        <v>10.386305</v>
      </c>
      <c r="Q163">
        <v>10.566017</v>
      </c>
      <c r="R163">
        <v>10.753178</v>
      </c>
      <c r="S163">
        <v>10.970846</v>
      </c>
      <c r="T163">
        <v>11.176087000000001</v>
      </c>
      <c r="U163">
        <v>11.400986</v>
      </c>
      <c r="V163">
        <v>11.638930999999999</v>
      </c>
      <c r="W163">
        <v>11.890181999999999</v>
      </c>
      <c r="X163">
        <v>12.151413</v>
      </c>
      <c r="Y163">
        <v>12.419312</v>
      </c>
      <c r="Z163">
        <v>12.703954</v>
      </c>
      <c r="AA163">
        <v>13.013365</v>
      </c>
      <c r="AB163">
        <v>13.323226999999999</v>
      </c>
      <c r="AC163">
        <v>13.645401</v>
      </c>
      <c r="AD163">
        <v>13.971664000000001</v>
      </c>
      <c r="AE163" s="9">
        <v>2.5999999999999999E-2</v>
      </c>
    </row>
    <row r="164" spans="1:31">
      <c r="A164" t="s">
        <v>211</v>
      </c>
      <c r="B164" t="s">
        <v>2517</v>
      </c>
      <c r="C164" t="s">
        <v>2516</v>
      </c>
      <c r="D164" t="s">
        <v>192</v>
      </c>
      <c r="E164">
        <v>54.218764999999998</v>
      </c>
      <c r="F164">
        <v>24.819946000000002</v>
      </c>
      <c r="G164">
        <v>24.337526</v>
      </c>
      <c r="H164">
        <v>25.108771999999998</v>
      </c>
      <c r="I164">
        <v>25.102471999999999</v>
      </c>
      <c r="J164">
        <v>24.819293999999999</v>
      </c>
      <c r="K164">
        <v>24.812042000000002</v>
      </c>
      <c r="L164">
        <v>24.820979999999999</v>
      </c>
      <c r="M164">
        <v>24.952759</v>
      </c>
      <c r="N164">
        <v>25.132415999999999</v>
      </c>
      <c r="O164">
        <v>25.346703000000002</v>
      </c>
      <c r="P164">
        <v>25.547913000000001</v>
      </c>
      <c r="Q164">
        <v>25.791367999999999</v>
      </c>
      <c r="R164">
        <v>26.095371</v>
      </c>
      <c r="S164">
        <v>26.396270999999999</v>
      </c>
      <c r="T164">
        <v>26.658325000000001</v>
      </c>
      <c r="U164">
        <v>26.966736000000001</v>
      </c>
      <c r="V164">
        <v>27.647278</v>
      </c>
      <c r="W164">
        <v>28.238189999999999</v>
      </c>
      <c r="X164">
        <v>28.873016</v>
      </c>
      <c r="Y164">
        <v>29.429535000000001</v>
      </c>
      <c r="Z164">
        <v>30.074856</v>
      </c>
      <c r="AA164">
        <v>30.794491000000001</v>
      </c>
      <c r="AB164">
        <v>31.553243999999999</v>
      </c>
      <c r="AC164">
        <v>32.359268</v>
      </c>
      <c r="AD164">
        <v>33.163207999999997</v>
      </c>
      <c r="AE164" s="9">
        <v>-1.9E-2</v>
      </c>
    </row>
    <row r="165" spans="1:31">
      <c r="A165" t="s">
        <v>713</v>
      </c>
      <c r="B165" t="s">
        <v>2515</v>
      </c>
      <c r="C165" t="s">
        <v>2514</v>
      </c>
      <c r="D165" t="s">
        <v>192</v>
      </c>
      <c r="E165">
        <v>28.464141999999999</v>
      </c>
      <c r="F165">
        <v>31.342151999999999</v>
      </c>
      <c r="G165">
        <v>33.081665000000001</v>
      </c>
      <c r="H165">
        <v>33.874954000000002</v>
      </c>
      <c r="I165">
        <v>34.717734999999998</v>
      </c>
      <c r="J165">
        <v>35.221592000000001</v>
      </c>
      <c r="K165">
        <v>36.284560999999997</v>
      </c>
      <c r="L165">
        <v>37.519359999999999</v>
      </c>
      <c r="M165">
        <v>38.867660999999998</v>
      </c>
      <c r="N165">
        <v>40.281593000000001</v>
      </c>
      <c r="O165">
        <v>41.776980999999999</v>
      </c>
      <c r="P165">
        <v>43.349316000000002</v>
      </c>
      <c r="Q165">
        <v>44.993309000000004</v>
      </c>
      <c r="R165">
        <v>46.701121999999998</v>
      </c>
      <c r="S165">
        <v>48.434928999999997</v>
      </c>
      <c r="T165">
        <v>50.184173999999999</v>
      </c>
      <c r="U165">
        <v>51.970523999999997</v>
      </c>
      <c r="V165">
        <v>53.767094</v>
      </c>
      <c r="W165">
        <v>55.566260999999997</v>
      </c>
      <c r="X165">
        <v>57.391373000000002</v>
      </c>
      <c r="Y165">
        <v>59.19162</v>
      </c>
      <c r="Z165">
        <v>60.958370000000002</v>
      </c>
      <c r="AA165">
        <v>62.721798</v>
      </c>
      <c r="AB165">
        <v>64.478904999999997</v>
      </c>
      <c r="AC165">
        <v>66.206969999999998</v>
      </c>
      <c r="AD165">
        <v>67.938034000000002</v>
      </c>
      <c r="AE165" s="9">
        <v>3.5000000000000003E-2</v>
      </c>
    </row>
    <row r="166" spans="1:31">
      <c r="A166" t="s">
        <v>209</v>
      </c>
      <c r="B166" t="s">
        <v>2513</v>
      </c>
      <c r="C166" t="s">
        <v>2512</v>
      </c>
      <c r="D166" t="s">
        <v>192</v>
      </c>
      <c r="E166">
        <v>18.517365000000002</v>
      </c>
      <c r="F166">
        <v>20.902069000000001</v>
      </c>
      <c r="G166">
        <v>22.060822000000002</v>
      </c>
      <c r="H166">
        <v>22.458960999999999</v>
      </c>
      <c r="I166">
        <v>23.09609</v>
      </c>
      <c r="J166">
        <v>23.493513</v>
      </c>
      <c r="K166">
        <v>24.300301000000001</v>
      </c>
      <c r="L166">
        <v>25.248488999999999</v>
      </c>
      <c r="M166">
        <v>26.291143000000002</v>
      </c>
      <c r="N166">
        <v>27.392766999999999</v>
      </c>
      <c r="O166">
        <v>28.565048000000001</v>
      </c>
      <c r="P166">
        <v>29.803169</v>
      </c>
      <c r="Q166">
        <v>31.101419</v>
      </c>
      <c r="R166">
        <v>32.451732999999997</v>
      </c>
      <c r="S166">
        <v>33.823666000000003</v>
      </c>
      <c r="T166">
        <v>35.206909000000003</v>
      </c>
      <c r="U166">
        <v>36.610241000000002</v>
      </c>
      <c r="V166">
        <v>38.02055</v>
      </c>
      <c r="W166">
        <v>39.425128999999998</v>
      </c>
      <c r="X166">
        <v>40.833678999999997</v>
      </c>
      <c r="Y166">
        <v>42.201842999999997</v>
      </c>
      <c r="Z166">
        <v>43.527222000000002</v>
      </c>
      <c r="AA166">
        <v>44.833190999999999</v>
      </c>
      <c r="AB166">
        <v>46.116881999999997</v>
      </c>
      <c r="AC166">
        <v>47.353637999999997</v>
      </c>
      <c r="AD166">
        <v>48.570984000000003</v>
      </c>
      <c r="AE166" s="9">
        <v>3.9E-2</v>
      </c>
    </row>
    <row r="167" spans="1:31">
      <c r="A167" t="s">
        <v>210</v>
      </c>
      <c r="B167" t="s">
        <v>2511</v>
      </c>
      <c r="C167" t="s">
        <v>2510</v>
      </c>
      <c r="D167" t="s">
        <v>192</v>
      </c>
      <c r="E167">
        <v>2.2186279999999998</v>
      </c>
      <c r="F167">
        <v>2.2483939999999998</v>
      </c>
      <c r="G167">
        <v>2.201613</v>
      </c>
      <c r="H167">
        <v>2.1534779999999998</v>
      </c>
      <c r="I167">
        <v>2.1341190000000001</v>
      </c>
      <c r="J167">
        <v>2.1032479999999998</v>
      </c>
      <c r="K167">
        <v>2.1152139999999999</v>
      </c>
      <c r="L167">
        <v>2.1440100000000002</v>
      </c>
      <c r="M167">
        <v>2.187297</v>
      </c>
      <c r="N167">
        <v>2.2419150000000001</v>
      </c>
      <c r="O167">
        <v>2.3080790000000002</v>
      </c>
      <c r="P167">
        <v>2.3846020000000001</v>
      </c>
      <c r="Q167">
        <v>2.4700739999999999</v>
      </c>
      <c r="R167">
        <v>2.5630190000000002</v>
      </c>
      <c r="S167">
        <v>2.65977</v>
      </c>
      <c r="T167">
        <v>2.7595350000000001</v>
      </c>
      <c r="U167">
        <v>2.8608630000000002</v>
      </c>
      <c r="V167">
        <v>2.9537580000000001</v>
      </c>
      <c r="W167">
        <v>3.0428820000000001</v>
      </c>
      <c r="X167">
        <v>3.1365029999999998</v>
      </c>
      <c r="Y167">
        <v>3.2279640000000001</v>
      </c>
      <c r="Z167">
        <v>3.3138860000000001</v>
      </c>
      <c r="AA167">
        <v>3.3962210000000002</v>
      </c>
      <c r="AB167">
        <v>3.4702679999999999</v>
      </c>
      <c r="AC167">
        <v>3.5450900000000001</v>
      </c>
      <c r="AD167">
        <v>3.6230349999999998</v>
      </c>
      <c r="AE167" s="9">
        <v>0.02</v>
      </c>
    </row>
    <row r="168" spans="1:31">
      <c r="A168" t="s">
        <v>211</v>
      </c>
      <c r="B168" t="s">
        <v>2509</v>
      </c>
      <c r="C168" t="s">
        <v>2508</v>
      </c>
      <c r="D168" t="s">
        <v>192</v>
      </c>
      <c r="E168">
        <v>7.7281490000000002</v>
      </c>
      <c r="F168">
        <v>8.1916890000000002</v>
      </c>
      <c r="G168">
        <v>8.819229</v>
      </c>
      <c r="H168">
        <v>9.2625119999999992</v>
      </c>
      <c r="I168">
        <v>9.4875260000000008</v>
      </c>
      <c r="J168">
        <v>9.6248319999999996</v>
      </c>
      <c r="K168">
        <v>9.8690490000000004</v>
      </c>
      <c r="L168">
        <v>10.126861999999999</v>
      </c>
      <c r="M168">
        <v>10.389220999999999</v>
      </c>
      <c r="N168">
        <v>10.646912</v>
      </c>
      <c r="O168">
        <v>10.903854000000001</v>
      </c>
      <c r="P168">
        <v>11.161545</v>
      </c>
      <c r="Q168">
        <v>11.421813999999999</v>
      </c>
      <c r="R168">
        <v>11.686370999999999</v>
      </c>
      <c r="S168">
        <v>11.951492</v>
      </c>
      <c r="T168">
        <v>12.217727999999999</v>
      </c>
      <c r="U168">
        <v>12.499420000000001</v>
      </c>
      <c r="V168">
        <v>12.792786</v>
      </c>
      <c r="W168">
        <v>13.098250999999999</v>
      </c>
      <c r="X168">
        <v>13.421188000000001</v>
      </c>
      <c r="Y168">
        <v>13.761810000000001</v>
      </c>
      <c r="Z168">
        <v>14.117264</v>
      </c>
      <c r="AA168">
        <v>14.492386</v>
      </c>
      <c r="AB168">
        <v>14.891754000000001</v>
      </c>
      <c r="AC168">
        <v>15.308242999999999</v>
      </c>
      <c r="AD168">
        <v>15.744019</v>
      </c>
      <c r="AE168" s="9">
        <v>2.9000000000000001E-2</v>
      </c>
    </row>
    <row r="169" spans="1:31">
      <c r="A169" t="s">
        <v>710</v>
      </c>
      <c r="B169" t="s">
        <v>2507</v>
      </c>
      <c r="C169" t="s">
        <v>2506</v>
      </c>
      <c r="D169" t="s">
        <v>192</v>
      </c>
      <c r="E169">
        <v>296.49847399999999</v>
      </c>
      <c r="F169">
        <v>329.79208399999999</v>
      </c>
      <c r="G169">
        <v>340.087219</v>
      </c>
      <c r="H169">
        <v>350.31707799999998</v>
      </c>
      <c r="I169">
        <v>360.436035</v>
      </c>
      <c r="J169">
        <v>363.61889600000001</v>
      </c>
      <c r="K169">
        <v>373.192993</v>
      </c>
      <c r="L169">
        <v>383.09103399999998</v>
      </c>
      <c r="M169">
        <v>393.964539</v>
      </c>
      <c r="N169">
        <v>404.938354</v>
      </c>
      <c r="O169">
        <v>415.52096599999999</v>
      </c>
      <c r="P169">
        <v>426.41683999999998</v>
      </c>
      <c r="Q169">
        <v>436.65273999999999</v>
      </c>
      <c r="R169">
        <v>446.36138899999997</v>
      </c>
      <c r="S169">
        <v>455.953033</v>
      </c>
      <c r="T169">
        <v>471.69314600000001</v>
      </c>
      <c r="U169">
        <v>480.924286</v>
      </c>
      <c r="V169">
        <v>489.09420799999998</v>
      </c>
      <c r="W169">
        <v>496.98449699999998</v>
      </c>
      <c r="X169">
        <v>504.54129</v>
      </c>
      <c r="Y169">
        <v>511.888733</v>
      </c>
      <c r="Z169">
        <v>519.41320800000005</v>
      </c>
      <c r="AA169">
        <v>526.89227300000005</v>
      </c>
      <c r="AB169">
        <v>534.28851299999997</v>
      </c>
      <c r="AC169">
        <v>541.91479500000003</v>
      </c>
      <c r="AD169">
        <v>549.85601799999995</v>
      </c>
      <c r="AE169" s="9">
        <v>2.5000000000000001E-2</v>
      </c>
    </row>
    <row r="170" spans="1:31">
      <c r="A170" t="s">
        <v>209</v>
      </c>
      <c r="B170" t="s">
        <v>2505</v>
      </c>
      <c r="C170" t="s">
        <v>2504</v>
      </c>
      <c r="D170" t="s">
        <v>192</v>
      </c>
      <c r="E170">
        <v>182.61532600000001</v>
      </c>
      <c r="F170">
        <v>197.36596700000001</v>
      </c>
      <c r="G170">
        <v>204.98608400000001</v>
      </c>
      <c r="H170">
        <v>212.554688</v>
      </c>
      <c r="I170">
        <v>220.07763700000001</v>
      </c>
      <c r="J170">
        <v>223.25805700000001</v>
      </c>
      <c r="K170">
        <v>230.17285200000001</v>
      </c>
      <c r="L170">
        <v>237.22558599999999</v>
      </c>
      <c r="M170">
        <v>244.561035</v>
      </c>
      <c r="N170">
        <v>251.76757799999999</v>
      </c>
      <c r="O170">
        <v>258.53125</v>
      </c>
      <c r="P170">
        <v>265.125</v>
      </c>
      <c r="Q170">
        <v>271.15332000000001</v>
      </c>
      <c r="R170">
        <v>276.65380900000002</v>
      </c>
      <c r="S170">
        <v>281.921875</v>
      </c>
      <c r="T170">
        <v>293.19433600000002</v>
      </c>
      <c r="U170">
        <v>298.01611300000002</v>
      </c>
      <c r="V170">
        <v>301.66210899999999</v>
      </c>
      <c r="W170">
        <v>305.17138699999998</v>
      </c>
      <c r="X170">
        <v>308.54248000000001</v>
      </c>
      <c r="Y170">
        <v>311.84277300000002</v>
      </c>
      <c r="Z170">
        <v>315.31445300000001</v>
      </c>
      <c r="AA170">
        <v>318.875</v>
      </c>
      <c r="AB170">
        <v>322.51171900000003</v>
      </c>
      <c r="AC170">
        <v>326.42382800000001</v>
      </c>
      <c r="AD170">
        <v>330.65673800000002</v>
      </c>
      <c r="AE170" s="9">
        <v>2.4E-2</v>
      </c>
    </row>
    <row r="171" spans="1:31">
      <c r="A171" t="s">
        <v>210</v>
      </c>
      <c r="B171" t="s">
        <v>2503</v>
      </c>
      <c r="C171" t="s">
        <v>2502</v>
      </c>
      <c r="D171" t="s">
        <v>192</v>
      </c>
      <c r="E171">
        <v>49.765349999999998</v>
      </c>
      <c r="F171">
        <v>65.862517999999994</v>
      </c>
      <c r="G171">
        <v>66.779739000000006</v>
      </c>
      <c r="H171">
        <v>67.687552999999994</v>
      </c>
      <c r="I171">
        <v>68.516234999999995</v>
      </c>
      <c r="J171">
        <v>68.221817000000001</v>
      </c>
      <c r="K171">
        <v>69.205582000000007</v>
      </c>
      <c r="L171">
        <v>70.199676999999994</v>
      </c>
      <c r="M171">
        <v>71.654838999999996</v>
      </c>
      <c r="N171">
        <v>73.251472000000007</v>
      </c>
      <c r="O171">
        <v>74.916472999999996</v>
      </c>
      <c r="P171">
        <v>76.973838999999998</v>
      </c>
      <c r="Q171">
        <v>78.994774000000007</v>
      </c>
      <c r="R171">
        <v>81.062079999999995</v>
      </c>
      <c r="S171">
        <v>83.186188000000001</v>
      </c>
      <c r="T171">
        <v>85.444366000000002</v>
      </c>
      <c r="U171">
        <v>87.647307999999995</v>
      </c>
      <c r="V171">
        <v>89.907448000000002</v>
      </c>
      <c r="W171">
        <v>92.036124999999998</v>
      </c>
      <c r="X171">
        <v>94.001739999999998</v>
      </c>
      <c r="Y171">
        <v>95.848327999999995</v>
      </c>
      <c r="Z171">
        <v>97.652832000000004</v>
      </c>
      <c r="AA171">
        <v>99.326836</v>
      </c>
      <c r="AB171">
        <v>100.86872099999999</v>
      </c>
      <c r="AC171">
        <v>102.347382</v>
      </c>
      <c r="AD171">
        <v>103.81012699999999</v>
      </c>
      <c r="AE171" s="9">
        <v>0.03</v>
      </c>
    </row>
    <row r="172" spans="1:31">
      <c r="A172" t="s">
        <v>211</v>
      </c>
      <c r="B172" t="s">
        <v>2501</v>
      </c>
      <c r="C172" t="s">
        <v>2500</v>
      </c>
      <c r="D172" t="s">
        <v>192</v>
      </c>
      <c r="E172">
        <v>64.117797999999993</v>
      </c>
      <c r="F172">
        <v>66.563598999999996</v>
      </c>
      <c r="G172">
        <v>68.321410999999998</v>
      </c>
      <c r="H172">
        <v>70.074828999999994</v>
      </c>
      <c r="I172">
        <v>71.842162999999999</v>
      </c>
      <c r="J172">
        <v>72.139037999999999</v>
      </c>
      <c r="K172">
        <v>73.814575000000005</v>
      </c>
      <c r="L172">
        <v>75.665771000000007</v>
      </c>
      <c r="M172">
        <v>77.748656999999994</v>
      </c>
      <c r="N172">
        <v>79.919312000000005</v>
      </c>
      <c r="O172">
        <v>82.073241999999993</v>
      </c>
      <c r="P172">
        <v>84.317993000000001</v>
      </c>
      <c r="Q172">
        <v>86.504638999999997</v>
      </c>
      <c r="R172">
        <v>88.645508000000007</v>
      </c>
      <c r="S172">
        <v>90.844971000000001</v>
      </c>
      <c r="T172">
        <v>93.054443000000006</v>
      </c>
      <c r="U172">
        <v>95.260863999999998</v>
      </c>
      <c r="V172">
        <v>97.524658000000002</v>
      </c>
      <c r="W172">
        <v>99.776978</v>
      </c>
      <c r="X172">
        <v>101.99706999999999</v>
      </c>
      <c r="Y172">
        <v>104.197632</v>
      </c>
      <c r="Z172">
        <v>106.44592299999999</v>
      </c>
      <c r="AA172">
        <v>108.69043000000001</v>
      </c>
      <c r="AB172">
        <v>110.908081</v>
      </c>
      <c r="AC172">
        <v>113.14355500000001</v>
      </c>
      <c r="AD172">
        <v>115.38916</v>
      </c>
      <c r="AE172" s="9">
        <v>2.4E-2</v>
      </c>
    </row>
    <row r="173" spans="1:31">
      <c r="A173" t="s">
        <v>336</v>
      </c>
      <c r="B173" t="s">
        <v>2499</v>
      </c>
      <c r="C173" t="s">
        <v>2498</v>
      </c>
      <c r="D173" t="s">
        <v>192</v>
      </c>
      <c r="E173">
        <v>11.789963</v>
      </c>
      <c r="F173">
        <v>19.906883000000001</v>
      </c>
      <c r="G173">
        <v>20.830887000000001</v>
      </c>
      <c r="H173">
        <v>20.560486000000001</v>
      </c>
      <c r="I173">
        <v>20.976050999999998</v>
      </c>
      <c r="J173">
        <v>21.212349</v>
      </c>
      <c r="K173">
        <v>21.987895999999999</v>
      </c>
      <c r="L173">
        <v>23.026672000000001</v>
      </c>
      <c r="M173">
        <v>23.981494999999999</v>
      </c>
      <c r="N173">
        <v>24.748688000000001</v>
      </c>
      <c r="O173">
        <v>25.58342</v>
      </c>
      <c r="P173">
        <v>26.537904999999999</v>
      </c>
      <c r="Q173">
        <v>27.607133999999999</v>
      </c>
      <c r="R173">
        <v>28.591293</v>
      </c>
      <c r="S173">
        <v>29.459862000000001</v>
      </c>
      <c r="T173">
        <v>30.45063</v>
      </c>
      <c r="U173">
        <v>31.404686000000002</v>
      </c>
      <c r="V173">
        <v>32.335754000000001</v>
      </c>
      <c r="W173">
        <v>33.111595000000001</v>
      </c>
      <c r="X173">
        <v>33.781143</v>
      </c>
      <c r="Y173">
        <v>34.491211</v>
      </c>
      <c r="Z173">
        <v>35.061568999999999</v>
      </c>
      <c r="AA173">
        <v>35.417656000000001</v>
      </c>
      <c r="AB173">
        <v>35.571480000000001</v>
      </c>
      <c r="AC173">
        <v>35.560585000000003</v>
      </c>
      <c r="AD173">
        <v>35.669806999999999</v>
      </c>
      <c r="AE173" s="9">
        <v>4.4999999999999998E-2</v>
      </c>
    </row>
    <row r="174" spans="1:31">
      <c r="A174" t="s">
        <v>209</v>
      </c>
      <c r="B174" t="s">
        <v>2497</v>
      </c>
      <c r="C174" t="s">
        <v>2496</v>
      </c>
      <c r="D174" t="s">
        <v>192</v>
      </c>
      <c r="E174">
        <v>6.7129820000000002</v>
      </c>
      <c r="F174">
        <v>7.2505490000000004</v>
      </c>
      <c r="G174">
        <v>7.64621</v>
      </c>
      <c r="H174">
        <v>7.8644410000000002</v>
      </c>
      <c r="I174">
        <v>8.2343139999999995</v>
      </c>
      <c r="J174">
        <v>8.4675899999999995</v>
      </c>
      <c r="K174">
        <v>8.8986509999999992</v>
      </c>
      <c r="L174">
        <v>9.4466549999999998</v>
      </c>
      <c r="M174">
        <v>9.9853520000000007</v>
      </c>
      <c r="N174">
        <v>10.480041999999999</v>
      </c>
      <c r="O174">
        <v>10.964935000000001</v>
      </c>
      <c r="P174">
        <v>11.501818</v>
      </c>
      <c r="Q174">
        <v>11.982912000000001</v>
      </c>
      <c r="R174">
        <v>12.393134999999999</v>
      </c>
      <c r="S174">
        <v>12.732642</v>
      </c>
      <c r="T174">
        <v>13.018921000000001</v>
      </c>
      <c r="U174">
        <v>13.241272</v>
      </c>
      <c r="V174">
        <v>13.495604999999999</v>
      </c>
      <c r="W174">
        <v>13.638855</v>
      </c>
      <c r="X174">
        <v>13.708954</v>
      </c>
      <c r="Y174">
        <v>13.746551999999999</v>
      </c>
      <c r="Z174">
        <v>13.737152</v>
      </c>
      <c r="AA174">
        <v>13.680878</v>
      </c>
      <c r="AB174">
        <v>13.584503</v>
      </c>
      <c r="AC174">
        <v>13.458740000000001</v>
      </c>
      <c r="AD174">
        <v>13.35318</v>
      </c>
      <c r="AE174" s="9">
        <v>2.8000000000000001E-2</v>
      </c>
    </row>
    <row r="175" spans="1:31">
      <c r="A175" t="s">
        <v>210</v>
      </c>
      <c r="B175" t="s">
        <v>2495</v>
      </c>
      <c r="C175" t="s">
        <v>2494</v>
      </c>
      <c r="D175" t="s">
        <v>192</v>
      </c>
      <c r="E175">
        <v>1.476227</v>
      </c>
      <c r="F175">
        <v>9.0852660000000007</v>
      </c>
      <c r="G175">
        <v>9.4823299999999993</v>
      </c>
      <c r="H175">
        <v>8.9247130000000006</v>
      </c>
      <c r="I175">
        <v>8.8601679999999998</v>
      </c>
      <c r="J175">
        <v>8.8246979999999997</v>
      </c>
      <c r="K175">
        <v>9.0542110000000005</v>
      </c>
      <c r="L175">
        <v>9.3969729999999991</v>
      </c>
      <c r="M175">
        <v>9.6722439999999992</v>
      </c>
      <c r="N175">
        <v>9.8211429999999993</v>
      </c>
      <c r="O175">
        <v>10.050729</v>
      </c>
      <c r="P175">
        <v>10.347382</v>
      </c>
      <c r="Q175">
        <v>10.807648</v>
      </c>
      <c r="R175">
        <v>11.262909000000001</v>
      </c>
      <c r="S175">
        <v>11.686462000000001</v>
      </c>
      <c r="T175">
        <v>12.289123999999999</v>
      </c>
      <c r="U175">
        <v>12.925414999999999</v>
      </c>
      <c r="V175">
        <v>13.515717</v>
      </c>
      <c r="W175">
        <v>14.069794</v>
      </c>
      <c r="X175">
        <v>14.603546</v>
      </c>
      <c r="Y175">
        <v>15.212769</v>
      </c>
      <c r="Z175">
        <v>15.741852</v>
      </c>
      <c r="AA175">
        <v>16.119263</v>
      </c>
      <c r="AB175">
        <v>16.350677000000001</v>
      </c>
      <c r="AC175">
        <v>16.461365000000001</v>
      </c>
      <c r="AD175">
        <v>16.666412000000001</v>
      </c>
      <c r="AE175" s="9">
        <v>0.10199999999999999</v>
      </c>
    </row>
    <row r="176" spans="1:31">
      <c r="A176" t="s">
        <v>211</v>
      </c>
      <c r="B176" t="s">
        <v>2493</v>
      </c>
      <c r="C176" t="s">
        <v>2492</v>
      </c>
      <c r="D176" t="s">
        <v>192</v>
      </c>
      <c r="E176">
        <v>3.6007539999999998</v>
      </c>
      <c r="F176">
        <v>3.5710679999999999</v>
      </c>
      <c r="G176">
        <v>3.7023470000000001</v>
      </c>
      <c r="H176">
        <v>3.7713320000000001</v>
      </c>
      <c r="I176">
        <v>3.8815689999999998</v>
      </c>
      <c r="J176">
        <v>3.9200590000000002</v>
      </c>
      <c r="K176">
        <v>4.0350339999999996</v>
      </c>
      <c r="L176">
        <v>4.1830439999999998</v>
      </c>
      <c r="M176">
        <v>4.3238979999999998</v>
      </c>
      <c r="N176">
        <v>4.4475020000000001</v>
      </c>
      <c r="O176">
        <v>4.5677570000000003</v>
      </c>
      <c r="P176">
        <v>4.6887049999999997</v>
      </c>
      <c r="Q176">
        <v>4.8165740000000001</v>
      </c>
      <c r="R176">
        <v>4.9352489999999998</v>
      </c>
      <c r="S176">
        <v>5.040756</v>
      </c>
      <c r="T176">
        <v>5.1425859999999997</v>
      </c>
      <c r="U176">
        <v>5.2379990000000003</v>
      </c>
      <c r="V176">
        <v>5.3244319999999998</v>
      </c>
      <c r="W176">
        <v>5.402946</v>
      </c>
      <c r="X176">
        <v>5.4686430000000001</v>
      </c>
      <c r="Y176">
        <v>5.5318909999999999</v>
      </c>
      <c r="Z176">
        <v>5.5825649999999998</v>
      </c>
      <c r="AA176">
        <v>5.6175160000000002</v>
      </c>
      <c r="AB176">
        <v>5.6362990000000002</v>
      </c>
      <c r="AC176">
        <v>5.6404800000000002</v>
      </c>
      <c r="AD176">
        <v>5.6502150000000002</v>
      </c>
      <c r="AE176" s="9">
        <v>1.7999999999999999E-2</v>
      </c>
    </row>
    <row r="177" spans="1:31">
      <c r="A177" t="s">
        <v>337</v>
      </c>
      <c r="B177" t="s">
        <v>2491</v>
      </c>
      <c r="C177" t="s">
        <v>2490</v>
      </c>
      <c r="D177" t="s">
        <v>192</v>
      </c>
      <c r="E177">
        <v>33.751865000000002</v>
      </c>
      <c r="F177">
        <v>44.242972999999999</v>
      </c>
      <c r="G177">
        <v>45.734969999999997</v>
      </c>
      <c r="H177">
        <v>47.148972000000001</v>
      </c>
      <c r="I177">
        <v>47.957413000000003</v>
      </c>
      <c r="J177">
        <v>48.234031999999999</v>
      </c>
      <c r="K177">
        <v>49.347031000000001</v>
      </c>
      <c r="L177">
        <v>50.289703000000003</v>
      </c>
      <c r="M177">
        <v>51.686981000000003</v>
      </c>
      <c r="N177">
        <v>52.945670999999997</v>
      </c>
      <c r="O177">
        <v>53.784115</v>
      </c>
      <c r="P177">
        <v>54.457858999999999</v>
      </c>
      <c r="Q177">
        <v>55.150421000000001</v>
      </c>
      <c r="R177">
        <v>55.255370999999997</v>
      </c>
      <c r="S177">
        <v>55.705902000000002</v>
      </c>
      <c r="T177">
        <v>56.165984999999999</v>
      </c>
      <c r="U177">
        <v>56.771355</v>
      </c>
      <c r="V177">
        <v>57.367249000000001</v>
      </c>
      <c r="W177">
        <v>57.978141999999998</v>
      </c>
      <c r="X177">
        <v>58.647452999999999</v>
      </c>
      <c r="Y177">
        <v>59.569015999999998</v>
      </c>
      <c r="Z177">
        <v>60.249630000000003</v>
      </c>
      <c r="AA177">
        <v>61.014628999999999</v>
      </c>
      <c r="AB177">
        <v>61.882992000000002</v>
      </c>
      <c r="AC177">
        <v>62.817390000000003</v>
      </c>
      <c r="AD177">
        <v>63.848773999999999</v>
      </c>
      <c r="AE177" s="9">
        <v>2.5999999999999999E-2</v>
      </c>
    </row>
    <row r="178" spans="1:31">
      <c r="A178" t="s">
        <v>209</v>
      </c>
      <c r="B178" t="s">
        <v>2489</v>
      </c>
      <c r="C178" t="s">
        <v>2488</v>
      </c>
      <c r="D178" t="s">
        <v>192</v>
      </c>
      <c r="E178">
        <v>14.802325</v>
      </c>
      <c r="F178">
        <v>18.808655000000002</v>
      </c>
      <c r="G178">
        <v>19.718658000000001</v>
      </c>
      <c r="H178">
        <v>20.588104000000001</v>
      </c>
      <c r="I178">
        <v>21.173003999999999</v>
      </c>
      <c r="J178">
        <v>21.521056999999999</v>
      </c>
      <c r="K178">
        <v>22.240784000000001</v>
      </c>
      <c r="L178">
        <v>22.855530000000002</v>
      </c>
      <c r="M178">
        <v>23.953156</v>
      </c>
      <c r="N178">
        <v>24.774291999999999</v>
      </c>
      <c r="O178">
        <v>25.018799000000001</v>
      </c>
      <c r="P178">
        <v>25.340668000000001</v>
      </c>
      <c r="Q178">
        <v>25.664642000000001</v>
      </c>
      <c r="R178">
        <v>25.689301</v>
      </c>
      <c r="S178">
        <v>25.878387</v>
      </c>
      <c r="T178">
        <v>26.060455000000001</v>
      </c>
      <c r="U178">
        <v>26.293914999999998</v>
      </c>
      <c r="V178">
        <v>26.517638999999999</v>
      </c>
      <c r="W178">
        <v>26.744934000000001</v>
      </c>
      <c r="X178">
        <v>26.964935000000001</v>
      </c>
      <c r="Y178">
        <v>27.190857000000001</v>
      </c>
      <c r="Z178">
        <v>27.440978999999999</v>
      </c>
      <c r="AA178">
        <v>27.72757</v>
      </c>
      <c r="AB178">
        <v>28.059998</v>
      </c>
      <c r="AC178">
        <v>28.437256000000001</v>
      </c>
      <c r="AD178">
        <v>28.860900999999998</v>
      </c>
      <c r="AE178" s="9">
        <v>2.7E-2</v>
      </c>
    </row>
    <row r="179" spans="1:31">
      <c r="A179" t="s">
        <v>210</v>
      </c>
      <c r="B179" t="s">
        <v>2487</v>
      </c>
      <c r="C179" t="s">
        <v>2486</v>
      </c>
      <c r="D179" t="s">
        <v>192</v>
      </c>
      <c r="E179">
        <v>0.843445</v>
      </c>
      <c r="F179">
        <v>5.3548200000000001</v>
      </c>
      <c r="G179">
        <v>5.6553500000000003</v>
      </c>
      <c r="H179">
        <v>5.9956509999999996</v>
      </c>
      <c r="I179">
        <v>6.2580720000000003</v>
      </c>
      <c r="J179">
        <v>6.403435</v>
      </c>
      <c r="K179">
        <v>6.6898960000000001</v>
      </c>
      <c r="L179">
        <v>6.9726869999999996</v>
      </c>
      <c r="M179">
        <v>7.2542720000000003</v>
      </c>
      <c r="N179">
        <v>7.6505989999999997</v>
      </c>
      <c r="O179">
        <v>8.3084679999999995</v>
      </c>
      <c r="P179">
        <v>8.6267420000000001</v>
      </c>
      <c r="Q179">
        <v>8.9273070000000008</v>
      </c>
      <c r="R179">
        <v>9.1716920000000002</v>
      </c>
      <c r="S179">
        <v>9.4240110000000001</v>
      </c>
      <c r="T179">
        <v>9.6660470000000007</v>
      </c>
      <c r="U179">
        <v>9.9273900000000008</v>
      </c>
      <c r="V179">
        <v>10.170959</v>
      </c>
      <c r="W179">
        <v>10.400385</v>
      </c>
      <c r="X179">
        <v>10.636862000000001</v>
      </c>
      <c r="Y179">
        <v>10.885147</v>
      </c>
      <c r="Z179">
        <v>11.140499</v>
      </c>
      <c r="AA179">
        <v>11.414104</v>
      </c>
      <c r="AB179">
        <v>11.709559</v>
      </c>
      <c r="AC179">
        <v>11.991707999999999</v>
      </c>
      <c r="AD179">
        <v>12.29143</v>
      </c>
      <c r="AE179" s="9">
        <v>0.113</v>
      </c>
    </row>
    <row r="180" spans="1:31">
      <c r="A180" t="s">
        <v>211</v>
      </c>
      <c r="B180" t="s">
        <v>2485</v>
      </c>
      <c r="C180" t="s">
        <v>2484</v>
      </c>
      <c r="D180" t="s">
        <v>192</v>
      </c>
      <c r="E180">
        <v>18.106093999999999</v>
      </c>
      <c r="F180">
        <v>20.079498000000001</v>
      </c>
      <c r="G180">
        <v>20.360962000000001</v>
      </c>
      <c r="H180">
        <v>20.565215999999999</v>
      </c>
      <c r="I180">
        <v>20.526337000000002</v>
      </c>
      <c r="J180">
        <v>20.309539999999998</v>
      </c>
      <c r="K180">
        <v>20.416350999999999</v>
      </c>
      <c r="L180">
        <v>20.461487000000002</v>
      </c>
      <c r="M180">
        <v>20.479552999999999</v>
      </c>
      <c r="N180">
        <v>20.520782000000001</v>
      </c>
      <c r="O180">
        <v>20.456848000000001</v>
      </c>
      <c r="P180">
        <v>20.490448000000001</v>
      </c>
      <c r="Q180">
        <v>20.558471999999998</v>
      </c>
      <c r="R180">
        <v>20.394379000000001</v>
      </c>
      <c r="S180">
        <v>20.403503000000001</v>
      </c>
      <c r="T180">
        <v>20.439484</v>
      </c>
      <c r="U180">
        <v>20.550049000000001</v>
      </c>
      <c r="V180">
        <v>20.678650000000001</v>
      </c>
      <c r="W180">
        <v>20.832825</v>
      </c>
      <c r="X180">
        <v>21.045653999999999</v>
      </c>
      <c r="Y180">
        <v>21.493010999999999</v>
      </c>
      <c r="Z180">
        <v>21.668151999999999</v>
      </c>
      <c r="AA180">
        <v>21.872955000000001</v>
      </c>
      <c r="AB180">
        <v>22.113434000000002</v>
      </c>
      <c r="AC180">
        <v>22.388428000000001</v>
      </c>
      <c r="AD180">
        <v>22.696442000000001</v>
      </c>
      <c r="AE180" s="9">
        <v>8.9999999999999993E-3</v>
      </c>
    </row>
    <row r="181" spans="1:31">
      <c r="A181" t="s">
        <v>338</v>
      </c>
      <c r="B181" t="s">
        <v>2483</v>
      </c>
      <c r="C181" t="s">
        <v>2482</v>
      </c>
      <c r="D181" t="s">
        <v>192</v>
      </c>
      <c r="E181">
        <v>7.2758409999999998</v>
      </c>
      <c r="F181">
        <v>30.256989000000001</v>
      </c>
      <c r="G181">
        <v>31.734556000000001</v>
      </c>
      <c r="H181">
        <v>32.287125000000003</v>
      </c>
      <c r="I181">
        <v>33.132565</v>
      </c>
      <c r="J181">
        <v>33.755088999999998</v>
      </c>
      <c r="K181">
        <v>33.938834999999997</v>
      </c>
      <c r="L181">
        <v>34.006019999999999</v>
      </c>
      <c r="M181">
        <v>34.228209999999997</v>
      </c>
      <c r="N181">
        <v>34.296000999999997</v>
      </c>
      <c r="O181">
        <v>34.318683999999998</v>
      </c>
      <c r="P181">
        <v>35.056395999999999</v>
      </c>
      <c r="Q181">
        <v>34.732979</v>
      </c>
      <c r="R181">
        <v>35.008251000000001</v>
      </c>
      <c r="S181">
        <v>34.966262999999998</v>
      </c>
      <c r="T181">
        <v>35.612991000000001</v>
      </c>
      <c r="U181">
        <v>36.503677000000003</v>
      </c>
      <c r="V181">
        <v>36.587966999999999</v>
      </c>
      <c r="W181">
        <v>36.158729999999998</v>
      </c>
      <c r="X181">
        <v>34.950001</v>
      </c>
      <c r="Y181">
        <v>33.198238000000003</v>
      </c>
      <c r="Z181">
        <v>32.136809999999997</v>
      </c>
      <c r="AA181">
        <v>31.693484999999999</v>
      </c>
      <c r="AB181">
        <v>32.116729999999997</v>
      </c>
      <c r="AC181">
        <v>33.369751000000001</v>
      </c>
      <c r="AD181">
        <v>34.295780000000001</v>
      </c>
      <c r="AE181" s="9">
        <v>6.4000000000000001E-2</v>
      </c>
    </row>
    <row r="182" spans="1:31">
      <c r="A182" t="s">
        <v>209</v>
      </c>
      <c r="B182" t="s">
        <v>2481</v>
      </c>
      <c r="C182" t="s">
        <v>2480</v>
      </c>
      <c r="D182" t="s">
        <v>192</v>
      </c>
      <c r="E182">
        <v>5.1383970000000003</v>
      </c>
      <c r="F182">
        <v>13.900726000000001</v>
      </c>
      <c r="G182">
        <v>14.182648</v>
      </c>
      <c r="H182">
        <v>14.523163</v>
      </c>
      <c r="I182">
        <v>14.986205999999999</v>
      </c>
      <c r="J182">
        <v>15.336959999999999</v>
      </c>
      <c r="K182">
        <v>15.534698000000001</v>
      </c>
      <c r="L182">
        <v>15.673569000000001</v>
      </c>
      <c r="M182">
        <v>15.86322</v>
      </c>
      <c r="N182">
        <v>15.959808000000001</v>
      </c>
      <c r="O182">
        <v>16.004486</v>
      </c>
      <c r="P182">
        <v>16.289733999999999</v>
      </c>
      <c r="Q182">
        <v>16.125183</v>
      </c>
      <c r="R182">
        <v>16.159148999999999</v>
      </c>
      <c r="S182">
        <v>16.046173</v>
      </c>
      <c r="T182">
        <v>16.187836000000001</v>
      </c>
      <c r="U182">
        <v>16.405304000000001</v>
      </c>
      <c r="V182">
        <v>16.30603</v>
      </c>
      <c r="W182">
        <v>15.989990000000001</v>
      </c>
      <c r="X182">
        <v>15.384857</v>
      </c>
      <c r="Y182">
        <v>14.627991</v>
      </c>
      <c r="Z182">
        <v>14.191742</v>
      </c>
      <c r="AA182">
        <v>13.924408</v>
      </c>
      <c r="AB182">
        <v>14.025359999999999</v>
      </c>
      <c r="AC182">
        <v>14.46524</v>
      </c>
      <c r="AD182">
        <v>14.799042</v>
      </c>
      <c r="AE182" s="9">
        <v>4.2999999999999997E-2</v>
      </c>
    </row>
    <row r="183" spans="1:31">
      <c r="A183" t="s">
        <v>210</v>
      </c>
      <c r="B183" t="s">
        <v>2479</v>
      </c>
      <c r="C183" t="s">
        <v>2478</v>
      </c>
      <c r="D183" t="s">
        <v>192</v>
      </c>
      <c r="E183">
        <v>1.9480440000000001</v>
      </c>
      <c r="F183">
        <v>15.961453000000001</v>
      </c>
      <c r="G183">
        <v>17.151405</v>
      </c>
      <c r="H183">
        <v>17.358021000000001</v>
      </c>
      <c r="I183">
        <v>17.731235999999999</v>
      </c>
      <c r="J183">
        <v>17.997498</v>
      </c>
      <c r="K183">
        <v>17.980571999999999</v>
      </c>
      <c r="L183">
        <v>17.906952</v>
      </c>
      <c r="M183">
        <v>17.935507000000001</v>
      </c>
      <c r="N183">
        <v>17.904436</v>
      </c>
      <c r="O183">
        <v>17.880645999999999</v>
      </c>
      <c r="P183">
        <v>18.323868000000001</v>
      </c>
      <c r="Q183">
        <v>18.167036</v>
      </c>
      <c r="R183">
        <v>18.404299000000002</v>
      </c>
      <c r="S183">
        <v>18.474297</v>
      </c>
      <c r="T183">
        <v>18.970922000000002</v>
      </c>
      <c r="U183">
        <v>19.633081000000001</v>
      </c>
      <c r="V183">
        <v>19.813618000000002</v>
      </c>
      <c r="W183">
        <v>19.703028</v>
      </c>
      <c r="X183">
        <v>19.110018</v>
      </c>
      <c r="Y183">
        <v>18.132266999999999</v>
      </c>
      <c r="Z183">
        <v>17.517430999999998</v>
      </c>
      <c r="AA183">
        <v>17.344518999999998</v>
      </c>
      <c r="AB183">
        <v>17.660913000000001</v>
      </c>
      <c r="AC183">
        <v>18.459909</v>
      </c>
      <c r="AD183">
        <v>19.041557000000001</v>
      </c>
      <c r="AE183" s="9">
        <v>9.5000000000000001E-2</v>
      </c>
    </row>
    <row r="184" spans="1:31">
      <c r="A184" t="s">
        <v>211</v>
      </c>
      <c r="B184" t="s">
        <v>2477</v>
      </c>
      <c r="C184" t="s">
        <v>2476</v>
      </c>
      <c r="D184" t="s">
        <v>192</v>
      </c>
      <c r="E184">
        <v>0.18940000000000001</v>
      </c>
      <c r="F184">
        <v>0.39480900000000002</v>
      </c>
      <c r="G184">
        <v>0.40050400000000003</v>
      </c>
      <c r="H184">
        <v>0.405943</v>
      </c>
      <c r="I184">
        <v>0.41512199999999999</v>
      </c>
      <c r="J184">
        <v>0.42063200000000001</v>
      </c>
      <c r="K184">
        <v>0.423564</v>
      </c>
      <c r="L184">
        <v>0.42550100000000002</v>
      </c>
      <c r="M184">
        <v>0.429483</v>
      </c>
      <c r="N184">
        <v>0.43175799999999998</v>
      </c>
      <c r="O184">
        <v>0.43355199999999999</v>
      </c>
      <c r="P184">
        <v>0.44279499999999999</v>
      </c>
      <c r="Q184">
        <v>0.44075900000000001</v>
      </c>
      <c r="R184">
        <v>0.44480399999999998</v>
      </c>
      <c r="S184">
        <v>0.44579099999999999</v>
      </c>
      <c r="T184">
        <v>0.454231</v>
      </c>
      <c r="U184">
        <v>0.46529599999999999</v>
      </c>
      <c r="V184">
        <v>0.46832099999999999</v>
      </c>
      <c r="W184">
        <v>0.46571299999999999</v>
      </c>
      <c r="X184">
        <v>0.455127</v>
      </c>
      <c r="Y184">
        <v>0.43798100000000001</v>
      </c>
      <c r="Z184">
        <v>0.42763499999999999</v>
      </c>
      <c r="AA184">
        <v>0.42455999999999999</v>
      </c>
      <c r="AB184">
        <v>0.43045800000000001</v>
      </c>
      <c r="AC184">
        <v>0.44460100000000002</v>
      </c>
      <c r="AD184">
        <v>0.45518199999999998</v>
      </c>
      <c r="AE184" s="9">
        <v>3.5999999999999997E-2</v>
      </c>
    </row>
    <row r="185" spans="1:31">
      <c r="A185" t="s">
        <v>339</v>
      </c>
      <c r="B185" t="s">
        <v>2475</v>
      </c>
      <c r="C185" t="s">
        <v>2474</v>
      </c>
      <c r="D185" t="s">
        <v>192</v>
      </c>
      <c r="E185">
        <v>93.052002000000002</v>
      </c>
      <c r="F185">
        <v>101.105789</v>
      </c>
      <c r="G185">
        <v>70.428223000000003</v>
      </c>
      <c r="H185">
        <v>55.531165999999999</v>
      </c>
      <c r="I185">
        <v>38.311706999999998</v>
      </c>
      <c r="J185">
        <v>39.311965999999998</v>
      </c>
      <c r="K185">
        <v>40.396605999999998</v>
      </c>
      <c r="L185">
        <v>41.736389000000003</v>
      </c>
      <c r="M185">
        <v>43.178069999999998</v>
      </c>
      <c r="N185">
        <v>44.643402000000002</v>
      </c>
      <c r="O185">
        <v>45.973587000000002</v>
      </c>
      <c r="P185">
        <v>46.803040000000003</v>
      </c>
      <c r="Q185">
        <v>47.547806000000001</v>
      </c>
      <c r="R185">
        <v>48.450240999999998</v>
      </c>
      <c r="S185">
        <v>49.418579000000001</v>
      </c>
      <c r="T185">
        <v>50.530869000000003</v>
      </c>
      <c r="U185">
        <v>52.771042000000001</v>
      </c>
      <c r="V185">
        <v>54.668762000000001</v>
      </c>
      <c r="W185">
        <v>56.018906000000001</v>
      </c>
      <c r="X185">
        <v>57.316040000000001</v>
      </c>
      <c r="Y185">
        <v>58.586182000000001</v>
      </c>
      <c r="Z185">
        <v>60.147658999999997</v>
      </c>
      <c r="AA185">
        <v>61.836441000000001</v>
      </c>
      <c r="AB185">
        <v>62.881774999999998</v>
      </c>
      <c r="AC185">
        <v>63.949660999999999</v>
      </c>
      <c r="AD185">
        <v>65.271179000000004</v>
      </c>
      <c r="AE185" s="9">
        <v>-1.4E-2</v>
      </c>
    </row>
    <row r="186" spans="1:31">
      <c r="A186" t="s">
        <v>209</v>
      </c>
      <c r="B186" t="s">
        <v>2473</v>
      </c>
      <c r="C186" t="s">
        <v>2472</v>
      </c>
      <c r="D186" t="s">
        <v>192</v>
      </c>
      <c r="E186">
        <v>58.179962000000003</v>
      </c>
      <c r="F186">
        <v>63.516567000000002</v>
      </c>
      <c r="G186">
        <v>44.687710000000003</v>
      </c>
      <c r="H186">
        <v>35.820861999999998</v>
      </c>
      <c r="I186">
        <v>25.378966999999999</v>
      </c>
      <c r="J186">
        <v>26.117432000000001</v>
      </c>
      <c r="K186">
        <v>26.903687000000001</v>
      </c>
      <c r="L186">
        <v>27.848022</v>
      </c>
      <c r="M186">
        <v>28.850280999999999</v>
      </c>
      <c r="N186">
        <v>29.860351999999999</v>
      </c>
      <c r="O186">
        <v>30.775145999999999</v>
      </c>
      <c r="P186">
        <v>31.357605</v>
      </c>
      <c r="Q186">
        <v>31.878478999999999</v>
      </c>
      <c r="R186">
        <v>32.494385000000001</v>
      </c>
      <c r="S186">
        <v>33.145020000000002</v>
      </c>
      <c r="T186">
        <v>33.879395000000002</v>
      </c>
      <c r="U186">
        <v>35.336609000000003</v>
      </c>
      <c r="V186">
        <v>36.557068000000001</v>
      </c>
      <c r="W186">
        <v>37.396178999999997</v>
      </c>
      <c r="X186">
        <v>38.184021000000001</v>
      </c>
      <c r="Y186">
        <v>38.938353999999997</v>
      </c>
      <c r="Z186">
        <v>39.858947999999998</v>
      </c>
      <c r="AA186">
        <v>40.839416999999997</v>
      </c>
      <c r="AB186">
        <v>41.383118000000003</v>
      </c>
      <c r="AC186">
        <v>41.925536999999998</v>
      </c>
      <c r="AD186">
        <v>42.621765000000003</v>
      </c>
      <c r="AE186" s="9">
        <v>-1.2E-2</v>
      </c>
    </row>
    <row r="187" spans="1:31">
      <c r="A187" t="s">
        <v>210</v>
      </c>
      <c r="B187" t="s">
        <v>2471</v>
      </c>
      <c r="C187" t="s">
        <v>2470</v>
      </c>
      <c r="D187" t="s">
        <v>192</v>
      </c>
      <c r="E187">
        <v>22.942260999999998</v>
      </c>
      <c r="F187">
        <v>24.437194999999999</v>
      </c>
      <c r="G187">
        <v>15.893639</v>
      </c>
      <c r="H187">
        <v>10.684380000000001</v>
      </c>
      <c r="I187">
        <v>5.4238590000000002</v>
      </c>
      <c r="J187">
        <v>5.4927979999999996</v>
      </c>
      <c r="K187">
        <v>5.5712279999999996</v>
      </c>
      <c r="L187">
        <v>5.6920469999999996</v>
      </c>
      <c r="M187">
        <v>5.8386079999999998</v>
      </c>
      <c r="N187">
        <v>5.996918</v>
      </c>
      <c r="O187">
        <v>6.1491389999999999</v>
      </c>
      <c r="P187">
        <v>6.2501829999999998</v>
      </c>
      <c r="Q187">
        <v>6.3514099999999996</v>
      </c>
      <c r="R187">
        <v>6.4839169999999999</v>
      </c>
      <c r="S187">
        <v>6.6347659999999999</v>
      </c>
      <c r="T187">
        <v>6.8178409999999996</v>
      </c>
      <c r="U187">
        <v>7.1515959999999996</v>
      </c>
      <c r="V187">
        <v>7.454987</v>
      </c>
      <c r="W187">
        <v>7.7107849999999996</v>
      </c>
      <c r="X187">
        <v>7.9813539999999996</v>
      </c>
      <c r="Y187">
        <v>8.2745060000000006</v>
      </c>
      <c r="Z187">
        <v>8.6292270000000002</v>
      </c>
      <c r="AA187">
        <v>9.0221560000000007</v>
      </c>
      <c r="AB187">
        <v>9.3559269999999994</v>
      </c>
      <c r="AC187">
        <v>9.7152100000000008</v>
      </c>
      <c r="AD187">
        <v>10.118575999999999</v>
      </c>
      <c r="AE187" s="9">
        <v>-3.2000000000000001E-2</v>
      </c>
    </row>
    <row r="188" spans="1:31">
      <c r="A188" t="s">
        <v>211</v>
      </c>
      <c r="B188" t="s">
        <v>2469</v>
      </c>
      <c r="C188" t="s">
        <v>2468</v>
      </c>
      <c r="D188" t="s">
        <v>192</v>
      </c>
      <c r="E188">
        <v>11.929779</v>
      </c>
      <c r="F188">
        <v>13.152023</v>
      </c>
      <c r="G188">
        <v>9.8468780000000002</v>
      </c>
      <c r="H188">
        <v>9.0259250000000009</v>
      </c>
      <c r="I188">
        <v>7.5088809999999997</v>
      </c>
      <c r="J188">
        <v>7.7017360000000004</v>
      </c>
      <c r="K188">
        <v>7.9216920000000002</v>
      </c>
      <c r="L188">
        <v>8.1963200000000001</v>
      </c>
      <c r="M188">
        <v>8.4891819999999996</v>
      </c>
      <c r="N188">
        <v>8.7861329999999995</v>
      </c>
      <c r="O188">
        <v>9.0493009999999998</v>
      </c>
      <c r="P188">
        <v>9.1952510000000007</v>
      </c>
      <c r="Q188">
        <v>9.3179169999999996</v>
      </c>
      <c r="R188">
        <v>9.4719390000000008</v>
      </c>
      <c r="S188">
        <v>9.6387940000000008</v>
      </c>
      <c r="T188">
        <v>9.8336330000000007</v>
      </c>
      <c r="U188">
        <v>10.282837000000001</v>
      </c>
      <c r="V188">
        <v>10.656708</v>
      </c>
      <c r="W188">
        <v>10.911942</v>
      </c>
      <c r="X188">
        <v>11.150665</v>
      </c>
      <c r="Y188">
        <v>11.373322</v>
      </c>
      <c r="Z188">
        <v>11.659485</v>
      </c>
      <c r="AA188">
        <v>11.974869</v>
      </c>
      <c r="AB188">
        <v>12.142730999999999</v>
      </c>
      <c r="AC188">
        <v>12.308914</v>
      </c>
      <c r="AD188">
        <v>12.530837999999999</v>
      </c>
      <c r="AE188" s="9">
        <v>2E-3</v>
      </c>
    </row>
    <row r="189" spans="1:31">
      <c r="A189" t="s">
        <v>699</v>
      </c>
      <c r="B189" t="s">
        <v>2467</v>
      </c>
      <c r="C189" t="s">
        <v>2466</v>
      </c>
      <c r="D189" t="s">
        <v>192</v>
      </c>
      <c r="E189">
        <v>19.559650000000001</v>
      </c>
      <c r="F189">
        <v>24.251434</v>
      </c>
      <c r="G189">
        <v>21.377963999999999</v>
      </c>
      <c r="H189">
        <v>26.800121000000001</v>
      </c>
      <c r="I189">
        <v>22.846088000000002</v>
      </c>
      <c r="J189">
        <v>23.071075</v>
      </c>
      <c r="K189">
        <v>23.378921999999999</v>
      </c>
      <c r="L189">
        <v>23.955441</v>
      </c>
      <c r="M189">
        <v>24.639301</v>
      </c>
      <c r="N189">
        <v>25.358253000000001</v>
      </c>
      <c r="O189">
        <v>26.230473</v>
      </c>
      <c r="P189">
        <v>27.183727000000001</v>
      </c>
      <c r="Q189">
        <v>28.075648999999999</v>
      </c>
      <c r="R189">
        <v>28.938231999999999</v>
      </c>
      <c r="S189">
        <v>29.833065000000001</v>
      </c>
      <c r="T189">
        <v>30.666575999999999</v>
      </c>
      <c r="U189">
        <v>31.521591000000001</v>
      </c>
      <c r="V189">
        <v>32.530582000000003</v>
      </c>
      <c r="W189">
        <v>33.57835</v>
      </c>
      <c r="X189">
        <v>34.643279999999997</v>
      </c>
      <c r="Y189">
        <v>35.740509000000003</v>
      </c>
      <c r="Z189">
        <v>36.756644999999999</v>
      </c>
      <c r="AA189">
        <v>37.84816</v>
      </c>
      <c r="AB189">
        <v>38.962218999999997</v>
      </c>
      <c r="AC189">
        <v>40.134117000000003</v>
      </c>
      <c r="AD189">
        <v>41.348571999999997</v>
      </c>
      <c r="AE189" s="9">
        <v>0.03</v>
      </c>
    </row>
    <row r="190" spans="1:31">
      <c r="A190" t="s">
        <v>209</v>
      </c>
      <c r="B190" t="s">
        <v>2465</v>
      </c>
      <c r="C190" t="s">
        <v>2464</v>
      </c>
      <c r="D190" t="s">
        <v>192</v>
      </c>
      <c r="E190">
        <v>13.644196000000001</v>
      </c>
      <c r="F190">
        <v>16.832169</v>
      </c>
      <c r="G190">
        <v>14.818375</v>
      </c>
      <c r="H190">
        <v>18.621765</v>
      </c>
      <c r="I190">
        <v>15.761642</v>
      </c>
      <c r="J190">
        <v>15.89827</v>
      </c>
      <c r="K190">
        <v>16.080185</v>
      </c>
      <c r="L190">
        <v>16.432465000000001</v>
      </c>
      <c r="M190">
        <v>16.848327999999999</v>
      </c>
      <c r="N190">
        <v>17.281524999999998</v>
      </c>
      <c r="O190">
        <v>17.810974000000002</v>
      </c>
      <c r="P190">
        <v>18.391113000000001</v>
      </c>
      <c r="Q190">
        <v>18.930389000000002</v>
      </c>
      <c r="R190">
        <v>19.451384999999998</v>
      </c>
      <c r="S190">
        <v>19.99823</v>
      </c>
      <c r="T190">
        <v>20.512726000000001</v>
      </c>
      <c r="U190">
        <v>21.050446000000001</v>
      </c>
      <c r="V190">
        <v>21.700989</v>
      </c>
      <c r="W190">
        <v>22.389251999999999</v>
      </c>
      <c r="X190">
        <v>23.101807000000001</v>
      </c>
      <c r="Y190">
        <v>23.847290000000001</v>
      </c>
      <c r="Z190">
        <v>24.549225</v>
      </c>
      <c r="AA190">
        <v>25.308745999999999</v>
      </c>
      <c r="AB190">
        <v>26.088470000000001</v>
      </c>
      <c r="AC190">
        <v>26.909026999999998</v>
      </c>
      <c r="AD190">
        <v>27.758483999999999</v>
      </c>
      <c r="AE190" s="9">
        <v>2.9000000000000001E-2</v>
      </c>
    </row>
    <row r="191" spans="1:31">
      <c r="A191" t="s">
        <v>210</v>
      </c>
      <c r="B191" t="s">
        <v>2463</v>
      </c>
      <c r="C191" t="s">
        <v>2462</v>
      </c>
      <c r="D191" t="s">
        <v>192</v>
      </c>
      <c r="E191">
        <v>1.8775440000000001</v>
      </c>
      <c r="F191">
        <v>2.4123000000000001</v>
      </c>
      <c r="G191">
        <v>2.0186959999999998</v>
      </c>
      <c r="H191">
        <v>2.7580070000000001</v>
      </c>
      <c r="I191">
        <v>2.1816059999999999</v>
      </c>
      <c r="J191">
        <v>2.230499</v>
      </c>
      <c r="K191">
        <v>2.2915730000000001</v>
      </c>
      <c r="L191">
        <v>2.387203</v>
      </c>
      <c r="M191">
        <v>2.499409</v>
      </c>
      <c r="N191">
        <v>2.620384</v>
      </c>
      <c r="O191">
        <v>2.761425</v>
      </c>
      <c r="P191">
        <v>2.9139370000000002</v>
      </c>
      <c r="Q191">
        <v>3.0608249999999999</v>
      </c>
      <c r="R191">
        <v>3.2023160000000002</v>
      </c>
      <c r="S191">
        <v>3.3426019999999999</v>
      </c>
      <c r="T191">
        <v>3.4697300000000002</v>
      </c>
      <c r="U191">
        <v>3.5889739999999999</v>
      </c>
      <c r="V191">
        <v>3.7130010000000002</v>
      </c>
      <c r="W191">
        <v>3.828999</v>
      </c>
      <c r="X191">
        <v>3.935562</v>
      </c>
      <c r="Y191">
        <v>4.0360950000000004</v>
      </c>
      <c r="Z191">
        <v>4.1208270000000002</v>
      </c>
      <c r="AA191">
        <v>4.2094569999999996</v>
      </c>
      <c r="AB191">
        <v>4.2989350000000002</v>
      </c>
      <c r="AC191">
        <v>4.3956379999999999</v>
      </c>
      <c r="AD191">
        <v>4.4995729999999998</v>
      </c>
      <c r="AE191" s="9">
        <v>3.5999999999999997E-2</v>
      </c>
    </row>
    <row r="192" spans="1:31">
      <c r="A192" t="s">
        <v>211</v>
      </c>
      <c r="B192" t="s">
        <v>2461</v>
      </c>
      <c r="C192" t="s">
        <v>2460</v>
      </c>
      <c r="D192" t="s">
        <v>192</v>
      </c>
      <c r="E192">
        <v>4.0379100000000001</v>
      </c>
      <c r="F192">
        <v>5.0069660000000002</v>
      </c>
      <c r="G192">
        <v>4.5408939999999998</v>
      </c>
      <c r="H192">
        <v>5.4203489999999999</v>
      </c>
      <c r="I192">
        <v>4.9028400000000003</v>
      </c>
      <c r="J192">
        <v>4.9423069999999996</v>
      </c>
      <c r="K192">
        <v>5.0071640000000004</v>
      </c>
      <c r="L192">
        <v>5.1357730000000004</v>
      </c>
      <c r="M192">
        <v>5.2915650000000003</v>
      </c>
      <c r="N192">
        <v>5.4563449999999998</v>
      </c>
      <c r="O192">
        <v>5.6580729999999999</v>
      </c>
      <c r="P192">
        <v>5.8786769999999997</v>
      </c>
      <c r="Q192">
        <v>6.084435</v>
      </c>
      <c r="R192">
        <v>6.2845310000000003</v>
      </c>
      <c r="S192">
        <v>6.4922329999999997</v>
      </c>
      <c r="T192">
        <v>6.6841200000000001</v>
      </c>
      <c r="U192">
        <v>6.8821719999999997</v>
      </c>
      <c r="V192">
        <v>7.1165919999999998</v>
      </c>
      <c r="W192">
        <v>7.3601000000000001</v>
      </c>
      <c r="X192">
        <v>7.6059109999999999</v>
      </c>
      <c r="Y192">
        <v>7.8571239999999998</v>
      </c>
      <c r="Z192">
        <v>8.0865939999999998</v>
      </c>
      <c r="AA192">
        <v>8.3299559999999992</v>
      </c>
      <c r="AB192">
        <v>8.5748139999999999</v>
      </c>
      <c r="AC192">
        <v>8.8294530000000009</v>
      </c>
      <c r="AD192">
        <v>9.0905149999999999</v>
      </c>
      <c r="AE192" s="9">
        <v>3.3000000000000002E-2</v>
      </c>
    </row>
    <row r="193" spans="1:31">
      <c r="A193" t="s">
        <v>206</v>
      </c>
      <c r="B193" t="s">
        <v>2459</v>
      </c>
      <c r="C193" t="s">
        <v>2458</v>
      </c>
      <c r="D193" t="s">
        <v>192</v>
      </c>
      <c r="E193">
        <v>313.83908100000002</v>
      </c>
      <c r="F193">
        <v>361.70901500000002</v>
      </c>
      <c r="G193">
        <v>374.98492399999998</v>
      </c>
      <c r="H193">
        <v>393.35595699999999</v>
      </c>
      <c r="I193">
        <v>415.18914799999999</v>
      </c>
      <c r="J193">
        <v>432.08670000000001</v>
      </c>
      <c r="K193">
        <v>452.39681999999999</v>
      </c>
      <c r="L193">
        <v>474.25396699999999</v>
      </c>
      <c r="M193">
        <v>494.623199</v>
      </c>
      <c r="N193">
        <v>515.136841</v>
      </c>
      <c r="O193">
        <v>535.629639</v>
      </c>
      <c r="P193">
        <v>553.47277799999995</v>
      </c>
      <c r="Q193">
        <v>573.10082999999997</v>
      </c>
      <c r="R193">
        <v>594.07849099999999</v>
      </c>
      <c r="S193">
        <v>614.73095699999999</v>
      </c>
      <c r="T193">
        <v>634.484375</v>
      </c>
      <c r="U193">
        <v>653.75238000000002</v>
      </c>
      <c r="V193">
        <v>672.25170900000001</v>
      </c>
      <c r="W193">
        <v>689.94860800000004</v>
      </c>
      <c r="X193">
        <v>707.010986</v>
      </c>
      <c r="Y193">
        <v>723.43621800000005</v>
      </c>
      <c r="Z193">
        <v>739.34783900000002</v>
      </c>
      <c r="AA193">
        <v>754.83337400000005</v>
      </c>
      <c r="AB193">
        <v>770.000854</v>
      </c>
      <c r="AC193">
        <v>785.21545400000002</v>
      </c>
      <c r="AD193">
        <v>800.44537400000002</v>
      </c>
      <c r="AE193" s="9">
        <v>3.7999999999999999E-2</v>
      </c>
    </row>
    <row r="194" spans="1:31">
      <c r="A194" t="s">
        <v>209</v>
      </c>
      <c r="B194" t="s">
        <v>2457</v>
      </c>
      <c r="C194" t="s">
        <v>2456</v>
      </c>
      <c r="D194" t="s">
        <v>192</v>
      </c>
      <c r="E194">
        <v>279.62979100000001</v>
      </c>
      <c r="F194">
        <v>288.828552</v>
      </c>
      <c r="G194">
        <v>294.91116299999999</v>
      </c>
      <c r="H194">
        <v>309.57427999999999</v>
      </c>
      <c r="I194">
        <v>327.00668300000001</v>
      </c>
      <c r="J194">
        <v>340.69882200000001</v>
      </c>
      <c r="K194">
        <v>356.76165800000001</v>
      </c>
      <c r="L194">
        <v>373.965576</v>
      </c>
      <c r="M194">
        <v>389.796967</v>
      </c>
      <c r="N194">
        <v>405.60427900000002</v>
      </c>
      <c r="O194">
        <v>421.20575000000002</v>
      </c>
      <c r="P194">
        <v>434.489868</v>
      </c>
      <c r="Q194">
        <v>449.04296900000003</v>
      </c>
      <c r="R194">
        <v>464.54785199999998</v>
      </c>
      <c r="S194">
        <v>479.65429699999999</v>
      </c>
      <c r="T194">
        <v>493.92919899999998</v>
      </c>
      <c r="U194">
        <v>507.74755900000002</v>
      </c>
      <c r="V194">
        <v>520.91357400000004</v>
      </c>
      <c r="W194">
        <v>533.39306599999998</v>
      </c>
      <c r="X194">
        <v>545.33935499999995</v>
      </c>
      <c r="Y194">
        <v>556.91796899999997</v>
      </c>
      <c r="Z194">
        <v>568.21972700000003</v>
      </c>
      <c r="AA194">
        <v>579.27636700000005</v>
      </c>
      <c r="AB194">
        <v>590.20214799999997</v>
      </c>
      <c r="AC194">
        <v>601.27343800000006</v>
      </c>
      <c r="AD194">
        <v>612.42089799999997</v>
      </c>
      <c r="AE194" s="9">
        <v>3.2000000000000001E-2</v>
      </c>
    </row>
    <row r="195" spans="1:31">
      <c r="A195" t="s">
        <v>210</v>
      </c>
      <c r="B195" t="s">
        <v>2455</v>
      </c>
      <c r="C195" t="s">
        <v>2454</v>
      </c>
      <c r="D195" t="s">
        <v>192</v>
      </c>
      <c r="E195">
        <v>15.532654000000001</v>
      </c>
      <c r="F195">
        <v>54.348269999999999</v>
      </c>
      <c r="G195">
        <v>61.261817999999998</v>
      </c>
      <c r="H195">
        <v>64.103012000000007</v>
      </c>
      <c r="I195">
        <v>67.458388999999997</v>
      </c>
      <c r="J195">
        <v>69.864791999999994</v>
      </c>
      <c r="K195">
        <v>73.175567999999998</v>
      </c>
      <c r="L195">
        <v>76.821869000000007</v>
      </c>
      <c r="M195">
        <v>80.442383000000007</v>
      </c>
      <c r="N195">
        <v>84.230591000000004</v>
      </c>
      <c r="O195">
        <v>88.208061000000001</v>
      </c>
      <c r="P195">
        <v>91.992705999999998</v>
      </c>
      <c r="Q195">
        <v>96.192077999999995</v>
      </c>
      <c r="R195">
        <v>100.70188899999999</v>
      </c>
      <c r="S195">
        <v>105.283371</v>
      </c>
      <c r="T195">
        <v>109.823212</v>
      </c>
      <c r="U195">
        <v>114.332245</v>
      </c>
      <c r="V195">
        <v>118.72782100000001</v>
      </c>
      <c r="W195">
        <v>123.02965500000001</v>
      </c>
      <c r="X195">
        <v>127.24617000000001</v>
      </c>
      <c r="Y195">
        <v>131.20207199999999</v>
      </c>
      <c r="Z195">
        <v>134.931274</v>
      </c>
      <c r="AA195">
        <v>138.49816899999999</v>
      </c>
      <c r="AB195">
        <v>141.89721700000001</v>
      </c>
      <c r="AC195">
        <v>145.210297</v>
      </c>
      <c r="AD195">
        <v>148.486176</v>
      </c>
      <c r="AE195" s="9">
        <v>9.5000000000000001E-2</v>
      </c>
    </row>
    <row r="196" spans="1:31">
      <c r="A196" t="s">
        <v>211</v>
      </c>
      <c r="B196" t="s">
        <v>2453</v>
      </c>
      <c r="C196" t="s">
        <v>2452</v>
      </c>
      <c r="D196" t="s">
        <v>192</v>
      </c>
      <c r="E196">
        <v>18.676638000000001</v>
      </c>
      <c r="F196">
        <v>18.532188000000001</v>
      </c>
      <c r="G196">
        <v>18.811958000000001</v>
      </c>
      <c r="H196">
        <v>19.678659</v>
      </c>
      <c r="I196">
        <v>20.724067999999999</v>
      </c>
      <c r="J196">
        <v>21.523102000000002</v>
      </c>
      <c r="K196">
        <v>22.459595</v>
      </c>
      <c r="L196">
        <v>23.466522000000001</v>
      </c>
      <c r="M196">
        <v>24.383849999999999</v>
      </c>
      <c r="N196">
        <v>25.301940999999999</v>
      </c>
      <c r="O196">
        <v>26.215851000000001</v>
      </c>
      <c r="P196">
        <v>26.990265000000001</v>
      </c>
      <c r="Q196">
        <v>27.865784000000001</v>
      </c>
      <c r="R196">
        <v>28.828735000000002</v>
      </c>
      <c r="S196">
        <v>29.793274</v>
      </c>
      <c r="T196">
        <v>30.731933999999999</v>
      </c>
      <c r="U196">
        <v>31.672546000000001</v>
      </c>
      <c r="V196">
        <v>32.610290999999997</v>
      </c>
      <c r="W196">
        <v>33.525908999999999</v>
      </c>
      <c r="X196">
        <v>34.425476000000003</v>
      </c>
      <c r="Y196">
        <v>35.316161999999998</v>
      </c>
      <c r="Z196">
        <v>36.196838</v>
      </c>
      <c r="AA196">
        <v>37.058838000000002</v>
      </c>
      <c r="AB196">
        <v>37.901488999999998</v>
      </c>
      <c r="AC196">
        <v>38.731689000000003</v>
      </c>
      <c r="AD196">
        <v>39.538269</v>
      </c>
      <c r="AE196" s="9">
        <v>0.03</v>
      </c>
    </row>
    <row r="197" spans="1:31">
      <c r="A197" t="s">
        <v>340</v>
      </c>
      <c r="B197" t="s">
        <v>2451</v>
      </c>
      <c r="C197" t="s">
        <v>2450</v>
      </c>
      <c r="D197" t="s">
        <v>192</v>
      </c>
      <c r="E197">
        <v>86.719657999999995</v>
      </c>
      <c r="F197">
        <v>92.269042999999996</v>
      </c>
      <c r="G197">
        <v>100.79637099999999</v>
      </c>
      <c r="H197">
        <v>107.201607</v>
      </c>
      <c r="I197">
        <v>113.763321</v>
      </c>
      <c r="J197">
        <v>119.186035</v>
      </c>
      <c r="K197">
        <v>125.094635</v>
      </c>
      <c r="L197">
        <v>130.49679599999999</v>
      </c>
      <c r="M197">
        <v>135.34994499999999</v>
      </c>
      <c r="N197">
        <v>140.027435</v>
      </c>
      <c r="O197">
        <v>144.43952899999999</v>
      </c>
      <c r="P197">
        <v>148.348907</v>
      </c>
      <c r="Q197">
        <v>153.185822</v>
      </c>
      <c r="R197">
        <v>157.47146599999999</v>
      </c>
      <c r="S197">
        <v>162.21470600000001</v>
      </c>
      <c r="T197">
        <v>167.905914</v>
      </c>
      <c r="U197">
        <v>173.552322</v>
      </c>
      <c r="V197">
        <v>179.16580200000001</v>
      </c>
      <c r="W197">
        <v>184.654877</v>
      </c>
      <c r="X197">
        <v>190.050308</v>
      </c>
      <c r="Y197">
        <v>195.58607499999999</v>
      </c>
      <c r="Z197">
        <v>201.411407</v>
      </c>
      <c r="AA197">
        <v>207.09045399999999</v>
      </c>
      <c r="AB197">
        <v>212.64558400000001</v>
      </c>
      <c r="AC197">
        <v>218.06230199999999</v>
      </c>
      <c r="AD197">
        <v>223.33221399999999</v>
      </c>
      <c r="AE197" s="9">
        <v>3.9E-2</v>
      </c>
    </row>
    <row r="198" spans="1:31">
      <c r="A198" t="s">
        <v>209</v>
      </c>
      <c r="B198" t="s">
        <v>2449</v>
      </c>
      <c r="C198" t="s">
        <v>2448</v>
      </c>
      <c r="D198" t="s">
        <v>192</v>
      </c>
      <c r="E198">
        <v>67.948914000000002</v>
      </c>
      <c r="F198">
        <v>72.273132000000004</v>
      </c>
      <c r="G198">
        <v>79.052245999999997</v>
      </c>
      <c r="H198">
        <v>84.208984000000001</v>
      </c>
      <c r="I198">
        <v>89.377898999999999</v>
      </c>
      <c r="J198">
        <v>93.640891999999994</v>
      </c>
      <c r="K198">
        <v>98.294250000000005</v>
      </c>
      <c r="L198">
        <v>102.545502</v>
      </c>
      <c r="M198">
        <v>106.36222100000001</v>
      </c>
      <c r="N198">
        <v>110.043205</v>
      </c>
      <c r="O198">
        <v>113.52237700000001</v>
      </c>
      <c r="P198">
        <v>116.618782</v>
      </c>
      <c r="Q198">
        <v>120.463646</v>
      </c>
      <c r="R198">
        <v>123.894485</v>
      </c>
      <c r="S198">
        <v>127.7146</v>
      </c>
      <c r="T198">
        <v>132.30822800000001</v>
      </c>
      <c r="U198">
        <v>136.89404300000001</v>
      </c>
      <c r="V198">
        <v>141.47936999999999</v>
      </c>
      <c r="W198">
        <v>145.94811999999999</v>
      </c>
      <c r="X198">
        <v>150.346924</v>
      </c>
      <c r="Y198">
        <v>154.841553</v>
      </c>
      <c r="Z198">
        <v>159.52539100000001</v>
      </c>
      <c r="AA198">
        <v>164.08251999999999</v>
      </c>
      <c r="AB198">
        <v>168.51611299999999</v>
      </c>
      <c r="AC198">
        <v>172.81835899999999</v>
      </c>
      <c r="AD198">
        <v>176.95678699999999</v>
      </c>
      <c r="AE198" s="9">
        <v>3.9E-2</v>
      </c>
    </row>
    <row r="199" spans="1:31">
      <c r="A199" t="s">
        <v>210</v>
      </c>
      <c r="B199" t="s">
        <v>2447</v>
      </c>
      <c r="C199" t="s">
        <v>2446</v>
      </c>
      <c r="D199" t="s">
        <v>192</v>
      </c>
      <c r="E199">
        <v>6.7091289999999999</v>
      </c>
      <c r="F199">
        <v>7.0999280000000002</v>
      </c>
      <c r="G199">
        <v>7.6362800000000002</v>
      </c>
      <c r="H199">
        <v>8.0046879999999998</v>
      </c>
      <c r="I199">
        <v>8.4299090000000003</v>
      </c>
      <c r="J199">
        <v>8.7635349999999992</v>
      </c>
      <c r="K199">
        <v>9.1517560000000007</v>
      </c>
      <c r="L199">
        <v>9.5137479999999996</v>
      </c>
      <c r="M199">
        <v>9.8466129999999996</v>
      </c>
      <c r="N199">
        <v>10.173356999999999</v>
      </c>
      <c r="O199">
        <v>10.483677</v>
      </c>
      <c r="P199">
        <v>10.756905</v>
      </c>
      <c r="Q199">
        <v>11.082458000000001</v>
      </c>
      <c r="R199">
        <v>11.357224</v>
      </c>
      <c r="S199">
        <v>11.64439</v>
      </c>
      <c r="T199">
        <v>11.977695000000001</v>
      </c>
      <c r="U199">
        <v>12.284566</v>
      </c>
      <c r="V199">
        <v>12.570133</v>
      </c>
      <c r="W199">
        <v>12.881073000000001</v>
      </c>
      <c r="X199">
        <v>13.191172999999999</v>
      </c>
      <c r="Y199">
        <v>13.533829000000001</v>
      </c>
      <c r="Z199">
        <v>13.943871</v>
      </c>
      <c r="AA199">
        <v>14.356959</v>
      </c>
      <c r="AB199">
        <v>14.788988</v>
      </c>
      <c r="AC199">
        <v>15.234571000000001</v>
      </c>
      <c r="AD199">
        <v>15.720404</v>
      </c>
      <c r="AE199" s="9">
        <v>3.5000000000000003E-2</v>
      </c>
    </row>
    <row r="200" spans="1:31">
      <c r="A200" t="s">
        <v>211</v>
      </c>
      <c r="B200" t="s">
        <v>2445</v>
      </c>
      <c r="C200" t="s">
        <v>2444</v>
      </c>
      <c r="D200" t="s">
        <v>192</v>
      </c>
      <c r="E200">
        <v>12.061617</v>
      </c>
      <c r="F200">
        <v>12.89598</v>
      </c>
      <c r="G200">
        <v>14.107851</v>
      </c>
      <c r="H200">
        <v>14.987939000000001</v>
      </c>
      <c r="I200">
        <v>15.955513</v>
      </c>
      <c r="J200">
        <v>16.781604999999999</v>
      </c>
      <c r="K200">
        <v>17.648627999999999</v>
      </c>
      <c r="L200">
        <v>18.437539999999998</v>
      </c>
      <c r="M200">
        <v>19.141114999999999</v>
      </c>
      <c r="N200">
        <v>19.810883</v>
      </c>
      <c r="O200">
        <v>20.433471999999998</v>
      </c>
      <c r="P200">
        <v>20.973220999999999</v>
      </c>
      <c r="Q200">
        <v>21.639709</v>
      </c>
      <c r="R200">
        <v>22.219757000000001</v>
      </c>
      <c r="S200">
        <v>22.855713000000002</v>
      </c>
      <c r="T200">
        <v>23.619994999999999</v>
      </c>
      <c r="U200">
        <v>24.373718</v>
      </c>
      <c r="V200">
        <v>25.116302000000001</v>
      </c>
      <c r="W200">
        <v>25.825683999999999</v>
      </c>
      <c r="X200">
        <v>26.512207</v>
      </c>
      <c r="Y200">
        <v>27.210692999999999</v>
      </c>
      <c r="Z200">
        <v>27.942139000000001</v>
      </c>
      <c r="AA200">
        <v>28.650970000000001</v>
      </c>
      <c r="AB200">
        <v>29.340485000000001</v>
      </c>
      <c r="AC200">
        <v>30.009369</v>
      </c>
      <c r="AD200">
        <v>30.655028999999999</v>
      </c>
      <c r="AE200" s="9">
        <v>3.7999999999999999E-2</v>
      </c>
    </row>
    <row r="201" spans="1:31">
      <c r="A201" t="s">
        <v>692</v>
      </c>
      <c r="B201" t="s">
        <v>2443</v>
      </c>
      <c r="C201" t="s">
        <v>2442</v>
      </c>
      <c r="D201" t="s">
        <v>192</v>
      </c>
      <c r="E201">
        <v>139.592804</v>
      </c>
      <c r="F201">
        <v>164.46994000000001</v>
      </c>
      <c r="G201">
        <v>174.73101800000001</v>
      </c>
      <c r="H201">
        <v>180.91682399999999</v>
      </c>
      <c r="I201">
        <v>187.439255</v>
      </c>
      <c r="J201">
        <v>195.20680200000001</v>
      </c>
      <c r="K201">
        <v>204.15481600000001</v>
      </c>
      <c r="L201">
        <v>212.53332499999999</v>
      </c>
      <c r="M201">
        <v>220.773651</v>
      </c>
      <c r="N201">
        <v>228.709</v>
      </c>
      <c r="O201">
        <v>236.42941300000001</v>
      </c>
      <c r="P201">
        <v>244.36897300000001</v>
      </c>
      <c r="Q201">
        <v>251.85758999999999</v>
      </c>
      <c r="R201">
        <v>261.27435300000002</v>
      </c>
      <c r="S201">
        <v>270.76782200000002</v>
      </c>
      <c r="T201">
        <v>280.07019000000003</v>
      </c>
      <c r="U201">
        <v>288.76147500000002</v>
      </c>
      <c r="V201">
        <v>297.61016799999999</v>
      </c>
      <c r="W201">
        <v>306.25671399999999</v>
      </c>
      <c r="X201">
        <v>314.622253</v>
      </c>
      <c r="Y201">
        <v>322.80248999999998</v>
      </c>
      <c r="Z201">
        <v>330.64959700000003</v>
      </c>
      <c r="AA201">
        <v>338.08386200000001</v>
      </c>
      <c r="AB201">
        <v>345.785034</v>
      </c>
      <c r="AC201">
        <v>354.164917</v>
      </c>
      <c r="AD201">
        <v>363.47143599999998</v>
      </c>
      <c r="AE201" s="9">
        <v>3.9E-2</v>
      </c>
    </row>
    <row r="202" spans="1:31">
      <c r="A202" t="s">
        <v>209</v>
      </c>
      <c r="B202" t="s">
        <v>2441</v>
      </c>
      <c r="C202" t="s">
        <v>2440</v>
      </c>
      <c r="D202" t="s">
        <v>192</v>
      </c>
      <c r="E202">
        <v>61.722656000000001</v>
      </c>
      <c r="F202">
        <v>87.393921000000006</v>
      </c>
      <c r="G202">
        <v>92.195922999999993</v>
      </c>
      <c r="H202">
        <v>95.579834000000005</v>
      </c>
      <c r="I202">
        <v>99.262328999999994</v>
      </c>
      <c r="J202">
        <v>104.509766</v>
      </c>
      <c r="K202">
        <v>109.861206</v>
      </c>
      <c r="L202">
        <v>114.534637</v>
      </c>
      <c r="M202">
        <v>119.11377</v>
      </c>
      <c r="N202">
        <v>123.53531599999999</v>
      </c>
      <c r="O202">
        <v>127.77175099999999</v>
      </c>
      <c r="P202">
        <v>132.05981399999999</v>
      </c>
      <c r="Q202">
        <v>136.00517300000001</v>
      </c>
      <c r="R202">
        <v>140.96594200000001</v>
      </c>
      <c r="S202">
        <v>145.86425800000001</v>
      </c>
      <c r="T202">
        <v>150.55566400000001</v>
      </c>
      <c r="U202">
        <v>154.814697</v>
      </c>
      <c r="V202">
        <v>159.08227500000001</v>
      </c>
      <c r="W202">
        <v>163.17016599999999</v>
      </c>
      <c r="X202">
        <v>167.067871</v>
      </c>
      <c r="Y202">
        <v>170.84814499999999</v>
      </c>
      <c r="Z202">
        <v>174.47167999999999</v>
      </c>
      <c r="AA202">
        <v>177.91284200000001</v>
      </c>
      <c r="AB202">
        <v>181.589111</v>
      </c>
      <c r="AC202">
        <v>185.70361299999999</v>
      </c>
      <c r="AD202">
        <v>190.43090799999999</v>
      </c>
      <c r="AE202" s="9">
        <v>4.5999999999999999E-2</v>
      </c>
    </row>
    <row r="203" spans="1:31">
      <c r="A203" t="s">
        <v>210</v>
      </c>
      <c r="B203" t="s">
        <v>2439</v>
      </c>
      <c r="C203" t="s">
        <v>2438</v>
      </c>
      <c r="D203" t="s">
        <v>192</v>
      </c>
      <c r="E203">
        <v>53.742125999999999</v>
      </c>
      <c r="F203">
        <v>35.609619000000002</v>
      </c>
      <c r="G203">
        <v>39.459105999999998</v>
      </c>
      <c r="H203">
        <v>41.165667999999997</v>
      </c>
      <c r="I203">
        <v>42.670634999999997</v>
      </c>
      <c r="J203">
        <v>43.753315000000001</v>
      </c>
      <c r="K203">
        <v>45.722206</v>
      </c>
      <c r="L203">
        <v>47.765540999999999</v>
      </c>
      <c r="M203">
        <v>49.848121999999996</v>
      </c>
      <c r="N203">
        <v>51.881259999999997</v>
      </c>
      <c r="O203">
        <v>53.958556999999999</v>
      </c>
      <c r="P203">
        <v>56.136859999999999</v>
      </c>
      <c r="Q203">
        <v>58.310977999999999</v>
      </c>
      <c r="R203">
        <v>60.808475000000001</v>
      </c>
      <c r="S203">
        <v>63.344726999999999</v>
      </c>
      <c r="T203">
        <v>65.864318999999995</v>
      </c>
      <c r="U203">
        <v>68.313477000000006</v>
      </c>
      <c r="V203">
        <v>70.790038999999993</v>
      </c>
      <c r="W203">
        <v>73.225219999999993</v>
      </c>
      <c r="X203">
        <v>75.573914000000002</v>
      </c>
      <c r="Y203">
        <v>77.843643</v>
      </c>
      <c r="Z203">
        <v>79.978806000000006</v>
      </c>
      <c r="AA203">
        <v>81.958740000000006</v>
      </c>
      <c r="AB203">
        <v>83.874022999999994</v>
      </c>
      <c r="AC203">
        <v>85.869263000000004</v>
      </c>
      <c r="AD203">
        <v>87.935181</v>
      </c>
      <c r="AE203" s="9">
        <v>0.02</v>
      </c>
    </row>
    <row r="204" spans="1:31">
      <c r="A204" t="s">
        <v>211</v>
      </c>
      <c r="B204" t="s">
        <v>2437</v>
      </c>
      <c r="C204" t="s">
        <v>2436</v>
      </c>
      <c r="D204" t="s">
        <v>192</v>
      </c>
      <c r="E204">
        <v>24.128021</v>
      </c>
      <c r="F204">
        <v>41.4664</v>
      </c>
      <c r="G204">
        <v>43.075989</v>
      </c>
      <c r="H204">
        <v>44.171326000000001</v>
      </c>
      <c r="I204">
        <v>45.506287</v>
      </c>
      <c r="J204">
        <v>46.943725999999998</v>
      </c>
      <c r="K204">
        <v>48.571410999999998</v>
      </c>
      <c r="L204">
        <v>50.233153999999999</v>
      </c>
      <c r="M204">
        <v>51.811768000000001</v>
      </c>
      <c r="N204">
        <v>53.292419000000002</v>
      </c>
      <c r="O204">
        <v>54.699097000000002</v>
      </c>
      <c r="P204">
        <v>56.172302000000002</v>
      </c>
      <c r="Q204">
        <v>57.541443000000001</v>
      </c>
      <c r="R204">
        <v>59.499938999999998</v>
      </c>
      <c r="S204">
        <v>61.558838000000002</v>
      </c>
      <c r="T204">
        <v>63.650207999999999</v>
      </c>
      <c r="U204">
        <v>65.633301000000003</v>
      </c>
      <c r="V204">
        <v>67.737853999999999</v>
      </c>
      <c r="W204">
        <v>69.861328</v>
      </c>
      <c r="X204">
        <v>71.980468999999999</v>
      </c>
      <c r="Y204">
        <v>74.110718000000006</v>
      </c>
      <c r="Z204">
        <v>76.199096999999995</v>
      </c>
      <c r="AA204">
        <v>78.212280000000007</v>
      </c>
      <c r="AB204">
        <v>80.321899000000002</v>
      </c>
      <c r="AC204">
        <v>82.592040999999995</v>
      </c>
      <c r="AD204">
        <v>85.105346999999995</v>
      </c>
      <c r="AE204" s="9">
        <v>5.1999999999999998E-2</v>
      </c>
    </row>
    <row r="205" spans="1:31">
      <c r="A205" t="s">
        <v>341</v>
      </c>
      <c r="B205" t="s">
        <v>2435</v>
      </c>
      <c r="C205" t="s">
        <v>2434</v>
      </c>
      <c r="D205" t="s">
        <v>192</v>
      </c>
      <c r="E205">
        <v>115.457596</v>
      </c>
      <c r="F205">
        <v>122.371689</v>
      </c>
      <c r="G205">
        <v>119.69817399999999</v>
      </c>
      <c r="H205">
        <v>121.007454</v>
      </c>
      <c r="I205">
        <v>123.979721</v>
      </c>
      <c r="J205">
        <v>125.24942799999999</v>
      </c>
      <c r="K205">
        <v>129.36419699999999</v>
      </c>
      <c r="L205">
        <v>133.71760599999999</v>
      </c>
      <c r="M205">
        <v>138.51393100000001</v>
      </c>
      <c r="N205">
        <v>143.72872899999999</v>
      </c>
      <c r="O205">
        <v>149.504974</v>
      </c>
      <c r="P205">
        <v>155.670029</v>
      </c>
      <c r="Q205">
        <v>162.13511700000001</v>
      </c>
      <c r="R205">
        <v>168.71212800000001</v>
      </c>
      <c r="S205">
        <v>175.41635099999999</v>
      </c>
      <c r="T205">
        <v>182.37515300000001</v>
      </c>
      <c r="U205">
        <v>189.25625600000001</v>
      </c>
      <c r="V205">
        <v>196.15747099999999</v>
      </c>
      <c r="W205">
        <v>202.997421</v>
      </c>
      <c r="X205">
        <v>209.763397</v>
      </c>
      <c r="Y205">
        <v>216.540482</v>
      </c>
      <c r="Z205">
        <v>223.076538</v>
      </c>
      <c r="AA205">
        <v>229.76397700000001</v>
      </c>
      <c r="AB205">
        <v>236.70626799999999</v>
      </c>
      <c r="AC205">
        <v>243.84518399999999</v>
      </c>
      <c r="AD205">
        <v>251.10330200000001</v>
      </c>
      <c r="AE205" s="9">
        <v>3.2000000000000001E-2</v>
      </c>
    </row>
    <row r="206" spans="1:31">
      <c r="A206" t="s">
        <v>209</v>
      </c>
      <c r="B206" t="s">
        <v>2433</v>
      </c>
      <c r="C206" t="s">
        <v>2432</v>
      </c>
      <c r="D206" t="s">
        <v>192</v>
      </c>
      <c r="E206">
        <v>53.642761</v>
      </c>
      <c r="F206">
        <v>57.699646000000001</v>
      </c>
      <c r="G206">
        <v>55.399231</v>
      </c>
      <c r="H206">
        <v>55.731323000000003</v>
      </c>
      <c r="I206">
        <v>56.960631999999997</v>
      </c>
      <c r="J206">
        <v>57.367370999999999</v>
      </c>
      <c r="K206">
        <v>59.105407999999997</v>
      </c>
      <c r="L206">
        <v>60.808228</v>
      </c>
      <c r="M206">
        <v>62.690429999999999</v>
      </c>
      <c r="N206">
        <v>64.733704000000003</v>
      </c>
      <c r="O206">
        <v>67.043212999999994</v>
      </c>
      <c r="P206">
        <v>69.505736999999996</v>
      </c>
      <c r="Q206">
        <v>72.092772999999994</v>
      </c>
      <c r="R206">
        <v>74.721312999999995</v>
      </c>
      <c r="S206">
        <v>77.394531000000001</v>
      </c>
      <c r="T206">
        <v>80.235229000000004</v>
      </c>
      <c r="U206">
        <v>83.116943000000006</v>
      </c>
      <c r="V206">
        <v>86.092528999999999</v>
      </c>
      <c r="W206">
        <v>89.114990000000006</v>
      </c>
      <c r="X206">
        <v>92.176270000000002</v>
      </c>
      <c r="Y206">
        <v>95.309082000000004</v>
      </c>
      <c r="Z206">
        <v>98.418700999999999</v>
      </c>
      <c r="AA206">
        <v>101.677002</v>
      </c>
      <c r="AB206">
        <v>105.06604</v>
      </c>
      <c r="AC206">
        <v>108.55212400000001</v>
      </c>
      <c r="AD206">
        <v>112.09045399999999</v>
      </c>
      <c r="AE206" s="9">
        <v>0.03</v>
      </c>
    </row>
    <row r="207" spans="1:31">
      <c r="A207" t="s">
        <v>210</v>
      </c>
      <c r="B207" t="s">
        <v>2431</v>
      </c>
      <c r="C207" t="s">
        <v>2430</v>
      </c>
      <c r="D207" t="s">
        <v>192</v>
      </c>
      <c r="E207">
        <v>51.080627</v>
      </c>
      <c r="F207">
        <v>52.663330000000002</v>
      </c>
      <c r="G207">
        <v>53.584595</v>
      </c>
      <c r="H207">
        <v>54.866028</v>
      </c>
      <c r="I207">
        <v>56.642273000000003</v>
      </c>
      <c r="J207">
        <v>57.691344999999998</v>
      </c>
      <c r="K207">
        <v>60.003234999999997</v>
      </c>
      <c r="L207">
        <v>62.684508999999998</v>
      </c>
      <c r="M207">
        <v>65.604004000000003</v>
      </c>
      <c r="N207">
        <v>68.761229999999998</v>
      </c>
      <c r="O207">
        <v>72.148560000000003</v>
      </c>
      <c r="P207">
        <v>75.752075000000005</v>
      </c>
      <c r="Q207">
        <v>79.512816999999998</v>
      </c>
      <c r="R207">
        <v>83.342895999999996</v>
      </c>
      <c r="S207">
        <v>87.265502999999995</v>
      </c>
      <c r="T207">
        <v>91.226806999999994</v>
      </c>
      <c r="U207">
        <v>95.032104000000004</v>
      </c>
      <c r="V207">
        <v>98.721312999999995</v>
      </c>
      <c r="W207">
        <v>102.283447</v>
      </c>
      <c r="X207">
        <v>105.7229</v>
      </c>
      <c r="Y207">
        <v>109.090332</v>
      </c>
      <c r="Z207">
        <v>112.221924</v>
      </c>
      <c r="AA207">
        <v>115.303589</v>
      </c>
      <c r="AB207">
        <v>118.489136</v>
      </c>
      <c r="AC207">
        <v>121.74511699999999</v>
      </c>
      <c r="AD207">
        <v>125.034058</v>
      </c>
      <c r="AE207" s="9">
        <v>3.5999999999999997E-2</v>
      </c>
    </row>
    <row r="208" spans="1:31">
      <c r="A208" t="s">
        <v>211</v>
      </c>
      <c r="B208" t="s">
        <v>2429</v>
      </c>
      <c r="C208" t="s">
        <v>2428</v>
      </c>
      <c r="D208" t="s">
        <v>192</v>
      </c>
      <c r="E208">
        <v>10.734207</v>
      </c>
      <c r="F208">
        <v>12.008713</v>
      </c>
      <c r="G208">
        <v>10.714347999999999</v>
      </c>
      <c r="H208">
        <v>10.410102999999999</v>
      </c>
      <c r="I208">
        <v>10.376816</v>
      </c>
      <c r="J208">
        <v>10.190712</v>
      </c>
      <c r="K208">
        <v>10.255554</v>
      </c>
      <c r="L208">
        <v>10.224869</v>
      </c>
      <c r="M208">
        <v>10.219498</v>
      </c>
      <c r="N208">
        <v>10.233795000000001</v>
      </c>
      <c r="O208">
        <v>10.313202</v>
      </c>
      <c r="P208">
        <v>10.412216000000001</v>
      </c>
      <c r="Q208">
        <v>10.529526000000001</v>
      </c>
      <c r="R208">
        <v>10.647919</v>
      </c>
      <c r="S208">
        <v>10.756316999999999</v>
      </c>
      <c r="T208">
        <v>10.913116</v>
      </c>
      <c r="U208">
        <v>11.107208</v>
      </c>
      <c r="V208">
        <v>11.343628000000001</v>
      </c>
      <c r="W208">
        <v>11.598984</v>
      </c>
      <c r="X208">
        <v>11.864227</v>
      </c>
      <c r="Y208">
        <v>12.141068000000001</v>
      </c>
      <c r="Z208">
        <v>12.435912999999999</v>
      </c>
      <c r="AA208">
        <v>12.783386</v>
      </c>
      <c r="AB208">
        <v>13.151092999999999</v>
      </c>
      <c r="AC208">
        <v>13.547943</v>
      </c>
      <c r="AD208">
        <v>13.97879</v>
      </c>
      <c r="AE208" s="9">
        <v>1.0999999999999999E-2</v>
      </c>
    </row>
    <row r="209" spans="1:31">
      <c r="A209" t="s">
        <v>205</v>
      </c>
      <c r="B209" t="s">
        <v>2427</v>
      </c>
      <c r="C209" t="s">
        <v>2426</v>
      </c>
      <c r="D209" t="s">
        <v>192</v>
      </c>
      <c r="E209">
        <v>87.195389000000006</v>
      </c>
      <c r="F209">
        <v>102.36378499999999</v>
      </c>
      <c r="G209">
        <v>103.708603</v>
      </c>
      <c r="H209">
        <v>107.74749799999999</v>
      </c>
      <c r="I209">
        <v>110.31946600000001</v>
      </c>
      <c r="J209">
        <v>112.353668</v>
      </c>
      <c r="K209">
        <v>115.872238</v>
      </c>
      <c r="L209">
        <v>118.88172900000001</v>
      </c>
      <c r="M209">
        <v>122.034081</v>
      </c>
      <c r="N209">
        <v>125.553726</v>
      </c>
      <c r="O209">
        <v>129.370789</v>
      </c>
      <c r="P209">
        <v>133.661652</v>
      </c>
      <c r="Q209">
        <v>137.543701</v>
      </c>
      <c r="R209">
        <v>141.52065999999999</v>
      </c>
      <c r="S209">
        <v>145.66056800000001</v>
      </c>
      <c r="T209">
        <v>149.91287199999999</v>
      </c>
      <c r="U209">
        <v>154.407242</v>
      </c>
      <c r="V209">
        <v>159.087738</v>
      </c>
      <c r="W209">
        <v>164.006561</v>
      </c>
      <c r="X209">
        <v>169.18853799999999</v>
      </c>
      <c r="Y209">
        <v>174.549713</v>
      </c>
      <c r="Z209">
        <v>180.130112</v>
      </c>
      <c r="AA209">
        <v>185.94778400000001</v>
      </c>
      <c r="AB209">
        <v>191.995743</v>
      </c>
      <c r="AC209">
        <v>198.233124</v>
      </c>
      <c r="AD209">
        <v>204.65536499999999</v>
      </c>
      <c r="AE209" s="9">
        <v>3.5000000000000003E-2</v>
      </c>
    </row>
    <row r="210" spans="1:31">
      <c r="A210" t="s">
        <v>209</v>
      </c>
      <c r="B210" t="s">
        <v>2425</v>
      </c>
      <c r="C210" t="s">
        <v>2424</v>
      </c>
      <c r="D210" t="s">
        <v>192</v>
      </c>
      <c r="E210">
        <v>36.260406000000003</v>
      </c>
      <c r="F210">
        <v>42.109161</v>
      </c>
      <c r="G210">
        <v>43.622314000000003</v>
      </c>
      <c r="H210">
        <v>45.628723000000001</v>
      </c>
      <c r="I210">
        <v>46.643554999999999</v>
      </c>
      <c r="J210">
        <v>47.447387999999997</v>
      </c>
      <c r="K210">
        <v>48.896422999999999</v>
      </c>
      <c r="L210">
        <v>50.125996000000001</v>
      </c>
      <c r="M210">
        <v>51.424973000000001</v>
      </c>
      <c r="N210">
        <v>52.889927</v>
      </c>
      <c r="O210">
        <v>54.398865000000001</v>
      </c>
      <c r="P210">
        <v>55.960631999999997</v>
      </c>
      <c r="Q210">
        <v>57.499248999999999</v>
      </c>
      <c r="R210">
        <v>59.063792999999997</v>
      </c>
      <c r="S210">
        <v>60.692340999999999</v>
      </c>
      <c r="T210">
        <v>62.369934000000001</v>
      </c>
      <c r="U210">
        <v>64.130859000000001</v>
      </c>
      <c r="V210">
        <v>65.966797</v>
      </c>
      <c r="W210">
        <v>67.928711000000007</v>
      </c>
      <c r="X210">
        <v>70.037841999999998</v>
      </c>
      <c r="Y210">
        <v>72.278319999999994</v>
      </c>
      <c r="Z210">
        <v>74.650024000000002</v>
      </c>
      <c r="AA210">
        <v>77.145409000000001</v>
      </c>
      <c r="AB210">
        <v>79.778671000000003</v>
      </c>
      <c r="AC210">
        <v>82.549323999999999</v>
      </c>
      <c r="AD210">
        <v>85.402809000000005</v>
      </c>
      <c r="AE210" s="9">
        <v>3.5000000000000003E-2</v>
      </c>
    </row>
    <row r="211" spans="1:31">
      <c r="A211" t="s">
        <v>210</v>
      </c>
      <c r="B211" t="s">
        <v>2423</v>
      </c>
      <c r="C211" t="s">
        <v>2422</v>
      </c>
      <c r="D211" t="s">
        <v>192</v>
      </c>
      <c r="E211">
        <v>11.876328000000001</v>
      </c>
      <c r="F211">
        <v>13.750809</v>
      </c>
      <c r="G211">
        <v>13.772537</v>
      </c>
      <c r="H211">
        <v>14.885586999999999</v>
      </c>
      <c r="I211">
        <v>15.391304999999999</v>
      </c>
      <c r="J211">
        <v>15.799778</v>
      </c>
      <c r="K211">
        <v>16.511458999999999</v>
      </c>
      <c r="L211">
        <v>17.139648000000001</v>
      </c>
      <c r="M211">
        <v>17.803749</v>
      </c>
      <c r="N211">
        <v>18.556740000000001</v>
      </c>
      <c r="O211">
        <v>19.357737</v>
      </c>
      <c r="P211">
        <v>20.225193000000001</v>
      </c>
      <c r="Q211">
        <v>21.114826000000001</v>
      </c>
      <c r="R211">
        <v>22.049451999999999</v>
      </c>
      <c r="S211">
        <v>23.005951</v>
      </c>
      <c r="T211">
        <v>23.979026999999999</v>
      </c>
      <c r="U211">
        <v>24.990252000000002</v>
      </c>
      <c r="V211">
        <v>26.033842</v>
      </c>
      <c r="W211">
        <v>27.075227999999999</v>
      </c>
      <c r="X211">
        <v>28.107116999999999</v>
      </c>
      <c r="Y211">
        <v>29.077057</v>
      </c>
      <c r="Z211">
        <v>30.023302000000001</v>
      </c>
      <c r="AA211">
        <v>30.969494000000001</v>
      </c>
      <c r="AB211">
        <v>31.896636999999998</v>
      </c>
      <c r="AC211">
        <v>32.770843999999997</v>
      </c>
      <c r="AD211">
        <v>33.634399000000002</v>
      </c>
      <c r="AE211" s="9">
        <v>4.2999999999999997E-2</v>
      </c>
    </row>
    <row r="212" spans="1:31">
      <c r="A212" t="s">
        <v>211</v>
      </c>
      <c r="B212" t="s">
        <v>2421</v>
      </c>
      <c r="C212" t="s">
        <v>2420</v>
      </c>
      <c r="D212" t="s">
        <v>192</v>
      </c>
      <c r="E212">
        <v>39.058655000000002</v>
      </c>
      <c r="F212">
        <v>46.503815000000003</v>
      </c>
      <c r="G212">
        <v>46.313751000000003</v>
      </c>
      <c r="H212">
        <v>47.233184999999999</v>
      </c>
      <c r="I212">
        <v>48.284607000000001</v>
      </c>
      <c r="J212">
        <v>49.106506000000003</v>
      </c>
      <c r="K212">
        <v>50.464354999999998</v>
      </c>
      <c r="L212">
        <v>51.616089000000002</v>
      </c>
      <c r="M212">
        <v>52.805359000000003</v>
      </c>
      <c r="N212">
        <v>54.107056</v>
      </c>
      <c r="O212">
        <v>55.614196999999997</v>
      </c>
      <c r="P212">
        <v>57.475830000000002</v>
      </c>
      <c r="Q212">
        <v>58.929625999999999</v>
      </c>
      <c r="R212">
        <v>60.407409999999999</v>
      </c>
      <c r="S212">
        <v>61.96228</v>
      </c>
      <c r="T212">
        <v>63.563904000000001</v>
      </c>
      <c r="U212">
        <v>65.286133000000007</v>
      </c>
      <c r="V212">
        <v>67.087097</v>
      </c>
      <c r="W212">
        <v>69.002624999999995</v>
      </c>
      <c r="X212">
        <v>71.043578999999994</v>
      </c>
      <c r="Y212">
        <v>73.194336000000007</v>
      </c>
      <c r="Z212">
        <v>75.456787000000006</v>
      </c>
      <c r="AA212">
        <v>77.832886000000002</v>
      </c>
      <c r="AB212">
        <v>80.320435000000003</v>
      </c>
      <c r="AC212">
        <v>82.912964000000002</v>
      </c>
      <c r="AD212">
        <v>85.618163999999993</v>
      </c>
      <c r="AE212" s="9">
        <v>3.2000000000000001E-2</v>
      </c>
    </row>
    <row r="213" spans="1:31">
      <c r="A213" t="s">
        <v>342</v>
      </c>
      <c r="B213" t="s">
        <v>2419</v>
      </c>
      <c r="C213" t="s">
        <v>2418</v>
      </c>
      <c r="D213" t="s">
        <v>192</v>
      </c>
      <c r="E213">
        <v>26.036166999999999</v>
      </c>
      <c r="F213">
        <v>25.458280999999999</v>
      </c>
      <c r="G213">
        <v>29.043123000000001</v>
      </c>
      <c r="H213">
        <v>31.017914000000001</v>
      </c>
      <c r="I213">
        <v>31.656151000000001</v>
      </c>
      <c r="J213">
        <v>31.819347</v>
      </c>
      <c r="K213">
        <v>32.550010999999998</v>
      </c>
      <c r="L213">
        <v>33.423195</v>
      </c>
      <c r="M213">
        <v>34.279060000000001</v>
      </c>
      <c r="N213">
        <v>35.041153000000001</v>
      </c>
      <c r="O213">
        <v>35.757561000000003</v>
      </c>
      <c r="P213">
        <v>36.426150999999997</v>
      </c>
      <c r="Q213">
        <v>37.038460000000001</v>
      </c>
      <c r="R213">
        <v>37.587249999999997</v>
      </c>
      <c r="S213">
        <v>38.062880999999997</v>
      </c>
      <c r="T213">
        <v>38.437668000000002</v>
      </c>
      <c r="U213">
        <v>38.751865000000002</v>
      </c>
      <c r="V213">
        <v>38.987105999999997</v>
      </c>
      <c r="W213">
        <v>39.146011000000001</v>
      </c>
      <c r="X213">
        <v>39.240189000000001</v>
      </c>
      <c r="Y213">
        <v>39.283645999999997</v>
      </c>
      <c r="Z213">
        <v>39.291831999999999</v>
      </c>
      <c r="AA213">
        <v>39.262779000000002</v>
      </c>
      <c r="AB213">
        <v>39.210258000000003</v>
      </c>
      <c r="AC213">
        <v>39.140388000000002</v>
      </c>
      <c r="AD213">
        <v>39.051392</v>
      </c>
      <c r="AE213" s="9">
        <v>1.6E-2</v>
      </c>
    </row>
    <row r="214" spans="1:31">
      <c r="A214" t="s">
        <v>209</v>
      </c>
      <c r="B214" t="s">
        <v>2417</v>
      </c>
      <c r="C214" t="s">
        <v>2416</v>
      </c>
      <c r="D214" t="s">
        <v>192</v>
      </c>
      <c r="E214">
        <v>14.576172</v>
      </c>
      <c r="F214">
        <v>14.743425</v>
      </c>
      <c r="G214">
        <v>16.873049000000002</v>
      </c>
      <c r="H214">
        <v>18.059669</v>
      </c>
      <c r="I214">
        <v>18.491313999999999</v>
      </c>
      <c r="J214">
        <v>18.661667000000001</v>
      </c>
      <c r="K214">
        <v>19.168330999999998</v>
      </c>
      <c r="L214">
        <v>19.688410000000001</v>
      </c>
      <c r="M214">
        <v>20.230732</v>
      </c>
      <c r="N214">
        <v>20.755053</v>
      </c>
      <c r="O214">
        <v>21.247498</v>
      </c>
      <c r="P214">
        <v>21.705627</v>
      </c>
      <c r="Q214">
        <v>22.125548999999999</v>
      </c>
      <c r="R214">
        <v>22.497467</v>
      </c>
      <c r="S214">
        <v>22.813713</v>
      </c>
      <c r="T214">
        <v>23.059113</v>
      </c>
      <c r="U214">
        <v>23.247986000000001</v>
      </c>
      <c r="V214">
        <v>23.375824000000001</v>
      </c>
      <c r="W214">
        <v>23.450500000000002</v>
      </c>
      <c r="X214">
        <v>23.473877000000002</v>
      </c>
      <c r="Y214">
        <v>23.458037999999998</v>
      </c>
      <c r="Z214">
        <v>23.409911999999998</v>
      </c>
      <c r="AA214">
        <v>23.340973000000002</v>
      </c>
      <c r="AB214">
        <v>23.257538</v>
      </c>
      <c r="AC214">
        <v>23.166931000000002</v>
      </c>
      <c r="AD214">
        <v>23.069732999999999</v>
      </c>
      <c r="AE214" s="9">
        <v>1.9E-2</v>
      </c>
    </row>
    <row r="215" spans="1:31">
      <c r="A215" t="s">
        <v>210</v>
      </c>
      <c r="B215" t="s">
        <v>2415</v>
      </c>
      <c r="C215" t="s">
        <v>2414</v>
      </c>
      <c r="D215" t="s">
        <v>192</v>
      </c>
      <c r="E215">
        <v>2.0910839999999999</v>
      </c>
      <c r="F215">
        <v>1.8595539999999999</v>
      </c>
      <c r="G215">
        <v>2.285263</v>
      </c>
      <c r="H215">
        <v>2.5070420000000002</v>
      </c>
      <c r="I215">
        <v>2.5586660000000001</v>
      </c>
      <c r="J215">
        <v>2.5544850000000001</v>
      </c>
      <c r="K215">
        <v>2.6130789999999999</v>
      </c>
      <c r="L215">
        <v>2.7910149999999998</v>
      </c>
      <c r="M215">
        <v>2.9294009999999999</v>
      </c>
      <c r="N215">
        <v>2.9998010000000002</v>
      </c>
      <c r="O215">
        <v>3.065744</v>
      </c>
      <c r="P215">
        <v>3.1278269999999999</v>
      </c>
      <c r="Q215">
        <v>3.1812520000000002</v>
      </c>
      <c r="R215">
        <v>3.2315369999999999</v>
      </c>
      <c r="S215">
        <v>3.279137</v>
      </c>
      <c r="T215">
        <v>3.3236379999999999</v>
      </c>
      <c r="U215">
        <v>3.3742570000000001</v>
      </c>
      <c r="V215">
        <v>3.4232179999999999</v>
      </c>
      <c r="W215">
        <v>3.4642789999999999</v>
      </c>
      <c r="X215">
        <v>3.506348</v>
      </c>
      <c r="Y215">
        <v>3.5509770000000001</v>
      </c>
      <c r="Z215">
        <v>3.6034009999999999</v>
      </c>
      <c r="AA215">
        <v>3.6495289999999998</v>
      </c>
      <c r="AB215">
        <v>3.694267</v>
      </c>
      <c r="AC215">
        <v>3.7348710000000001</v>
      </c>
      <c r="AD215">
        <v>3.7663880000000001</v>
      </c>
      <c r="AE215" s="9">
        <v>2.4E-2</v>
      </c>
    </row>
    <row r="216" spans="1:31">
      <c r="A216" t="s">
        <v>211</v>
      </c>
      <c r="B216" t="s">
        <v>2413</v>
      </c>
      <c r="C216" t="s">
        <v>2412</v>
      </c>
      <c r="D216" t="s">
        <v>192</v>
      </c>
      <c r="E216">
        <v>9.3689119999999999</v>
      </c>
      <c r="F216">
        <v>8.8553010000000008</v>
      </c>
      <c r="G216">
        <v>9.8848109999999991</v>
      </c>
      <c r="H216">
        <v>10.451202</v>
      </c>
      <c r="I216">
        <v>10.606171</v>
      </c>
      <c r="J216">
        <v>10.603194999999999</v>
      </c>
      <c r="K216">
        <v>10.768599999999999</v>
      </c>
      <c r="L216">
        <v>10.943771</v>
      </c>
      <c r="M216">
        <v>11.118926999999999</v>
      </c>
      <c r="N216">
        <v>11.286301</v>
      </c>
      <c r="O216">
        <v>11.444321</v>
      </c>
      <c r="P216">
        <v>11.592696999999999</v>
      </c>
      <c r="Q216">
        <v>11.731659000000001</v>
      </c>
      <c r="R216">
        <v>11.858245999999999</v>
      </c>
      <c r="S216">
        <v>11.970032</v>
      </c>
      <c r="T216">
        <v>12.054916</v>
      </c>
      <c r="U216">
        <v>12.129623</v>
      </c>
      <c r="V216">
        <v>12.188065</v>
      </c>
      <c r="W216">
        <v>12.231232</v>
      </c>
      <c r="X216">
        <v>12.259964</v>
      </c>
      <c r="Y216">
        <v>12.274628</v>
      </c>
      <c r="Z216">
        <v>12.278518999999999</v>
      </c>
      <c r="AA216">
        <v>12.272278</v>
      </c>
      <c r="AB216">
        <v>12.258452999999999</v>
      </c>
      <c r="AC216">
        <v>12.238586</v>
      </c>
      <c r="AD216">
        <v>12.215271</v>
      </c>
      <c r="AE216" s="9">
        <v>1.0999999999999999E-2</v>
      </c>
    </row>
    <row r="217" spans="1:31">
      <c r="A217" t="s">
        <v>683</v>
      </c>
      <c r="B217" t="s">
        <v>2411</v>
      </c>
      <c r="C217" t="s">
        <v>2410</v>
      </c>
      <c r="D217" t="s">
        <v>192</v>
      </c>
      <c r="E217">
        <v>59.041176</v>
      </c>
      <c r="F217">
        <v>61.291893000000002</v>
      </c>
      <c r="G217">
        <v>62.006638000000002</v>
      </c>
      <c r="H217">
        <v>64.564910999999995</v>
      </c>
      <c r="I217">
        <v>66.336487000000005</v>
      </c>
      <c r="J217">
        <v>66.906204000000002</v>
      </c>
      <c r="K217">
        <v>68.997093000000007</v>
      </c>
      <c r="L217">
        <v>70.670890999999997</v>
      </c>
      <c r="M217">
        <v>72.417816000000002</v>
      </c>
      <c r="N217">
        <v>74.218688999999998</v>
      </c>
      <c r="O217">
        <v>76.012505000000004</v>
      </c>
      <c r="P217">
        <v>77.808745999999999</v>
      </c>
      <c r="Q217">
        <v>79.737060999999997</v>
      </c>
      <c r="R217">
        <v>81.693222000000006</v>
      </c>
      <c r="S217">
        <v>83.649246000000005</v>
      </c>
      <c r="T217">
        <v>85.562408000000005</v>
      </c>
      <c r="U217">
        <v>87.411461000000003</v>
      </c>
      <c r="V217">
        <v>89.244727999999995</v>
      </c>
      <c r="W217">
        <v>91.063507000000001</v>
      </c>
      <c r="X217">
        <v>92.881180000000001</v>
      </c>
      <c r="Y217">
        <v>94.687447000000006</v>
      </c>
      <c r="Z217">
        <v>96.481757999999999</v>
      </c>
      <c r="AA217">
        <v>98.247826000000003</v>
      </c>
      <c r="AB217">
        <v>100.03804</v>
      </c>
      <c r="AC217">
        <v>101.84050000000001</v>
      </c>
      <c r="AD217">
        <v>103.726074</v>
      </c>
      <c r="AE217" s="9">
        <v>2.3E-2</v>
      </c>
    </row>
    <row r="218" spans="1:31">
      <c r="A218" t="s">
        <v>209</v>
      </c>
      <c r="B218" t="s">
        <v>2409</v>
      </c>
      <c r="C218" t="s">
        <v>2408</v>
      </c>
      <c r="D218" t="s">
        <v>192</v>
      </c>
      <c r="E218">
        <v>39.256897000000002</v>
      </c>
      <c r="F218">
        <v>40.729919000000002</v>
      </c>
      <c r="G218">
        <v>41.237183000000002</v>
      </c>
      <c r="H218">
        <v>42.667786</v>
      </c>
      <c r="I218">
        <v>44.040222</v>
      </c>
      <c r="J218">
        <v>44.354430999999998</v>
      </c>
      <c r="K218">
        <v>45.517822000000002</v>
      </c>
      <c r="L218">
        <v>46.785522</v>
      </c>
      <c r="M218">
        <v>48.106506000000003</v>
      </c>
      <c r="N218">
        <v>49.463745000000003</v>
      </c>
      <c r="O218">
        <v>50.820312000000001</v>
      </c>
      <c r="P218">
        <v>52.185547</v>
      </c>
      <c r="Q218">
        <v>53.618164</v>
      </c>
      <c r="R218">
        <v>55.059631000000003</v>
      </c>
      <c r="S218">
        <v>56.500427000000002</v>
      </c>
      <c r="T218">
        <v>57.897399999999998</v>
      </c>
      <c r="U218">
        <v>59.264159999999997</v>
      </c>
      <c r="V218">
        <v>60.618042000000003</v>
      </c>
      <c r="W218">
        <v>61.969849000000004</v>
      </c>
      <c r="X218">
        <v>63.310425000000002</v>
      </c>
      <c r="Y218">
        <v>64.652953999999994</v>
      </c>
      <c r="Z218">
        <v>65.994263000000004</v>
      </c>
      <c r="AA218">
        <v>67.330933000000002</v>
      </c>
      <c r="AB218">
        <v>68.670653999999999</v>
      </c>
      <c r="AC218">
        <v>70.023193000000006</v>
      </c>
      <c r="AD218">
        <v>71.410888999999997</v>
      </c>
      <c r="AE218" s="9">
        <v>2.4E-2</v>
      </c>
    </row>
    <row r="219" spans="1:31">
      <c r="A219" t="s">
        <v>210</v>
      </c>
      <c r="B219" t="s">
        <v>2407</v>
      </c>
      <c r="C219" t="s">
        <v>2406</v>
      </c>
      <c r="D219" t="s">
        <v>192</v>
      </c>
      <c r="E219">
        <v>5.4057690000000003</v>
      </c>
      <c r="F219">
        <v>5.6687849999999997</v>
      </c>
      <c r="G219">
        <v>5.8528440000000002</v>
      </c>
      <c r="H219">
        <v>7.0152850000000004</v>
      </c>
      <c r="I219">
        <v>7.2993129999999997</v>
      </c>
      <c r="J219">
        <v>7.415057</v>
      </c>
      <c r="K219">
        <v>7.6679620000000002</v>
      </c>
      <c r="L219">
        <v>7.9203700000000001</v>
      </c>
      <c r="M219">
        <v>8.1997789999999995</v>
      </c>
      <c r="N219">
        <v>8.4980510000000002</v>
      </c>
      <c r="O219">
        <v>8.7946089999999995</v>
      </c>
      <c r="P219">
        <v>9.077731</v>
      </c>
      <c r="Q219">
        <v>9.3765859999999996</v>
      </c>
      <c r="R219">
        <v>9.6820509999999995</v>
      </c>
      <c r="S219">
        <v>9.9748970000000003</v>
      </c>
      <c r="T219">
        <v>10.262969999999999</v>
      </c>
      <c r="U219">
        <v>10.506767</v>
      </c>
      <c r="V219">
        <v>10.732673999999999</v>
      </c>
      <c r="W219">
        <v>10.926698999999999</v>
      </c>
      <c r="X219">
        <v>11.117782999999999</v>
      </c>
      <c r="Y219">
        <v>11.280889</v>
      </c>
      <c r="Z219">
        <v>11.418920999999999</v>
      </c>
      <c r="AA219">
        <v>11.524805000000001</v>
      </c>
      <c r="AB219">
        <v>11.639296999999999</v>
      </c>
      <c r="AC219">
        <v>11.736587999999999</v>
      </c>
      <c r="AD219">
        <v>11.862488000000001</v>
      </c>
      <c r="AE219" s="9">
        <v>3.2000000000000001E-2</v>
      </c>
    </row>
    <row r="220" spans="1:31">
      <c r="A220" t="s">
        <v>211</v>
      </c>
      <c r="B220" t="s">
        <v>2405</v>
      </c>
      <c r="C220" t="s">
        <v>2404</v>
      </c>
      <c r="D220" t="s">
        <v>192</v>
      </c>
      <c r="E220">
        <v>14.37851</v>
      </c>
      <c r="F220">
        <v>14.893188</v>
      </c>
      <c r="G220">
        <v>14.916611</v>
      </c>
      <c r="H220">
        <v>14.881836</v>
      </c>
      <c r="I220">
        <v>14.996948</v>
      </c>
      <c r="J220">
        <v>15.136718999999999</v>
      </c>
      <c r="K220">
        <v>15.811310000000001</v>
      </c>
      <c r="L220">
        <v>15.964995999999999</v>
      </c>
      <c r="M220">
        <v>16.111526000000001</v>
      </c>
      <c r="N220">
        <v>16.256896999999999</v>
      </c>
      <c r="O220">
        <v>16.397583000000001</v>
      </c>
      <c r="P220">
        <v>16.545470999999999</v>
      </c>
      <c r="Q220">
        <v>16.74231</v>
      </c>
      <c r="R220">
        <v>16.951537999999999</v>
      </c>
      <c r="S220">
        <v>17.173919999999999</v>
      </c>
      <c r="T220">
        <v>17.402038999999998</v>
      </c>
      <c r="U220">
        <v>17.640533000000001</v>
      </c>
      <c r="V220">
        <v>17.894012</v>
      </c>
      <c r="W220">
        <v>18.166962000000002</v>
      </c>
      <c r="X220">
        <v>18.452971999999999</v>
      </c>
      <c r="Y220">
        <v>18.753601</v>
      </c>
      <c r="Z220">
        <v>19.068573000000001</v>
      </c>
      <c r="AA220">
        <v>19.39209</v>
      </c>
      <c r="AB220">
        <v>19.728088</v>
      </c>
      <c r="AC220">
        <v>20.080718999999998</v>
      </c>
      <c r="AD220">
        <v>20.452698000000002</v>
      </c>
      <c r="AE220" s="9">
        <v>1.4E-2</v>
      </c>
    </row>
    <row r="221" spans="1:31">
      <c r="A221" t="s">
        <v>345</v>
      </c>
      <c r="B221" t="s">
        <v>2403</v>
      </c>
      <c r="C221" t="s">
        <v>2402</v>
      </c>
      <c r="D221" t="s">
        <v>192</v>
      </c>
      <c r="E221">
        <v>1101.6430660000001</v>
      </c>
      <c r="F221">
        <v>1275.4255370000001</v>
      </c>
      <c r="G221">
        <v>1233.659058</v>
      </c>
      <c r="H221">
        <v>1223.149658</v>
      </c>
      <c r="I221">
        <v>1274.3752440000001</v>
      </c>
      <c r="J221">
        <v>1322.5661620000001</v>
      </c>
      <c r="K221">
        <v>1362.0469969999999</v>
      </c>
      <c r="L221">
        <v>1425.3946530000001</v>
      </c>
      <c r="M221">
        <v>1476.6960449999999</v>
      </c>
      <c r="N221">
        <v>1529.4880370000001</v>
      </c>
      <c r="O221">
        <v>1581.9858400000001</v>
      </c>
      <c r="P221">
        <v>1588.7646480000001</v>
      </c>
      <c r="Q221">
        <v>1627.9628909999999</v>
      </c>
      <c r="R221">
        <v>1667.1491699999999</v>
      </c>
      <c r="S221">
        <v>1703.048096</v>
      </c>
      <c r="T221">
        <v>1751.837158</v>
      </c>
      <c r="U221">
        <v>1786.241211</v>
      </c>
      <c r="V221">
        <v>1829.9945070000001</v>
      </c>
      <c r="W221">
        <v>1873.6976320000001</v>
      </c>
      <c r="X221">
        <v>1909.962524</v>
      </c>
      <c r="Y221">
        <v>1946.9072269999999</v>
      </c>
      <c r="Z221">
        <v>1979.255981</v>
      </c>
      <c r="AA221">
        <v>2007.347168</v>
      </c>
      <c r="AB221">
        <v>2045.6992190000001</v>
      </c>
      <c r="AC221">
        <v>2079.8488769999999</v>
      </c>
      <c r="AD221">
        <v>2122.3491210000002</v>
      </c>
      <c r="AE221" s="9">
        <v>2.7E-2</v>
      </c>
    </row>
    <row r="222" spans="1:31">
      <c r="A222" t="s">
        <v>346</v>
      </c>
      <c r="B222" t="s">
        <v>2401</v>
      </c>
      <c r="C222" t="s">
        <v>2400</v>
      </c>
      <c r="D222" t="s">
        <v>192</v>
      </c>
      <c r="E222">
        <v>313.49221799999998</v>
      </c>
      <c r="F222">
        <v>399.42709400000001</v>
      </c>
      <c r="G222">
        <v>394.10137900000001</v>
      </c>
      <c r="H222">
        <v>388.896545</v>
      </c>
      <c r="I222">
        <v>396.26531999999997</v>
      </c>
      <c r="J222">
        <v>403.70977800000003</v>
      </c>
      <c r="K222">
        <v>411.78549199999998</v>
      </c>
      <c r="L222">
        <v>426.001465</v>
      </c>
      <c r="M222">
        <v>438.53427099999999</v>
      </c>
      <c r="N222">
        <v>452.08435100000003</v>
      </c>
      <c r="O222">
        <v>467.084045</v>
      </c>
      <c r="P222">
        <v>473.55273399999999</v>
      </c>
      <c r="Q222">
        <v>487.73272700000001</v>
      </c>
      <c r="R222">
        <v>503.22558600000002</v>
      </c>
      <c r="S222">
        <v>518.41033900000002</v>
      </c>
      <c r="T222">
        <v>536.27087400000005</v>
      </c>
      <c r="U222">
        <v>552.56854199999998</v>
      </c>
      <c r="V222">
        <v>570.94030799999996</v>
      </c>
      <c r="W222">
        <v>589.01245100000006</v>
      </c>
      <c r="X222">
        <v>604.81195100000002</v>
      </c>
      <c r="Y222">
        <v>620.08941700000003</v>
      </c>
      <c r="Z222">
        <v>634.05859399999997</v>
      </c>
      <c r="AA222">
        <v>646.90124500000002</v>
      </c>
      <c r="AB222">
        <v>662.11151099999995</v>
      </c>
      <c r="AC222">
        <v>676.44555700000001</v>
      </c>
      <c r="AD222">
        <v>692.47820999999999</v>
      </c>
      <c r="AE222" s="9">
        <v>3.2000000000000001E-2</v>
      </c>
    </row>
    <row r="223" spans="1:31">
      <c r="A223" t="s">
        <v>347</v>
      </c>
      <c r="B223" t="s">
        <v>2399</v>
      </c>
      <c r="C223" t="s">
        <v>2398</v>
      </c>
      <c r="D223" t="s">
        <v>192</v>
      </c>
      <c r="E223">
        <v>378.74813799999998</v>
      </c>
      <c r="F223">
        <v>419.188354</v>
      </c>
      <c r="G223">
        <v>399.49603300000001</v>
      </c>
      <c r="H223">
        <v>388.08828699999998</v>
      </c>
      <c r="I223">
        <v>403.98312399999998</v>
      </c>
      <c r="J223">
        <v>417.03875699999998</v>
      </c>
      <c r="K223">
        <v>425.637787</v>
      </c>
      <c r="L223">
        <v>443.90145899999999</v>
      </c>
      <c r="M223">
        <v>457.51678500000003</v>
      </c>
      <c r="N223">
        <v>471.989868</v>
      </c>
      <c r="O223">
        <v>486.81219499999997</v>
      </c>
      <c r="P223">
        <v>482.87146000000001</v>
      </c>
      <c r="Q223">
        <v>492.04153400000001</v>
      </c>
      <c r="R223">
        <v>501.10263099999997</v>
      </c>
      <c r="S223">
        <v>509.00878899999998</v>
      </c>
      <c r="T223">
        <v>519.865723</v>
      </c>
      <c r="U223">
        <v>527.51745600000004</v>
      </c>
      <c r="V223">
        <v>540.57653800000003</v>
      </c>
      <c r="W223">
        <v>554.13098100000002</v>
      </c>
      <c r="X223">
        <v>565.05102499999998</v>
      </c>
      <c r="Y223">
        <v>576.64434800000004</v>
      </c>
      <c r="Z223">
        <v>586.01245100000006</v>
      </c>
      <c r="AA223">
        <v>593.65789800000005</v>
      </c>
      <c r="AB223">
        <v>605.70855700000004</v>
      </c>
      <c r="AC223">
        <v>615.80432099999996</v>
      </c>
      <c r="AD223">
        <v>629.51062000000002</v>
      </c>
      <c r="AE223" s="9">
        <v>2.1000000000000001E-2</v>
      </c>
    </row>
    <row r="224" spans="1:31">
      <c r="A224" t="s">
        <v>111</v>
      </c>
      <c r="B224" t="s">
        <v>2397</v>
      </c>
      <c r="C224" t="s">
        <v>2396</v>
      </c>
      <c r="D224" t="s">
        <v>192</v>
      </c>
      <c r="E224">
        <v>1793.883423</v>
      </c>
      <c r="F224">
        <v>2094.0410160000001</v>
      </c>
      <c r="G224">
        <v>2027.2567140000001</v>
      </c>
      <c r="H224">
        <v>2000.134033</v>
      </c>
      <c r="I224">
        <v>2074.6240229999999</v>
      </c>
      <c r="J224">
        <v>2143.3146969999998</v>
      </c>
      <c r="K224">
        <v>2199.4702149999998</v>
      </c>
      <c r="L224">
        <v>2295.297607</v>
      </c>
      <c r="M224">
        <v>2372.7468260000001</v>
      </c>
      <c r="N224">
        <v>2453.5622560000002</v>
      </c>
      <c r="O224">
        <v>2535.8823240000002</v>
      </c>
      <c r="P224">
        <v>2545.1889649999998</v>
      </c>
      <c r="Q224">
        <v>2607.7368160000001</v>
      </c>
      <c r="R224">
        <v>2671.477539</v>
      </c>
      <c r="S224">
        <v>2730.4665530000002</v>
      </c>
      <c r="T224">
        <v>2807.9738769999999</v>
      </c>
      <c r="U224">
        <v>2866.327393</v>
      </c>
      <c r="V224">
        <v>2941.5114749999998</v>
      </c>
      <c r="W224">
        <v>3016.8408199999999</v>
      </c>
      <c r="X224">
        <v>3079.8256839999999</v>
      </c>
      <c r="Y224">
        <v>3143.6416020000001</v>
      </c>
      <c r="Z224">
        <v>3199.326904</v>
      </c>
      <c r="AA224">
        <v>3247.9060060000002</v>
      </c>
      <c r="AB224">
        <v>3313.5197750000002</v>
      </c>
      <c r="AC224">
        <v>3372.0991210000002</v>
      </c>
      <c r="AD224">
        <v>3444.338135</v>
      </c>
      <c r="AE224" s="9">
        <v>2.5999999999999999E-2</v>
      </c>
    </row>
    <row r="225" spans="1:31">
      <c r="A225" t="s">
        <v>212</v>
      </c>
    </row>
    <row r="226" spans="1:31">
      <c r="A226" t="s">
        <v>213</v>
      </c>
    </row>
    <row r="227" spans="1:31">
      <c r="A227" t="s">
        <v>209</v>
      </c>
      <c r="B227" t="s">
        <v>2395</v>
      </c>
      <c r="C227" t="s">
        <v>2394</v>
      </c>
      <c r="D227" t="s">
        <v>223</v>
      </c>
      <c r="E227">
        <v>87.472877999999994</v>
      </c>
      <c r="F227">
        <v>88.145988000000003</v>
      </c>
      <c r="G227">
        <v>88.853538999999998</v>
      </c>
      <c r="H227">
        <v>89.587799000000004</v>
      </c>
      <c r="I227">
        <v>90.336883999999998</v>
      </c>
      <c r="J227">
        <v>91.093024999999997</v>
      </c>
      <c r="K227">
        <v>91.855155999999994</v>
      </c>
      <c r="L227">
        <v>92.623016000000007</v>
      </c>
      <c r="M227">
        <v>93.396347000000006</v>
      </c>
      <c r="N227">
        <v>94.175040999999993</v>
      </c>
      <c r="O227">
        <v>94.959068000000002</v>
      </c>
      <c r="P227">
        <v>95.749374000000003</v>
      </c>
      <c r="Q227">
        <v>96.545592999999997</v>
      </c>
      <c r="R227">
        <v>97.347342999999995</v>
      </c>
      <c r="S227">
        <v>98.154678000000004</v>
      </c>
      <c r="T227">
        <v>98.967110000000005</v>
      </c>
      <c r="U227">
        <v>99.784294000000003</v>
      </c>
      <c r="V227">
        <v>100.606049</v>
      </c>
      <c r="W227">
        <v>101.432732</v>
      </c>
      <c r="X227">
        <v>102.264687</v>
      </c>
      <c r="Y227">
        <v>103.10202</v>
      </c>
      <c r="Z227">
        <v>103.944878</v>
      </c>
      <c r="AA227">
        <v>104.79335</v>
      </c>
      <c r="AB227">
        <v>105.647232</v>
      </c>
      <c r="AC227">
        <v>106.50655399999999</v>
      </c>
      <c r="AD227">
        <v>107.37069700000001</v>
      </c>
      <c r="AE227" s="9">
        <v>8.0000000000000002E-3</v>
      </c>
    </row>
    <row r="228" spans="1:31">
      <c r="A228" t="s">
        <v>210</v>
      </c>
      <c r="B228" t="s">
        <v>2393</v>
      </c>
      <c r="C228" t="s">
        <v>2392</v>
      </c>
      <c r="D228" t="s">
        <v>223</v>
      </c>
      <c r="E228">
        <v>110.10984000000001</v>
      </c>
      <c r="F228">
        <v>110.917297</v>
      </c>
      <c r="G228">
        <v>111.76359600000001</v>
      </c>
      <c r="H228">
        <v>112.63913700000001</v>
      </c>
      <c r="I228">
        <v>113.53012099999999</v>
      </c>
      <c r="J228">
        <v>114.427025</v>
      </c>
      <c r="K228">
        <v>115.33253499999999</v>
      </c>
      <c r="L228">
        <v>116.242676</v>
      </c>
      <c r="M228">
        <v>117.159142</v>
      </c>
      <c r="N228">
        <v>118.08182499999999</v>
      </c>
      <c r="O228">
        <v>119.010559</v>
      </c>
      <c r="P228">
        <v>119.950974</v>
      </c>
      <c r="Q228">
        <v>120.898758</v>
      </c>
      <c r="R228">
        <v>121.853821</v>
      </c>
      <c r="S228">
        <v>122.81654399999999</v>
      </c>
      <c r="T228">
        <v>123.78610999999999</v>
      </c>
      <c r="U228">
        <v>124.76365699999999</v>
      </c>
      <c r="V228">
        <v>125.747742</v>
      </c>
      <c r="W228">
        <v>126.738327</v>
      </c>
      <c r="X228">
        <v>127.736053</v>
      </c>
      <c r="Y228">
        <v>128.740692</v>
      </c>
      <c r="Z228">
        <v>129.75306699999999</v>
      </c>
      <c r="AA228">
        <v>130.773743</v>
      </c>
      <c r="AB228">
        <v>131.801468</v>
      </c>
      <c r="AC228">
        <v>132.83677700000001</v>
      </c>
      <c r="AD228">
        <v>133.87882999999999</v>
      </c>
      <c r="AE228" s="9">
        <v>8.0000000000000002E-3</v>
      </c>
    </row>
    <row r="229" spans="1:31">
      <c r="A229" t="s">
        <v>211</v>
      </c>
      <c r="B229" t="s">
        <v>2391</v>
      </c>
      <c r="C229" t="s">
        <v>2390</v>
      </c>
      <c r="D229" t="s">
        <v>223</v>
      </c>
      <c r="E229">
        <v>57.293159000000003</v>
      </c>
      <c r="F229">
        <v>57.791687000000003</v>
      </c>
      <c r="G229">
        <v>58.325786999999998</v>
      </c>
      <c r="H229">
        <v>58.895775</v>
      </c>
      <c r="I229">
        <v>59.463081000000003</v>
      </c>
      <c r="J229">
        <v>60.026062000000003</v>
      </c>
      <c r="K229">
        <v>60.594906000000002</v>
      </c>
      <c r="L229">
        <v>61.158839999999998</v>
      </c>
      <c r="M229">
        <v>61.722588000000002</v>
      </c>
      <c r="N229">
        <v>62.28537</v>
      </c>
      <c r="O229">
        <v>62.847031000000001</v>
      </c>
      <c r="P229">
        <v>63.426147</v>
      </c>
      <c r="Q229">
        <v>64.008910999999998</v>
      </c>
      <c r="R229">
        <v>64.595909000000006</v>
      </c>
      <c r="S229">
        <v>65.188468999999998</v>
      </c>
      <c r="T229">
        <v>65.783057999999997</v>
      </c>
      <c r="U229">
        <v>66.383101999999994</v>
      </c>
      <c r="V229">
        <v>66.983810000000005</v>
      </c>
      <c r="W229">
        <v>67.584991000000002</v>
      </c>
      <c r="X229">
        <v>68.189589999999995</v>
      </c>
      <c r="Y229">
        <v>68.797332999999995</v>
      </c>
      <c r="Z229">
        <v>69.410217000000003</v>
      </c>
      <c r="AA229">
        <v>70.029860999999997</v>
      </c>
      <c r="AB229">
        <v>70.652114999999995</v>
      </c>
      <c r="AC229">
        <v>71.278992000000002</v>
      </c>
      <c r="AD229">
        <v>71.907318000000004</v>
      </c>
      <c r="AE229" s="9">
        <v>8.9999999999999993E-3</v>
      </c>
    </row>
    <row r="230" spans="1:31">
      <c r="A230" t="s">
        <v>214</v>
      </c>
      <c r="B230" t="s">
        <v>2389</v>
      </c>
      <c r="C230" t="s">
        <v>2388</v>
      </c>
      <c r="D230" t="s">
        <v>223</v>
      </c>
      <c r="E230">
        <v>93.577110000000005</v>
      </c>
      <c r="F230">
        <v>94.278282000000004</v>
      </c>
      <c r="G230">
        <v>95.028228999999996</v>
      </c>
      <c r="H230">
        <v>95.813018999999997</v>
      </c>
      <c r="I230">
        <v>96.606239000000002</v>
      </c>
      <c r="J230">
        <v>97.401413000000005</v>
      </c>
      <c r="K230">
        <v>98.203643999999997</v>
      </c>
      <c r="L230">
        <v>99.006827999999999</v>
      </c>
      <c r="M230">
        <v>99.814139999999995</v>
      </c>
      <c r="N230">
        <v>100.625168</v>
      </c>
      <c r="O230">
        <v>101.439995</v>
      </c>
      <c r="P230">
        <v>102.26982099999999</v>
      </c>
      <c r="Q230">
        <v>103.106407</v>
      </c>
      <c r="R230">
        <v>103.94989</v>
      </c>
      <c r="S230">
        <v>104.800827</v>
      </c>
      <c r="T230">
        <v>105.657898</v>
      </c>
      <c r="U230">
        <v>106.522499</v>
      </c>
      <c r="V230">
        <v>107.391975</v>
      </c>
      <c r="W230">
        <v>108.26641100000001</v>
      </c>
      <c r="X230">
        <v>109.147232</v>
      </c>
      <c r="Y230">
        <v>110.03420300000001</v>
      </c>
      <c r="Z230">
        <v>110.928596</v>
      </c>
      <c r="AA230">
        <v>111.83142100000001</v>
      </c>
      <c r="AB230">
        <v>112.74099699999999</v>
      </c>
      <c r="AC230">
        <v>113.65851600000001</v>
      </c>
      <c r="AD230">
        <v>114.58215300000001</v>
      </c>
      <c r="AE230" s="9">
        <v>8.0000000000000002E-3</v>
      </c>
    </row>
    <row r="231" spans="1:31">
      <c r="A231" t="s">
        <v>215</v>
      </c>
    </row>
    <row r="232" spans="1:31">
      <c r="A232" t="s">
        <v>209</v>
      </c>
      <c r="B232" t="s">
        <v>2387</v>
      </c>
      <c r="C232" t="s">
        <v>2386</v>
      </c>
      <c r="D232" t="s">
        <v>223</v>
      </c>
      <c r="E232">
        <v>79.766341999999995</v>
      </c>
      <c r="F232">
        <v>80.445183</v>
      </c>
      <c r="G232">
        <v>81.12088</v>
      </c>
      <c r="H232">
        <v>81.809737999999996</v>
      </c>
      <c r="I232">
        <v>82.484488999999996</v>
      </c>
      <c r="J232">
        <v>83.182227999999995</v>
      </c>
      <c r="K232">
        <v>83.884026000000006</v>
      </c>
      <c r="L232">
        <v>84.615105</v>
      </c>
      <c r="M232">
        <v>85.353988999999999</v>
      </c>
      <c r="N232">
        <v>86.107726999999997</v>
      </c>
      <c r="O232">
        <v>86.878021000000004</v>
      </c>
      <c r="P232">
        <v>87.641739000000001</v>
      </c>
      <c r="Q232">
        <v>88.409499999999994</v>
      </c>
      <c r="R232">
        <v>89.181708999999998</v>
      </c>
      <c r="S232">
        <v>89.941376000000005</v>
      </c>
      <c r="T232">
        <v>90.718010000000007</v>
      </c>
      <c r="U232">
        <v>91.495536999999999</v>
      </c>
      <c r="V232">
        <v>92.277534000000003</v>
      </c>
      <c r="W232">
        <v>93.060958999999997</v>
      </c>
      <c r="X232">
        <v>93.846260000000001</v>
      </c>
      <c r="Y232">
        <v>94.632689999999997</v>
      </c>
      <c r="Z232">
        <v>95.414978000000005</v>
      </c>
      <c r="AA232">
        <v>96.193709999999996</v>
      </c>
      <c r="AB232">
        <v>96.970078000000001</v>
      </c>
      <c r="AC232">
        <v>97.740402000000003</v>
      </c>
      <c r="AD232">
        <v>98.514015000000001</v>
      </c>
      <c r="AE232" s="9">
        <v>8.0000000000000002E-3</v>
      </c>
    </row>
    <row r="233" spans="1:31">
      <c r="A233" t="s">
        <v>210</v>
      </c>
      <c r="B233" t="s">
        <v>2385</v>
      </c>
      <c r="C233" t="s">
        <v>2384</v>
      </c>
      <c r="D233" t="s">
        <v>223</v>
      </c>
      <c r="E233">
        <v>101.037285</v>
      </c>
      <c r="F233">
        <v>101.804512</v>
      </c>
      <c r="G233">
        <v>102.553864</v>
      </c>
      <c r="H233">
        <v>103.303391</v>
      </c>
      <c r="I233">
        <v>104.021355</v>
      </c>
      <c r="J233">
        <v>104.73519899999999</v>
      </c>
      <c r="K233">
        <v>105.49131800000001</v>
      </c>
      <c r="L233">
        <v>106.354691</v>
      </c>
      <c r="M233">
        <v>107.23756400000001</v>
      </c>
      <c r="N233">
        <v>108.087112</v>
      </c>
      <c r="O233">
        <v>108.913467</v>
      </c>
      <c r="P233">
        <v>109.736351</v>
      </c>
      <c r="Q233">
        <v>110.534561</v>
      </c>
      <c r="R233">
        <v>111.37869999999999</v>
      </c>
      <c r="S233">
        <v>112.211082</v>
      </c>
      <c r="T233">
        <v>113.062775</v>
      </c>
      <c r="U233">
        <v>113.942528</v>
      </c>
      <c r="V233">
        <v>114.900543</v>
      </c>
      <c r="W233">
        <v>115.850662</v>
      </c>
      <c r="X233">
        <v>116.795952</v>
      </c>
      <c r="Y233">
        <v>117.751907</v>
      </c>
      <c r="Z233">
        <v>118.722725</v>
      </c>
      <c r="AA233">
        <v>119.70603199999999</v>
      </c>
      <c r="AB233">
        <v>120.710632</v>
      </c>
      <c r="AC233">
        <v>121.71086099999999</v>
      </c>
      <c r="AD233">
        <v>122.70275100000001</v>
      </c>
      <c r="AE233" s="9">
        <v>8.0000000000000002E-3</v>
      </c>
    </row>
    <row r="234" spans="1:31">
      <c r="A234" t="s">
        <v>211</v>
      </c>
      <c r="B234" t="s">
        <v>2383</v>
      </c>
      <c r="C234" t="s">
        <v>2382</v>
      </c>
      <c r="D234" t="s">
        <v>223</v>
      </c>
      <c r="E234">
        <v>54.522190000000002</v>
      </c>
      <c r="F234">
        <v>54.852317999999997</v>
      </c>
      <c r="G234">
        <v>55.209259000000003</v>
      </c>
      <c r="H234">
        <v>55.59375</v>
      </c>
      <c r="I234">
        <v>55.974842000000002</v>
      </c>
      <c r="J234">
        <v>56.362147999999998</v>
      </c>
      <c r="K234">
        <v>56.759869000000002</v>
      </c>
      <c r="L234">
        <v>57.197563000000002</v>
      </c>
      <c r="M234">
        <v>57.615245999999999</v>
      </c>
      <c r="N234">
        <v>58.035473000000003</v>
      </c>
      <c r="O234">
        <v>58.460445</v>
      </c>
      <c r="P234">
        <v>58.892077999999998</v>
      </c>
      <c r="Q234">
        <v>59.331862999999998</v>
      </c>
      <c r="R234">
        <v>59.778717</v>
      </c>
      <c r="S234">
        <v>60.226256999999997</v>
      </c>
      <c r="T234">
        <v>60.680145000000003</v>
      </c>
      <c r="U234">
        <v>61.144043000000003</v>
      </c>
      <c r="V234">
        <v>61.637557999999999</v>
      </c>
      <c r="W234">
        <v>62.120013999999998</v>
      </c>
      <c r="X234">
        <v>62.607311000000003</v>
      </c>
      <c r="Y234">
        <v>63.101039999999998</v>
      </c>
      <c r="Z234">
        <v>63.598675</v>
      </c>
      <c r="AA234">
        <v>64.098777999999996</v>
      </c>
      <c r="AB234">
        <v>64.603256000000002</v>
      </c>
      <c r="AC234">
        <v>65.113083000000003</v>
      </c>
      <c r="AD234">
        <v>65.629813999999996</v>
      </c>
      <c r="AE234" s="9">
        <v>7.0000000000000001E-3</v>
      </c>
    </row>
    <row r="235" spans="1:31">
      <c r="A235" t="s">
        <v>214</v>
      </c>
      <c r="B235" t="s">
        <v>2381</v>
      </c>
      <c r="C235" t="s">
        <v>2380</v>
      </c>
      <c r="D235" t="s">
        <v>223</v>
      </c>
      <c r="E235">
        <v>85.781158000000005</v>
      </c>
      <c r="F235">
        <v>86.455710999999994</v>
      </c>
      <c r="G235">
        <v>87.136612</v>
      </c>
      <c r="H235">
        <v>87.833656000000005</v>
      </c>
      <c r="I235">
        <v>88.507484000000005</v>
      </c>
      <c r="J235">
        <v>89.191338000000002</v>
      </c>
      <c r="K235">
        <v>89.891959999999997</v>
      </c>
      <c r="L235">
        <v>90.644942999999998</v>
      </c>
      <c r="M235">
        <v>91.405495000000002</v>
      </c>
      <c r="N235">
        <v>92.163764999999998</v>
      </c>
      <c r="O235">
        <v>92.924316000000005</v>
      </c>
      <c r="P235">
        <v>93.685585000000003</v>
      </c>
      <c r="Q235">
        <v>94.442947000000004</v>
      </c>
      <c r="R235">
        <v>95.21875</v>
      </c>
      <c r="S235">
        <v>95.984336999999996</v>
      </c>
      <c r="T235">
        <v>96.767493999999999</v>
      </c>
      <c r="U235">
        <v>97.562447000000006</v>
      </c>
      <c r="V235">
        <v>98.387816999999998</v>
      </c>
      <c r="W235">
        <v>99.210266000000004</v>
      </c>
      <c r="X235">
        <v>100.03344</v>
      </c>
      <c r="Y235">
        <v>100.86170199999999</v>
      </c>
      <c r="Z235">
        <v>101.69355</v>
      </c>
      <c r="AA235">
        <v>102.528999</v>
      </c>
      <c r="AB235">
        <v>103.371094</v>
      </c>
      <c r="AC235">
        <v>104.210419</v>
      </c>
      <c r="AD235">
        <v>105.05081199999999</v>
      </c>
      <c r="AE235" s="9">
        <v>8.0000000000000002E-3</v>
      </c>
    </row>
    <row r="236" spans="1:31">
      <c r="A236" t="s">
        <v>109</v>
      </c>
    </row>
    <row r="237" spans="1:31">
      <c r="A237" t="s">
        <v>216</v>
      </c>
    </row>
    <row r="238" spans="1:31">
      <c r="A238" t="s">
        <v>203</v>
      </c>
      <c r="B238" t="s">
        <v>2379</v>
      </c>
      <c r="C238" t="s">
        <v>2378</v>
      </c>
      <c r="D238" t="s">
        <v>193</v>
      </c>
      <c r="E238">
        <v>3230.0942380000001</v>
      </c>
      <c r="F238">
        <v>3275.9770509999998</v>
      </c>
      <c r="G238">
        <v>3302.5375979999999</v>
      </c>
      <c r="H238">
        <v>3303.7670899999998</v>
      </c>
      <c r="I238">
        <v>3318.7004390000002</v>
      </c>
      <c r="J238">
        <v>3344.5424800000001</v>
      </c>
      <c r="K238">
        <v>3367.7531739999999</v>
      </c>
      <c r="L238">
        <v>3400.3728030000002</v>
      </c>
      <c r="M238">
        <v>3435.5048830000001</v>
      </c>
      <c r="N238">
        <v>3477.905029</v>
      </c>
      <c r="O238">
        <v>3528.631836</v>
      </c>
      <c r="P238">
        <v>3564.3796390000002</v>
      </c>
      <c r="Q238">
        <v>3603.5073240000002</v>
      </c>
      <c r="R238">
        <v>3641.017578</v>
      </c>
      <c r="S238">
        <v>3677.1115719999998</v>
      </c>
      <c r="T238">
        <v>3713.6472170000002</v>
      </c>
      <c r="U238">
        <v>3745.6721189999998</v>
      </c>
      <c r="V238">
        <v>3780.732422</v>
      </c>
      <c r="W238">
        <v>3817.1396479999999</v>
      </c>
      <c r="X238">
        <v>3852.4794919999999</v>
      </c>
      <c r="Y238">
        <v>3887.6987300000001</v>
      </c>
      <c r="Z238">
        <v>3919.0810550000001</v>
      </c>
      <c r="AA238">
        <v>3945.5600589999999</v>
      </c>
      <c r="AB238">
        <v>3971.83374</v>
      </c>
      <c r="AC238">
        <v>3993.7739259999998</v>
      </c>
      <c r="AD238">
        <v>4017.4370119999999</v>
      </c>
      <c r="AE238" s="9">
        <v>8.9999999999999993E-3</v>
      </c>
    </row>
    <row r="239" spans="1:31">
      <c r="A239" t="s">
        <v>204</v>
      </c>
      <c r="B239" t="s">
        <v>2377</v>
      </c>
      <c r="C239" t="s">
        <v>2376</v>
      </c>
      <c r="D239" t="s">
        <v>193</v>
      </c>
      <c r="E239">
        <v>298.383331</v>
      </c>
      <c r="F239">
        <v>299.25680499999999</v>
      </c>
      <c r="G239">
        <v>301.07284499999997</v>
      </c>
      <c r="H239">
        <v>303.72796599999998</v>
      </c>
      <c r="I239">
        <v>307.24481200000002</v>
      </c>
      <c r="J239">
        <v>311.15447999999998</v>
      </c>
      <c r="K239">
        <v>315.12155200000001</v>
      </c>
      <c r="L239">
        <v>318.90533399999998</v>
      </c>
      <c r="M239">
        <v>322.65356400000002</v>
      </c>
      <c r="N239">
        <v>326.49749800000001</v>
      </c>
      <c r="O239">
        <v>330.34652699999998</v>
      </c>
      <c r="P239">
        <v>334.34631300000001</v>
      </c>
      <c r="Q239">
        <v>338.33605999999997</v>
      </c>
      <c r="R239">
        <v>342.43246499999998</v>
      </c>
      <c r="S239">
        <v>346.478882</v>
      </c>
      <c r="T239">
        <v>350.60287499999998</v>
      </c>
      <c r="U239">
        <v>354.73208599999998</v>
      </c>
      <c r="V239">
        <v>358.70590199999998</v>
      </c>
      <c r="W239">
        <v>362.76019300000002</v>
      </c>
      <c r="X239">
        <v>366.85006700000002</v>
      </c>
      <c r="Y239">
        <v>370.936035</v>
      </c>
      <c r="Z239">
        <v>375.15368699999999</v>
      </c>
      <c r="AA239">
        <v>379.33755500000001</v>
      </c>
      <c r="AB239">
        <v>383.54827899999998</v>
      </c>
      <c r="AC239">
        <v>387.79760700000003</v>
      </c>
      <c r="AD239">
        <v>392.04028299999999</v>
      </c>
      <c r="AE239" s="9">
        <v>1.0999999999999999E-2</v>
      </c>
    </row>
    <row r="240" spans="1:31">
      <c r="A240" t="s">
        <v>713</v>
      </c>
      <c r="B240" t="s">
        <v>2375</v>
      </c>
      <c r="C240" t="s">
        <v>2374</v>
      </c>
      <c r="D240" t="s">
        <v>193</v>
      </c>
      <c r="E240">
        <v>206.41748000000001</v>
      </c>
      <c r="F240">
        <v>213.41729699999999</v>
      </c>
      <c r="G240">
        <v>219.946899</v>
      </c>
      <c r="H240">
        <v>226.45344499999999</v>
      </c>
      <c r="I240">
        <v>232.954758</v>
      </c>
      <c r="J240">
        <v>239.37406899999999</v>
      </c>
      <c r="K240">
        <v>245.895172</v>
      </c>
      <c r="L240">
        <v>252.30718999999999</v>
      </c>
      <c r="M240">
        <v>258.902649</v>
      </c>
      <c r="N240">
        <v>265.51165800000001</v>
      </c>
      <c r="O240">
        <v>272.11602800000003</v>
      </c>
      <c r="P240">
        <v>278.82019000000003</v>
      </c>
      <c r="Q240">
        <v>285.53066999999999</v>
      </c>
      <c r="R240">
        <v>292.25152600000001</v>
      </c>
      <c r="S240">
        <v>299.05169699999999</v>
      </c>
      <c r="T240">
        <v>305.791718</v>
      </c>
      <c r="U240">
        <v>312.39099099999999</v>
      </c>
      <c r="V240">
        <v>318.949951</v>
      </c>
      <c r="W240">
        <v>325.82607999999999</v>
      </c>
      <c r="X240">
        <v>332.70413200000002</v>
      </c>
      <c r="Y240">
        <v>339.617188</v>
      </c>
      <c r="Z240">
        <v>346.618988</v>
      </c>
      <c r="AA240">
        <v>353.51892099999998</v>
      </c>
      <c r="AB240">
        <v>360.47796599999998</v>
      </c>
      <c r="AC240">
        <v>367.551941</v>
      </c>
      <c r="AD240">
        <v>374.69876099999999</v>
      </c>
      <c r="AE240" s="9">
        <v>2.4E-2</v>
      </c>
    </row>
    <row r="241" spans="1:32">
      <c r="A241" t="s">
        <v>710</v>
      </c>
      <c r="B241" t="s">
        <v>2373</v>
      </c>
      <c r="C241" t="s">
        <v>2372</v>
      </c>
      <c r="D241" t="s">
        <v>193</v>
      </c>
      <c r="E241">
        <v>3019.8972170000002</v>
      </c>
      <c r="F241">
        <v>3055.9121089999999</v>
      </c>
      <c r="G241">
        <v>3108.1433109999998</v>
      </c>
      <c r="H241">
        <v>3159.8876949999999</v>
      </c>
      <c r="I241">
        <v>3210.7277829999998</v>
      </c>
      <c r="J241">
        <v>3259.7058109999998</v>
      </c>
      <c r="K241">
        <v>3305.8410640000002</v>
      </c>
      <c r="L241">
        <v>3348.5415039999998</v>
      </c>
      <c r="M241">
        <v>3392.3833009999998</v>
      </c>
      <c r="N241">
        <v>3434.9870609999998</v>
      </c>
      <c r="O241">
        <v>3478.3110350000002</v>
      </c>
      <c r="P241">
        <v>3521.6745609999998</v>
      </c>
      <c r="Q241">
        <v>3564.8100589999999</v>
      </c>
      <c r="R241">
        <v>3606.2294919999999</v>
      </c>
      <c r="S241">
        <v>3649.0820309999999</v>
      </c>
      <c r="T241">
        <v>3690.3911130000001</v>
      </c>
      <c r="U241">
        <v>3731.656982</v>
      </c>
      <c r="V241">
        <v>3770.8884280000002</v>
      </c>
      <c r="W241">
        <v>3812.3388669999999</v>
      </c>
      <c r="X241">
        <v>3853.4389649999998</v>
      </c>
      <c r="Y241">
        <v>3894.1079100000002</v>
      </c>
      <c r="Z241">
        <v>3934.6215820000002</v>
      </c>
      <c r="AA241">
        <v>3974.743164</v>
      </c>
      <c r="AB241">
        <v>4014.505615</v>
      </c>
      <c r="AC241">
        <v>4054.7995609999998</v>
      </c>
      <c r="AD241">
        <v>4095.226318</v>
      </c>
      <c r="AE241" s="9">
        <v>1.2E-2</v>
      </c>
    </row>
    <row r="242" spans="1:32">
      <c r="A242" t="s">
        <v>336</v>
      </c>
      <c r="B242" t="s">
        <v>2371</v>
      </c>
      <c r="C242" t="s">
        <v>2370</v>
      </c>
      <c r="D242" t="s">
        <v>193</v>
      </c>
      <c r="E242">
        <v>456.26440400000001</v>
      </c>
      <c r="F242">
        <v>453.54144300000002</v>
      </c>
      <c r="G242">
        <v>454.43231200000002</v>
      </c>
      <c r="H242">
        <v>454.865387</v>
      </c>
      <c r="I242">
        <v>454.86831699999999</v>
      </c>
      <c r="J242">
        <v>454.34210200000001</v>
      </c>
      <c r="K242">
        <v>453.14660600000002</v>
      </c>
      <c r="L242">
        <v>451.11080900000002</v>
      </c>
      <c r="M242">
        <v>449.10986300000002</v>
      </c>
      <c r="N242">
        <v>447.02822900000001</v>
      </c>
      <c r="O242">
        <v>444.46075400000001</v>
      </c>
      <c r="P242">
        <v>441.40765399999998</v>
      </c>
      <c r="Q242">
        <v>438.08496100000002</v>
      </c>
      <c r="R242">
        <v>434.50234999999998</v>
      </c>
      <c r="S242">
        <v>430.81720000000001</v>
      </c>
      <c r="T242">
        <v>427.01632699999999</v>
      </c>
      <c r="U242">
        <v>423.23876999999999</v>
      </c>
      <c r="V242">
        <v>419.02984600000002</v>
      </c>
      <c r="W242">
        <v>415.10244799999998</v>
      </c>
      <c r="X242">
        <v>411.46606400000002</v>
      </c>
      <c r="Y242">
        <v>407.93643200000002</v>
      </c>
      <c r="Z242">
        <v>404.57736199999999</v>
      </c>
      <c r="AA242">
        <v>401.330017</v>
      </c>
      <c r="AB242">
        <v>398.15551799999997</v>
      </c>
      <c r="AC242">
        <v>395.10021999999998</v>
      </c>
      <c r="AD242">
        <v>392.23272700000001</v>
      </c>
      <c r="AE242" s="9">
        <v>-6.0000000000000001E-3</v>
      </c>
    </row>
    <row r="243" spans="1:32">
      <c r="A243" t="s">
        <v>337</v>
      </c>
      <c r="B243" t="s">
        <v>2369</v>
      </c>
      <c r="C243" t="s">
        <v>2368</v>
      </c>
      <c r="D243" t="s">
        <v>193</v>
      </c>
      <c r="E243">
        <v>367.47891199999998</v>
      </c>
      <c r="F243">
        <v>374.04583700000001</v>
      </c>
      <c r="G243">
        <v>382.21868899999998</v>
      </c>
      <c r="H243">
        <v>390.69693000000001</v>
      </c>
      <c r="I243">
        <v>399.03411899999998</v>
      </c>
      <c r="J243">
        <v>407.00347900000003</v>
      </c>
      <c r="K243">
        <v>415.03289799999999</v>
      </c>
      <c r="L243">
        <v>422.06823700000001</v>
      </c>
      <c r="M243">
        <v>429.58651700000001</v>
      </c>
      <c r="N243">
        <v>437.152039</v>
      </c>
      <c r="O243">
        <v>444.466339</v>
      </c>
      <c r="P243">
        <v>451.55844100000002</v>
      </c>
      <c r="Q243">
        <v>458.353027</v>
      </c>
      <c r="R243">
        <v>464.99182100000002</v>
      </c>
      <c r="S243">
        <v>471.65527300000002</v>
      </c>
      <c r="T243">
        <v>478.54913299999998</v>
      </c>
      <c r="U243">
        <v>485.36563100000001</v>
      </c>
      <c r="V243">
        <v>491.32574499999998</v>
      </c>
      <c r="W243">
        <v>497.88781699999998</v>
      </c>
      <c r="X243">
        <v>504.61520400000001</v>
      </c>
      <c r="Y243">
        <v>511.17791699999998</v>
      </c>
      <c r="Z243">
        <v>517.82183799999996</v>
      </c>
      <c r="AA243">
        <v>524.65124500000002</v>
      </c>
      <c r="AB243">
        <v>531.22772199999997</v>
      </c>
      <c r="AC243">
        <v>538.13732900000002</v>
      </c>
      <c r="AD243">
        <v>544.80847200000005</v>
      </c>
      <c r="AE243" s="9">
        <v>1.6E-2</v>
      </c>
    </row>
    <row r="244" spans="1:32">
      <c r="A244" t="s">
        <v>338</v>
      </c>
      <c r="B244" t="s">
        <v>2367</v>
      </c>
      <c r="C244" t="s">
        <v>2366</v>
      </c>
      <c r="D244" t="s">
        <v>193</v>
      </c>
      <c r="E244">
        <v>301.394318</v>
      </c>
      <c r="F244">
        <v>311.22268700000001</v>
      </c>
      <c r="G244">
        <v>320.54571499999997</v>
      </c>
      <c r="H244">
        <v>329.50427200000001</v>
      </c>
      <c r="I244">
        <v>338.32519500000001</v>
      </c>
      <c r="J244">
        <v>347.14080799999999</v>
      </c>
      <c r="K244">
        <v>355.41204800000003</v>
      </c>
      <c r="L244">
        <v>362.49316399999998</v>
      </c>
      <c r="M244">
        <v>369.36642499999999</v>
      </c>
      <c r="N244">
        <v>376.03552200000001</v>
      </c>
      <c r="O244">
        <v>382.38705399999998</v>
      </c>
      <c r="P244">
        <v>388.45642099999998</v>
      </c>
      <c r="Q244">
        <v>394.05847199999999</v>
      </c>
      <c r="R244">
        <v>399.26733400000001</v>
      </c>
      <c r="S244">
        <v>403.89407299999999</v>
      </c>
      <c r="T244">
        <v>408.55978399999998</v>
      </c>
      <c r="U244">
        <v>413.01806599999998</v>
      </c>
      <c r="V244">
        <v>417.227844</v>
      </c>
      <c r="W244">
        <v>420.569031</v>
      </c>
      <c r="X244">
        <v>423.33853099999999</v>
      </c>
      <c r="Y244">
        <v>424.89855999999997</v>
      </c>
      <c r="Z244">
        <v>425.86767600000002</v>
      </c>
      <c r="AA244">
        <v>426.08822600000002</v>
      </c>
      <c r="AB244">
        <v>426.33743299999998</v>
      </c>
      <c r="AC244">
        <v>426.61166400000002</v>
      </c>
      <c r="AD244">
        <v>427.18139600000001</v>
      </c>
      <c r="AE244" s="9">
        <v>1.4E-2</v>
      </c>
    </row>
    <row r="245" spans="1:32">
      <c r="A245" t="s">
        <v>339</v>
      </c>
      <c r="B245" t="s">
        <v>2365</v>
      </c>
      <c r="C245" t="s">
        <v>2364</v>
      </c>
      <c r="D245" t="s">
        <v>193</v>
      </c>
      <c r="E245">
        <v>352.58163500000001</v>
      </c>
      <c r="F245">
        <v>385.31961100000001</v>
      </c>
      <c r="G245">
        <v>403.99963400000001</v>
      </c>
      <c r="H245">
        <v>415.65216099999998</v>
      </c>
      <c r="I245">
        <v>419.36462399999999</v>
      </c>
      <c r="J245">
        <v>422.936646</v>
      </c>
      <c r="K245">
        <v>426.554169</v>
      </c>
      <c r="L245">
        <v>430.11325099999999</v>
      </c>
      <c r="M245">
        <v>433.45495599999998</v>
      </c>
      <c r="N245">
        <v>436.93536399999999</v>
      </c>
      <c r="O245">
        <v>440.43313599999999</v>
      </c>
      <c r="P245">
        <v>443.84167500000001</v>
      </c>
      <c r="Q245">
        <v>447.139771</v>
      </c>
      <c r="R245">
        <v>450.46603399999998</v>
      </c>
      <c r="S245">
        <v>453.71878099999998</v>
      </c>
      <c r="T245">
        <v>456.89349399999998</v>
      </c>
      <c r="U245">
        <v>460.52478000000002</v>
      </c>
      <c r="V245">
        <v>464.30187999999998</v>
      </c>
      <c r="W245">
        <v>467.88302599999997</v>
      </c>
      <c r="X245">
        <v>471.44186400000001</v>
      </c>
      <c r="Y245">
        <v>474.94741800000003</v>
      </c>
      <c r="Z245">
        <v>478.57519500000001</v>
      </c>
      <c r="AA245">
        <v>482.34292599999998</v>
      </c>
      <c r="AB245">
        <v>486.03765900000002</v>
      </c>
      <c r="AC245">
        <v>489.56573500000002</v>
      </c>
      <c r="AD245">
        <v>493.01504499999999</v>
      </c>
      <c r="AE245" s="9">
        <v>1.4E-2</v>
      </c>
    </row>
    <row r="246" spans="1:32">
      <c r="A246" t="s">
        <v>699</v>
      </c>
      <c r="B246" t="s">
        <v>2363</v>
      </c>
      <c r="C246" t="s">
        <v>2362</v>
      </c>
      <c r="D246" t="s">
        <v>193</v>
      </c>
      <c r="E246">
        <v>90.984206999999998</v>
      </c>
      <c r="F246">
        <v>91.279715999999993</v>
      </c>
      <c r="G246">
        <v>92.775458999999998</v>
      </c>
      <c r="H246">
        <v>95.825728999999995</v>
      </c>
      <c r="I246">
        <v>97.860703000000001</v>
      </c>
      <c r="J246">
        <v>99.909392999999994</v>
      </c>
      <c r="K246">
        <v>101.93813299999999</v>
      </c>
      <c r="L246">
        <v>103.93573000000001</v>
      </c>
      <c r="M246">
        <v>106.085571</v>
      </c>
      <c r="N246">
        <v>108.32914700000001</v>
      </c>
      <c r="O246">
        <v>110.633904</v>
      </c>
      <c r="P246">
        <v>113.053551</v>
      </c>
      <c r="Q246">
        <v>115.512207</v>
      </c>
      <c r="R246">
        <v>118.030914</v>
      </c>
      <c r="S246">
        <v>120.61140399999999</v>
      </c>
      <c r="T246">
        <v>123.22711200000001</v>
      </c>
      <c r="U246">
        <v>125.8536</v>
      </c>
      <c r="V246">
        <v>128.472961</v>
      </c>
      <c r="W246">
        <v>131.213684</v>
      </c>
      <c r="X246">
        <v>134.027466</v>
      </c>
      <c r="Y246">
        <v>136.88072199999999</v>
      </c>
      <c r="Z246">
        <v>139.771591</v>
      </c>
      <c r="AA246">
        <v>142.68461600000001</v>
      </c>
      <c r="AB246">
        <v>145.63424699999999</v>
      </c>
      <c r="AC246">
        <v>148.63046299999999</v>
      </c>
      <c r="AD246">
        <v>151.67013499999999</v>
      </c>
      <c r="AE246" s="9">
        <v>2.1000000000000001E-2</v>
      </c>
    </row>
    <row r="247" spans="1:32">
      <c r="A247" t="s">
        <v>206</v>
      </c>
      <c r="B247" t="s">
        <v>2361</v>
      </c>
      <c r="C247" t="s">
        <v>2360</v>
      </c>
      <c r="D247" t="s">
        <v>193</v>
      </c>
      <c r="E247">
        <v>1653.2901609999999</v>
      </c>
      <c r="F247">
        <v>1695.69812</v>
      </c>
      <c r="G247">
        <v>1760.588379</v>
      </c>
      <c r="H247">
        <v>1830.2246090000001</v>
      </c>
      <c r="I247">
        <v>1902.299683</v>
      </c>
      <c r="J247">
        <v>1976.2738039999999</v>
      </c>
      <c r="K247">
        <v>2051.42749</v>
      </c>
      <c r="L247">
        <v>2127.640625</v>
      </c>
      <c r="M247">
        <v>2203.2048340000001</v>
      </c>
      <c r="N247">
        <v>2280.158203</v>
      </c>
      <c r="O247">
        <v>2357.233643</v>
      </c>
      <c r="P247">
        <v>2433.9604490000002</v>
      </c>
      <c r="Q247">
        <v>2510.7971189999998</v>
      </c>
      <c r="R247">
        <v>2588.3334960000002</v>
      </c>
      <c r="S247">
        <v>2666.3845209999999</v>
      </c>
      <c r="T247">
        <v>2744.579346</v>
      </c>
      <c r="U247">
        <v>2822.7639159999999</v>
      </c>
      <c r="V247">
        <v>2901.0346679999998</v>
      </c>
      <c r="W247">
        <v>2978.8166500000002</v>
      </c>
      <c r="X247">
        <v>3056.8847660000001</v>
      </c>
      <c r="Y247">
        <v>3134.539307</v>
      </c>
      <c r="Z247">
        <v>3211.8881839999999</v>
      </c>
      <c r="AA247">
        <v>3288.8254390000002</v>
      </c>
      <c r="AB247">
        <v>3365.5874020000001</v>
      </c>
      <c r="AC247">
        <v>3442.179443</v>
      </c>
      <c r="AD247">
        <v>3518.2214359999998</v>
      </c>
      <c r="AE247" s="9">
        <v>3.1E-2</v>
      </c>
    </row>
    <row r="248" spans="1:32">
      <c r="A248" t="s">
        <v>340</v>
      </c>
      <c r="B248" t="s">
        <v>2359</v>
      </c>
      <c r="C248" t="s">
        <v>2358</v>
      </c>
      <c r="D248" t="s">
        <v>193</v>
      </c>
      <c r="E248">
        <v>394.98318499999999</v>
      </c>
      <c r="F248">
        <v>419.40997299999998</v>
      </c>
      <c r="G248">
        <v>448.59698500000002</v>
      </c>
      <c r="H248">
        <v>478.956726</v>
      </c>
      <c r="I248">
        <v>510.7276</v>
      </c>
      <c r="J248">
        <v>543.67169200000001</v>
      </c>
      <c r="K248">
        <v>577.30139199999996</v>
      </c>
      <c r="L248">
        <v>611.03967299999999</v>
      </c>
      <c r="M248">
        <v>645.31207300000005</v>
      </c>
      <c r="N248">
        <v>679.73089600000003</v>
      </c>
      <c r="O248">
        <v>714.11511199999995</v>
      </c>
      <c r="P248">
        <v>748.061646</v>
      </c>
      <c r="Q248">
        <v>781.98016399999995</v>
      </c>
      <c r="R248">
        <v>815.68579099999999</v>
      </c>
      <c r="S248">
        <v>849.30432099999996</v>
      </c>
      <c r="T248">
        <v>883.08746299999996</v>
      </c>
      <c r="U248">
        <v>916.71606399999996</v>
      </c>
      <c r="V248">
        <v>950.02362100000005</v>
      </c>
      <c r="W248">
        <v>983.30456500000003</v>
      </c>
      <c r="X248">
        <v>1016.468994</v>
      </c>
      <c r="Y248">
        <v>1049.869263</v>
      </c>
      <c r="Z248">
        <v>1082.798096</v>
      </c>
      <c r="AA248">
        <v>1115.439697</v>
      </c>
      <c r="AB248">
        <v>1147.723389</v>
      </c>
      <c r="AC248">
        <v>1180.0664059999999</v>
      </c>
      <c r="AD248">
        <v>1212.0170900000001</v>
      </c>
      <c r="AE248" s="9">
        <v>4.5999999999999999E-2</v>
      </c>
    </row>
    <row r="249" spans="1:32">
      <c r="A249" t="s">
        <v>692</v>
      </c>
      <c r="B249" t="s">
        <v>2357</v>
      </c>
      <c r="C249" t="s">
        <v>2356</v>
      </c>
      <c r="D249" t="s">
        <v>193</v>
      </c>
      <c r="E249">
        <v>1582.474731</v>
      </c>
      <c r="F249">
        <v>1624.4560550000001</v>
      </c>
      <c r="G249">
        <v>1676.953857</v>
      </c>
      <c r="H249">
        <v>1731.8358149999999</v>
      </c>
      <c r="I249">
        <v>1787.5527340000001</v>
      </c>
      <c r="J249">
        <v>1843.0295410000001</v>
      </c>
      <c r="K249">
        <v>1898.6669919999999</v>
      </c>
      <c r="L249">
        <v>1954.5401609999999</v>
      </c>
      <c r="M249">
        <v>2008.720947</v>
      </c>
      <c r="N249">
        <v>2063.8083499999998</v>
      </c>
      <c r="O249">
        <v>2118.9064939999998</v>
      </c>
      <c r="P249">
        <v>2173.6083979999999</v>
      </c>
      <c r="Q249">
        <v>2228.0092770000001</v>
      </c>
      <c r="R249">
        <v>2282.3378910000001</v>
      </c>
      <c r="S249">
        <v>2337.326172</v>
      </c>
      <c r="T249">
        <v>2392.626221</v>
      </c>
      <c r="U249">
        <v>2448.1545409999999</v>
      </c>
      <c r="V249">
        <v>2503.9233399999998</v>
      </c>
      <c r="W249">
        <v>2559.1967770000001</v>
      </c>
      <c r="X249">
        <v>2615.772461</v>
      </c>
      <c r="Y249">
        <v>2672.755615</v>
      </c>
      <c r="Z249">
        <v>2730.2998050000001</v>
      </c>
      <c r="AA249">
        <v>2787.7797850000002</v>
      </c>
      <c r="AB249">
        <v>2845.5729980000001</v>
      </c>
      <c r="AC249">
        <v>2904.1923830000001</v>
      </c>
      <c r="AD249">
        <v>2963.5205080000001</v>
      </c>
      <c r="AE249" s="9">
        <v>2.5000000000000001E-2</v>
      </c>
    </row>
    <row r="250" spans="1:32">
      <c r="A250" t="s">
        <v>341</v>
      </c>
      <c r="B250" t="s">
        <v>2355</v>
      </c>
      <c r="C250" t="s">
        <v>2354</v>
      </c>
      <c r="D250" t="s">
        <v>193</v>
      </c>
      <c r="E250">
        <v>1032.693115</v>
      </c>
      <c r="F250">
        <v>1054.986938</v>
      </c>
      <c r="G250">
        <v>1077.701172</v>
      </c>
      <c r="H250">
        <v>1101.611938</v>
      </c>
      <c r="I250">
        <v>1127.46228</v>
      </c>
      <c r="J250">
        <v>1154.755371</v>
      </c>
      <c r="K250">
        <v>1183.6467290000001</v>
      </c>
      <c r="L250">
        <v>1213.1864009999999</v>
      </c>
      <c r="M250">
        <v>1243.8516850000001</v>
      </c>
      <c r="N250">
        <v>1275.365967</v>
      </c>
      <c r="O250">
        <v>1307.635254</v>
      </c>
      <c r="P250">
        <v>1340.8485109999999</v>
      </c>
      <c r="Q250">
        <v>1375.093384</v>
      </c>
      <c r="R250">
        <v>1410.099487</v>
      </c>
      <c r="S250">
        <v>1446.1087649999999</v>
      </c>
      <c r="T250">
        <v>1482.997314</v>
      </c>
      <c r="U250">
        <v>1520.5766599999999</v>
      </c>
      <c r="V250">
        <v>1558.618164</v>
      </c>
      <c r="W250">
        <v>1597.580322</v>
      </c>
      <c r="X250">
        <v>1637.362061</v>
      </c>
      <c r="Y250">
        <v>1678.005249</v>
      </c>
      <c r="Z250">
        <v>1719.5535890000001</v>
      </c>
      <c r="AA250">
        <v>1762.1567379999999</v>
      </c>
      <c r="AB250">
        <v>1805.826538</v>
      </c>
      <c r="AC250">
        <v>1850.6823730000001</v>
      </c>
      <c r="AD250">
        <v>1896.6145019999999</v>
      </c>
      <c r="AE250" s="9">
        <v>2.5000000000000001E-2</v>
      </c>
    </row>
    <row r="251" spans="1:32">
      <c r="A251" t="s">
        <v>205</v>
      </c>
      <c r="B251" t="s">
        <v>2353</v>
      </c>
      <c r="C251" t="s">
        <v>2352</v>
      </c>
      <c r="D251" t="s">
        <v>193</v>
      </c>
      <c r="E251">
        <v>442.14623999999998</v>
      </c>
      <c r="F251">
        <v>456.05172700000003</v>
      </c>
      <c r="G251">
        <v>471.88562000000002</v>
      </c>
      <c r="H251">
        <v>488.34686299999998</v>
      </c>
      <c r="I251">
        <v>505.20526100000001</v>
      </c>
      <c r="J251">
        <v>522.74957300000005</v>
      </c>
      <c r="K251">
        <v>540.85601799999995</v>
      </c>
      <c r="L251">
        <v>558.47119099999998</v>
      </c>
      <c r="M251">
        <v>576.98290999999995</v>
      </c>
      <c r="N251">
        <v>595.58581500000003</v>
      </c>
      <c r="O251">
        <v>614.41644299999996</v>
      </c>
      <c r="P251">
        <v>633.480774</v>
      </c>
      <c r="Q251">
        <v>653.16143799999998</v>
      </c>
      <c r="R251">
        <v>672.76599099999999</v>
      </c>
      <c r="S251">
        <v>692.62158199999999</v>
      </c>
      <c r="T251">
        <v>712.79888900000003</v>
      </c>
      <c r="U251">
        <v>733.66485599999999</v>
      </c>
      <c r="V251">
        <v>754.22119099999998</v>
      </c>
      <c r="W251">
        <v>775.43090800000004</v>
      </c>
      <c r="X251">
        <v>796.42962599999998</v>
      </c>
      <c r="Y251">
        <v>817.70745799999997</v>
      </c>
      <c r="Z251">
        <v>839.60357699999997</v>
      </c>
      <c r="AA251">
        <v>861.93042000000003</v>
      </c>
      <c r="AB251">
        <v>884.26812700000005</v>
      </c>
      <c r="AC251">
        <v>906.91241500000001</v>
      </c>
      <c r="AD251">
        <v>929.87518299999999</v>
      </c>
      <c r="AE251" s="9">
        <v>0.03</v>
      </c>
    </row>
    <row r="252" spans="1:32">
      <c r="A252" t="s">
        <v>342</v>
      </c>
      <c r="B252" t="s">
        <v>2351</v>
      </c>
      <c r="C252" t="s">
        <v>2350</v>
      </c>
      <c r="D252" t="s">
        <v>193</v>
      </c>
      <c r="E252">
        <v>246.748535</v>
      </c>
      <c r="F252">
        <v>249.982742</v>
      </c>
      <c r="G252">
        <v>253.66519199999999</v>
      </c>
      <c r="H252">
        <v>257.71466099999998</v>
      </c>
      <c r="I252">
        <v>261.70419299999998</v>
      </c>
      <c r="J252">
        <v>265.50091600000002</v>
      </c>
      <c r="K252">
        <v>268.90505999999999</v>
      </c>
      <c r="L252">
        <v>271.91180400000002</v>
      </c>
      <c r="M252">
        <v>275.10983299999998</v>
      </c>
      <c r="N252">
        <v>278.13204999999999</v>
      </c>
      <c r="O252">
        <v>281.00201399999997</v>
      </c>
      <c r="P252">
        <v>283.53613300000001</v>
      </c>
      <c r="Q252">
        <v>285.86721799999998</v>
      </c>
      <c r="R252">
        <v>288.00759900000003</v>
      </c>
      <c r="S252">
        <v>290.13082900000001</v>
      </c>
      <c r="T252">
        <v>292.19793700000002</v>
      </c>
      <c r="U252">
        <v>294.02740499999999</v>
      </c>
      <c r="V252">
        <v>295.30444299999999</v>
      </c>
      <c r="W252">
        <v>296.70367399999998</v>
      </c>
      <c r="X252">
        <v>297.957336</v>
      </c>
      <c r="Y252">
        <v>299.17980999999997</v>
      </c>
      <c r="Z252">
        <v>300.10067700000002</v>
      </c>
      <c r="AA252">
        <v>300.84787</v>
      </c>
      <c r="AB252">
        <v>301.391052</v>
      </c>
      <c r="AC252">
        <v>301.831818</v>
      </c>
      <c r="AD252">
        <v>302.10177599999997</v>
      </c>
      <c r="AE252" s="9">
        <v>8.0000000000000002E-3</v>
      </c>
    </row>
    <row r="253" spans="1:32">
      <c r="A253" t="s">
        <v>683</v>
      </c>
      <c r="B253" t="s">
        <v>2349</v>
      </c>
      <c r="C253" t="s">
        <v>2348</v>
      </c>
      <c r="D253" t="s">
        <v>193</v>
      </c>
      <c r="E253">
        <v>412.119843</v>
      </c>
      <c r="F253">
        <v>420.14883400000002</v>
      </c>
      <c r="G253">
        <v>430.77749599999999</v>
      </c>
      <c r="H253">
        <v>440.71710200000001</v>
      </c>
      <c r="I253">
        <v>450.86889600000001</v>
      </c>
      <c r="J253">
        <v>461.191101</v>
      </c>
      <c r="K253">
        <v>471.22555499999999</v>
      </c>
      <c r="L253">
        <v>481.15841699999999</v>
      </c>
      <c r="M253">
        <v>491.53988600000002</v>
      </c>
      <c r="N253">
        <v>501.78183000000001</v>
      </c>
      <c r="O253">
        <v>511.72833300000002</v>
      </c>
      <c r="P253">
        <v>521.73028599999998</v>
      </c>
      <c r="Q253">
        <v>531.84710700000005</v>
      </c>
      <c r="R253">
        <v>541.84771699999999</v>
      </c>
      <c r="S253">
        <v>552.18151899999998</v>
      </c>
      <c r="T253">
        <v>562.02429199999995</v>
      </c>
      <c r="U253">
        <v>571.90087900000003</v>
      </c>
      <c r="V253">
        <v>581.34692399999994</v>
      </c>
      <c r="W253">
        <v>591.52648899999997</v>
      </c>
      <c r="X253">
        <v>601.615906</v>
      </c>
      <c r="Y253">
        <v>611.75842299999999</v>
      </c>
      <c r="Z253">
        <v>621.71099900000002</v>
      </c>
      <c r="AA253">
        <v>631.91351299999997</v>
      </c>
      <c r="AB253">
        <v>641.712402</v>
      </c>
      <c r="AC253">
        <v>651.62561000000005</v>
      </c>
      <c r="AD253">
        <v>661.56091300000003</v>
      </c>
      <c r="AE253" s="9">
        <v>1.9E-2</v>
      </c>
    </row>
    <row r="254" spans="1:32">
      <c r="A254" t="s">
        <v>111</v>
      </c>
      <c r="B254" t="s">
        <v>2347</v>
      </c>
      <c r="C254" t="s">
        <v>2346</v>
      </c>
      <c r="D254" t="s">
        <v>193</v>
      </c>
      <c r="E254">
        <v>14087.951171999999</v>
      </c>
      <c r="F254">
        <v>14380.707031</v>
      </c>
      <c r="G254">
        <v>14705.840819999999</v>
      </c>
      <c r="H254">
        <v>15009.789062</v>
      </c>
      <c r="I254">
        <v>15324.901367</v>
      </c>
      <c r="J254">
        <v>15653.28125</v>
      </c>
      <c r="K254">
        <v>15978.723633</v>
      </c>
      <c r="L254">
        <v>16307.796875</v>
      </c>
      <c r="M254">
        <v>16641.769531000002</v>
      </c>
      <c r="N254">
        <v>16984.945312</v>
      </c>
      <c r="O254">
        <v>17336.824218999998</v>
      </c>
      <c r="P254">
        <v>17672.763672000001</v>
      </c>
      <c r="Q254">
        <v>18012.087890999999</v>
      </c>
      <c r="R254">
        <v>18348.267577999999</v>
      </c>
      <c r="S254">
        <v>18686.476562</v>
      </c>
      <c r="T254">
        <v>19024.990234000001</v>
      </c>
      <c r="U254">
        <v>19360.257812</v>
      </c>
      <c r="V254">
        <v>19694.105468999998</v>
      </c>
      <c r="W254">
        <v>20033.279297000001</v>
      </c>
      <c r="X254">
        <v>20372.853515999999</v>
      </c>
      <c r="Y254">
        <v>20712.015625</v>
      </c>
      <c r="Z254">
        <v>21048.042968999998</v>
      </c>
      <c r="AA254">
        <v>21379.148438</v>
      </c>
      <c r="AB254">
        <v>21709.839843999998</v>
      </c>
      <c r="AC254">
        <v>22039.458984000001</v>
      </c>
      <c r="AD254">
        <v>22372.222656000002</v>
      </c>
      <c r="AE254" s="9">
        <v>1.9E-2</v>
      </c>
    </row>
    <row r="255" spans="1:32">
      <c r="A255" t="s">
        <v>217</v>
      </c>
      <c r="B255" t="s">
        <v>676</v>
      </c>
      <c r="C255" t="s">
        <v>2345</v>
      </c>
      <c r="D255" t="s">
        <v>2344</v>
      </c>
      <c r="E255" t="s">
        <v>193</v>
      </c>
      <c r="F255">
        <v>22.394031999999999</v>
      </c>
      <c r="G255">
        <v>22.387812</v>
      </c>
      <c r="H255">
        <v>22.382666</v>
      </c>
      <c r="I255">
        <v>22.378406999999999</v>
      </c>
      <c r="J255">
        <v>22.374884000000002</v>
      </c>
      <c r="K255">
        <v>22.371969</v>
      </c>
      <c r="L255">
        <v>22.369558000000001</v>
      </c>
      <c r="M255">
        <v>22.367563000000001</v>
      </c>
      <c r="N255">
        <v>22.365911000000001</v>
      </c>
      <c r="O255">
        <v>22.364546000000001</v>
      </c>
      <c r="P255">
        <v>22.363416999999998</v>
      </c>
      <c r="Q255">
        <v>22.362480000000001</v>
      </c>
      <c r="R255">
        <v>22.361708</v>
      </c>
      <c r="S255">
        <v>22.361066999999998</v>
      </c>
      <c r="T255">
        <v>22.360537999999998</v>
      </c>
      <c r="U255">
        <v>22.360099999999999</v>
      </c>
      <c r="V255">
        <v>22.359736999999999</v>
      </c>
      <c r="W255">
        <v>22.359438000000001</v>
      </c>
      <c r="X255">
        <v>22.359190000000002</v>
      </c>
      <c r="Y255">
        <v>22.358984</v>
      </c>
      <c r="Z255">
        <v>22.358813999999999</v>
      </c>
      <c r="AA255">
        <v>22.358673</v>
      </c>
      <c r="AB255">
        <v>22.358557000000001</v>
      </c>
      <c r="AC255">
        <v>22.358460999999998</v>
      </c>
      <c r="AD255">
        <v>22.358381000000001</v>
      </c>
      <c r="AE255">
        <v>22.358315000000001</v>
      </c>
      <c r="AF255" s="9">
        <v>0</v>
      </c>
    </row>
    <row r="256" spans="1:32">
      <c r="A256" t="s">
        <v>218</v>
      </c>
      <c r="B256" t="s">
        <v>676</v>
      </c>
      <c r="C256" t="s">
        <v>2343</v>
      </c>
      <c r="D256" t="s">
        <v>2342</v>
      </c>
      <c r="E256" t="s">
        <v>193</v>
      </c>
      <c r="F256">
        <v>329.568085</v>
      </c>
      <c r="G256">
        <v>338.67413299999998</v>
      </c>
      <c r="H256">
        <v>339.19570900000002</v>
      </c>
      <c r="I256">
        <v>335.47497600000003</v>
      </c>
      <c r="J256">
        <v>334.33807400000001</v>
      </c>
      <c r="K256">
        <v>333.06640599999997</v>
      </c>
      <c r="L256">
        <v>332.48172</v>
      </c>
      <c r="M256">
        <v>332.35522500000002</v>
      </c>
      <c r="N256">
        <v>332.273438</v>
      </c>
      <c r="O256">
        <v>332.316193</v>
      </c>
      <c r="P256">
        <v>332.44354199999998</v>
      </c>
      <c r="Q256">
        <v>332.69915800000001</v>
      </c>
      <c r="R256">
        <v>333.02505500000001</v>
      </c>
      <c r="S256">
        <v>333.34359699999999</v>
      </c>
      <c r="T256">
        <v>333.65777600000001</v>
      </c>
      <c r="U256">
        <v>333.96734600000002</v>
      </c>
      <c r="V256">
        <v>334.27310199999999</v>
      </c>
      <c r="W256">
        <v>334.577698</v>
      </c>
      <c r="X256">
        <v>334.882721</v>
      </c>
      <c r="Y256">
        <v>335.18817100000001</v>
      </c>
      <c r="Z256">
        <v>335.493561</v>
      </c>
      <c r="AA256">
        <v>335.80206299999998</v>
      </c>
      <c r="AB256">
        <v>336.11334199999999</v>
      </c>
      <c r="AC256">
        <v>336.42584199999999</v>
      </c>
      <c r="AD256">
        <v>336.74163800000002</v>
      </c>
      <c r="AE256">
        <v>337.06097399999999</v>
      </c>
      <c r="AF256" s="9">
        <v>1E-3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8F1CB-7CCA-4C38-895F-8FA41C42819B}">
  <dimension ref="A1:AL50"/>
  <sheetViews>
    <sheetView workbookViewId="0"/>
  </sheetViews>
  <sheetFormatPr defaultRowHeight="14.25"/>
  <cols>
    <col min="1" max="1" width="57.3984375" customWidth="1"/>
    <col min="2" max="32" width="0" hidden="1" customWidth="1"/>
  </cols>
  <sheetData>
    <row r="1" spans="1:38">
      <c r="A1" t="s">
        <v>390</v>
      </c>
      <c r="AK1" t="s">
        <v>391</v>
      </c>
      <c r="AL1" t="s">
        <v>392</v>
      </c>
    </row>
    <row r="2" spans="1:38">
      <c r="A2" t="s">
        <v>352</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t="s">
        <v>393</v>
      </c>
      <c r="W2">
        <v>2011</v>
      </c>
      <c r="X2">
        <v>2012</v>
      </c>
      <c r="Y2">
        <v>2013</v>
      </c>
      <c r="Z2">
        <v>2014</v>
      </c>
      <c r="AA2">
        <v>2015</v>
      </c>
      <c r="AB2">
        <v>2016</v>
      </c>
      <c r="AC2">
        <v>2017</v>
      </c>
      <c r="AD2">
        <v>2018</v>
      </c>
      <c r="AE2">
        <v>2019</v>
      </c>
      <c r="AF2">
        <v>2020</v>
      </c>
      <c r="AG2">
        <v>2021</v>
      </c>
      <c r="AJ2" t="s">
        <v>120</v>
      </c>
      <c r="AK2" s="17">
        <f>SUM(AG4,AG5)</f>
        <v>13876</v>
      </c>
      <c r="AL2">
        <f>SUM(AG11,AG12)</f>
        <v>487</v>
      </c>
    </row>
    <row r="3" spans="1:38">
      <c r="A3" t="s">
        <v>394</v>
      </c>
      <c r="B3" s="17">
        <v>13464</v>
      </c>
      <c r="C3" s="17">
        <v>13253</v>
      </c>
      <c r="D3" s="17">
        <v>13624</v>
      </c>
      <c r="E3" s="17">
        <v>13850</v>
      </c>
      <c r="F3" s="17">
        <v>14080</v>
      </c>
      <c r="G3" s="17">
        <v>14273</v>
      </c>
      <c r="H3" s="17">
        <v>14605</v>
      </c>
      <c r="I3" s="17">
        <v>14778</v>
      </c>
      <c r="J3" s="17">
        <v>15201</v>
      </c>
      <c r="K3" s="17">
        <v>15710</v>
      </c>
      <c r="L3" s="17">
        <v>15663</v>
      </c>
      <c r="M3" s="17">
        <v>15771</v>
      </c>
      <c r="N3" s="17">
        <v>16097</v>
      </c>
      <c r="O3" s="17">
        <v>16165</v>
      </c>
      <c r="P3" s="17">
        <v>16379</v>
      </c>
      <c r="Q3" s="17">
        <v>16236</v>
      </c>
      <c r="R3" s="17">
        <v>16007</v>
      </c>
      <c r="S3" s="17">
        <v>15824</v>
      </c>
      <c r="T3" s="17">
        <v>15105</v>
      </c>
      <c r="U3" s="17">
        <v>15030</v>
      </c>
      <c r="V3" s="17">
        <v>14899</v>
      </c>
      <c r="W3" s="17">
        <v>14576</v>
      </c>
      <c r="X3" s="17">
        <v>14523</v>
      </c>
      <c r="Y3" s="17">
        <v>14542</v>
      </c>
      <c r="Z3" s="17">
        <v>15103</v>
      </c>
      <c r="AA3" s="17">
        <v>14999</v>
      </c>
      <c r="AB3" s="17">
        <v>15353</v>
      </c>
      <c r="AC3" s="17">
        <v>15303</v>
      </c>
      <c r="AD3" s="17">
        <v>15528</v>
      </c>
      <c r="AE3" s="17">
        <v>15381</v>
      </c>
      <c r="AF3" s="17">
        <v>13262</v>
      </c>
      <c r="AG3" s="17">
        <v>14559</v>
      </c>
      <c r="AJ3" t="s">
        <v>118</v>
      </c>
      <c r="AK3">
        <f>SUM(AG8)</f>
        <v>388</v>
      </c>
      <c r="AL3" s="17">
        <f>SUM(AG14)</f>
        <v>5127</v>
      </c>
    </row>
    <row r="4" spans="1:38">
      <c r="A4" t="s">
        <v>395</v>
      </c>
      <c r="B4" s="17">
        <v>8604</v>
      </c>
      <c r="C4" s="17">
        <v>8263</v>
      </c>
      <c r="D4" s="17">
        <v>8289</v>
      </c>
      <c r="E4" s="17">
        <v>8216</v>
      </c>
      <c r="F4" s="17">
        <v>8138</v>
      </c>
      <c r="G4" s="17">
        <v>8032</v>
      </c>
      <c r="H4" s="17">
        <v>7996</v>
      </c>
      <c r="I4" s="17">
        <v>7865</v>
      </c>
      <c r="J4" s="17">
        <v>7859</v>
      </c>
      <c r="K4" s="17">
        <v>7884</v>
      </c>
      <c r="L4" s="17">
        <v>7735</v>
      </c>
      <c r="M4" s="17">
        <v>7677</v>
      </c>
      <c r="N4" s="17">
        <v>7725</v>
      </c>
      <c r="O4" s="17">
        <v>7628</v>
      </c>
      <c r="P4" s="17">
        <v>7523</v>
      </c>
      <c r="Q4" s="17">
        <v>7325</v>
      </c>
      <c r="R4" s="17">
        <v>7017</v>
      </c>
      <c r="S4" s="17">
        <v>6877</v>
      </c>
      <c r="T4" s="17">
        <v>6583</v>
      </c>
      <c r="U4" s="17">
        <v>6532</v>
      </c>
      <c r="V4" s="17">
        <v>6428</v>
      </c>
      <c r="W4" s="17">
        <v>5988</v>
      </c>
      <c r="X4" s="17">
        <v>5261</v>
      </c>
      <c r="Y4" s="17">
        <v>5385</v>
      </c>
      <c r="Z4" s="17">
        <v>5567</v>
      </c>
      <c r="AA4" s="17">
        <v>5436</v>
      </c>
      <c r="AB4" s="17">
        <v>5473</v>
      </c>
      <c r="AC4" s="17">
        <v>5308</v>
      </c>
      <c r="AD4" s="17">
        <v>5414</v>
      </c>
      <c r="AE4" s="17">
        <v>5380</v>
      </c>
      <c r="AF4" s="17">
        <v>4643</v>
      </c>
      <c r="AG4" s="17">
        <v>5102</v>
      </c>
    </row>
    <row r="5" spans="1:38">
      <c r="A5" t="s">
        <v>396</v>
      </c>
      <c r="B5" s="17">
        <v>3982</v>
      </c>
      <c r="C5" s="17">
        <v>4136</v>
      </c>
      <c r="D5" s="17">
        <v>4478</v>
      </c>
      <c r="E5" s="17">
        <v>4782</v>
      </c>
      <c r="F5" s="17">
        <v>5095</v>
      </c>
      <c r="G5" s="17">
        <v>5401</v>
      </c>
      <c r="H5" s="17">
        <v>5768</v>
      </c>
      <c r="I5" s="17">
        <v>6081</v>
      </c>
      <c r="J5" s="17">
        <v>6508</v>
      </c>
      <c r="K5" s="17">
        <v>6989</v>
      </c>
      <c r="L5" s="17">
        <v>7151</v>
      </c>
      <c r="M5" s="17">
        <v>7341</v>
      </c>
      <c r="N5" s="17">
        <v>7625</v>
      </c>
      <c r="O5" s="17">
        <v>7793</v>
      </c>
      <c r="P5" s="17">
        <v>8134</v>
      </c>
      <c r="Q5" s="17">
        <v>8236</v>
      </c>
      <c r="R5" s="17">
        <v>8277</v>
      </c>
      <c r="S5" s="17">
        <v>8264</v>
      </c>
      <c r="T5" s="17">
        <v>7852</v>
      </c>
      <c r="U5" s="17">
        <v>7860</v>
      </c>
      <c r="V5" s="17">
        <v>7885</v>
      </c>
      <c r="W5" s="17">
        <v>8037</v>
      </c>
      <c r="X5" s="17">
        <v>8698</v>
      </c>
      <c r="Y5" s="17">
        <v>8587</v>
      </c>
      <c r="Z5" s="17">
        <v>8941</v>
      </c>
      <c r="AA5" s="17">
        <v>8968</v>
      </c>
      <c r="AB5" s="17">
        <v>9258</v>
      </c>
      <c r="AC5" s="17">
        <v>9357</v>
      </c>
      <c r="AD5" s="17">
        <v>9450</v>
      </c>
      <c r="AE5" s="17">
        <v>9323</v>
      </c>
      <c r="AF5" s="17">
        <v>8007</v>
      </c>
      <c r="AG5" s="17">
        <v>8774</v>
      </c>
    </row>
    <row r="6" spans="1:38">
      <c r="A6" t="s">
        <v>397</v>
      </c>
      <c r="B6">
        <v>47</v>
      </c>
      <c r="C6">
        <v>48</v>
      </c>
      <c r="D6">
        <v>50</v>
      </c>
      <c r="E6">
        <v>52</v>
      </c>
      <c r="F6">
        <v>55</v>
      </c>
      <c r="G6">
        <v>57</v>
      </c>
      <c r="H6">
        <v>60</v>
      </c>
      <c r="I6">
        <v>62</v>
      </c>
      <c r="J6">
        <v>65</v>
      </c>
      <c r="K6">
        <v>69</v>
      </c>
      <c r="L6">
        <v>61</v>
      </c>
      <c r="M6">
        <v>56</v>
      </c>
      <c r="N6">
        <v>58</v>
      </c>
      <c r="O6">
        <v>59</v>
      </c>
      <c r="P6">
        <v>76</v>
      </c>
      <c r="Q6">
        <v>69</v>
      </c>
      <c r="R6">
        <v>95</v>
      </c>
      <c r="S6">
        <v>105</v>
      </c>
      <c r="T6">
        <v>100</v>
      </c>
      <c r="U6">
        <v>100</v>
      </c>
      <c r="V6">
        <v>88</v>
      </c>
      <c r="W6">
        <v>87</v>
      </c>
      <c r="X6">
        <v>98</v>
      </c>
      <c r="Y6">
        <v>95</v>
      </c>
      <c r="Z6">
        <v>97</v>
      </c>
      <c r="AA6">
        <v>94</v>
      </c>
      <c r="AB6">
        <v>100</v>
      </c>
      <c r="AC6">
        <v>99</v>
      </c>
      <c r="AD6">
        <v>103</v>
      </c>
      <c r="AE6">
        <v>104</v>
      </c>
      <c r="AF6">
        <v>93</v>
      </c>
      <c r="AG6">
        <v>105</v>
      </c>
    </row>
    <row r="7" spans="1:38">
      <c r="A7" t="s">
        <v>398</v>
      </c>
      <c r="B7">
        <v>30</v>
      </c>
      <c r="C7">
        <v>28</v>
      </c>
      <c r="D7">
        <v>27</v>
      </c>
      <c r="E7">
        <v>27</v>
      </c>
      <c r="F7">
        <v>26</v>
      </c>
      <c r="G7">
        <v>25</v>
      </c>
      <c r="H7">
        <v>24</v>
      </c>
      <c r="I7">
        <v>23</v>
      </c>
      <c r="J7">
        <v>22</v>
      </c>
      <c r="K7">
        <v>21</v>
      </c>
      <c r="L7">
        <v>20</v>
      </c>
      <c r="M7">
        <v>16</v>
      </c>
      <c r="N7">
        <v>16</v>
      </c>
      <c r="O7">
        <v>17</v>
      </c>
      <c r="P7">
        <v>16</v>
      </c>
      <c r="Q7">
        <v>15</v>
      </c>
      <c r="R7">
        <v>17</v>
      </c>
      <c r="S7">
        <v>17</v>
      </c>
      <c r="T7">
        <v>17</v>
      </c>
      <c r="U7">
        <v>16</v>
      </c>
      <c r="V7">
        <v>17</v>
      </c>
      <c r="W7">
        <v>19</v>
      </c>
      <c r="X7">
        <v>22</v>
      </c>
      <c r="Y7">
        <v>25</v>
      </c>
      <c r="Z7">
        <v>29</v>
      </c>
      <c r="AA7">
        <v>30</v>
      </c>
      <c r="AB7">
        <v>32</v>
      </c>
      <c r="AC7">
        <v>35</v>
      </c>
      <c r="AD7">
        <v>38</v>
      </c>
      <c r="AE7">
        <v>39</v>
      </c>
      <c r="AF7">
        <v>35</v>
      </c>
      <c r="AG7">
        <v>40</v>
      </c>
    </row>
    <row r="8" spans="1:38">
      <c r="A8" t="s">
        <v>399</v>
      </c>
      <c r="B8">
        <v>601</v>
      </c>
      <c r="C8">
        <v>577</v>
      </c>
      <c r="D8">
        <v>578</v>
      </c>
      <c r="E8">
        <v>573</v>
      </c>
      <c r="F8">
        <v>567</v>
      </c>
      <c r="G8">
        <v>559</v>
      </c>
      <c r="H8">
        <v>556</v>
      </c>
      <c r="I8">
        <v>546</v>
      </c>
      <c r="J8">
        <v>545</v>
      </c>
      <c r="K8">
        <v>547</v>
      </c>
      <c r="L8">
        <v>495</v>
      </c>
      <c r="M8">
        <v>480</v>
      </c>
      <c r="N8">
        <v>474</v>
      </c>
      <c r="O8">
        <v>470</v>
      </c>
      <c r="P8">
        <v>435</v>
      </c>
      <c r="Q8">
        <v>396</v>
      </c>
      <c r="R8">
        <v>414</v>
      </c>
      <c r="S8">
        <v>376</v>
      </c>
      <c r="T8">
        <v>377</v>
      </c>
      <c r="U8">
        <v>351</v>
      </c>
      <c r="V8">
        <v>316</v>
      </c>
      <c r="W8">
        <v>288</v>
      </c>
      <c r="X8">
        <v>290</v>
      </c>
      <c r="Y8">
        <v>298</v>
      </c>
      <c r="Z8">
        <v>320</v>
      </c>
      <c r="AA8">
        <v>321</v>
      </c>
      <c r="AB8">
        <v>341</v>
      </c>
      <c r="AC8">
        <v>353</v>
      </c>
      <c r="AD8">
        <v>371</v>
      </c>
      <c r="AE8">
        <v>383</v>
      </c>
      <c r="AF8">
        <v>342</v>
      </c>
      <c r="AG8">
        <v>388</v>
      </c>
    </row>
    <row r="9" spans="1:38">
      <c r="A9" t="s">
        <v>400</v>
      </c>
      <c r="B9">
        <v>201</v>
      </c>
      <c r="C9">
        <v>201</v>
      </c>
      <c r="D9">
        <v>201</v>
      </c>
      <c r="E9">
        <v>200</v>
      </c>
      <c r="F9">
        <v>200</v>
      </c>
      <c r="G9">
        <v>200</v>
      </c>
      <c r="H9">
        <v>201</v>
      </c>
      <c r="I9">
        <v>201</v>
      </c>
      <c r="J9">
        <v>201</v>
      </c>
      <c r="K9">
        <v>201</v>
      </c>
      <c r="L9">
        <v>201</v>
      </c>
      <c r="M9">
        <v>201</v>
      </c>
      <c r="N9">
        <v>199</v>
      </c>
      <c r="O9">
        <v>197</v>
      </c>
      <c r="P9">
        <v>194</v>
      </c>
      <c r="Q9">
        <v>194</v>
      </c>
      <c r="R9">
        <v>189</v>
      </c>
      <c r="S9">
        <v>185</v>
      </c>
      <c r="T9">
        <v>175</v>
      </c>
      <c r="U9">
        <v>172</v>
      </c>
      <c r="V9">
        <v>163</v>
      </c>
      <c r="W9">
        <v>158</v>
      </c>
      <c r="X9">
        <v>155</v>
      </c>
      <c r="Y9">
        <v>152</v>
      </c>
      <c r="Z9">
        <v>149</v>
      </c>
      <c r="AA9">
        <v>149</v>
      </c>
      <c r="AB9">
        <v>150</v>
      </c>
      <c r="AC9">
        <v>151</v>
      </c>
      <c r="AD9">
        <v>151</v>
      </c>
      <c r="AE9">
        <v>152</v>
      </c>
      <c r="AF9">
        <v>142</v>
      </c>
      <c r="AG9">
        <v>149</v>
      </c>
    </row>
    <row r="10" spans="1:38">
      <c r="A10" t="s">
        <v>401</v>
      </c>
      <c r="B10" s="17">
        <v>3555</v>
      </c>
      <c r="C10" s="17">
        <v>3450</v>
      </c>
      <c r="D10" s="17">
        <v>3666</v>
      </c>
      <c r="E10" s="17">
        <v>3889</v>
      </c>
      <c r="F10" s="17">
        <v>4187</v>
      </c>
      <c r="G10" s="17">
        <v>4383</v>
      </c>
      <c r="H10" s="17">
        <v>4599</v>
      </c>
      <c r="I10" s="17">
        <v>4802</v>
      </c>
      <c r="J10" s="17">
        <v>4955</v>
      </c>
      <c r="K10" s="17">
        <v>5251</v>
      </c>
      <c r="L10" s="17">
        <v>5442</v>
      </c>
      <c r="M10" s="17">
        <v>5417</v>
      </c>
      <c r="N10" s="17">
        <v>5596</v>
      </c>
      <c r="O10" s="17">
        <v>5711</v>
      </c>
      <c r="P10" s="17">
        <v>5918</v>
      </c>
      <c r="Q10" s="17">
        <v>6194</v>
      </c>
      <c r="R10" s="17">
        <v>6359</v>
      </c>
      <c r="S10" s="17">
        <v>6440</v>
      </c>
      <c r="T10" s="17">
        <v>6107</v>
      </c>
      <c r="U10" s="17">
        <v>5495</v>
      </c>
      <c r="V10" s="17">
        <v>5729</v>
      </c>
      <c r="W10" s="17">
        <v>5768</v>
      </c>
      <c r="X10" s="17">
        <v>5751</v>
      </c>
      <c r="Y10" s="17">
        <v>5795</v>
      </c>
      <c r="Z10" s="17">
        <v>5992</v>
      </c>
      <c r="AA10" s="17">
        <v>6155</v>
      </c>
      <c r="AB10" s="17">
        <v>6104</v>
      </c>
      <c r="AC10" s="17">
        <v>6288</v>
      </c>
      <c r="AD10" s="17">
        <v>6428</v>
      </c>
      <c r="AE10" s="17">
        <v>6393</v>
      </c>
      <c r="AF10" s="17">
        <v>6033</v>
      </c>
      <c r="AG10" s="17">
        <v>6480</v>
      </c>
    </row>
    <row r="11" spans="1:38">
      <c r="A11" t="s">
        <v>395</v>
      </c>
      <c r="B11">
        <v>128</v>
      </c>
      <c r="C11">
        <v>114</v>
      </c>
      <c r="D11">
        <v>109</v>
      </c>
      <c r="E11">
        <v>105</v>
      </c>
      <c r="F11">
        <v>100</v>
      </c>
      <c r="G11">
        <v>91</v>
      </c>
      <c r="H11">
        <v>82</v>
      </c>
      <c r="I11">
        <v>71</v>
      </c>
      <c r="J11">
        <v>59</v>
      </c>
      <c r="K11">
        <v>46</v>
      </c>
      <c r="L11">
        <v>42</v>
      </c>
      <c r="M11">
        <v>37</v>
      </c>
      <c r="N11">
        <v>34</v>
      </c>
      <c r="O11">
        <v>30</v>
      </c>
      <c r="P11">
        <v>29</v>
      </c>
      <c r="Q11">
        <v>30</v>
      </c>
      <c r="R11">
        <v>28</v>
      </c>
      <c r="S11">
        <v>25</v>
      </c>
      <c r="T11">
        <v>22</v>
      </c>
      <c r="U11">
        <v>24</v>
      </c>
      <c r="V11">
        <v>28</v>
      </c>
      <c r="W11">
        <v>32</v>
      </c>
      <c r="X11">
        <v>33</v>
      </c>
      <c r="Y11">
        <v>34</v>
      </c>
      <c r="Z11">
        <v>37</v>
      </c>
      <c r="AA11">
        <v>44</v>
      </c>
      <c r="AB11">
        <v>42</v>
      </c>
      <c r="AC11">
        <v>40</v>
      </c>
      <c r="AD11">
        <v>38</v>
      </c>
      <c r="AE11">
        <v>36</v>
      </c>
      <c r="AF11">
        <v>34</v>
      </c>
      <c r="AG11">
        <v>37</v>
      </c>
    </row>
    <row r="12" spans="1:38">
      <c r="A12" t="s">
        <v>396</v>
      </c>
      <c r="B12">
        <v>114</v>
      </c>
      <c r="C12">
        <v>116</v>
      </c>
      <c r="D12">
        <v>128</v>
      </c>
      <c r="E12">
        <v>143</v>
      </c>
      <c r="F12">
        <v>160</v>
      </c>
      <c r="G12">
        <v>173</v>
      </c>
      <c r="H12">
        <v>188</v>
      </c>
      <c r="I12">
        <v>205</v>
      </c>
      <c r="J12">
        <v>222</v>
      </c>
      <c r="K12">
        <v>243</v>
      </c>
      <c r="L12">
        <v>263</v>
      </c>
      <c r="M12">
        <v>276</v>
      </c>
      <c r="N12">
        <v>306</v>
      </c>
      <c r="O12">
        <v>323</v>
      </c>
      <c r="P12">
        <v>371</v>
      </c>
      <c r="Q12">
        <v>407</v>
      </c>
      <c r="R12">
        <v>428</v>
      </c>
      <c r="S12">
        <v>429</v>
      </c>
      <c r="T12">
        <v>393</v>
      </c>
      <c r="U12">
        <v>378</v>
      </c>
      <c r="V12">
        <v>382</v>
      </c>
      <c r="W12">
        <v>415</v>
      </c>
      <c r="X12">
        <v>451</v>
      </c>
      <c r="Y12">
        <v>418</v>
      </c>
      <c r="Z12">
        <v>415</v>
      </c>
      <c r="AA12">
        <v>424</v>
      </c>
      <c r="AB12">
        <v>417</v>
      </c>
      <c r="AC12">
        <v>419</v>
      </c>
      <c r="AD12">
        <v>421</v>
      </c>
      <c r="AE12">
        <v>421</v>
      </c>
      <c r="AF12">
        <v>407</v>
      </c>
      <c r="AG12">
        <v>450</v>
      </c>
    </row>
    <row r="13" spans="1:38">
      <c r="A13" t="s">
        <v>398</v>
      </c>
      <c r="B13">
        <v>150</v>
      </c>
      <c r="C13">
        <v>146</v>
      </c>
      <c r="D13">
        <v>155</v>
      </c>
      <c r="E13">
        <v>166</v>
      </c>
      <c r="F13">
        <v>178</v>
      </c>
      <c r="G13">
        <v>186</v>
      </c>
      <c r="H13">
        <v>195</v>
      </c>
      <c r="I13">
        <v>205</v>
      </c>
      <c r="J13">
        <v>215</v>
      </c>
      <c r="K13">
        <v>228</v>
      </c>
      <c r="L13">
        <v>232</v>
      </c>
      <c r="M13">
        <v>193</v>
      </c>
      <c r="N13">
        <v>202</v>
      </c>
      <c r="O13">
        <v>196</v>
      </c>
      <c r="P13">
        <v>206</v>
      </c>
      <c r="Q13">
        <v>208</v>
      </c>
      <c r="R13">
        <v>216</v>
      </c>
      <c r="S13">
        <v>219</v>
      </c>
      <c r="T13">
        <v>209</v>
      </c>
      <c r="U13">
        <v>198</v>
      </c>
      <c r="V13">
        <v>195</v>
      </c>
      <c r="W13">
        <v>206</v>
      </c>
      <c r="X13">
        <v>218</v>
      </c>
      <c r="Y13">
        <v>220</v>
      </c>
      <c r="Z13">
        <v>240</v>
      </c>
      <c r="AA13">
        <v>251</v>
      </c>
      <c r="AB13">
        <v>250</v>
      </c>
      <c r="AC13">
        <v>266</v>
      </c>
      <c r="AD13">
        <v>275</v>
      </c>
      <c r="AE13">
        <v>279</v>
      </c>
      <c r="AF13">
        <v>267</v>
      </c>
      <c r="AG13">
        <v>289</v>
      </c>
    </row>
    <row r="14" spans="1:38">
      <c r="A14" t="s">
        <v>399</v>
      </c>
      <c r="B14" s="17">
        <v>2555</v>
      </c>
      <c r="C14" s="17">
        <v>2489</v>
      </c>
      <c r="D14" s="17">
        <v>2647</v>
      </c>
      <c r="E14" s="17">
        <v>2845</v>
      </c>
      <c r="F14" s="17">
        <v>3052</v>
      </c>
      <c r="G14" s="17">
        <v>3198</v>
      </c>
      <c r="H14" s="17">
        <v>3357</v>
      </c>
      <c r="I14" s="17">
        <v>3542</v>
      </c>
      <c r="J14" s="17">
        <v>3708</v>
      </c>
      <c r="K14" s="17">
        <v>3941</v>
      </c>
      <c r="L14" s="17">
        <v>4108</v>
      </c>
      <c r="M14" s="17">
        <v>4129</v>
      </c>
      <c r="N14" s="17">
        <v>4281</v>
      </c>
      <c r="O14" s="17">
        <v>4379</v>
      </c>
      <c r="P14" s="17">
        <v>4548</v>
      </c>
      <c r="Q14" s="17">
        <v>4782</v>
      </c>
      <c r="R14" s="17">
        <v>4895</v>
      </c>
      <c r="S14" s="17">
        <v>4981</v>
      </c>
      <c r="T14" s="17">
        <v>4745</v>
      </c>
      <c r="U14" s="17">
        <v>4256</v>
      </c>
      <c r="V14" s="17">
        <v>4451</v>
      </c>
      <c r="W14" s="17">
        <v>4389</v>
      </c>
      <c r="X14" s="17">
        <v>4369</v>
      </c>
      <c r="Y14" s="17">
        <v>4437</v>
      </c>
      <c r="Z14" s="17">
        <v>4606</v>
      </c>
      <c r="AA14" s="17">
        <v>4688</v>
      </c>
      <c r="AB14" s="17">
        <v>4724</v>
      </c>
      <c r="AC14" s="17">
        <v>4886</v>
      </c>
      <c r="AD14" s="17">
        <v>5010</v>
      </c>
      <c r="AE14" s="17">
        <v>5031</v>
      </c>
      <c r="AF14" s="17">
        <v>4768</v>
      </c>
      <c r="AG14" s="17">
        <v>5127</v>
      </c>
    </row>
    <row r="15" spans="1:38">
      <c r="A15" t="s">
        <v>402</v>
      </c>
      <c r="B15">
        <v>37</v>
      </c>
      <c r="C15">
        <v>37</v>
      </c>
      <c r="D15">
        <v>37</v>
      </c>
      <c r="E15">
        <v>37</v>
      </c>
      <c r="F15">
        <v>37</v>
      </c>
      <c r="G15">
        <v>37</v>
      </c>
      <c r="H15">
        <v>37</v>
      </c>
      <c r="I15">
        <v>37</v>
      </c>
      <c r="J15">
        <v>37</v>
      </c>
      <c r="K15">
        <v>37</v>
      </c>
      <c r="L15">
        <v>37</v>
      </c>
      <c r="M15">
        <v>38</v>
      </c>
      <c r="N15">
        <v>38</v>
      </c>
      <c r="O15">
        <v>38</v>
      </c>
      <c r="P15">
        <v>38</v>
      </c>
      <c r="Q15">
        <v>38</v>
      </c>
      <c r="R15">
        <v>38</v>
      </c>
      <c r="S15">
        <v>38</v>
      </c>
      <c r="T15">
        <v>37</v>
      </c>
      <c r="U15">
        <v>37</v>
      </c>
      <c r="V15">
        <v>36</v>
      </c>
      <c r="W15">
        <v>35</v>
      </c>
      <c r="X15">
        <v>35</v>
      </c>
      <c r="Y15">
        <v>34</v>
      </c>
      <c r="Z15">
        <v>34</v>
      </c>
      <c r="AA15">
        <v>36</v>
      </c>
      <c r="AB15">
        <v>36</v>
      </c>
      <c r="AC15">
        <v>37</v>
      </c>
      <c r="AD15">
        <v>38</v>
      </c>
      <c r="AE15">
        <v>39</v>
      </c>
      <c r="AF15">
        <v>36</v>
      </c>
      <c r="AG15">
        <v>38</v>
      </c>
    </row>
    <row r="16" spans="1:38">
      <c r="A16" t="s">
        <v>403</v>
      </c>
      <c r="B16">
        <v>91</v>
      </c>
      <c r="C16">
        <v>97</v>
      </c>
      <c r="D16">
        <v>125</v>
      </c>
      <c r="E16">
        <v>115</v>
      </c>
      <c r="F16">
        <v>145</v>
      </c>
      <c r="G16">
        <v>161</v>
      </c>
      <c r="H16">
        <v>194</v>
      </c>
      <c r="I16">
        <v>194</v>
      </c>
      <c r="J16">
        <v>164</v>
      </c>
      <c r="K16">
        <v>185</v>
      </c>
      <c r="L16">
        <v>190</v>
      </c>
      <c r="M16">
        <v>174</v>
      </c>
      <c r="N16">
        <v>168</v>
      </c>
      <c r="O16">
        <v>166</v>
      </c>
      <c r="P16">
        <v>115</v>
      </c>
      <c r="Q16">
        <v>113</v>
      </c>
      <c r="R16">
        <v>107</v>
      </c>
      <c r="S16">
        <v>117</v>
      </c>
      <c r="T16">
        <v>115</v>
      </c>
      <c r="U16">
        <v>116</v>
      </c>
      <c r="V16">
        <v>112</v>
      </c>
      <c r="W16">
        <v>149</v>
      </c>
      <c r="X16">
        <v>115</v>
      </c>
      <c r="Y16">
        <v>117</v>
      </c>
      <c r="Z16">
        <v>100</v>
      </c>
      <c r="AA16">
        <v>177</v>
      </c>
      <c r="AB16">
        <v>147</v>
      </c>
      <c r="AC16">
        <v>135</v>
      </c>
      <c r="AD16">
        <v>126</v>
      </c>
      <c r="AE16">
        <v>101</v>
      </c>
      <c r="AF16">
        <v>102</v>
      </c>
      <c r="AG16">
        <v>105</v>
      </c>
    </row>
    <row r="17" spans="1:33">
      <c r="A17" t="s">
        <v>404</v>
      </c>
      <c r="B17">
        <v>480</v>
      </c>
      <c r="C17">
        <v>451</v>
      </c>
      <c r="D17">
        <v>465</v>
      </c>
      <c r="E17">
        <v>478</v>
      </c>
      <c r="F17">
        <v>515</v>
      </c>
      <c r="G17">
        <v>536</v>
      </c>
      <c r="H17">
        <v>546</v>
      </c>
      <c r="I17">
        <v>547</v>
      </c>
      <c r="J17">
        <v>551</v>
      </c>
      <c r="K17">
        <v>572</v>
      </c>
      <c r="L17">
        <v>569</v>
      </c>
      <c r="M17">
        <v>571</v>
      </c>
      <c r="N17">
        <v>567</v>
      </c>
      <c r="O17">
        <v>579</v>
      </c>
      <c r="P17">
        <v>611</v>
      </c>
      <c r="Q17">
        <v>617</v>
      </c>
      <c r="R17">
        <v>647</v>
      </c>
      <c r="S17">
        <v>630</v>
      </c>
      <c r="T17">
        <v>585</v>
      </c>
      <c r="U17">
        <v>486</v>
      </c>
      <c r="V17">
        <v>525</v>
      </c>
      <c r="W17">
        <v>542</v>
      </c>
      <c r="X17">
        <v>531</v>
      </c>
      <c r="Y17">
        <v>536</v>
      </c>
      <c r="Z17">
        <v>560</v>
      </c>
      <c r="AA17">
        <v>535</v>
      </c>
      <c r="AB17">
        <v>487</v>
      </c>
      <c r="AC17">
        <v>504</v>
      </c>
      <c r="AD17">
        <v>520</v>
      </c>
      <c r="AE17">
        <v>486</v>
      </c>
      <c r="AF17">
        <v>418</v>
      </c>
      <c r="AG17">
        <v>434</v>
      </c>
    </row>
    <row r="18" spans="1:33">
      <c r="A18" t="s">
        <v>405</v>
      </c>
      <c r="B18" s="17">
        <v>2588</v>
      </c>
      <c r="C18" s="17">
        <v>2371</v>
      </c>
      <c r="D18" s="17">
        <v>2342</v>
      </c>
      <c r="E18" s="17">
        <v>2366</v>
      </c>
      <c r="F18" s="17">
        <v>2472</v>
      </c>
      <c r="G18" s="17">
        <v>2427</v>
      </c>
      <c r="H18" s="17">
        <v>2554</v>
      </c>
      <c r="I18" s="17">
        <v>2552</v>
      </c>
      <c r="J18" s="17">
        <v>2607</v>
      </c>
      <c r="K18" s="17">
        <v>2663</v>
      </c>
      <c r="L18" s="17">
        <v>2699</v>
      </c>
      <c r="M18" s="17">
        <v>2625</v>
      </c>
      <c r="N18" s="17">
        <v>2564</v>
      </c>
      <c r="O18" s="17">
        <v>2481</v>
      </c>
      <c r="P18" s="17">
        <v>2583</v>
      </c>
      <c r="Q18" s="17">
        <v>2620</v>
      </c>
      <c r="R18" s="17">
        <v>2523</v>
      </c>
      <c r="S18" s="17">
        <v>2484</v>
      </c>
      <c r="T18" s="17">
        <v>2395</v>
      </c>
      <c r="U18" s="17">
        <v>2133</v>
      </c>
      <c r="V18" s="17">
        <v>2096</v>
      </c>
      <c r="W18" s="17">
        <v>2029</v>
      </c>
      <c r="X18" s="17">
        <v>1984</v>
      </c>
      <c r="Y18" s="17">
        <v>2036</v>
      </c>
      <c r="Z18" s="17">
        <v>2053</v>
      </c>
      <c r="AA18" s="17">
        <v>2181</v>
      </c>
      <c r="AB18" s="17">
        <v>2298</v>
      </c>
      <c r="AC18" s="17">
        <v>2377</v>
      </c>
      <c r="AD18" s="17">
        <v>2385</v>
      </c>
      <c r="AE18" s="17">
        <v>2496</v>
      </c>
      <c r="AF18" s="17">
        <v>1670</v>
      </c>
      <c r="AG18" s="17">
        <v>2114</v>
      </c>
    </row>
    <row r="19" spans="1:33">
      <c r="A19" t="s">
        <v>406</v>
      </c>
      <c r="B19" s="17">
        <v>1562</v>
      </c>
      <c r="C19" s="17">
        <v>1453</v>
      </c>
      <c r="D19" s="17">
        <v>1483</v>
      </c>
      <c r="E19" s="17">
        <v>1529</v>
      </c>
      <c r="F19" s="17">
        <v>1599</v>
      </c>
      <c r="G19" s="17">
        <v>1638</v>
      </c>
      <c r="H19" s="17">
        <v>1686</v>
      </c>
      <c r="I19" s="17">
        <v>1747</v>
      </c>
      <c r="J19" s="17">
        <v>1701</v>
      </c>
      <c r="K19" s="17">
        <v>1853</v>
      </c>
      <c r="L19" s="17">
        <v>1981</v>
      </c>
      <c r="M19" s="17">
        <v>1771</v>
      </c>
      <c r="N19" s="17">
        <v>1725</v>
      </c>
      <c r="O19" s="17">
        <v>1747</v>
      </c>
      <c r="P19" s="17">
        <v>1775</v>
      </c>
      <c r="Q19" s="17">
        <v>1887</v>
      </c>
      <c r="R19" s="17">
        <v>1948</v>
      </c>
      <c r="S19" s="17">
        <v>1986</v>
      </c>
      <c r="T19" s="17">
        <v>1809</v>
      </c>
      <c r="U19" s="17">
        <v>1699</v>
      </c>
      <c r="V19" s="17">
        <v>1611</v>
      </c>
      <c r="W19" s="17">
        <v>1629</v>
      </c>
      <c r="X19" s="17">
        <v>1611</v>
      </c>
      <c r="Y19" s="17">
        <v>1624</v>
      </c>
      <c r="Z19" s="17">
        <v>1638</v>
      </c>
      <c r="AA19" s="17">
        <v>1692</v>
      </c>
      <c r="AB19" s="17">
        <v>1711</v>
      </c>
      <c r="AC19" s="17">
        <v>1819</v>
      </c>
      <c r="AD19" s="17">
        <v>1843</v>
      </c>
      <c r="AE19" s="17">
        <v>1944</v>
      </c>
      <c r="AF19" s="17">
        <v>1298</v>
      </c>
      <c r="AG19" s="17">
        <v>1691</v>
      </c>
    </row>
    <row r="20" spans="1:33">
      <c r="A20" t="s">
        <v>407</v>
      </c>
      <c r="B20">
        <v>532</v>
      </c>
      <c r="C20">
        <v>428</v>
      </c>
      <c r="D20">
        <v>457</v>
      </c>
      <c r="E20">
        <v>445</v>
      </c>
      <c r="F20">
        <v>517</v>
      </c>
      <c r="G20">
        <v>445</v>
      </c>
      <c r="H20">
        <v>539</v>
      </c>
      <c r="I20">
        <v>506</v>
      </c>
      <c r="J20">
        <v>599</v>
      </c>
      <c r="K20">
        <v>517</v>
      </c>
      <c r="L20">
        <v>419</v>
      </c>
      <c r="M20">
        <v>528</v>
      </c>
      <c r="N20">
        <v>549</v>
      </c>
      <c r="O20">
        <v>441</v>
      </c>
      <c r="P20">
        <v>507</v>
      </c>
      <c r="Q20">
        <v>477</v>
      </c>
      <c r="R20">
        <v>344</v>
      </c>
      <c r="S20">
        <v>270</v>
      </c>
      <c r="T20">
        <v>356</v>
      </c>
      <c r="U20">
        <v>236</v>
      </c>
      <c r="V20">
        <v>309</v>
      </c>
      <c r="W20">
        <v>252</v>
      </c>
      <c r="X20">
        <v>220</v>
      </c>
      <c r="Y20">
        <v>271</v>
      </c>
      <c r="Z20">
        <v>236</v>
      </c>
      <c r="AA20">
        <v>314</v>
      </c>
      <c r="AB20">
        <v>426</v>
      </c>
      <c r="AC20">
        <v>399</v>
      </c>
      <c r="AD20">
        <v>389</v>
      </c>
      <c r="AE20">
        <v>398</v>
      </c>
      <c r="AF20">
        <v>224</v>
      </c>
      <c r="AG20">
        <v>265</v>
      </c>
    </row>
    <row r="21" spans="1:33">
      <c r="A21" t="s">
        <v>408</v>
      </c>
      <c r="B21">
        <v>494</v>
      </c>
      <c r="C21">
        <v>490</v>
      </c>
      <c r="D21">
        <v>401</v>
      </c>
      <c r="E21">
        <v>392</v>
      </c>
      <c r="F21">
        <v>356</v>
      </c>
      <c r="G21">
        <v>344</v>
      </c>
      <c r="H21">
        <v>329</v>
      </c>
      <c r="I21">
        <v>300</v>
      </c>
      <c r="J21">
        <v>306</v>
      </c>
      <c r="K21">
        <v>294</v>
      </c>
      <c r="L21">
        <v>299</v>
      </c>
      <c r="M21">
        <v>325</v>
      </c>
      <c r="N21">
        <v>291</v>
      </c>
      <c r="O21">
        <v>293</v>
      </c>
      <c r="P21">
        <v>301</v>
      </c>
      <c r="Q21">
        <v>257</v>
      </c>
      <c r="R21">
        <v>231</v>
      </c>
      <c r="S21">
        <v>228</v>
      </c>
      <c r="T21">
        <v>230</v>
      </c>
      <c r="U21">
        <v>198</v>
      </c>
      <c r="V21">
        <v>177</v>
      </c>
      <c r="W21">
        <v>148</v>
      </c>
      <c r="X21">
        <v>154</v>
      </c>
      <c r="Y21">
        <v>141</v>
      </c>
      <c r="Z21">
        <v>179</v>
      </c>
      <c r="AA21">
        <v>175</v>
      </c>
      <c r="AB21">
        <v>161</v>
      </c>
      <c r="AC21">
        <v>159</v>
      </c>
      <c r="AD21">
        <v>154</v>
      </c>
      <c r="AE21">
        <v>154</v>
      </c>
      <c r="AF21">
        <v>149</v>
      </c>
      <c r="AG21">
        <v>157</v>
      </c>
    </row>
    <row r="22" spans="1:33">
      <c r="A22" t="s">
        <v>183</v>
      </c>
      <c r="B22">
        <v>45</v>
      </c>
      <c r="C22">
        <v>42</v>
      </c>
      <c r="D22">
        <v>41</v>
      </c>
      <c r="E22">
        <v>38</v>
      </c>
      <c r="F22">
        <v>38</v>
      </c>
      <c r="G22">
        <v>40</v>
      </c>
      <c r="H22">
        <v>37</v>
      </c>
      <c r="I22">
        <v>40</v>
      </c>
      <c r="J22">
        <v>35</v>
      </c>
      <c r="K22">
        <v>39</v>
      </c>
      <c r="L22">
        <v>36</v>
      </c>
      <c r="M22">
        <v>35</v>
      </c>
      <c r="N22">
        <v>34</v>
      </c>
      <c r="O22">
        <v>30</v>
      </c>
      <c r="P22">
        <v>31</v>
      </c>
      <c r="Q22">
        <v>35</v>
      </c>
      <c r="R22">
        <v>33</v>
      </c>
      <c r="S22">
        <v>32</v>
      </c>
      <c r="T22">
        <v>28</v>
      </c>
      <c r="U22">
        <v>27</v>
      </c>
      <c r="V22">
        <v>27</v>
      </c>
      <c r="W22">
        <v>27</v>
      </c>
      <c r="X22">
        <v>25</v>
      </c>
      <c r="Y22">
        <v>22</v>
      </c>
      <c r="Z22">
        <v>22</v>
      </c>
      <c r="AA22">
        <v>21</v>
      </c>
      <c r="AB22">
        <v>20</v>
      </c>
      <c r="AC22">
        <v>21</v>
      </c>
      <c r="AD22">
        <v>22</v>
      </c>
      <c r="AE22">
        <v>23</v>
      </c>
      <c r="AF22">
        <v>20</v>
      </c>
      <c r="AG22">
        <v>22</v>
      </c>
    </row>
    <row r="23" spans="1:33">
      <c r="A23" t="s">
        <v>407</v>
      </c>
      <c r="B23">
        <v>45</v>
      </c>
      <c r="C23">
        <v>42</v>
      </c>
      <c r="D23">
        <v>41</v>
      </c>
      <c r="E23">
        <v>38</v>
      </c>
      <c r="F23">
        <v>38</v>
      </c>
      <c r="G23">
        <v>40</v>
      </c>
      <c r="H23">
        <v>37</v>
      </c>
      <c r="I23">
        <v>40</v>
      </c>
      <c r="J23">
        <v>35</v>
      </c>
      <c r="K23">
        <v>39</v>
      </c>
      <c r="L23">
        <v>36</v>
      </c>
      <c r="M23">
        <v>35</v>
      </c>
      <c r="N23">
        <v>34</v>
      </c>
      <c r="O23">
        <v>30</v>
      </c>
      <c r="P23">
        <v>31</v>
      </c>
      <c r="Q23">
        <v>35</v>
      </c>
      <c r="R23">
        <v>33</v>
      </c>
      <c r="S23">
        <v>32</v>
      </c>
      <c r="T23">
        <v>28</v>
      </c>
      <c r="U23">
        <v>27</v>
      </c>
      <c r="V23">
        <v>27</v>
      </c>
      <c r="W23">
        <v>27</v>
      </c>
      <c r="X23">
        <v>25</v>
      </c>
      <c r="Y23">
        <v>22</v>
      </c>
      <c r="Z23">
        <v>22</v>
      </c>
      <c r="AA23">
        <v>21</v>
      </c>
      <c r="AB23">
        <v>20</v>
      </c>
      <c r="AC23">
        <v>21</v>
      </c>
      <c r="AD23">
        <v>22</v>
      </c>
      <c r="AE23">
        <v>23</v>
      </c>
      <c r="AF23">
        <v>20</v>
      </c>
      <c r="AG23">
        <v>22</v>
      </c>
    </row>
    <row r="24" spans="1:33">
      <c r="A24" t="s">
        <v>409</v>
      </c>
      <c r="B24">
        <v>300</v>
      </c>
      <c r="C24">
        <v>224</v>
      </c>
      <c r="D24">
        <v>400</v>
      </c>
      <c r="E24">
        <v>368</v>
      </c>
      <c r="F24">
        <v>358</v>
      </c>
      <c r="G24">
        <v>387</v>
      </c>
      <c r="H24">
        <v>315</v>
      </c>
      <c r="I24">
        <v>137</v>
      </c>
      <c r="J24">
        <v>79</v>
      </c>
      <c r="K24">
        <v>176</v>
      </c>
      <c r="L24">
        <v>443</v>
      </c>
      <c r="M24">
        <v>159</v>
      </c>
      <c r="N24">
        <v>228</v>
      </c>
      <c r="O24">
        <v>99</v>
      </c>
      <c r="P24">
        <v>186</v>
      </c>
      <c r="Q24">
        <v>256</v>
      </c>
      <c r="R24">
        <v>306</v>
      </c>
      <c r="S24">
        <v>386</v>
      </c>
      <c r="T24">
        <v>271</v>
      </c>
      <c r="U24">
        <v>186</v>
      </c>
      <c r="V24">
        <v>272</v>
      </c>
      <c r="W24">
        <v>258</v>
      </c>
      <c r="X24">
        <v>211</v>
      </c>
      <c r="Y24">
        <v>201</v>
      </c>
      <c r="Z24">
        <v>77</v>
      </c>
      <c r="AA24">
        <v>57</v>
      </c>
      <c r="AB24">
        <v>172</v>
      </c>
      <c r="AC24">
        <v>219</v>
      </c>
      <c r="AD24">
        <v>186</v>
      </c>
      <c r="AE24">
        <v>193</v>
      </c>
      <c r="AF24">
        <v>97</v>
      </c>
      <c r="AG24">
        <v>318</v>
      </c>
    </row>
    <row r="25" spans="1:33">
      <c r="A25" t="s">
        <v>403</v>
      </c>
      <c r="B25">
        <v>300</v>
      </c>
      <c r="C25">
        <v>224</v>
      </c>
      <c r="D25">
        <v>400</v>
      </c>
      <c r="E25">
        <v>368</v>
      </c>
      <c r="F25">
        <v>358</v>
      </c>
      <c r="G25">
        <v>387</v>
      </c>
      <c r="H25">
        <v>315</v>
      </c>
      <c r="I25">
        <v>137</v>
      </c>
      <c r="J25">
        <v>79</v>
      </c>
      <c r="K25">
        <v>176</v>
      </c>
      <c r="L25">
        <v>443</v>
      </c>
      <c r="M25">
        <v>159</v>
      </c>
      <c r="N25">
        <v>228</v>
      </c>
      <c r="O25">
        <v>99</v>
      </c>
      <c r="P25">
        <v>186</v>
      </c>
      <c r="Q25">
        <v>256</v>
      </c>
      <c r="R25">
        <v>306</v>
      </c>
      <c r="S25">
        <v>386</v>
      </c>
      <c r="T25">
        <v>271</v>
      </c>
      <c r="U25">
        <v>186</v>
      </c>
      <c r="V25">
        <v>272</v>
      </c>
      <c r="W25">
        <v>258</v>
      </c>
      <c r="X25">
        <v>211</v>
      </c>
      <c r="Y25">
        <v>201</v>
      </c>
      <c r="Z25">
        <v>77</v>
      </c>
      <c r="AA25">
        <v>57</v>
      </c>
      <c r="AB25">
        <v>172</v>
      </c>
      <c r="AC25">
        <v>219</v>
      </c>
      <c r="AD25">
        <v>186</v>
      </c>
      <c r="AE25">
        <v>193</v>
      </c>
      <c r="AF25">
        <v>97</v>
      </c>
      <c r="AG25">
        <v>318</v>
      </c>
    </row>
    <row r="26" spans="1:33">
      <c r="A26" t="s">
        <v>410</v>
      </c>
      <c r="B26">
        <v>679</v>
      </c>
      <c r="C26">
        <v>620</v>
      </c>
      <c r="D26">
        <v>608</v>
      </c>
      <c r="E26">
        <v>644</v>
      </c>
      <c r="F26">
        <v>709</v>
      </c>
      <c r="G26">
        <v>724</v>
      </c>
      <c r="H26">
        <v>737</v>
      </c>
      <c r="I26">
        <v>780</v>
      </c>
      <c r="J26">
        <v>666</v>
      </c>
      <c r="K26">
        <v>675</v>
      </c>
      <c r="L26">
        <v>672</v>
      </c>
      <c r="M26">
        <v>658</v>
      </c>
      <c r="N26">
        <v>699</v>
      </c>
      <c r="O26">
        <v>627</v>
      </c>
      <c r="P26">
        <v>602</v>
      </c>
      <c r="Q26">
        <v>624</v>
      </c>
      <c r="R26">
        <v>625</v>
      </c>
      <c r="S26">
        <v>663</v>
      </c>
      <c r="T26">
        <v>692</v>
      </c>
      <c r="U26">
        <v>715</v>
      </c>
      <c r="V26">
        <v>719</v>
      </c>
      <c r="W26">
        <v>734</v>
      </c>
      <c r="X26">
        <v>780</v>
      </c>
      <c r="Y26">
        <v>887</v>
      </c>
      <c r="Z26">
        <v>760</v>
      </c>
      <c r="AA26">
        <v>745</v>
      </c>
      <c r="AB26">
        <v>757</v>
      </c>
      <c r="AC26">
        <v>799</v>
      </c>
      <c r="AD26">
        <v>962</v>
      </c>
      <c r="AE26" s="17">
        <v>1114</v>
      </c>
      <c r="AF26" s="17">
        <v>1109</v>
      </c>
      <c r="AG26" s="17">
        <v>1230</v>
      </c>
    </row>
    <row r="27" spans="1:33">
      <c r="A27" t="s">
        <v>395</v>
      </c>
      <c r="B27" t="s">
        <v>411</v>
      </c>
      <c r="C27" t="s">
        <v>411</v>
      </c>
      <c r="D27" t="s">
        <v>411</v>
      </c>
      <c r="E27" t="s">
        <v>411</v>
      </c>
      <c r="F27" t="s">
        <v>411</v>
      </c>
      <c r="G27" t="s">
        <v>411</v>
      </c>
      <c r="H27" t="s">
        <v>411</v>
      </c>
      <c r="I27" t="s">
        <v>411</v>
      </c>
      <c r="J27" t="s">
        <v>411</v>
      </c>
      <c r="K27">
        <v>0</v>
      </c>
      <c r="L27">
        <v>0.1</v>
      </c>
      <c r="M27">
        <v>0</v>
      </c>
      <c r="N27">
        <v>0</v>
      </c>
      <c r="O27">
        <v>0</v>
      </c>
      <c r="P27">
        <v>0</v>
      </c>
      <c r="Q27">
        <v>0.3</v>
      </c>
      <c r="R27">
        <v>0.2</v>
      </c>
      <c r="S27">
        <v>0.2</v>
      </c>
      <c r="T27">
        <v>0.1</v>
      </c>
      <c r="U27">
        <v>0.1</v>
      </c>
      <c r="V27">
        <v>0.1</v>
      </c>
      <c r="W27">
        <v>0.1</v>
      </c>
      <c r="X27">
        <v>0.1</v>
      </c>
      <c r="Y27">
        <v>0.1</v>
      </c>
      <c r="Z27">
        <v>0.1</v>
      </c>
      <c r="AA27">
        <v>0.1</v>
      </c>
      <c r="AB27">
        <v>0.1</v>
      </c>
      <c r="AC27">
        <v>0.1</v>
      </c>
      <c r="AD27">
        <v>0.1</v>
      </c>
      <c r="AE27">
        <v>0.1</v>
      </c>
      <c r="AF27" t="s">
        <v>411</v>
      </c>
      <c r="AG27" t="s">
        <v>411</v>
      </c>
    </row>
    <row r="28" spans="1:33">
      <c r="A28" t="s">
        <v>396</v>
      </c>
      <c r="B28" t="s">
        <v>411</v>
      </c>
      <c r="C28" t="s">
        <v>411</v>
      </c>
      <c r="D28" t="s">
        <v>411</v>
      </c>
      <c r="E28" t="s">
        <v>411</v>
      </c>
      <c r="F28" t="s">
        <v>411</v>
      </c>
      <c r="G28" t="s">
        <v>411</v>
      </c>
      <c r="H28" t="s">
        <v>411</v>
      </c>
      <c r="I28" t="s">
        <v>411</v>
      </c>
      <c r="J28">
        <v>0</v>
      </c>
      <c r="K28">
        <v>0</v>
      </c>
      <c r="L28">
        <v>0.4</v>
      </c>
      <c r="M28">
        <v>1</v>
      </c>
      <c r="N28">
        <v>1</v>
      </c>
      <c r="O28">
        <v>1</v>
      </c>
      <c r="P28">
        <v>1</v>
      </c>
      <c r="Q28">
        <v>0.6</v>
      </c>
      <c r="R28">
        <v>0.6</v>
      </c>
      <c r="S28">
        <v>0.5</v>
      </c>
      <c r="T28">
        <v>0.3</v>
      </c>
      <c r="U28">
        <v>0.2</v>
      </c>
      <c r="V28">
        <v>0.2</v>
      </c>
      <c r="W28">
        <v>0.2</v>
      </c>
      <c r="X28">
        <v>0.2</v>
      </c>
      <c r="Y28">
        <v>0.2</v>
      </c>
      <c r="Z28">
        <v>0.2</v>
      </c>
      <c r="AA28">
        <v>0.2</v>
      </c>
      <c r="AB28">
        <v>0.2</v>
      </c>
      <c r="AC28">
        <v>0.2</v>
      </c>
      <c r="AD28">
        <v>0.2</v>
      </c>
      <c r="AE28">
        <v>0.2</v>
      </c>
      <c r="AF28">
        <v>0.2</v>
      </c>
      <c r="AG28">
        <v>0.2</v>
      </c>
    </row>
    <row r="29" spans="1:33">
      <c r="A29" t="s">
        <v>399</v>
      </c>
      <c r="B29" t="s">
        <v>411</v>
      </c>
      <c r="C29" t="s">
        <v>411</v>
      </c>
      <c r="D29">
        <v>0</v>
      </c>
      <c r="E29">
        <v>0</v>
      </c>
      <c r="F29">
        <v>0</v>
      </c>
      <c r="G29">
        <v>0</v>
      </c>
      <c r="H29">
        <v>1</v>
      </c>
      <c r="I29">
        <v>1</v>
      </c>
      <c r="J29">
        <v>1</v>
      </c>
      <c r="K29">
        <v>1</v>
      </c>
      <c r="L29">
        <v>1</v>
      </c>
      <c r="M29">
        <v>1</v>
      </c>
      <c r="N29">
        <v>1</v>
      </c>
      <c r="O29">
        <v>2</v>
      </c>
      <c r="P29">
        <v>1</v>
      </c>
      <c r="Q29">
        <v>1.5</v>
      </c>
      <c r="R29">
        <v>1.6</v>
      </c>
      <c r="S29">
        <v>1.4</v>
      </c>
      <c r="T29">
        <v>1.3</v>
      </c>
      <c r="U29">
        <v>1</v>
      </c>
      <c r="V29">
        <v>1</v>
      </c>
      <c r="W29">
        <v>1</v>
      </c>
      <c r="X29">
        <v>1.1000000000000001</v>
      </c>
      <c r="Y29">
        <v>1.3</v>
      </c>
      <c r="Z29">
        <v>1.5</v>
      </c>
      <c r="AA29">
        <v>1.5</v>
      </c>
      <c r="AB29">
        <v>1.8</v>
      </c>
      <c r="AC29">
        <v>1.8</v>
      </c>
      <c r="AD29">
        <v>1.9</v>
      </c>
      <c r="AE29">
        <v>1.9</v>
      </c>
      <c r="AF29">
        <v>1.9</v>
      </c>
      <c r="AG29">
        <v>2.2000000000000002</v>
      </c>
    </row>
    <row r="30" spans="1:33">
      <c r="A30" t="s">
        <v>398</v>
      </c>
      <c r="B30">
        <v>0</v>
      </c>
      <c r="C30">
        <v>0</v>
      </c>
      <c r="D30">
        <v>1</v>
      </c>
      <c r="E30">
        <v>1</v>
      </c>
      <c r="F30">
        <v>2</v>
      </c>
      <c r="G30">
        <v>2</v>
      </c>
      <c r="H30">
        <v>2</v>
      </c>
      <c r="I30">
        <v>3</v>
      </c>
      <c r="J30">
        <v>3</v>
      </c>
      <c r="K30">
        <v>3</v>
      </c>
      <c r="L30">
        <v>4</v>
      </c>
      <c r="M30">
        <v>4</v>
      </c>
      <c r="N30">
        <v>5</v>
      </c>
      <c r="O30">
        <v>5</v>
      </c>
      <c r="P30">
        <v>6</v>
      </c>
      <c r="Q30">
        <v>6</v>
      </c>
      <c r="R30">
        <v>7</v>
      </c>
      <c r="S30">
        <v>7</v>
      </c>
      <c r="T30">
        <v>7</v>
      </c>
      <c r="U30">
        <v>6</v>
      </c>
      <c r="V30">
        <v>6</v>
      </c>
      <c r="W30">
        <v>6</v>
      </c>
      <c r="X30">
        <v>7</v>
      </c>
      <c r="Y30">
        <v>7</v>
      </c>
      <c r="Z30">
        <v>8</v>
      </c>
      <c r="AA30">
        <v>8</v>
      </c>
      <c r="AB30">
        <v>9</v>
      </c>
      <c r="AC30">
        <v>10</v>
      </c>
      <c r="AD30">
        <v>10</v>
      </c>
      <c r="AE30">
        <v>11</v>
      </c>
      <c r="AF30">
        <v>11</v>
      </c>
      <c r="AG30">
        <v>14</v>
      </c>
    </row>
    <row r="31" spans="1:33">
      <c r="A31" t="s">
        <v>412</v>
      </c>
      <c r="B31">
        <v>679</v>
      </c>
      <c r="C31">
        <v>620</v>
      </c>
      <c r="D31">
        <v>607</v>
      </c>
      <c r="E31">
        <v>643</v>
      </c>
      <c r="F31">
        <v>707</v>
      </c>
      <c r="G31">
        <v>722</v>
      </c>
      <c r="H31">
        <v>734</v>
      </c>
      <c r="I31">
        <v>777</v>
      </c>
      <c r="J31">
        <v>662</v>
      </c>
      <c r="K31">
        <v>671</v>
      </c>
      <c r="L31">
        <v>666</v>
      </c>
      <c r="M31">
        <v>652</v>
      </c>
      <c r="N31">
        <v>692</v>
      </c>
      <c r="O31">
        <v>619</v>
      </c>
      <c r="P31">
        <v>594</v>
      </c>
      <c r="Q31">
        <v>615</v>
      </c>
      <c r="R31">
        <v>616</v>
      </c>
      <c r="S31">
        <v>654</v>
      </c>
      <c r="T31">
        <v>684</v>
      </c>
      <c r="U31">
        <v>707</v>
      </c>
      <c r="V31">
        <v>712</v>
      </c>
      <c r="W31">
        <v>726</v>
      </c>
      <c r="X31">
        <v>772</v>
      </c>
      <c r="Y31">
        <v>879</v>
      </c>
      <c r="Z31">
        <v>750</v>
      </c>
      <c r="AA31">
        <v>735</v>
      </c>
      <c r="AB31">
        <v>746</v>
      </c>
      <c r="AC31">
        <v>787</v>
      </c>
      <c r="AD31">
        <v>950</v>
      </c>
      <c r="AE31" s="17">
        <v>1101</v>
      </c>
      <c r="AF31" s="17">
        <v>1095</v>
      </c>
      <c r="AG31" s="17">
        <v>1214</v>
      </c>
    </row>
    <row r="32" spans="1:33">
      <c r="A32" t="s">
        <v>413</v>
      </c>
      <c r="B32">
        <v>23</v>
      </c>
      <c r="C32">
        <v>21</v>
      </c>
      <c r="D32">
        <v>19</v>
      </c>
      <c r="E32">
        <v>20</v>
      </c>
      <c r="F32">
        <v>34</v>
      </c>
      <c r="G32">
        <v>18</v>
      </c>
      <c r="H32">
        <v>16</v>
      </c>
      <c r="I32">
        <v>14</v>
      </c>
      <c r="J32">
        <v>18</v>
      </c>
      <c r="K32">
        <v>14</v>
      </c>
      <c r="L32">
        <v>12</v>
      </c>
      <c r="M32">
        <v>14</v>
      </c>
      <c r="N32">
        <v>14</v>
      </c>
      <c r="O32">
        <v>18</v>
      </c>
      <c r="P32">
        <v>19</v>
      </c>
      <c r="Q32">
        <v>28</v>
      </c>
      <c r="R32">
        <v>28</v>
      </c>
      <c r="S32">
        <v>22</v>
      </c>
      <c r="T32">
        <v>40</v>
      </c>
      <c r="U32">
        <v>28</v>
      </c>
      <c r="V32">
        <v>4</v>
      </c>
      <c r="W32">
        <v>5</v>
      </c>
      <c r="X32">
        <v>4</v>
      </c>
      <c r="Y32">
        <v>5</v>
      </c>
      <c r="Z32">
        <v>6</v>
      </c>
      <c r="AA32">
        <v>8</v>
      </c>
      <c r="AB32">
        <v>9</v>
      </c>
      <c r="AC32">
        <v>9</v>
      </c>
      <c r="AD32">
        <v>9</v>
      </c>
      <c r="AE32">
        <v>9</v>
      </c>
      <c r="AF32">
        <v>5</v>
      </c>
      <c r="AG32">
        <v>5</v>
      </c>
    </row>
    <row r="33" spans="1:33">
      <c r="A33" t="s">
        <v>395</v>
      </c>
      <c r="B33">
        <v>0.1</v>
      </c>
      <c r="C33">
        <v>0.1</v>
      </c>
      <c r="D33">
        <v>0.1</v>
      </c>
      <c r="E33">
        <v>0.1</v>
      </c>
      <c r="F33">
        <v>0.2</v>
      </c>
      <c r="G33">
        <v>0.1</v>
      </c>
      <c r="H33">
        <v>0.1</v>
      </c>
      <c r="I33">
        <v>0.1</v>
      </c>
      <c r="J33">
        <v>0.1</v>
      </c>
      <c r="K33">
        <v>0.1</v>
      </c>
      <c r="L33">
        <v>0.1</v>
      </c>
      <c r="M33">
        <v>0.1</v>
      </c>
      <c r="N33">
        <v>0.1</v>
      </c>
      <c r="O33">
        <v>0.1</v>
      </c>
      <c r="P33">
        <v>0.2</v>
      </c>
      <c r="Q33">
        <v>0.1</v>
      </c>
      <c r="R33">
        <v>0.2</v>
      </c>
      <c r="S33">
        <v>0.1</v>
      </c>
      <c r="T33">
        <v>0.1</v>
      </c>
      <c r="U33">
        <v>0.2</v>
      </c>
      <c r="V33" t="s">
        <v>411</v>
      </c>
      <c r="W33" t="s">
        <v>411</v>
      </c>
      <c r="X33" t="s">
        <v>411</v>
      </c>
      <c r="Y33" t="s">
        <v>411</v>
      </c>
      <c r="Z33" t="s">
        <v>411</v>
      </c>
      <c r="AA33" t="s">
        <v>411</v>
      </c>
      <c r="AB33" t="s">
        <v>411</v>
      </c>
      <c r="AC33" t="s">
        <v>411</v>
      </c>
      <c r="AD33" t="s">
        <v>411</v>
      </c>
      <c r="AE33" t="s">
        <v>411</v>
      </c>
      <c r="AF33" t="s">
        <v>411</v>
      </c>
      <c r="AG33" t="s">
        <v>411</v>
      </c>
    </row>
    <row r="34" spans="1:33">
      <c r="A34" t="s">
        <v>396</v>
      </c>
      <c r="B34">
        <v>3</v>
      </c>
      <c r="C34">
        <v>3</v>
      </c>
      <c r="D34">
        <v>3</v>
      </c>
      <c r="E34">
        <v>3</v>
      </c>
      <c r="F34">
        <v>6</v>
      </c>
      <c r="G34">
        <v>3</v>
      </c>
      <c r="H34">
        <v>3</v>
      </c>
      <c r="I34">
        <v>2</v>
      </c>
      <c r="J34">
        <v>3</v>
      </c>
      <c r="K34">
        <v>2</v>
      </c>
      <c r="L34">
        <v>2</v>
      </c>
      <c r="M34">
        <v>2</v>
      </c>
      <c r="N34">
        <v>2</v>
      </c>
      <c r="O34">
        <v>3</v>
      </c>
      <c r="P34">
        <v>3</v>
      </c>
      <c r="Q34">
        <v>5</v>
      </c>
      <c r="R34">
        <v>5</v>
      </c>
      <c r="S34">
        <v>3</v>
      </c>
      <c r="T34">
        <v>4</v>
      </c>
      <c r="U34">
        <v>5</v>
      </c>
      <c r="V34">
        <v>1</v>
      </c>
      <c r="W34">
        <v>1</v>
      </c>
      <c r="X34">
        <v>0</v>
      </c>
      <c r="Y34">
        <v>0</v>
      </c>
      <c r="Z34">
        <v>1</v>
      </c>
      <c r="AA34">
        <v>1</v>
      </c>
      <c r="AB34">
        <v>1</v>
      </c>
      <c r="AC34">
        <v>1</v>
      </c>
      <c r="AD34">
        <v>1</v>
      </c>
      <c r="AE34">
        <v>1</v>
      </c>
      <c r="AF34">
        <v>1</v>
      </c>
      <c r="AG34">
        <v>1</v>
      </c>
    </row>
    <row r="35" spans="1:33">
      <c r="A35" t="s">
        <v>399</v>
      </c>
      <c r="B35">
        <v>17</v>
      </c>
      <c r="C35">
        <v>15</v>
      </c>
      <c r="D35">
        <v>14</v>
      </c>
      <c r="E35">
        <v>14</v>
      </c>
      <c r="F35">
        <v>24</v>
      </c>
      <c r="G35">
        <v>12</v>
      </c>
      <c r="H35">
        <v>11</v>
      </c>
      <c r="I35">
        <v>10</v>
      </c>
      <c r="J35">
        <v>12</v>
      </c>
      <c r="K35">
        <v>10</v>
      </c>
      <c r="L35">
        <v>8</v>
      </c>
      <c r="M35">
        <v>10</v>
      </c>
      <c r="N35">
        <v>10</v>
      </c>
      <c r="O35">
        <v>13</v>
      </c>
      <c r="P35">
        <v>12</v>
      </c>
      <c r="Q35">
        <v>18</v>
      </c>
      <c r="R35">
        <v>17</v>
      </c>
      <c r="S35">
        <v>13</v>
      </c>
      <c r="T35">
        <v>27</v>
      </c>
      <c r="U35">
        <v>17</v>
      </c>
      <c r="V35">
        <v>3</v>
      </c>
      <c r="W35">
        <v>3</v>
      </c>
      <c r="X35">
        <v>4</v>
      </c>
      <c r="Y35">
        <v>4</v>
      </c>
      <c r="Z35">
        <v>4</v>
      </c>
      <c r="AA35">
        <v>6</v>
      </c>
      <c r="AB35">
        <v>6</v>
      </c>
      <c r="AC35">
        <v>7</v>
      </c>
      <c r="AD35">
        <v>7</v>
      </c>
      <c r="AE35">
        <v>6</v>
      </c>
      <c r="AF35">
        <v>3</v>
      </c>
      <c r="AG35">
        <v>4</v>
      </c>
    </row>
    <row r="36" spans="1:33">
      <c r="A36" t="s">
        <v>398</v>
      </c>
      <c r="B36">
        <v>3</v>
      </c>
      <c r="C36">
        <v>3</v>
      </c>
      <c r="D36">
        <v>2</v>
      </c>
      <c r="E36">
        <v>3</v>
      </c>
      <c r="F36">
        <v>5</v>
      </c>
      <c r="G36">
        <v>2</v>
      </c>
      <c r="H36">
        <v>2.2000000000000002</v>
      </c>
      <c r="I36">
        <v>2.1</v>
      </c>
      <c r="J36">
        <v>2.6</v>
      </c>
      <c r="K36">
        <v>2.2000000000000002</v>
      </c>
      <c r="L36">
        <v>1.7</v>
      </c>
      <c r="M36">
        <v>2</v>
      </c>
      <c r="N36">
        <v>2</v>
      </c>
      <c r="O36">
        <v>2</v>
      </c>
      <c r="P36">
        <v>4</v>
      </c>
      <c r="Q36">
        <v>5</v>
      </c>
      <c r="R36">
        <v>5</v>
      </c>
      <c r="S36">
        <v>5</v>
      </c>
      <c r="T36">
        <v>9</v>
      </c>
      <c r="U36">
        <v>6</v>
      </c>
      <c r="V36">
        <v>1</v>
      </c>
      <c r="W36">
        <v>0</v>
      </c>
      <c r="X36">
        <v>0</v>
      </c>
      <c r="Y36">
        <v>1</v>
      </c>
      <c r="Z36">
        <v>1</v>
      </c>
      <c r="AA36">
        <v>1</v>
      </c>
      <c r="AB36">
        <v>2</v>
      </c>
      <c r="AC36">
        <v>2</v>
      </c>
      <c r="AD36">
        <v>1</v>
      </c>
      <c r="AE36">
        <v>1</v>
      </c>
      <c r="AF36">
        <v>0</v>
      </c>
      <c r="AG36">
        <v>0</v>
      </c>
    </row>
    <row r="37" spans="1:33">
      <c r="A37" t="s">
        <v>414</v>
      </c>
      <c r="B37">
        <v>16</v>
      </c>
      <c r="C37">
        <v>16</v>
      </c>
      <c r="D37">
        <v>16</v>
      </c>
      <c r="E37">
        <v>16</v>
      </c>
      <c r="F37">
        <v>17</v>
      </c>
      <c r="G37">
        <v>17</v>
      </c>
      <c r="H37">
        <v>17</v>
      </c>
      <c r="I37">
        <v>17</v>
      </c>
      <c r="J37">
        <v>17</v>
      </c>
      <c r="K37">
        <v>17</v>
      </c>
      <c r="L37">
        <v>18</v>
      </c>
      <c r="M37">
        <v>20</v>
      </c>
      <c r="N37">
        <v>19</v>
      </c>
      <c r="O37">
        <v>23</v>
      </c>
      <c r="P37">
        <v>25</v>
      </c>
      <c r="Q37">
        <v>26</v>
      </c>
      <c r="R37">
        <v>25</v>
      </c>
      <c r="S37">
        <v>28</v>
      </c>
      <c r="T37">
        <v>26</v>
      </c>
      <c r="U37">
        <v>27</v>
      </c>
      <c r="V37">
        <v>26</v>
      </c>
      <c r="W37">
        <v>26</v>
      </c>
      <c r="X37">
        <v>26</v>
      </c>
      <c r="Y37">
        <v>28</v>
      </c>
      <c r="Z37">
        <v>29</v>
      </c>
      <c r="AA37">
        <v>30</v>
      </c>
      <c r="AB37">
        <v>31</v>
      </c>
      <c r="AC37">
        <v>33</v>
      </c>
      <c r="AD37">
        <v>37</v>
      </c>
      <c r="AE37">
        <v>40</v>
      </c>
      <c r="AF37">
        <v>38</v>
      </c>
      <c r="AG37">
        <v>44</v>
      </c>
    </row>
    <row r="38" spans="1:33">
      <c r="A38" t="s">
        <v>354</v>
      </c>
      <c r="B38" t="s">
        <v>411</v>
      </c>
      <c r="C38" t="s">
        <v>411</v>
      </c>
      <c r="D38" t="s">
        <v>411</v>
      </c>
      <c r="E38" t="s">
        <v>411</v>
      </c>
      <c r="F38" t="s">
        <v>411</v>
      </c>
      <c r="G38" t="s">
        <v>411</v>
      </c>
      <c r="H38" t="s">
        <v>411</v>
      </c>
      <c r="I38" t="s">
        <v>411</v>
      </c>
      <c r="J38" t="s">
        <v>411</v>
      </c>
      <c r="K38" t="s">
        <v>411</v>
      </c>
      <c r="L38" t="s">
        <v>411</v>
      </c>
      <c r="M38" t="s">
        <v>411</v>
      </c>
      <c r="N38" t="s">
        <v>411</v>
      </c>
      <c r="O38" t="s">
        <v>411</v>
      </c>
      <c r="P38" t="s">
        <v>411</v>
      </c>
      <c r="Q38" t="s">
        <v>411</v>
      </c>
      <c r="R38" t="s">
        <v>411</v>
      </c>
      <c r="S38" t="s">
        <v>411</v>
      </c>
      <c r="T38" t="s">
        <v>411</v>
      </c>
      <c r="U38" t="s">
        <v>411</v>
      </c>
      <c r="V38">
        <v>0.1</v>
      </c>
      <c r="W38">
        <v>0.3</v>
      </c>
      <c r="X38">
        <v>0.7</v>
      </c>
      <c r="Y38">
        <v>1.5</v>
      </c>
      <c r="Z38">
        <v>2.5</v>
      </c>
      <c r="AA38">
        <v>3.7</v>
      </c>
      <c r="AB38">
        <v>4.9000000000000004</v>
      </c>
      <c r="AC38">
        <v>6.3</v>
      </c>
      <c r="AD38">
        <v>9.3000000000000007</v>
      </c>
      <c r="AE38">
        <v>12.1</v>
      </c>
      <c r="AF38">
        <v>12</v>
      </c>
      <c r="AG38">
        <v>15.5</v>
      </c>
    </row>
    <row r="39" spans="1:33">
      <c r="A39" t="s">
        <v>355</v>
      </c>
      <c r="B39" t="s">
        <v>411</v>
      </c>
      <c r="C39" t="s">
        <v>411</v>
      </c>
      <c r="D39" t="s">
        <v>411</v>
      </c>
      <c r="E39" t="s">
        <v>411</v>
      </c>
      <c r="F39" t="s">
        <v>411</v>
      </c>
      <c r="G39" t="s">
        <v>411</v>
      </c>
      <c r="H39" t="s">
        <v>411</v>
      </c>
      <c r="I39" t="s">
        <v>411</v>
      </c>
      <c r="J39" t="s">
        <v>411</v>
      </c>
      <c r="K39" t="s">
        <v>411</v>
      </c>
      <c r="L39" t="s">
        <v>411</v>
      </c>
      <c r="M39" t="s">
        <v>411</v>
      </c>
      <c r="N39" t="s">
        <v>411</v>
      </c>
      <c r="O39" t="s">
        <v>411</v>
      </c>
      <c r="P39" t="s">
        <v>411</v>
      </c>
      <c r="Q39" t="s">
        <v>411</v>
      </c>
      <c r="R39" t="s">
        <v>411</v>
      </c>
      <c r="S39" t="s">
        <v>411</v>
      </c>
      <c r="T39" t="s">
        <v>411</v>
      </c>
      <c r="U39" t="s">
        <v>411</v>
      </c>
      <c r="V39" t="s">
        <v>411</v>
      </c>
      <c r="W39" t="s">
        <v>411</v>
      </c>
      <c r="X39" t="s">
        <v>411</v>
      </c>
      <c r="Y39" t="s">
        <v>411</v>
      </c>
      <c r="Z39">
        <v>0.1</v>
      </c>
      <c r="AA39">
        <v>0.1</v>
      </c>
      <c r="AB39">
        <v>0.4</v>
      </c>
      <c r="AC39">
        <v>0.8</v>
      </c>
      <c r="AD39">
        <v>1.4</v>
      </c>
      <c r="AE39">
        <v>2</v>
      </c>
      <c r="AF39">
        <v>2.7</v>
      </c>
      <c r="AG39">
        <v>6.1</v>
      </c>
    </row>
    <row r="40" spans="1:33">
      <c r="A40" t="s">
        <v>157</v>
      </c>
      <c r="B40" t="s">
        <v>411</v>
      </c>
      <c r="C40" t="s">
        <v>411</v>
      </c>
      <c r="D40" t="s">
        <v>411</v>
      </c>
      <c r="E40" t="s">
        <v>411</v>
      </c>
      <c r="F40" t="s">
        <v>411</v>
      </c>
      <c r="G40" t="s">
        <v>411</v>
      </c>
      <c r="H40" t="s">
        <v>411</v>
      </c>
      <c r="I40" t="s">
        <v>411</v>
      </c>
      <c r="J40" t="s">
        <v>411</v>
      </c>
      <c r="K40" t="s">
        <v>411</v>
      </c>
      <c r="L40" t="s">
        <v>411</v>
      </c>
      <c r="M40" t="s">
        <v>411</v>
      </c>
      <c r="N40" t="s">
        <v>411</v>
      </c>
      <c r="O40" t="s">
        <v>411</v>
      </c>
      <c r="P40" t="s">
        <v>411</v>
      </c>
      <c r="Q40" t="s">
        <v>411</v>
      </c>
      <c r="R40" t="s">
        <v>411</v>
      </c>
      <c r="S40" t="s">
        <v>411</v>
      </c>
      <c r="T40" t="s">
        <v>411</v>
      </c>
      <c r="U40" t="s">
        <v>411</v>
      </c>
      <c r="V40" t="s">
        <v>411</v>
      </c>
      <c r="W40" t="s">
        <v>411</v>
      </c>
      <c r="X40" t="s">
        <v>411</v>
      </c>
      <c r="Y40" t="s">
        <v>411</v>
      </c>
      <c r="Z40" t="s">
        <v>411</v>
      </c>
      <c r="AA40" t="s">
        <v>411</v>
      </c>
      <c r="AB40">
        <v>0.1</v>
      </c>
      <c r="AC40">
        <v>0.1</v>
      </c>
      <c r="AD40">
        <v>0.3</v>
      </c>
      <c r="AE40">
        <v>0.4</v>
      </c>
      <c r="AF40">
        <v>0.5</v>
      </c>
      <c r="AG40">
        <v>0.7</v>
      </c>
    </row>
    <row r="41" spans="1:33">
      <c r="A41" t="s">
        <v>170</v>
      </c>
      <c r="B41">
        <v>16</v>
      </c>
      <c r="C41">
        <v>16</v>
      </c>
      <c r="D41">
        <v>16</v>
      </c>
      <c r="E41">
        <v>16</v>
      </c>
      <c r="F41">
        <v>17</v>
      </c>
      <c r="G41">
        <v>17</v>
      </c>
      <c r="H41">
        <v>17</v>
      </c>
      <c r="I41">
        <v>17</v>
      </c>
      <c r="J41">
        <v>17</v>
      </c>
      <c r="K41">
        <v>17</v>
      </c>
      <c r="L41">
        <v>18</v>
      </c>
      <c r="M41">
        <v>20</v>
      </c>
      <c r="N41">
        <v>19</v>
      </c>
      <c r="O41">
        <v>23</v>
      </c>
      <c r="P41">
        <v>25</v>
      </c>
      <c r="Q41">
        <v>26</v>
      </c>
      <c r="R41">
        <v>25</v>
      </c>
      <c r="S41">
        <v>28</v>
      </c>
      <c r="T41">
        <v>26</v>
      </c>
      <c r="U41">
        <v>27</v>
      </c>
      <c r="V41">
        <v>26</v>
      </c>
      <c r="W41">
        <v>26</v>
      </c>
      <c r="X41">
        <v>25</v>
      </c>
      <c r="Y41">
        <v>26</v>
      </c>
      <c r="Z41">
        <v>26</v>
      </c>
      <c r="AA41">
        <v>26</v>
      </c>
      <c r="AB41">
        <v>26</v>
      </c>
      <c r="AC41">
        <v>26</v>
      </c>
      <c r="AD41">
        <v>26</v>
      </c>
      <c r="AE41">
        <v>26</v>
      </c>
      <c r="AF41">
        <v>22</v>
      </c>
      <c r="AG41">
        <v>22</v>
      </c>
    </row>
    <row r="42" spans="1:33">
      <c r="A42" t="s">
        <v>138</v>
      </c>
      <c r="B42" s="17">
        <v>20670</v>
      </c>
      <c r="C42" s="17">
        <v>19997</v>
      </c>
      <c r="D42" s="17">
        <v>20716</v>
      </c>
      <c r="E42" s="17">
        <v>21193</v>
      </c>
      <c r="F42" s="17">
        <v>21895</v>
      </c>
      <c r="G42" s="17">
        <v>22269</v>
      </c>
      <c r="H42" s="17">
        <v>22880</v>
      </c>
      <c r="I42" s="17">
        <v>23120</v>
      </c>
      <c r="J42" s="17">
        <v>23578</v>
      </c>
      <c r="K42" s="17">
        <v>24547</v>
      </c>
      <c r="L42" s="17">
        <v>24986</v>
      </c>
      <c r="M42" s="17">
        <v>24698</v>
      </c>
      <c r="N42" s="17">
        <v>25250</v>
      </c>
      <c r="O42" s="17">
        <v>25155</v>
      </c>
      <c r="P42" s="17">
        <v>25744</v>
      </c>
      <c r="Q42" s="17">
        <v>26019</v>
      </c>
      <c r="R42" s="17">
        <v>25906</v>
      </c>
      <c r="S42" s="17">
        <v>25878</v>
      </c>
      <c r="T42" s="17">
        <v>24665</v>
      </c>
      <c r="U42" s="17">
        <v>23640</v>
      </c>
      <c r="V42" s="17">
        <v>23774</v>
      </c>
      <c r="W42" s="17">
        <v>23422</v>
      </c>
      <c r="X42" s="17">
        <v>23305</v>
      </c>
      <c r="Y42" s="17">
        <v>23517</v>
      </c>
      <c r="Z42" s="17">
        <v>24042</v>
      </c>
      <c r="AA42" s="17">
        <v>24194</v>
      </c>
      <c r="AB42" s="17">
        <v>24745</v>
      </c>
      <c r="AC42" s="17">
        <v>25049</v>
      </c>
      <c r="AD42" s="17">
        <v>25558</v>
      </c>
      <c r="AE42" s="17">
        <v>25650</v>
      </c>
      <c r="AF42" s="17">
        <v>22234</v>
      </c>
      <c r="AG42" s="17">
        <v>24771</v>
      </c>
    </row>
    <row r="43" spans="1:33">
      <c r="A43" t="s">
        <v>415</v>
      </c>
    </row>
    <row r="44" spans="1:33">
      <c r="A44" t="s">
        <v>416</v>
      </c>
    </row>
    <row r="45" spans="1:33">
      <c r="A45" t="s">
        <v>417</v>
      </c>
    </row>
    <row r="46" spans="1:33">
      <c r="A46" t="s">
        <v>418</v>
      </c>
    </row>
    <row r="47" spans="1:33">
      <c r="A47" t="s">
        <v>419</v>
      </c>
    </row>
    <row r="48" spans="1:33">
      <c r="A48" t="s">
        <v>420</v>
      </c>
    </row>
    <row r="49" spans="1:1">
      <c r="A49" t="s">
        <v>421</v>
      </c>
    </row>
    <row r="50" spans="1:1">
      <c r="A50" t="s">
        <v>422</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BBE71-503D-4FAA-A8ED-4EA334A30B10}">
  <dimension ref="A1:AJ4402"/>
  <sheetViews>
    <sheetView workbookViewId="0"/>
  </sheetViews>
  <sheetFormatPr defaultRowHeight="14.25"/>
  <cols>
    <col min="1" max="1" width="30.265625" customWidth="1"/>
  </cols>
  <sheetData>
    <row r="1" spans="1:36">
      <c r="A1" s="6"/>
      <c r="B1" s="19" t="s">
        <v>274</v>
      </c>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row>
    <row r="2" spans="1:36">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row>
    <row r="3" spans="1:36">
      <c r="A3" s="6"/>
      <c r="B3" s="6"/>
      <c r="C3" s="31" t="s">
        <v>107</v>
      </c>
      <c r="D3" s="31" t="s">
        <v>275</v>
      </c>
      <c r="E3" s="13"/>
      <c r="F3" s="13"/>
      <c r="G3" s="13"/>
      <c r="H3" s="6"/>
      <c r="I3" s="6"/>
      <c r="J3" s="6"/>
      <c r="K3" s="6"/>
      <c r="L3" s="6"/>
      <c r="M3" s="6"/>
      <c r="N3" s="6"/>
      <c r="O3" s="6"/>
      <c r="P3" s="6"/>
      <c r="Q3" s="6"/>
      <c r="R3" s="6"/>
      <c r="S3" s="6"/>
      <c r="T3" s="6"/>
      <c r="U3" s="6"/>
      <c r="V3" s="6"/>
      <c r="W3" s="6"/>
      <c r="X3" s="6"/>
      <c r="Y3" s="6"/>
      <c r="Z3" s="6"/>
      <c r="AA3" s="6"/>
      <c r="AB3" s="6"/>
      <c r="AC3" s="6"/>
      <c r="AD3" s="6"/>
      <c r="AE3" s="6"/>
      <c r="AF3" s="6"/>
      <c r="AG3" s="6"/>
    </row>
    <row r="4" spans="1:36">
      <c r="A4" s="6"/>
      <c r="B4" s="6"/>
      <c r="C4" s="31" t="s">
        <v>106</v>
      </c>
      <c r="D4" s="31" t="s">
        <v>276</v>
      </c>
      <c r="E4" s="13"/>
      <c r="F4" s="13"/>
      <c r="G4" s="31" t="s">
        <v>277</v>
      </c>
      <c r="H4" s="6"/>
      <c r="I4" s="6"/>
      <c r="J4" s="6"/>
      <c r="K4" s="6"/>
      <c r="L4" s="6"/>
      <c r="M4" s="6"/>
      <c r="N4" s="6"/>
      <c r="O4" s="6"/>
      <c r="P4" s="6"/>
      <c r="Q4" s="6"/>
      <c r="R4" s="6"/>
      <c r="S4" s="6"/>
      <c r="T4" s="6"/>
      <c r="U4" s="6"/>
      <c r="V4" s="6"/>
      <c r="W4" s="6"/>
      <c r="X4" s="6"/>
      <c r="Y4" s="6"/>
      <c r="Z4" s="6"/>
      <c r="AA4" s="6"/>
      <c r="AB4" s="6"/>
      <c r="AC4" s="6"/>
      <c r="AD4" s="6"/>
      <c r="AE4" s="6"/>
      <c r="AF4" s="6"/>
      <c r="AG4" s="6"/>
    </row>
    <row r="5" spans="1:36">
      <c r="A5" s="6"/>
      <c r="B5" s="6"/>
      <c r="C5" s="31" t="s">
        <v>105</v>
      </c>
      <c r="D5" s="31" t="s">
        <v>278</v>
      </c>
      <c r="E5" s="13"/>
      <c r="F5" s="13"/>
      <c r="G5" s="13"/>
      <c r="H5" s="6"/>
      <c r="I5" s="6"/>
      <c r="J5" s="6"/>
      <c r="K5" s="6"/>
      <c r="L5" s="6"/>
      <c r="M5" s="6"/>
      <c r="N5" s="6"/>
      <c r="O5" s="6"/>
      <c r="P5" s="6"/>
      <c r="Q5" s="6"/>
      <c r="R5" s="6"/>
      <c r="S5" s="6"/>
      <c r="T5" s="6"/>
      <c r="U5" s="6"/>
      <c r="V5" s="6"/>
      <c r="W5" s="6"/>
      <c r="X5" s="6"/>
      <c r="Y5" s="6"/>
      <c r="Z5" s="6"/>
      <c r="AA5" s="6"/>
      <c r="AB5" s="6"/>
      <c r="AC5" s="6"/>
      <c r="AD5" s="6"/>
      <c r="AE5" s="6"/>
      <c r="AF5" s="6"/>
      <c r="AG5" s="6"/>
      <c r="AH5">
        <v>2049</v>
      </c>
      <c r="AI5">
        <v>2050</v>
      </c>
      <c r="AJ5" t="s">
        <v>293</v>
      </c>
    </row>
    <row r="6" spans="1:36">
      <c r="A6" s="6"/>
      <c r="B6" s="6"/>
      <c r="C6" s="31" t="s">
        <v>104</v>
      </c>
      <c r="D6" s="13"/>
      <c r="E6" s="31" t="s">
        <v>279</v>
      </c>
      <c r="F6" s="13"/>
      <c r="G6" s="13"/>
      <c r="H6" s="6"/>
      <c r="I6" s="6"/>
      <c r="J6" s="6"/>
      <c r="K6" s="6"/>
      <c r="L6" s="6"/>
      <c r="M6" s="6"/>
      <c r="N6" s="6"/>
      <c r="O6" s="6"/>
      <c r="P6" s="6"/>
      <c r="Q6" s="6"/>
      <c r="R6" s="6"/>
      <c r="S6" s="6"/>
      <c r="T6" s="6"/>
      <c r="U6" s="6"/>
      <c r="V6" s="6"/>
      <c r="W6" s="6"/>
      <c r="X6" s="6"/>
      <c r="Y6" s="6"/>
      <c r="Z6" s="6"/>
      <c r="AA6" s="6"/>
      <c r="AB6" s="6"/>
      <c r="AC6" s="6"/>
      <c r="AD6" s="6"/>
      <c r="AE6" s="6"/>
      <c r="AF6" s="6"/>
      <c r="AG6" s="6"/>
      <c r="AH6">
        <v>14701.980469</v>
      </c>
      <c r="AI6">
        <v>14799.428711</v>
      </c>
      <c r="AJ6" s="9">
        <v>1E-3</v>
      </c>
    </row>
    <row r="7" spans="1:36">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v>14159.390625</v>
      </c>
      <c r="AI7">
        <v>14238.774414</v>
      </c>
      <c r="AJ7" s="9">
        <v>0</v>
      </c>
    </row>
    <row r="8" spans="1:36">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v>24.297373</v>
      </c>
      <c r="AI8">
        <v>24.739059000000001</v>
      </c>
      <c r="AJ8" s="9">
        <v>-0.01</v>
      </c>
    </row>
    <row r="9" spans="1:36">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v>73.365066999999996</v>
      </c>
      <c r="AI9">
        <v>74.101059000000006</v>
      </c>
      <c r="AJ9" s="9">
        <v>1.2E-2</v>
      </c>
    </row>
    <row r="10" spans="1:36" ht="15.75">
      <c r="A10" s="12" t="s">
        <v>427</v>
      </c>
      <c r="B10" s="21" t="s">
        <v>428</v>
      </c>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27" t="s">
        <v>280</v>
      </c>
      <c r="AH10">
        <v>0.48037200000000002</v>
      </c>
      <c r="AI10">
        <v>0.48969600000000002</v>
      </c>
      <c r="AJ10" s="9">
        <v>-1.0999999999999999E-2</v>
      </c>
    </row>
    <row r="11" spans="1:36">
      <c r="A11" s="6"/>
      <c r="B11" s="19" t="s">
        <v>284</v>
      </c>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27" t="s">
        <v>281</v>
      </c>
      <c r="AH11">
        <v>1.8495220000000001</v>
      </c>
      <c r="AI11">
        <v>1.9374210000000001</v>
      </c>
      <c r="AJ11" s="9">
        <v>3.6999999999999998E-2</v>
      </c>
    </row>
    <row r="12" spans="1:36">
      <c r="A12" s="6"/>
      <c r="B12" s="19"/>
      <c r="C12" s="22"/>
      <c r="D12" s="22"/>
      <c r="E12" s="22"/>
      <c r="F12" s="22"/>
      <c r="G12" s="22"/>
      <c r="H12" s="22"/>
      <c r="I12" s="22"/>
      <c r="J12" s="22"/>
      <c r="K12" s="22"/>
      <c r="L12" s="22"/>
      <c r="M12" s="22"/>
      <c r="N12" s="22"/>
      <c r="O12" s="22"/>
      <c r="P12" s="22"/>
      <c r="Q12" s="22"/>
      <c r="R12" s="22"/>
      <c r="S12" s="22"/>
      <c r="T12" s="22"/>
      <c r="U12" s="22"/>
      <c r="V12" s="22"/>
      <c r="W12" s="22"/>
      <c r="X12" s="22"/>
      <c r="Y12" s="22"/>
      <c r="Z12" s="22"/>
      <c r="AA12" s="22"/>
      <c r="AB12" s="22"/>
      <c r="AC12" s="22"/>
      <c r="AD12" s="22"/>
      <c r="AE12" s="22"/>
      <c r="AF12" s="22"/>
      <c r="AG12" s="27" t="s">
        <v>282</v>
      </c>
      <c r="AH12">
        <v>437.380493</v>
      </c>
      <c r="AI12">
        <v>454.037781</v>
      </c>
      <c r="AJ12" s="9">
        <v>0.106</v>
      </c>
    </row>
    <row r="13" spans="1:36" ht="24.4" thickBot="1">
      <c r="A13" s="6"/>
      <c r="B13" s="20" t="s">
        <v>285</v>
      </c>
      <c r="C13" s="20">
        <v>2021</v>
      </c>
      <c r="D13" s="20">
        <v>2022</v>
      </c>
      <c r="E13" s="20">
        <v>2023</v>
      </c>
      <c r="F13" s="20">
        <v>2024</v>
      </c>
      <c r="G13" s="20">
        <v>2025</v>
      </c>
      <c r="H13" s="20">
        <v>2026</v>
      </c>
      <c r="I13" s="20">
        <v>2027</v>
      </c>
      <c r="J13" s="20">
        <v>2028</v>
      </c>
      <c r="K13" s="20">
        <v>2029</v>
      </c>
      <c r="L13" s="20">
        <v>2030</v>
      </c>
      <c r="M13" s="20">
        <v>2031</v>
      </c>
      <c r="N13" s="20">
        <v>2032</v>
      </c>
      <c r="O13" s="20">
        <v>2033</v>
      </c>
      <c r="P13" s="20">
        <v>2034</v>
      </c>
      <c r="Q13" s="20">
        <v>2035</v>
      </c>
      <c r="R13" s="20">
        <v>2036</v>
      </c>
      <c r="S13" s="20">
        <v>2037</v>
      </c>
      <c r="T13" s="20">
        <v>2038</v>
      </c>
      <c r="U13" s="20">
        <v>2039</v>
      </c>
      <c r="V13" s="20">
        <v>2040</v>
      </c>
      <c r="W13" s="20">
        <v>2041</v>
      </c>
      <c r="X13" s="20">
        <v>2042</v>
      </c>
      <c r="Y13" s="20">
        <v>2043</v>
      </c>
      <c r="Z13" s="20">
        <v>2044</v>
      </c>
      <c r="AA13" s="20">
        <v>2045</v>
      </c>
      <c r="AB13" s="20">
        <v>2046</v>
      </c>
      <c r="AC13" s="20">
        <v>2047</v>
      </c>
      <c r="AD13" s="20">
        <v>2048</v>
      </c>
      <c r="AE13" s="20">
        <v>2049</v>
      </c>
      <c r="AF13" s="20">
        <v>2050</v>
      </c>
      <c r="AG13" s="36" t="s">
        <v>283</v>
      </c>
      <c r="AH13">
        <v>5.2161749999999998</v>
      </c>
      <c r="AI13">
        <v>5.3491600000000004</v>
      </c>
      <c r="AJ13" s="9">
        <v>9.7000000000000003E-2</v>
      </c>
    </row>
    <row r="14" spans="1:36" ht="14.65" thickTop="1">
      <c r="A14" s="6"/>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30"/>
      <c r="AH14">
        <v>1061.4022219999999</v>
      </c>
      <c r="AI14">
        <v>1074.767578</v>
      </c>
      <c r="AJ14" s="9">
        <v>7.0000000000000001E-3</v>
      </c>
    </row>
    <row r="15" spans="1:36" ht="24">
      <c r="A15" s="12" t="s">
        <v>429</v>
      </c>
      <c r="B15" s="23" t="s">
        <v>423</v>
      </c>
      <c r="C15" s="26">
        <v>14274.494140999999</v>
      </c>
      <c r="D15" s="26">
        <v>14663.075194999999</v>
      </c>
      <c r="E15" s="26">
        <v>14907.380859000001</v>
      </c>
      <c r="F15" s="26">
        <v>14888.802734000001</v>
      </c>
      <c r="G15" s="26">
        <v>14849.198242</v>
      </c>
      <c r="H15" s="26">
        <v>14786.861328000001</v>
      </c>
      <c r="I15" s="26">
        <v>14699.436523</v>
      </c>
      <c r="J15" s="26">
        <v>14596.198242</v>
      </c>
      <c r="K15" s="26">
        <v>14504.813477</v>
      </c>
      <c r="L15" s="26">
        <v>14439.388671999999</v>
      </c>
      <c r="M15" s="26">
        <v>14388.90625</v>
      </c>
      <c r="N15" s="26">
        <v>14328.155273</v>
      </c>
      <c r="O15" s="26">
        <v>14293.910156</v>
      </c>
      <c r="P15" s="26">
        <v>14263.881836</v>
      </c>
      <c r="Q15" s="26">
        <v>14229.495117</v>
      </c>
      <c r="R15" s="26">
        <v>14203.658203000001</v>
      </c>
      <c r="S15" s="26">
        <v>14192.496094</v>
      </c>
      <c r="T15" s="26">
        <v>14188.244140999999</v>
      </c>
      <c r="U15" s="26">
        <v>14197.581055000001</v>
      </c>
      <c r="V15" s="26">
        <v>14217.713867</v>
      </c>
      <c r="W15" s="26">
        <v>14239.96875</v>
      </c>
      <c r="X15" s="26">
        <v>14268.422852</v>
      </c>
      <c r="Y15" s="26">
        <v>14301.931640999999</v>
      </c>
      <c r="Z15" s="26">
        <v>14345.212890999999</v>
      </c>
      <c r="AA15" s="26">
        <v>14399.621094</v>
      </c>
      <c r="AB15" s="26">
        <v>14468.219727</v>
      </c>
      <c r="AC15" s="26">
        <v>14540.374023</v>
      </c>
      <c r="AD15" s="26">
        <v>14616.555664</v>
      </c>
      <c r="AE15" s="26">
        <v>14701.980469</v>
      </c>
      <c r="AF15" s="26">
        <v>14799.428711</v>
      </c>
      <c r="AG15" s="29">
        <v>1.2459999999999999E-3</v>
      </c>
      <c r="AH15">
        <v>718.8125</v>
      </c>
      <c r="AI15">
        <v>726.34527600000001</v>
      </c>
      <c r="AJ15" s="9">
        <v>6.0000000000000001E-3</v>
      </c>
    </row>
    <row r="16" spans="1:36" ht="47.25">
      <c r="A16" s="12" t="s">
        <v>430</v>
      </c>
      <c r="B16" s="24" t="s">
        <v>431</v>
      </c>
      <c r="C16" s="25">
        <v>14162.429688</v>
      </c>
      <c r="D16" s="25">
        <v>14537.586914</v>
      </c>
      <c r="E16" s="25">
        <v>14770.330078000001</v>
      </c>
      <c r="F16" s="25">
        <v>14738.893555000001</v>
      </c>
      <c r="G16" s="25">
        <v>14685.415039</v>
      </c>
      <c r="H16" s="25">
        <v>14609.183594</v>
      </c>
      <c r="I16" s="25">
        <v>14507.978515999999</v>
      </c>
      <c r="J16" s="25">
        <v>14391.53125</v>
      </c>
      <c r="K16" s="25">
        <v>14286.672852</v>
      </c>
      <c r="L16" s="25">
        <v>14207.514648</v>
      </c>
      <c r="M16" s="25">
        <v>14142.503906</v>
      </c>
      <c r="N16" s="25">
        <v>14067.616211</v>
      </c>
      <c r="O16" s="25">
        <v>14018.539062</v>
      </c>
      <c r="P16" s="25">
        <v>13974.089844</v>
      </c>
      <c r="Q16" s="25">
        <v>13924.717773</v>
      </c>
      <c r="R16" s="25">
        <v>13883.070312</v>
      </c>
      <c r="S16" s="25">
        <v>13855.946289</v>
      </c>
      <c r="T16" s="25">
        <v>13835.799805000001</v>
      </c>
      <c r="U16" s="25">
        <v>13828.552734000001</v>
      </c>
      <c r="V16" s="25">
        <v>13831.424805000001</v>
      </c>
      <c r="W16" s="25">
        <v>13836.824219</v>
      </c>
      <c r="X16" s="25">
        <v>13848.344727</v>
      </c>
      <c r="Y16" s="25">
        <v>13864.305664</v>
      </c>
      <c r="Z16" s="25">
        <v>13890.319336</v>
      </c>
      <c r="AA16" s="25">
        <v>13927.309569999999</v>
      </c>
      <c r="AB16" s="25">
        <v>13978.470703000001</v>
      </c>
      <c r="AC16" s="25">
        <v>14033.085938</v>
      </c>
      <c r="AD16" s="25">
        <v>14091.706055000001</v>
      </c>
      <c r="AE16" s="25">
        <v>14159.390625</v>
      </c>
      <c r="AF16" s="25">
        <v>14238.774414</v>
      </c>
      <c r="AG16" s="28">
        <v>1.85E-4</v>
      </c>
      <c r="AH16">
        <v>12.428053</v>
      </c>
      <c r="AI16">
        <v>13.153333999999999</v>
      </c>
      <c r="AJ16" s="9">
        <v>4.1000000000000002E-2</v>
      </c>
    </row>
    <row r="17" spans="1:36">
      <c r="A17" s="12" t="s">
        <v>432</v>
      </c>
      <c r="B17" s="24" t="s">
        <v>433</v>
      </c>
      <c r="C17" s="25">
        <v>33.249222000000003</v>
      </c>
      <c r="D17" s="25">
        <v>34.150458999999998</v>
      </c>
      <c r="E17" s="25">
        <v>31.936682000000001</v>
      </c>
      <c r="F17" s="25">
        <v>31.592466000000002</v>
      </c>
      <c r="G17" s="25">
        <v>31.286394000000001</v>
      </c>
      <c r="H17" s="25">
        <v>30.500689000000001</v>
      </c>
      <c r="I17" s="25">
        <v>29.567623000000001</v>
      </c>
      <c r="J17" s="25">
        <v>28.523620999999999</v>
      </c>
      <c r="K17" s="25">
        <v>27.601944</v>
      </c>
      <c r="L17" s="25">
        <v>26.584057000000001</v>
      </c>
      <c r="M17" s="25">
        <v>25.489037</v>
      </c>
      <c r="N17" s="25">
        <v>24.533688999999999</v>
      </c>
      <c r="O17" s="25">
        <v>23.990046</v>
      </c>
      <c r="P17" s="25">
        <v>22.778981999999999</v>
      </c>
      <c r="Q17" s="25">
        <v>22.123808</v>
      </c>
      <c r="R17" s="25">
        <v>22.124821000000001</v>
      </c>
      <c r="S17" s="25">
        <v>21.992408999999999</v>
      </c>
      <c r="T17" s="25">
        <v>21.684839</v>
      </c>
      <c r="U17" s="25">
        <v>21.760232999999999</v>
      </c>
      <c r="V17" s="25">
        <v>21.844384999999999</v>
      </c>
      <c r="W17" s="25">
        <v>21.925298999999999</v>
      </c>
      <c r="X17" s="25">
        <v>22.19059</v>
      </c>
      <c r="Y17" s="25">
        <v>22.390591000000001</v>
      </c>
      <c r="Z17" s="25">
        <v>22.596132000000001</v>
      </c>
      <c r="AA17" s="25">
        <v>22.876339000000002</v>
      </c>
      <c r="AB17" s="25">
        <v>23.153645999999998</v>
      </c>
      <c r="AC17" s="25">
        <v>23.499597999999999</v>
      </c>
      <c r="AD17" s="25">
        <v>23.893426999999999</v>
      </c>
      <c r="AE17" s="25">
        <v>24.297373</v>
      </c>
      <c r="AF17" s="25">
        <v>24.739059000000001</v>
      </c>
      <c r="AG17" s="28">
        <v>-1.0142999999999999E-2</v>
      </c>
      <c r="AH17">
        <v>326.56167599999998</v>
      </c>
      <c r="AI17">
        <v>331.52713</v>
      </c>
      <c r="AJ17" s="9">
        <v>7.0000000000000001E-3</v>
      </c>
    </row>
    <row r="18" spans="1:36" ht="35.65">
      <c r="A18" s="12" t="s">
        <v>434</v>
      </c>
      <c r="B18" s="24" t="s">
        <v>435</v>
      </c>
      <c r="C18" s="25">
        <v>52.341071999999997</v>
      </c>
      <c r="D18" s="25">
        <v>55.018439999999998</v>
      </c>
      <c r="E18" s="25">
        <v>57.293982999999997</v>
      </c>
      <c r="F18" s="25">
        <v>58.347095000000003</v>
      </c>
      <c r="G18" s="25">
        <v>59.292045999999999</v>
      </c>
      <c r="H18" s="25">
        <v>60.054276000000002</v>
      </c>
      <c r="I18" s="25">
        <v>60.645831999999999</v>
      </c>
      <c r="J18" s="25">
        <v>61.085116999999997</v>
      </c>
      <c r="K18" s="25">
        <v>61.376376999999998</v>
      </c>
      <c r="L18" s="25">
        <v>61.730705</v>
      </c>
      <c r="M18" s="25">
        <v>62.624172000000002</v>
      </c>
      <c r="N18" s="25">
        <v>62.985115</v>
      </c>
      <c r="O18" s="25">
        <v>63.372196000000002</v>
      </c>
      <c r="P18" s="25">
        <v>63.817276</v>
      </c>
      <c r="Q18" s="25">
        <v>64.206192000000001</v>
      </c>
      <c r="R18" s="25">
        <v>64.635818</v>
      </c>
      <c r="S18" s="25">
        <v>65.138244999999998</v>
      </c>
      <c r="T18" s="25">
        <v>65.602219000000005</v>
      </c>
      <c r="U18" s="25">
        <v>66.192047000000002</v>
      </c>
      <c r="V18" s="25">
        <v>67.346855000000005</v>
      </c>
      <c r="W18" s="25">
        <v>68.094498000000002</v>
      </c>
      <c r="X18" s="25">
        <v>68.773444999999995</v>
      </c>
      <c r="Y18" s="25">
        <v>69.845009000000005</v>
      </c>
      <c r="Z18" s="25">
        <v>70.345084999999997</v>
      </c>
      <c r="AA18" s="25">
        <v>70.781784000000002</v>
      </c>
      <c r="AB18" s="25">
        <v>71.416443000000001</v>
      </c>
      <c r="AC18" s="25">
        <v>72.050422999999995</v>
      </c>
      <c r="AD18" s="25">
        <v>72.693031000000005</v>
      </c>
      <c r="AE18" s="25">
        <v>73.365066999999996</v>
      </c>
      <c r="AF18" s="25">
        <v>74.101059000000006</v>
      </c>
      <c r="AG18" s="28">
        <v>1.206E-2</v>
      </c>
      <c r="AH18">
        <v>2.9450440000000002</v>
      </c>
      <c r="AI18">
        <v>3.0714039999999998</v>
      </c>
      <c r="AJ18" s="9">
        <v>0.104</v>
      </c>
    </row>
    <row r="19" spans="1:36" ht="47.25">
      <c r="A19" s="12" t="s">
        <v>436</v>
      </c>
      <c r="B19" s="24" t="s">
        <v>437</v>
      </c>
      <c r="C19" s="25">
        <v>0.67431099999999999</v>
      </c>
      <c r="D19" s="25">
        <v>0.66608500000000004</v>
      </c>
      <c r="E19" s="25">
        <v>0.63587300000000002</v>
      </c>
      <c r="F19" s="25">
        <v>0.52752900000000003</v>
      </c>
      <c r="G19" s="25">
        <v>0.50580000000000003</v>
      </c>
      <c r="H19" s="25">
        <v>0.49782100000000001</v>
      </c>
      <c r="I19" s="25">
        <v>0.48537000000000002</v>
      </c>
      <c r="J19" s="25">
        <v>0.47792299999999999</v>
      </c>
      <c r="K19" s="25">
        <v>0.468808</v>
      </c>
      <c r="L19" s="25">
        <v>0.45122899999999999</v>
      </c>
      <c r="M19" s="25">
        <v>0.45219999999999999</v>
      </c>
      <c r="N19" s="25">
        <v>0.45074999999999998</v>
      </c>
      <c r="O19" s="25">
        <v>0.450878</v>
      </c>
      <c r="P19" s="25">
        <v>0.45424100000000001</v>
      </c>
      <c r="Q19" s="25">
        <v>0.457507</v>
      </c>
      <c r="R19" s="25">
        <v>0.45966200000000002</v>
      </c>
      <c r="S19" s="25">
        <v>0.46291100000000002</v>
      </c>
      <c r="T19" s="25">
        <v>0.46953099999999998</v>
      </c>
      <c r="U19" s="25">
        <v>0.43854500000000002</v>
      </c>
      <c r="V19" s="25">
        <v>0.405692</v>
      </c>
      <c r="W19" s="25">
        <v>0.41506900000000002</v>
      </c>
      <c r="X19" s="25">
        <v>0.42349500000000001</v>
      </c>
      <c r="Y19" s="25">
        <v>0.43112299999999998</v>
      </c>
      <c r="Z19" s="25">
        <v>0.43802600000000003</v>
      </c>
      <c r="AA19" s="25">
        <v>0.44581399999999999</v>
      </c>
      <c r="AB19" s="25">
        <v>0.45412400000000003</v>
      </c>
      <c r="AC19" s="25">
        <v>0.46264300000000003</v>
      </c>
      <c r="AD19" s="25">
        <v>0.47139700000000001</v>
      </c>
      <c r="AE19" s="25">
        <v>0.48037200000000002</v>
      </c>
      <c r="AF19" s="25">
        <v>0.48969600000000002</v>
      </c>
      <c r="AG19" s="28">
        <v>-1.0971E-2</v>
      </c>
      <c r="AH19">
        <v>0.64914099999999997</v>
      </c>
      <c r="AI19">
        <v>0.66471599999999997</v>
      </c>
      <c r="AJ19" s="9">
        <v>-1.4E-2</v>
      </c>
    </row>
    <row r="20" spans="1:36">
      <c r="A20" s="12" t="s">
        <v>438</v>
      </c>
      <c r="B20" s="24" t="s">
        <v>439</v>
      </c>
      <c r="C20" s="25">
        <v>0.67332000000000003</v>
      </c>
      <c r="D20" s="25">
        <v>0.65310299999999999</v>
      </c>
      <c r="E20" s="25">
        <v>0.64822500000000005</v>
      </c>
      <c r="F20" s="25">
        <v>0.51948899999999998</v>
      </c>
      <c r="G20" s="25">
        <v>0.54455399999999998</v>
      </c>
      <c r="H20" s="25">
        <v>0.57736500000000002</v>
      </c>
      <c r="I20" s="25">
        <v>0.61878900000000003</v>
      </c>
      <c r="J20" s="25">
        <v>0.46534300000000001</v>
      </c>
      <c r="K20" s="25">
        <v>0.50610699999999997</v>
      </c>
      <c r="L20" s="25">
        <v>0.57804500000000003</v>
      </c>
      <c r="M20" s="25">
        <v>0.65013200000000004</v>
      </c>
      <c r="N20" s="25">
        <v>0.72068399999999999</v>
      </c>
      <c r="O20" s="25">
        <v>0.79029000000000005</v>
      </c>
      <c r="P20" s="25">
        <v>0.85896399999999995</v>
      </c>
      <c r="Q20" s="25">
        <v>0.92550900000000003</v>
      </c>
      <c r="R20" s="25">
        <v>0.99063500000000004</v>
      </c>
      <c r="S20" s="25">
        <v>1.0544990000000001</v>
      </c>
      <c r="T20" s="25">
        <v>1.1170100000000001</v>
      </c>
      <c r="U20" s="25">
        <v>1.1785939999999999</v>
      </c>
      <c r="V20" s="25">
        <v>1.2387509999999999</v>
      </c>
      <c r="W20" s="25">
        <v>1.2977559999999999</v>
      </c>
      <c r="X20" s="25">
        <v>1.356722</v>
      </c>
      <c r="Y20" s="25">
        <v>1.4161710000000001</v>
      </c>
      <c r="Z20" s="25">
        <v>1.4759199999999999</v>
      </c>
      <c r="AA20" s="25">
        <v>1.5419909999999999</v>
      </c>
      <c r="AB20" s="25">
        <v>1.613723</v>
      </c>
      <c r="AC20" s="25">
        <v>1.688793</v>
      </c>
      <c r="AD20" s="25">
        <v>1.7669729999999999</v>
      </c>
      <c r="AE20" s="25">
        <v>1.8495220000000001</v>
      </c>
      <c r="AF20" s="25">
        <v>1.9374210000000001</v>
      </c>
      <c r="AG20" s="28">
        <v>3.7116999999999997E-2</v>
      </c>
      <c r="AH20">
        <v>5.6800000000000002E-3</v>
      </c>
      <c r="AI20">
        <v>5.7790000000000003E-3</v>
      </c>
      <c r="AJ20" s="9">
        <v>8.1000000000000003E-2</v>
      </c>
    </row>
    <row r="21" spans="1:36">
      <c r="A21" s="12" t="s">
        <v>440</v>
      </c>
      <c r="B21" s="24" t="s">
        <v>441</v>
      </c>
      <c r="C21" s="25">
        <v>24.764068999999999</v>
      </c>
      <c r="D21" s="25">
        <v>34.511890000000001</v>
      </c>
      <c r="E21" s="25">
        <v>45.918655000000001</v>
      </c>
      <c r="F21" s="25">
        <v>58.182929999999999</v>
      </c>
      <c r="G21" s="25">
        <v>71.282509000000005</v>
      </c>
      <c r="H21" s="25">
        <v>85.031136000000004</v>
      </c>
      <c r="I21" s="25">
        <v>98.971512000000004</v>
      </c>
      <c r="J21" s="25">
        <v>112.780022</v>
      </c>
      <c r="K21" s="25">
        <v>126.676147</v>
      </c>
      <c r="L21" s="25">
        <v>140.82676699999999</v>
      </c>
      <c r="M21" s="25">
        <v>155.278885</v>
      </c>
      <c r="N21" s="25">
        <v>169.72976700000001</v>
      </c>
      <c r="O21" s="25">
        <v>184.430679</v>
      </c>
      <c r="P21" s="25">
        <v>199.324814</v>
      </c>
      <c r="Q21" s="25">
        <v>214.293228</v>
      </c>
      <c r="R21" s="25">
        <v>229.396942</v>
      </c>
      <c r="S21" s="25">
        <v>244.721756</v>
      </c>
      <c r="T21" s="25">
        <v>260.19662499999998</v>
      </c>
      <c r="U21" s="25">
        <v>275.89236499999998</v>
      </c>
      <c r="V21" s="25">
        <v>291.69863900000001</v>
      </c>
      <c r="W21" s="25">
        <v>307.47470099999998</v>
      </c>
      <c r="X21" s="25">
        <v>323.21994000000001</v>
      </c>
      <c r="Y21" s="25">
        <v>339.25979599999999</v>
      </c>
      <c r="Z21" s="25">
        <v>355.59127799999999</v>
      </c>
      <c r="AA21" s="25">
        <v>372.05178799999999</v>
      </c>
      <c r="AB21" s="25">
        <v>388.33685300000002</v>
      </c>
      <c r="AC21" s="25">
        <v>404.65564000000001</v>
      </c>
      <c r="AD21" s="25">
        <v>420.94708300000002</v>
      </c>
      <c r="AE21" s="25">
        <v>437.380493</v>
      </c>
      <c r="AF21" s="25">
        <v>454.037781</v>
      </c>
      <c r="AG21" s="28">
        <v>0.105506</v>
      </c>
      <c r="AH21">
        <v>0</v>
      </c>
      <c r="AI21">
        <v>0</v>
      </c>
      <c r="AJ21" t="s">
        <v>110</v>
      </c>
    </row>
    <row r="22" spans="1:36">
      <c r="A22" s="12" t="s">
        <v>442</v>
      </c>
      <c r="B22" s="24" t="s">
        <v>443</v>
      </c>
      <c r="C22" s="25">
        <v>0.36432900000000001</v>
      </c>
      <c r="D22" s="25">
        <v>0.48852200000000001</v>
      </c>
      <c r="E22" s="25">
        <v>0.61699800000000005</v>
      </c>
      <c r="F22" s="25">
        <v>0.74021999999999999</v>
      </c>
      <c r="G22" s="25">
        <v>0.872479</v>
      </c>
      <c r="H22" s="25">
        <v>1.015633</v>
      </c>
      <c r="I22" s="25">
        <v>1.1693290000000001</v>
      </c>
      <c r="J22" s="25">
        <v>1.334678</v>
      </c>
      <c r="K22" s="25">
        <v>1.5124759999999999</v>
      </c>
      <c r="L22" s="25">
        <v>1.7031130000000001</v>
      </c>
      <c r="M22" s="25">
        <v>1.9068309999999999</v>
      </c>
      <c r="N22" s="25">
        <v>2.1189420000000001</v>
      </c>
      <c r="O22" s="25">
        <v>2.336719</v>
      </c>
      <c r="P22" s="25">
        <v>2.556305</v>
      </c>
      <c r="Q22" s="25">
        <v>2.771652</v>
      </c>
      <c r="R22" s="25">
        <v>2.9800059999999999</v>
      </c>
      <c r="S22" s="25">
        <v>3.1793809999999998</v>
      </c>
      <c r="T22" s="25">
        <v>3.3736160000000002</v>
      </c>
      <c r="U22" s="25">
        <v>3.566084</v>
      </c>
      <c r="V22" s="25">
        <v>3.755773</v>
      </c>
      <c r="W22" s="25">
        <v>3.9364880000000002</v>
      </c>
      <c r="X22" s="25">
        <v>4.1141100000000002</v>
      </c>
      <c r="Y22" s="25">
        <v>4.2844660000000001</v>
      </c>
      <c r="Z22" s="25">
        <v>4.4479160000000002</v>
      </c>
      <c r="AA22" s="25">
        <v>4.6137079999999999</v>
      </c>
      <c r="AB22" s="25">
        <v>4.7755470000000004</v>
      </c>
      <c r="AC22" s="25">
        <v>4.9307369999999997</v>
      </c>
      <c r="AD22" s="25">
        <v>5.0771990000000002</v>
      </c>
      <c r="AE22" s="25">
        <v>5.2161749999999998</v>
      </c>
      <c r="AF22" s="25">
        <v>5.3491600000000004</v>
      </c>
      <c r="AG22" s="28">
        <v>9.7070000000000004E-2</v>
      </c>
      <c r="AH22">
        <v>5588.216797</v>
      </c>
      <c r="AI22">
        <v>5636.1411129999997</v>
      </c>
      <c r="AJ22" s="9">
        <v>0</v>
      </c>
    </row>
    <row r="23" spans="1:36">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v>836.60589600000003</v>
      </c>
      <c r="AI23">
        <v>861.77056900000002</v>
      </c>
      <c r="AJ23" s="9">
        <v>1.6E-2</v>
      </c>
    </row>
    <row r="24" spans="1:36" ht="35.65">
      <c r="A24" s="12" t="s">
        <v>444</v>
      </c>
      <c r="B24" s="23" t="s">
        <v>288</v>
      </c>
      <c r="C24" s="26">
        <v>888.32324200000005</v>
      </c>
      <c r="D24" s="26">
        <v>907.55993699999999</v>
      </c>
      <c r="E24" s="26">
        <v>915.29083300000002</v>
      </c>
      <c r="F24" s="26">
        <v>914.74591099999998</v>
      </c>
      <c r="G24" s="26">
        <v>917.48150599999997</v>
      </c>
      <c r="H24" s="26">
        <v>917.95696999999996</v>
      </c>
      <c r="I24" s="26">
        <v>914.71563700000002</v>
      </c>
      <c r="J24" s="26">
        <v>913.13915999999995</v>
      </c>
      <c r="K24" s="26">
        <v>912.94812000000002</v>
      </c>
      <c r="L24" s="26">
        <v>913.61932400000001</v>
      </c>
      <c r="M24" s="26">
        <v>914.89263900000003</v>
      </c>
      <c r="N24" s="26">
        <v>917.46624799999995</v>
      </c>
      <c r="O24" s="26">
        <v>921.146973</v>
      </c>
      <c r="P24" s="26">
        <v>925.47863800000005</v>
      </c>
      <c r="Q24" s="26">
        <v>930.15087900000003</v>
      </c>
      <c r="R24" s="26">
        <v>935.85308799999996</v>
      </c>
      <c r="S24" s="26">
        <v>943.34344499999997</v>
      </c>
      <c r="T24" s="26">
        <v>951.09039299999995</v>
      </c>
      <c r="U24" s="26">
        <v>959.00439500000005</v>
      </c>
      <c r="V24" s="26">
        <v>967.11511199999995</v>
      </c>
      <c r="W24" s="26">
        <v>976.32757600000002</v>
      </c>
      <c r="X24" s="26">
        <v>985.921875</v>
      </c>
      <c r="Y24" s="26">
        <v>996.50323500000002</v>
      </c>
      <c r="Z24" s="26">
        <v>1007.049438</v>
      </c>
      <c r="AA24" s="26">
        <v>1017.768433</v>
      </c>
      <c r="AB24" s="26">
        <v>1030.6396480000001</v>
      </c>
      <c r="AC24" s="26">
        <v>1041.2025149999999</v>
      </c>
      <c r="AD24" s="26">
        <v>1050.5196530000001</v>
      </c>
      <c r="AE24" s="26">
        <v>1061.4022219999999</v>
      </c>
      <c r="AF24" s="26">
        <v>1074.767578</v>
      </c>
      <c r="AG24" s="29">
        <v>6.5909999999999996E-3</v>
      </c>
      <c r="AH24">
        <v>4646.4609380000002</v>
      </c>
      <c r="AI24">
        <v>4661.1557620000003</v>
      </c>
      <c r="AJ24" s="9">
        <v>-2E-3</v>
      </c>
    </row>
    <row r="25" spans="1:36" ht="47.25">
      <c r="A25" s="12" t="s">
        <v>445</v>
      </c>
      <c r="B25" s="24" t="s">
        <v>431</v>
      </c>
      <c r="C25" s="25">
        <v>614.34252900000001</v>
      </c>
      <c r="D25" s="25">
        <v>633.80950900000005</v>
      </c>
      <c r="E25" s="25">
        <v>644.77996800000005</v>
      </c>
      <c r="F25" s="25">
        <v>648.86706500000003</v>
      </c>
      <c r="G25" s="25">
        <v>655.23681599999998</v>
      </c>
      <c r="H25" s="25">
        <v>658.69421399999999</v>
      </c>
      <c r="I25" s="25">
        <v>656.84582499999999</v>
      </c>
      <c r="J25" s="25">
        <v>655.41406199999994</v>
      </c>
      <c r="K25" s="25">
        <v>654.60784899999999</v>
      </c>
      <c r="L25" s="25">
        <v>654.20941200000004</v>
      </c>
      <c r="M25" s="25">
        <v>654.01470900000004</v>
      </c>
      <c r="N25" s="25">
        <v>654.28637700000002</v>
      </c>
      <c r="O25" s="25">
        <v>654.76336700000002</v>
      </c>
      <c r="P25" s="25">
        <v>655.90240500000004</v>
      </c>
      <c r="Q25" s="25">
        <v>657.16143799999998</v>
      </c>
      <c r="R25" s="25">
        <v>659.01702899999998</v>
      </c>
      <c r="S25" s="25">
        <v>662.25061000000005</v>
      </c>
      <c r="T25" s="25">
        <v>665.78479000000004</v>
      </c>
      <c r="U25" s="25">
        <v>669.32995600000004</v>
      </c>
      <c r="V25" s="25">
        <v>673.30560300000002</v>
      </c>
      <c r="W25" s="25">
        <v>677.94335899999999</v>
      </c>
      <c r="X25" s="25">
        <v>682.89135699999997</v>
      </c>
      <c r="Y25" s="25">
        <v>688.00506600000006</v>
      </c>
      <c r="Z25" s="25">
        <v>692.85467500000004</v>
      </c>
      <c r="AA25" s="25">
        <v>697.80651899999998</v>
      </c>
      <c r="AB25" s="25">
        <v>703.93994099999998</v>
      </c>
      <c r="AC25" s="25">
        <v>708.92059300000005</v>
      </c>
      <c r="AD25" s="25">
        <v>713.17346199999997</v>
      </c>
      <c r="AE25" s="25">
        <v>718.8125</v>
      </c>
      <c r="AF25" s="25">
        <v>726.34527600000001</v>
      </c>
      <c r="AG25" s="28">
        <v>5.7920000000000003E-3</v>
      </c>
      <c r="AH25">
        <v>89.427291999999994</v>
      </c>
      <c r="AI25">
        <v>96.668953000000002</v>
      </c>
      <c r="AJ25" s="9">
        <v>2.5000000000000001E-2</v>
      </c>
    </row>
    <row r="26" spans="1:36">
      <c r="A26" s="12" t="s">
        <v>446</v>
      </c>
      <c r="B26" s="24" t="s">
        <v>433</v>
      </c>
      <c r="C26" s="25">
        <v>4.1552740000000004</v>
      </c>
      <c r="D26" s="25">
        <v>4.2846580000000003</v>
      </c>
      <c r="E26" s="25">
        <v>4.0672990000000002</v>
      </c>
      <c r="F26" s="25">
        <v>4.1190369999999996</v>
      </c>
      <c r="G26" s="25">
        <v>4.2546290000000004</v>
      </c>
      <c r="H26" s="25">
        <v>4.3491059999999999</v>
      </c>
      <c r="I26" s="25">
        <v>4.4519359999999999</v>
      </c>
      <c r="J26" s="25">
        <v>4.5601940000000001</v>
      </c>
      <c r="K26" s="25">
        <v>4.702108</v>
      </c>
      <c r="L26" s="25">
        <v>4.837161</v>
      </c>
      <c r="M26" s="25">
        <v>4.9781519999999997</v>
      </c>
      <c r="N26" s="25">
        <v>5.1473089999999999</v>
      </c>
      <c r="O26" s="25">
        <v>5.4099250000000003</v>
      </c>
      <c r="P26" s="25">
        <v>5.5183030000000004</v>
      </c>
      <c r="Q26" s="25">
        <v>5.7560729999999998</v>
      </c>
      <c r="R26" s="25">
        <v>6.1638349999999997</v>
      </c>
      <c r="S26" s="25">
        <v>6.5428040000000003</v>
      </c>
      <c r="T26" s="25">
        <v>6.8549049999999996</v>
      </c>
      <c r="U26" s="25">
        <v>7.2632989999999999</v>
      </c>
      <c r="V26" s="25">
        <v>7.6670569999999998</v>
      </c>
      <c r="W26" s="25">
        <v>8.0832300000000004</v>
      </c>
      <c r="X26" s="25">
        <v>8.5725119999999997</v>
      </c>
      <c r="Y26" s="25">
        <v>9.0432140000000008</v>
      </c>
      <c r="Z26" s="25">
        <v>9.5240030000000004</v>
      </c>
      <c r="AA26" s="25">
        <v>10.041880000000001</v>
      </c>
      <c r="AB26" s="25">
        <v>10.58123</v>
      </c>
      <c r="AC26" s="25">
        <v>11.160612</v>
      </c>
      <c r="AD26" s="25">
        <v>11.772819999999999</v>
      </c>
      <c r="AE26" s="25">
        <v>12.428053</v>
      </c>
      <c r="AF26" s="25">
        <v>13.153333999999999</v>
      </c>
      <c r="AG26" s="28">
        <v>4.0534000000000001E-2</v>
      </c>
      <c r="AH26">
        <v>6.5260220000000002</v>
      </c>
      <c r="AI26">
        <v>6.844849</v>
      </c>
      <c r="AJ26" s="9">
        <v>5.8000000000000003E-2</v>
      </c>
    </row>
    <row r="27" spans="1:36" ht="35.65">
      <c r="A27" s="12" t="s">
        <v>447</v>
      </c>
      <c r="B27" s="24" t="s">
        <v>435</v>
      </c>
      <c r="C27" s="25">
        <v>268.642517</v>
      </c>
      <c r="D27" s="25">
        <v>268.125092</v>
      </c>
      <c r="E27" s="25">
        <v>264.92746</v>
      </c>
      <c r="F27" s="25">
        <v>260.09613000000002</v>
      </c>
      <c r="G27" s="25">
        <v>256.220215</v>
      </c>
      <c r="H27" s="25">
        <v>253.049271</v>
      </c>
      <c r="I27" s="25">
        <v>251.487122</v>
      </c>
      <c r="J27" s="25">
        <v>251.19589199999999</v>
      </c>
      <c r="K27" s="25">
        <v>251.62777700000001</v>
      </c>
      <c r="L27" s="25">
        <v>252.52041600000001</v>
      </c>
      <c r="M27" s="25">
        <v>253.80427599999999</v>
      </c>
      <c r="N27" s="25">
        <v>255.89063999999999</v>
      </c>
      <c r="O27" s="25">
        <v>258.78051799999997</v>
      </c>
      <c r="P27" s="25">
        <v>261.80850199999998</v>
      </c>
      <c r="Q27" s="25">
        <v>264.92379799999998</v>
      </c>
      <c r="R27" s="25">
        <v>268.29809599999999</v>
      </c>
      <c r="S27" s="25">
        <v>272.10479700000002</v>
      </c>
      <c r="T27" s="25">
        <v>275.93069500000001</v>
      </c>
      <c r="U27" s="25">
        <v>279.81314099999997</v>
      </c>
      <c r="V27" s="25">
        <v>283.46228000000002</v>
      </c>
      <c r="W27" s="25">
        <v>287.533051</v>
      </c>
      <c r="X27" s="25">
        <v>291.597443</v>
      </c>
      <c r="Y27" s="25">
        <v>296.498627</v>
      </c>
      <c r="Z27" s="25">
        <v>301.61779799999999</v>
      </c>
      <c r="AA27" s="25">
        <v>306.76580799999999</v>
      </c>
      <c r="AB27" s="25">
        <v>312.85644500000001</v>
      </c>
      <c r="AC27" s="25">
        <v>317.753174</v>
      </c>
      <c r="AD27" s="25">
        <v>322.09628300000003</v>
      </c>
      <c r="AE27" s="25">
        <v>326.56167599999998</v>
      </c>
      <c r="AF27" s="25">
        <v>331.52713</v>
      </c>
      <c r="AG27" s="28">
        <v>7.2789999999999999E-3</v>
      </c>
      <c r="AH27">
        <v>3.1706829999999999</v>
      </c>
      <c r="AI27">
        <v>3.3523640000000001</v>
      </c>
      <c r="AJ27" s="9">
        <v>2.5999999999999999E-2</v>
      </c>
    </row>
    <row r="28" spans="1:36">
      <c r="A28" s="12" t="s">
        <v>448</v>
      </c>
      <c r="B28" s="24" t="s">
        <v>439</v>
      </c>
      <c r="C28" s="25">
        <v>0.17543500000000001</v>
      </c>
      <c r="D28" s="25">
        <v>0.34534700000000002</v>
      </c>
      <c r="E28" s="25">
        <v>0.50648599999999999</v>
      </c>
      <c r="F28" s="25">
        <v>0.65390000000000004</v>
      </c>
      <c r="G28" s="25">
        <v>0.78983499999999995</v>
      </c>
      <c r="H28" s="25">
        <v>0.92176800000000003</v>
      </c>
      <c r="I28" s="25">
        <v>1.0287200000000001</v>
      </c>
      <c r="J28" s="25">
        <v>1.1073219999999999</v>
      </c>
      <c r="K28" s="25">
        <v>1.1855770000000001</v>
      </c>
      <c r="L28" s="25">
        <v>1.2613510000000001</v>
      </c>
      <c r="M28" s="25">
        <v>1.335191</v>
      </c>
      <c r="N28" s="25">
        <v>1.4077059999999999</v>
      </c>
      <c r="O28" s="25">
        <v>1.4807189999999999</v>
      </c>
      <c r="P28" s="25">
        <v>1.5540639999999999</v>
      </c>
      <c r="Q28" s="25">
        <v>1.6282369999999999</v>
      </c>
      <c r="R28" s="25">
        <v>1.7046889999999999</v>
      </c>
      <c r="S28" s="25">
        <v>1.7853129999999999</v>
      </c>
      <c r="T28" s="25">
        <v>1.868547</v>
      </c>
      <c r="U28" s="25">
        <v>1.9531689999999999</v>
      </c>
      <c r="V28" s="25">
        <v>2.0406149999999998</v>
      </c>
      <c r="W28" s="25">
        <v>2.1317349999999999</v>
      </c>
      <c r="X28" s="25">
        <v>2.2261380000000002</v>
      </c>
      <c r="Y28" s="25">
        <v>2.3222649999999998</v>
      </c>
      <c r="Z28" s="25">
        <v>2.418539</v>
      </c>
      <c r="AA28" s="25">
        <v>2.5175900000000002</v>
      </c>
      <c r="AB28" s="25">
        <v>2.6219100000000002</v>
      </c>
      <c r="AC28" s="25">
        <v>2.7263829999999998</v>
      </c>
      <c r="AD28" s="25">
        <v>2.8311959999999998</v>
      </c>
      <c r="AE28" s="25">
        <v>2.9450440000000002</v>
      </c>
      <c r="AF28" s="25">
        <v>3.0714039999999998</v>
      </c>
      <c r="AG28" s="28">
        <v>0.10374700000000001</v>
      </c>
      <c r="AH28">
        <v>0.39459899999999998</v>
      </c>
      <c r="AI28">
        <v>0.41319299999999998</v>
      </c>
      <c r="AJ28" s="9">
        <v>0.06</v>
      </c>
    </row>
    <row r="29" spans="1:36" ht="47.25">
      <c r="A29" s="12" t="s">
        <v>449</v>
      </c>
      <c r="B29" s="24" t="s">
        <v>437</v>
      </c>
      <c r="C29" s="25">
        <v>1.0068790000000001</v>
      </c>
      <c r="D29" s="25">
        <v>0.99420200000000003</v>
      </c>
      <c r="E29" s="25">
        <v>1.0079629999999999</v>
      </c>
      <c r="F29" s="25">
        <v>1.007701</v>
      </c>
      <c r="G29" s="25">
        <v>0.97740000000000005</v>
      </c>
      <c r="H29" s="25">
        <v>0.939724</v>
      </c>
      <c r="I29" s="25">
        <v>0.89875899999999997</v>
      </c>
      <c r="J29" s="25">
        <v>0.858267</v>
      </c>
      <c r="K29" s="25">
        <v>0.82132300000000003</v>
      </c>
      <c r="L29" s="25">
        <v>0.78721799999999997</v>
      </c>
      <c r="M29" s="25">
        <v>0.75648499999999996</v>
      </c>
      <c r="N29" s="25">
        <v>0.73018499999999997</v>
      </c>
      <c r="O29" s="25">
        <v>0.708314</v>
      </c>
      <c r="P29" s="25">
        <v>0.69103800000000004</v>
      </c>
      <c r="Q29" s="25">
        <v>0.67702799999999996</v>
      </c>
      <c r="R29" s="25">
        <v>0.66500700000000001</v>
      </c>
      <c r="S29" s="25">
        <v>0.65533399999999997</v>
      </c>
      <c r="T29" s="25">
        <v>0.64680300000000002</v>
      </c>
      <c r="U29" s="25">
        <v>0.64005699999999999</v>
      </c>
      <c r="V29" s="25">
        <v>0.63469399999999998</v>
      </c>
      <c r="W29" s="25">
        <v>0.63115100000000002</v>
      </c>
      <c r="X29" s="25">
        <v>0.62939599999999996</v>
      </c>
      <c r="Y29" s="25">
        <v>0.62889499999999998</v>
      </c>
      <c r="Z29" s="25">
        <v>0.62921099999999996</v>
      </c>
      <c r="AA29" s="25">
        <v>0.63126599999999999</v>
      </c>
      <c r="AB29" s="25">
        <v>0.63462499999999999</v>
      </c>
      <c r="AC29" s="25">
        <v>0.63616200000000001</v>
      </c>
      <c r="AD29" s="25">
        <v>0.64023300000000005</v>
      </c>
      <c r="AE29" s="25">
        <v>0.64914099999999997</v>
      </c>
      <c r="AF29" s="25">
        <v>0.66471599999999997</v>
      </c>
      <c r="AG29" s="28">
        <v>-1.4217E-2</v>
      </c>
      <c r="AH29">
        <v>5.6316069999999998</v>
      </c>
      <c r="AI29">
        <v>5.9356090000000004</v>
      </c>
      <c r="AJ29" s="9">
        <v>0.128</v>
      </c>
    </row>
    <row r="30" spans="1:36">
      <c r="A30" s="12" t="s">
        <v>450</v>
      </c>
      <c r="B30" s="24" t="s">
        <v>441</v>
      </c>
      <c r="C30" s="25">
        <v>5.9900000000000003E-4</v>
      </c>
      <c r="D30" s="25">
        <v>1.165E-3</v>
      </c>
      <c r="E30" s="25">
        <v>1.684E-3</v>
      </c>
      <c r="F30" s="25">
        <v>2.1419999999999998E-3</v>
      </c>
      <c r="G30" s="25">
        <v>2.5490000000000001E-3</v>
      </c>
      <c r="H30" s="25">
        <v>2.9290000000000002E-3</v>
      </c>
      <c r="I30" s="25">
        <v>3.2179999999999999E-3</v>
      </c>
      <c r="J30" s="25">
        <v>3.3960000000000001E-3</v>
      </c>
      <c r="K30" s="25">
        <v>3.5660000000000002E-3</v>
      </c>
      <c r="L30" s="25">
        <v>3.7239999999999999E-3</v>
      </c>
      <c r="M30" s="25">
        <v>3.869E-3</v>
      </c>
      <c r="N30" s="25">
        <v>4.0029999999999996E-3</v>
      </c>
      <c r="O30" s="25">
        <v>4.1310000000000001E-3</v>
      </c>
      <c r="P30" s="25">
        <v>4.2519999999999997E-3</v>
      </c>
      <c r="Q30" s="25">
        <v>4.3660000000000001E-3</v>
      </c>
      <c r="R30" s="25">
        <v>4.4759999999999999E-3</v>
      </c>
      <c r="S30" s="25">
        <v>4.5859999999999998E-3</v>
      </c>
      <c r="T30" s="25">
        <v>4.6909999999999999E-3</v>
      </c>
      <c r="U30" s="25">
        <v>4.79E-3</v>
      </c>
      <c r="V30" s="25">
        <v>4.8849999999999996E-3</v>
      </c>
      <c r="W30" s="25">
        <v>4.9810000000000002E-3</v>
      </c>
      <c r="X30" s="25">
        <v>5.0769999999999999E-3</v>
      </c>
      <c r="Y30" s="25">
        <v>5.1710000000000002E-3</v>
      </c>
      <c r="Z30" s="25">
        <v>5.2579999999999997E-3</v>
      </c>
      <c r="AA30" s="25">
        <v>5.3449999999999999E-3</v>
      </c>
      <c r="AB30" s="25">
        <v>5.4349999999999997E-3</v>
      </c>
      <c r="AC30" s="25">
        <v>5.5189999999999996E-3</v>
      </c>
      <c r="AD30" s="25">
        <v>5.5950000000000001E-3</v>
      </c>
      <c r="AE30" s="25">
        <v>5.6800000000000002E-3</v>
      </c>
      <c r="AF30" s="25">
        <v>5.7790000000000003E-3</v>
      </c>
      <c r="AG30" s="28">
        <v>8.1298999999999996E-2</v>
      </c>
      <c r="AH30">
        <v>435.12530500000003</v>
      </c>
      <c r="AI30">
        <v>437.26293900000002</v>
      </c>
      <c r="AJ30" s="9">
        <v>-2E-3</v>
      </c>
    </row>
    <row r="31" spans="1:36">
      <c r="A31" s="12" t="s">
        <v>451</v>
      </c>
      <c r="B31" s="24" t="s">
        <v>443</v>
      </c>
      <c r="C31" s="25">
        <v>0</v>
      </c>
      <c r="D31" s="25">
        <v>0</v>
      </c>
      <c r="E31" s="25">
        <v>0</v>
      </c>
      <c r="F31" s="25">
        <v>0</v>
      </c>
      <c r="G31" s="25">
        <v>0</v>
      </c>
      <c r="H31" s="25">
        <v>0</v>
      </c>
      <c r="I31" s="25">
        <v>0</v>
      </c>
      <c r="J31" s="25">
        <v>0</v>
      </c>
      <c r="K31" s="25">
        <v>0</v>
      </c>
      <c r="L31" s="25">
        <v>0</v>
      </c>
      <c r="M31" s="25">
        <v>0</v>
      </c>
      <c r="N31" s="25">
        <v>0</v>
      </c>
      <c r="O31" s="25">
        <v>0</v>
      </c>
      <c r="P31" s="25">
        <v>0</v>
      </c>
      <c r="Q31" s="25">
        <v>0</v>
      </c>
      <c r="R31" s="25">
        <v>0</v>
      </c>
      <c r="S31" s="25">
        <v>0</v>
      </c>
      <c r="T31" s="25">
        <v>0</v>
      </c>
      <c r="U31" s="25">
        <v>0</v>
      </c>
      <c r="V31" s="25">
        <v>0</v>
      </c>
      <c r="W31" s="25">
        <v>0</v>
      </c>
      <c r="X31" s="25">
        <v>0</v>
      </c>
      <c r="Y31" s="25">
        <v>0</v>
      </c>
      <c r="Z31" s="25">
        <v>0</v>
      </c>
      <c r="AA31" s="25">
        <v>0</v>
      </c>
      <c r="AB31" s="25">
        <v>0</v>
      </c>
      <c r="AC31" s="25">
        <v>0</v>
      </c>
      <c r="AD31" s="25">
        <v>0</v>
      </c>
      <c r="AE31" s="25">
        <v>0</v>
      </c>
      <c r="AF31" s="25">
        <v>0</v>
      </c>
      <c r="AG31" s="28" t="s">
        <v>452</v>
      </c>
      <c r="AH31">
        <v>248.602814</v>
      </c>
      <c r="AI31">
        <v>244.09139999999999</v>
      </c>
      <c r="AJ31" s="9">
        <v>-2.1999999999999999E-2</v>
      </c>
    </row>
    <row r="32" spans="1:36">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v>0</v>
      </c>
      <c r="AI32">
        <v>0</v>
      </c>
      <c r="AJ32" t="s">
        <v>110</v>
      </c>
    </row>
    <row r="33" spans="1:36" ht="24">
      <c r="A33" s="12" t="s">
        <v>453</v>
      </c>
      <c r="B33" s="23" t="s">
        <v>454</v>
      </c>
      <c r="C33" s="26">
        <v>5569.2719729999999</v>
      </c>
      <c r="D33" s="26">
        <v>5649.5097660000001</v>
      </c>
      <c r="E33" s="26">
        <v>5670.9580079999996</v>
      </c>
      <c r="F33" s="26">
        <v>5665.5717770000001</v>
      </c>
      <c r="G33" s="26">
        <v>5658.5766599999997</v>
      </c>
      <c r="H33" s="26">
        <v>5631.4038090000004</v>
      </c>
      <c r="I33" s="26">
        <v>5582.7319340000004</v>
      </c>
      <c r="J33" s="26">
        <v>5544.029297</v>
      </c>
      <c r="K33" s="26">
        <v>5507.4682620000003</v>
      </c>
      <c r="L33" s="26">
        <v>5466.3779299999997</v>
      </c>
      <c r="M33" s="26">
        <v>5425.6215819999998</v>
      </c>
      <c r="N33" s="26">
        <v>5390.0795900000003</v>
      </c>
      <c r="O33" s="26">
        <v>5360.4155270000001</v>
      </c>
      <c r="P33" s="26">
        <v>5334.1704099999997</v>
      </c>
      <c r="Q33" s="26">
        <v>5316.8237300000001</v>
      </c>
      <c r="R33" s="26">
        <v>5305.4541019999997</v>
      </c>
      <c r="S33" s="26">
        <v>5305.1635740000002</v>
      </c>
      <c r="T33" s="26">
        <v>5310.3725590000004</v>
      </c>
      <c r="U33" s="26">
        <v>5318.4970700000003</v>
      </c>
      <c r="V33" s="26">
        <v>5330.435547</v>
      </c>
      <c r="W33" s="26">
        <v>5350.3930659999996</v>
      </c>
      <c r="X33" s="26">
        <v>5378.455078</v>
      </c>
      <c r="Y33" s="26">
        <v>5406.6201170000004</v>
      </c>
      <c r="Z33" s="26">
        <v>5437.1547849999997</v>
      </c>
      <c r="AA33" s="26">
        <v>5469.4423829999996</v>
      </c>
      <c r="AB33" s="26">
        <v>5506.4965819999998</v>
      </c>
      <c r="AC33" s="26">
        <v>5534.533203</v>
      </c>
      <c r="AD33" s="26">
        <v>5554.2827150000003</v>
      </c>
      <c r="AE33" s="26">
        <v>5588.216797</v>
      </c>
      <c r="AF33" s="26">
        <v>5636.1411129999997</v>
      </c>
      <c r="AG33" s="29">
        <v>4.1199999999999999E-4</v>
      </c>
      <c r="AH33">
        <v>0</v>
      </c>
      <c r="AI33">
        <v>0</v>
      </c>
      <c r="AJ33" t="s">
        <v>110</v>
      </c>
    </row>
    <row r="34" spans="1:36" ht="24">
      <c r="A34" s="12" t="s">
        <v>455</v>
      </c>
      <c r="B34" s="24" t="s">
        <v>456</v>
      </c>
      <c r="C34" s="25">
        <v>542.42627000000005</v>
      </c>
      <c r="D34" s="25">
        <v>542.14465299999995</v>
      </c>
      <c r="E34" s="25">
        <v>538.33727999999996</v>
      </c>
      <c r="F34" s="25">
        <v>534.45135500000004</v>
      </c>
      <c r="G34" s="25">
        <v>532.07110599999999</v>
      </c>
      <c r="H34" s="25">
        <v>530.26318400000002</v>
      </c>
      <c r="I34" s="25">
        <v>528.99560499999995</v>
      </c>
      <c r="J34" s="25">
        <v>531.24078399999996</v>
      </c>
      <c r="K34" s="25">
        <v>535.62042199999996</v>
      </c>
      <c r="L34" s="25">
        <v>540.57415800000001</v>
      </c>
      <c r="M34" s="25">
        <v>546.10522500000002</v>
      </c>
      <c r="N34" s="25">
        <v>553.47820999999999</v>
      </c>
      <c r="O34" s="25">
        <v>561.97143600000004</v>
      </c>
      <c r="P34" s="25">
        <v>571.28845200000001</v>
      </c>
      <c r="Q34" s="25">
        <v>581.83612100000005</v>
      </c>
      <c r="R34" s="25">
        <v>593.38824499999998</v>
      </c>
      <c r="S34" s="25">
        <v>607.09887700000002</v>
      </c>
      <c r="T34" s="25">
        <v>620.73406999999997</v>
      </c>
      <c r="U34" s="25">
        <v>635.69976799999995</v>
      </c>
      <c r="V34" s="25">
        <v>651.12866199999996</v>
      </c>
      <c r="W34" s="25">
        <v>668.65380900000002</v>
      </c>
      <c r="X34" s="25">
        <v>687.60571300000004</v>
      </c>
      <c r="Y34" s="25">
        <v>706.99609399999997</v>
      </c>
      <c r="Z34" s="25">
        <v>727.34741199999996</v>
      </c>
      <c r="AA34" s="25">
        <v>748.41870100000006</v>
      </c>
      <c r="AB34" s="25">
        <v>770.70361300000002</v>
      </c>
      <c r="AC34" s="25">
        <v>792.29974400000003</v>
      </c>
      <c r="AD34" s="25">
        <v>813.28997800000002</v>
      </c>
      <c r="AE34" s="25">
        <v>836.60589600000003</v>
      </c>
      <c r="AF34" s="25">
        <v>861.77056900000002</v>
      </c>
      <c r="AG34" s="28">
        <v>1.6091000000000001E-2</v>
      </c>
      <c r="AH34">
        <v>186.522491</v>
      </c>
      <c r="AI34">
        <v>193.17152400000001</v>
      </c>
      <c r="AJ34" s="9">
        <v>0.182</v>
      </c>
    </row>
    <row r="35" spans="1:36" ht="35.65">
      <c r="A35" s="12" t="s">
        <v>457</v>
      </c>
      <c r="B35" s="24" t="s">
        <v>435</v>
      </c>
      <c r="C35" s="25">
        <v>4976.689453</v>
      </c>
      <c r="D35" s="25">
        <v>5055.3876950000003</v>
      </c>
      <c r="E35" s="25">
        <v>5079.8876950000003</v>
      </c>
      <c r="F35" s="25">
        <v>5078.1098629999997</v>
      </c>
      <c r="G35" s="25">
        <v>5073.4624020000001</v>
      </c>
      <c r="H35" s="25">
        <v>5048.3701170000004</v>
      </c>
      <c r="I35" s="25">
        <v>5001.4560549999997</v>
      </c>
      <c r="J35" s="25">
        <v>4960.8745120000003</v>
      </c>
      <c r="K35" s="25">
        <v>4920.2299800000001</v>
      </c>
      <c r="L35" s="25">
        <v>4874.4697269999997</v>
      </c>
      <c r="M35" s="25">
        <v>4828.3608400000003</v>
      </c>
      <c r="N35" s="25">
        <v>4785.4204099999997</v>
      </c>
      <c r="O35" s="25">
        <v>4746.9272460000002</v>
      </c>
      <c r="P35" s="25">
        <v>4710.8579099999997</v>
      </c>
      <c r="Q35" s="25">
        <v>4682.1533200000003</v>
      </c>
      <c r="R35" s="25">
        <v>4658.1376950000003</v>
      </c>
      <c r="S35" s="25">
        <v>4642.6943359999996</v>
      </c>
      <c r="T35" s="25">
        <v>4632.513672</v>
      </c>
      <c r="U35" s="25">
        <v>4623.5385740000002</v>
      </c>
      <c r="V35" s="25">
        <v>4617.484375</v>
      </c>
      <c r="W35" s="25">
        <v>4616.8857420000004</v>
      </c>
      <c r="X35" s="25">
        <v>4622.5307620000003</v>
      </c>
      <c r="Y35" s="25">
        <v>4627.5087890000004</v>
      </c>
      <c r="Z35" s="25">
        <v>4633.4614259999998</v>
      </c>
      <c r="AA35" s="25">
        <v>4639.9770509999998</v>
      </c>
      <c r="AB35" s="25">
        <v>4649.4360349999997</v>
      </c>
      <c r="AC35" s="25">
        <v>4650.1777339999999</v>
      </c>
      <c r="AD35" s="25">
        <v>4642.8535160000001</v>
      </c>
      <c r="AE35" s="25">
        <v>4646.4609380000002</v>
      </c>
      <c r="AF35" s="25">
        <v>4661.1557620000003</v>
      </c>
      <c r="AG35" s="28">
        <v>-2.2560000000000002E-3</v>
      </c>
      <c r="AH35">
        <v>46.348914999999998</v>
      </c>
      <c r="AI35">
        <v>46.08128</v>
      </c>
      <c r="AJ35" s="9">
        <v>-1.7000000000000001E-2</v>
      </c>
    </row>
    <row r="36" spans="1:36" ht="47.25">
      <c r="A36" s="12" t="s">
        <v>458</v>
      </c>
      <c r="B36" s="24" t="s">
        <v>437</v>
      </c>
      <c r="C36" s="25">
        <v>46.997394999999997</v>
      </c>
      <c r="D36" s="25">
        <v>48.367187999999999</v>
      </c>
      <c r="E36" s="25">
        <v>48.840888999999997</v>
      </c>
      <c r="F36" s="25">
        <v>48.741549999999997</v>
      </c>
      <c r="G36" s="25">
        <v>48.394592000000003</v>
      </c>
      <c r="H36" s="25">
        <v>47.769526999999997</v>
      </c>
      <c r="I36" s="25">
        <v>46.945366</v>
      </c>
      <c r="J36" s="25">
        <v>46.237301000000002</v>
      </c>
      <c r="K36" s="25">
        <v>45.587302999999999</v>
      </c>
      <c r="L36" s="25">
        <v>44.961219999999997</v>
      </c>
      <c r="M36" s="25">
        <v>44.450096000000002</v>
      </c>
      <c r="N36" s="25">
        <v>44.134995000000004</v>
      </c>
      <c r="O36" s="25">
        <v>44.093451999999999</v>
      </c>
      <c r="P36" s="25">
        <v>44.283028000000002</v>
      </c>
      <c r="Q36" s="25">
        <v>44.730705</v>
      </c>
      <c r="R36" s="25">
        <v>45.414245999999999</v>
      </c>
      <c r="S36" s="25">
        <v>46.434826000000001</v>
      </c>
      <c r="T36" s="25">
        <v>47.786712999999999</v>
      </c>
      <c r="U36" s="25">
        <v>49.478347999999997</v>
      </c>
      <c r="V36" s="25">
        <v>51.585850000000001</v>
      </c>
      <c r="W36" s="25">
        <v>54.127968000000003</v>
      </c>
      <c r="X36" s="25">
        <v>57.057158999999999</v>
      </c>
      <c r="Y36" s="25">
        <v>60.303584999999998</v>
      </c>
      <c r="Z36" s="25">
        <v>63.959395999999998</v>
      </c>
      <c r="AA36" s="25">
        <v>68.052475000000001</v>
      </c>
      <c r="AB36" s="25">
        <v>72.714104000000006</v>
      </c>
      <c r="AC36" s="25">
        <v>77.749099999999999</v>
      </c>
      <c r="AD36" s="25">
        <v>83.156768999999997</v>
      </c>
      <c r="AE36" s="25">
        <v>89.427291999999994</v>
      </c>
      <c r="AF36" s="25">
        <v>96.668953000000002</v>
      </c>
      <c r="AG36" s="28">
        <v>2.5180999999999999E-2</v>
      </c>
      <c r="AH36">
        <v>44.682087000000003</v>
      </c>
      <c r="AI36">
        <v>44.326450000000001</v>
      </c>
      <c r="AJ36" s="9">
        <v>-1.7000000000000001E-2</v>
      </c>
    </row>
    <row r="37" spans="1:36">
      <c r="A37" s="12" t="s">
        <v>459</v>
      </c>
      <c r="B37" s="24" t="s">
        <v>439</v>
      </c>
      <c r="C37" s="25">
        <v>1.3243100000000001</v>
      </c>
      <c r="D37" s="25">
        <v>1.516086</v>
      </c>
      <c r="E37" s="25">
        <v>1.6933130000000001</v>
      </c>
      <c r="F37" s="25">
        <v>1.8586180000000001</v>
      </c>
      <c r="G37" s="25">
        <v>2.019209</v>
      </c>
      <c r="H37" s="25">
        <v>2.1709540000000001</v>
      </c>
      <c r="I37" s="25">
        <v>2.309936</v>
      </c>
      <c r="J37" s="25">
        <v>2.4498190000000002</v>
      </c>
      <c r="K37" s="25">
        <v>2.5863390000000002</v>
      </c>
      <c r="L37" s="25">
        <v>2.7183259999999998</v>
      </c>
      <c r="M37" s="25">
        <v>2.8477730000000001</v>
      </c>
      <c r="N37" s="25">
        <v>2.9795199999999999</v>
      </c>
      <c r="O37" s="25">
        <v>3.1201539999999999</v>
      </c>
      <c r="P37" s="25">
        <v>3.2687210000000002</v>
      </c>
      <c r="Q37" s="25">
        <v>3.4208910000000001</v>
      </c>
      <c r="R37" s="25">
        <v>3.5789550000000001</v>
      </c>
      <c r="S37" s="25">
        <v>3.7479100000000001</v>
      </c>
      <c r="T37" s="25">
        <v>3.9238650000000002</v>
      </c>
      <c r="U37" s="25">
        <v>4.1086</v>
      </c>
      <c r="V37" s="25">
        <v>4.3069369999999996</v>
      </c>
      <c r="W37" s="25">
        <v>4.5213640000000002</v>
      </c>
      <c r="X37" s="25">
        <v>4.745323</v>
      </c>
      <c r="Y37" s="25">
        <v>4.9734220000000002</v>
      </c>
      <c r="Z37" s="25">
        <v>5.208405</v>
      </c>
      <c r="AA37" s="25">
        <v>5.4531479999999997</v>
      </c>
      <c r="AB37" s="25">
        <v>5.7137700000000002</v>
      </c>
      <c r="AC37" s="25">
        <v>5.9756749999999998</v>
      </c>
      <c r="AD37" s="25">
        <v>6.2400200000000003</v>
      </c>
      <c r="AE37" s="25">
        <v>6.5260220000000002</v>
      </c>
      <c r="AF37" s="25">
        <v>6.844849</v>
      </c>
      <c r="AG37" s="28">
        <v>5.8276000000000001E-2</v>
      </c>
      <c r="AH37">
        <v>0.232824</v>
      </c>
      <c r="AI37">
        <v>0.231458</v>
      </c>
      <c r="AJ37" s="9">
        <v>-6.7000000000000004E-2</v>
      </c>
    </row>
    <row r="38" spans="1:36">
      <c r="A38" s="12" t="s">
        <v>460</v>
      </c>
      <c r="B38" s="24" t="s">
        <v>461</v>
      </c>
      <c r="C38" s="25">
        <v>1.578584</v>
      </c>
      <c r="D38" s="25">
        <v>1.642083</v>
      </c>
      <c r="E38" s="25">
        <v>1.5531219999999999</v>
      </c>
      <c r="F38" s="25">
        <v>1.577604</v>
      </c>
      <c r="G38" s="25">
        <v>1.6098710000000001</v>
      </c>
      <c r="H38" s="25">
        <v>1.626797</v>
      </c>
      <c r="I38" s="25">
        <v>1.6437330000000001</v>
      </c>
      <c r="J38" s="25">
        <v>1.666846</v>
      </c>
      <c r="K38" s="25">
        <v>1.7018519999999999</v>
      </c>
      <c r="L38" s="25">
        <v>1.7316370000000001</v>
      </c>
      <c r="M38" s="25">
        <v>1.7555149999999999</v>
      </c>
      <c r="N38" s="25">
        <v>1.785379</v>
      </c>
      <c r="O38" s="25">
        <v>1.843507</v>
      </c>
      <c r="P38" s="25">
        <v>1.834945</v>
      </c>
      <c r="Q38" s="25">
        <v>1.8669020000000001</v>
      </c>
      <c r="R38" s="25">
        <v>1.9379169999999999</v>
      </c>
      <c r="S38" s="25">
        <v>2.0014780000000001</v>
      </c>
      <c r="T38" s="25">
        <v>2.0326149999999998</v>
      </c>
      <c r="U38" s="25">
        <v>2.0868359999999999</v>
      </c>
      <c r="V38" s="25">
        <v>2.1404719999999999</v>
      </c>
      <c r="W38" s="25">
        <v>2.2006700000000001</v>
      </c>
      <c r="X38" s="25">
        <v>2.2882199999999999</v>
      </c>
      <c r="Y38" s="25">
        <v>2.3784920000000001</v>
      </c>
      <c r="Z38" s="25">
        <v>2.4800369999999998</v>
      </c>
      <c r="AA38" s="25">
        <v>2.59565</v>
      </c>
      <c r="AB38" s="25">
        <v>2.7215060000000002</v>
      </c>
      <c r="AC38" s="25">
        <v>2.8599570000000001</v>
      </c>
      <c r="AD38" s="25">
        <v>3.007593</v>
      </c>
      <c r="AE38" s="25">
        <v>3.1706829999999999</v>
      </c>
      <c r="AF38" s="25">
        <v>3.3523640000000001</v>
      </c>
      <c r="AG38" s="28">
        <v>2.631E-2</v>
      </c>
      <c r="AH38">
        <v>0</v>
      </c>
      <c r="AI38">
        <v>0</v>
      </c>
      <c r="AJ38" t="s">
        <v>110</v>
      </c>
    </row>
    <row r="39" spans="1:36">
      <c r="A39" s="12" t="s">
        <v>462</v>
      </c>
      <c r="B39" s="24" t="s">
        <v>441</v>
      </c>
      <c r="C39" s="25">
        <v>7.6537999999999995E-2</v>
      </c>
      <c r="D39" s="25">
        <v>9.0200000000000002E-2</v>
      </c>
      <c r="E39" s="25">
        <v>0.103405</v>
      </c>
      <c r="F39" s="25">
        <v>0.116059</v>
      </c>
      <c r="G39" s="25">
        <v>0.12839500000000001</v>
      </c>
      <c r="H39" s="25">
        <v>0.13988100000000001</v>
      </c>
      <c r="I39" s="25">
        <v>0.15033199999999999</v>
      </c>
      <c r="J39" s="25">
        <v>0.16052900000000001</v>
      </c>
      <c r="K39" s="25">
        <v>0.17016100000000001</v>
      </c>
      <c r="L39" s="25">
        <v>0.178865</v>
      </c>
      <c r="M39" s="25">
        <v>0.18687799999999999</v>
      </c>
      <c r="N39" s="25">
        <v>0.19444800000000001</v>
      </c>
      <c r="O39" s="25">
        <v>0.20161399999999999</v>
      </c>
      <c r="P39" s="25">
        <v>0.20866299999999999</v>
      </c>
      <c r="Q39" s="25">
        <v>0.216228</v>
      </c>
      <c r="R39" s="25">
        <v>0.22417000000000001</v>
      </c>
      <c r="S39" s="25">
        <v>0.233181</v>
      </c>
      <c r="T39" s="25">
        <v>0.24357799999999999</v>
      </c>
      <c r="U39" s="25">
        <v>0.25422600000000001</v>
      </c>
      <c r="V39" s="25">
        <v>0.26469500000000001</v>
      </c>
      <c r="W39" s="25">
        <v>0.27645700000000001</v>
      </c>
      <c r="X39" s="25">
        <v>0.28980699999999998</v>
      </c>
      <c r="Y39" s="25">
        <v>0.30384499999999998</v>
      </c>
      <c r="Z39" s="25">
        <v>0.31773099999999999</v>
      </c>
      <c r="AA39" s="25">
        <v>0.332038</v>
      </c>
      <c r="AB39" s="25">
        <v>0.34720000000000001</v>
      </c>
      <c r="AC39" s="25">
        <v>0.36238399999999998</v>
      </c>
      <c r="AD39" s="25">
        <v>0.377662</v>
      </c>
      <c r="AE39" s="25">
        <v>0.39459899999999998</v>
      </c>
      <c r="AF39" s="25">
        <v>0.41319299999999998</v>
      </c>
      <c r="AG39" s="28">
        <v>5.9866000000000003E-2</v>
      </c>
      <c r="AH39">
        <v>1.434007</v>
      </c>
      <c r="AI39">
        <v>1.5233730000000001</v>
      </c>
      <c r="AJ39" s="9">
        <v>4.3999999999999997E-2</v>
      </c>
    </row>
    <row r="40" spans="1:36">
      <c r="A40" s="12" t="s">
        <v>463</v>
      </c>
      <c r="B40" s="24" t="s">
        <v>443</v>
      </c>
      <c r="C40" s="25">
        <v>0.17952299999999999</v>
      </c>
      <c r="D40" s="25">
        <v>0.36213600000000001</v>
      </c>
      <c r="E40" s="25">
        <v>0.54206699999999997</v>
      </c>
      <c r="F40" s="25">
        <v>0.71720499999999998</v>
      </c>
      <c r="G40" s="25">
        <v>0.89110400000000001</v>
      </c>
      <c r="H40" s="25">
        <v>1.063266</v>
      </c>
      <c r="I40" s="25">
        <v>1.2310570000000001</v>
      </c>
      <c r="J40" s="25">
        <v>1.39991</v>
      </c>
      <c r="K40" s="25">
        <v>1.5718259999999999</v>
      </c>
      <c r="L40" s="25">
        <v>1.7439750000000001</v>
      </c>
      <c r="M40" s="25">
        <v>1.9156880000000001</v>
      </c>
      <c r="N40" s="25">
        <v>2.0870470000000001</v>
      </c>
      <c r="O40" s="25">
        <v>2.2583690000000001</v>
      </c>
      <c r="P40" s="25">
        <v>2.4285399999999999</v>
      </c>
      <c r="Q40" s="25">
        <v>2.5999759999999998</v>
      </c>
      <c r="R40" s="25">
        <v>2.7732060000000001</v>
      </c>
      <c r="S40" s="25">
        <v>2.952922</v>
      </c>
      <c r="T40" s="25">
        <v>3.1384370000000001</v>
      </c>
      <c r="U40" s="25">
        <v>3.3307549999999999</v>
      </c>
      <c r="V40" s="25">
        <v>3.5242749999999998</v>
      </c>
      <c r="W40" s="25">
        <v>3.726855</v>
      </c>
      <c r="X40" s="25">
        <v>3.9380709999999999</v>
      </c>
      <c r="Y40" s="25">
        <v>4.1557440000000003</v>
      </c>
      <c r="Z40" s="25">
        <v>4.3805110000000003</v>
      </c>
      <c r="AA40" s="25">
        <v>4.6136169999999996</v>
      </c>
      <c r="AB40" s="25">
        <v>4.8605869999999998</v>
      </c>
      <c r="AC40" s="25">
        <v>5.1085190000000003</v>
      </c>
      <c r="AD40" s="25">
        <v>5.3570710000000004</v>
      </c>
      <c r="AE40" s="25">
        <v>5.6316069999999998</v>
      </c>
      <c r="AF40" s="25">
        <v>5.9356090000000004</v>
      </c>
      <c r="AG40" s="28">
        <v>0.12821299999999999</v>
      </c>
      <c r="AH40">
        <v>879.32208300000002</v>
      </c>
      <c r="AI40">
        <v>880.51599099999999</v>
      </c>
      <c r="AJ40" s="9">
        <v>-2E-3</v>
      </c>
    </row>
    <row r="41" spans="1:36">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v>334.09484900000001</v>
      </c>
      <c r="AI41">
        <v>334.64166299999999</v>
      </c>
      <c r="AJ41" s="9">
        <v>-2E-3</v>
      </c>
    </row>
    <row r="42" spans="1:36">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v>447.15524299999998</v>
      </c>
      <c r="AI42">
        <v>448.565247</v>
      </c>
      <c r="AJ42" s="9">
        <v>-6.0000000000000001E-3</v>
      </c>
    </row>
    <row r="43" spans="1:36" ht="24">
      <c r="A43" s="12" t="s">
        <v>464</v>
      </c>
      <c r="B43" s="23" t="s">
        <v>465</v>
      </c>
      <c r="C43" s="26">
        <v>468.24883999999997</v>
      </c>
      <c r="D43" s="26">
        <v>471.07888800000001</v>
      </c>
      <c r="E43" s="26">
        <v>474.24130200000002</v>
      </c>
      <c r="F43" s="26">
        <v>442.51971400000002</v>
      </c>
      <c r="G43" s="26">
        <v>448.956726</v>
      </c>
      <c r="H43" s="26">
        <v>457.64755200000002</v>
      </c>
      <c r="I43" s="26">
        <v>456.70379600000001</v>
      </c>
      <c r="J43" s="26">
        <v>455.44903599999998</v>
      </c>
      <c r="K43" s="26">
        <v>453.94357300000001</v>
      </c>
      <c r="L43" s="26">
        <v>453.61090100000001</v>
      </c>
      <c r="M43" s="26">
        <v>453.71829200000002</v>
      </c>
      <c r="N43" s="26">
        <v>453.838257</v>
      </c>
      <c r="O43" s="26">
        <v>454.42358400000001</v>
      </c>
      <c r="P43" s="26">
        <v>449.776611</v>
      </c>
      <c r="Q43" s="26">
        <v>447.98791499999999</v>
      </c>
      <c r="R43" s="26">
        <v>443.34918199999998</v>
      </c>
      <c r="S43" s="26">
        <v>443.77777099999997</v>
      </c>
      <c r="T43" s="26">
        <v>443.31896999999998</v>
      </c>
      <c r="U43" s="26">
        <v>442.87756300000001</v>
      </c>
      <c r="V43" s="26">
        <v>441.743042</v>
      </c>
      <c r="W43" s="26">
        <v>441.236176</v>
      </c>
      <c r="X43" s="26">
        <v>441.40057400000001</v>
      </c>
      <c r="Y43" s="26">
        <v>440.00219700000002</v>
      </c>
      <c r="Z43" s="26">
        <v>438.087219</v>
      </c>
      <c r="AA43" s="26">
        <v>437.03344700000002</v>
      </c>
      <c r="AB43" s="26">
        <v>436.80850199999998</v>
      </c>
      <c r="AC43" s="26">
        <v>435.68884300000002</v>
      </c>
      <c r="AD43" s="26">
        <v>435.13897700000001</v>
      </c>
      <c r="AE43" s="26">
        <v>435.12530500000003</v>
      </c>
      <c r="AF43" s="26">
        <v>437.26293900000002</v>
      </c>
      <c r="AG43" s="29">
        <v>-2.3579999999999999E-3</v>
      </c>
      <c r="AH43">
        <v>0</v>
      </c>
      <c r="AI43">
        <v>0</v>
      </c>
      <c r="AJ43" t="s">
        <v>110</v>
      </c>
    </row>
    <row r="44" spans="1:36" ht="35.65">
      <c r="A44" s="12" t="s">
        <v>466</v>
      </c>
      <c r="B44" s="24" t="s">
        <v>435</v>
      </c>
      <c r="C44" s="25">
        <v>466.74658199999999</v>
      </c>
      <c r="D44" s="25">
        <v>468.05999800000001</v>
      </c>
      <c r="E44" s="25">
        <v>469.18505900000002</v>
      </c>
      <c r="F44" s="25">
        <v>435.459045</v>
      </c>
      <c r="G44" s="25">
        <v>437.88919099999998</v>
      </c>
      <c r="H44" s="25">
        <v>440.86505099999999</v>
      </c>
      <c r="I44" s="25">
        <v>433.00036599999999</v>
      </c>
      <c r="J44" s="25">
        <v>423.47860700000001</v>
      </c>
      <c r="K44" s="25">
        <v>412.46298200000001</v>
      </c>
      <c r="L44" s="25">
        <v>402.75726300000002</v>
      </c>
      <c r="M44" s="25">
        <v>393.64819299999999</v>
      </c>
      <c r="N44" s="25">
        <v>384.74282799999997</v>
      </c>
      <c r="O44" s="25">
        <v>376.411652</v>
      </c>
      <c r="P44" s="25">
        <v>364.013214</v>
      </c>
      <c r="Q44" s="25">
        <v>354.24575800000002</v>
      </c>
      <c r="R44" s="25">
        <v>342.53298999999998</v>
      </c>
      <c r="S44" s="25">
        <v>334.996399</v>
      </c>
      <c r="T44" s="25">
        <v>326.97082499999999</v>
      </c>
      <c r="U44" s="25">
        <v>319.149719</v>
      </c>
      <c r="V44" s="25">
        <v>311.02734400000003</v>
      </c>
      <c r="W44" s="25">
        <v>303.54150399999997</v>
      </c>
      <c r="X44" s="25">
        <v>296.68661500000002</v>
      </c>
      <c r="Y44" s="25">
        <v>288.96017499999999</v>
      </c>
      <c r="Z44" s="25">
        <v>281.100616</v>
      </c>
      <c r="AA44" s="25">
        <v>273.98956299999998</v>
      </c>
      <c r="AB44" s="25">
        <v>267.56451399999997</v>
      </c>
      <c r="AC44" s="25">
        <v>260.75457799999998</v>
      </c>
      <c r="AD44" s="25">
        <v>254.449524</v>
      </c>
      <c r="AE44" s="25">
        <v>248.602814</v>
      </c>
      <c r="AF44" s="25">
        <v>244.09139999999999</v>
      </c>
      <c r="AG44" s="28">
        <v>-2.2105E-2</v>
      </c>
      <c r="AH44">
        <v>98.071976000000006</v>
      </c>
      <c r="AI44">
        <v>97.309059000000005</v>
      </c>
      <c r="AJ44" s="9">
        <v>3.1E-2</v>
      </c>
    </row>
    <row r="45" spans="1:36" ht="24">
      <c r="A45" s="12" t="s">
        <v>467</v>
      </c>
      <c r="B45" s="24" t="s">
        <v>468</v>
      </c>
      <c r="C45" s="25">
        <v>0</v>
      </c>
      <c r="D45" s="25">
        <v>0</v>
      </c>
      <c r="E45" s="25">
        <v>0</v>
      </c>
      <c r="F45" s="25">
        <v>0</v>
      </c>
      <c r="G45" s="25">
        <v>0</v>
      </c>
      <c r="H45" s="25">
        <v>0</v>
      </c>
      <c r="I45" s="25">
        <v>0</v>
      </c>
      <c r="J45" s="25">
        <v>0</v>
      </c>
      <c r="K45" s="25">
        <v>0</v>
      </c>
      <c r="L45" s="25">
        <v>0</v>
      </c>
      <c r="M45" s="25">
        <v>0</v>
      </c>
      <c r="N45" s="25">
        <v>0</v>
      </c>
      <c r="O45" s="25">
        <v>0</v>
      </c>
      <c r="P45" s="25">
        <v>0</v>
      </c>
      <c r="Q45" s="25">
        <v>0</v>
      </c>
      <c r="R45" s="25">
        <v>0</v>
      </c>
      <c r="S45" s="25">
        <v>0</v>
      </c>
      <c r="T45" s="25">
        <v>0</v>
      </c>
      <c r="U45" s="25">
        <v>0</v>
      </c>
      <c r="V45" s="25">
        <v>0</v>
      </c>
      <c r="W45" s="25">
        <v>0</v>
      </c>
      <c r="X45" s="25">
        <v>0</v>
      </c>
      <c r="Y45" s="25">
        <v>0</v>
      </c>
      <c r="Z45" s="25">
        <v>0</v>
      </c>
      <c r="AA45" s="25">
        <v>0</v>
      </c>
      <c r="AB45" s="25">
        <v>0</v>
      </c>
      <c r="AC45" s="25">
        <v>0</v>
      </c>
      <c r="AD45" s="25">
        <v>0</v>
      </c>
      <c r="AE45" s="25">
        <v>0</v>
      </c>
      <c r="AF45" s="25">
        <v>0</v>
      </c>
      <c r="AG45" s="28" t="s">
        <v>452</v>
      </c>
      <c r="AH45">
        <v>4144.0703119999998</v>
      </c>
      <c r="AI45">
        <v>4203.2158200000003</v>
      </c>
      <c r="AJ45" s="9">
        <v>2.1000000000000001E-2</v>
      </c>
    </row>
    <row r="46" spans="1:36" ht="35.65">
      <c r="A46" s="12" t="s">
        <v>469</v>
      </c>
      <c r="B46" s="24" t="s">
        <v>470</v>
      </c>
      <c r="C46" s="25">
        <v>0</v>
      </c>
      <c r="D46" s="25">
        <v>0</v>
      </c>
      <c r="E46" s="25">
        <v>0</v>
      </c>
      <c r="F46" s="25">
        <v>0</v>
      </c>
      <c r="G46" s="25">
        <v>0</v>
      </c>
      <c r="H46" s="25">
        <v>0</v>
      </c>
      <c r="I46" s="25">
        <v>0</v>
      </c>
      <c r="J46" s="25">
        <v>0</v>
      </c>
      <c r="K46" s="25">
        <v>0</v>
      </c>
      <c r="L46" s="25">
        <v>0</v>
      </c>
      <c r="M46" s="25">
        <v>0</v>
      </c>
      <c r="N46" s="25">
        <v>0</v>
      </c>
      <c r="O46" s="25">
        <v>0</v>
      </c>
      <c r="P46" s="25">
        <v>0</v>
      </c>
      <c r="Q46" s="25">
        <v>0</v>
      </c>
      <c r="R46" s="25">
        <v>0</v>
      </c>
      <c r="S46" s="25">
        <v>0</v>
      </c>
      <c r="T46" s="25">
        <v>0</v>
      </c>
      <c r="U46" s="25">
        <v>0</v>
      </c>
      <c r="V46" s="25">
        <v>0</v>
      </c>
      <c r="W46" s="25">
        <v>0</v>
      </c>
      <c r="X46" s="25">
        <v>0</v>
      </c>
      <c r="Y46" s="25">
        <v>0</v>
      </c>
      <c r="Z46" s="25">
        <v>0</v>
      </c>
      <c r="AA46" s="25">
        <v>0</v>
      </c>
      <c r="AB46" s="25">
        <v>0</v>
      </c>
      <c r="AC46" s="25">
        <v>0</v>
      </c>
      <c r="AD46" s="25">
        <v>0</v>
      </c>
      <c r="AE46" s="25">
        <v>0</v>
      </c>
      <c r="AF46" s="25">
        <v>0</v>
      </c>
      <c r="AG46" s="28" t="s">
        <v>452</v>
      </c>
      <c r="AH46">
        <v>4121.7119140000004</v>
      </c>
      <c r="AI46">
        <v>4180.857422</v>
      </c>
      <c r="AJ46" s="9">
        <v>2.1000000000000001E-2</v>
      </c>
    </row>
    <row r="47" spans="1:36" ht="24">
      <c r="A47" s="12" t="s">
        <v>471</v>
      </c>
      <c r="B47" s="24" t="s">
        <v>472</v>
      </c>
      <c r="C47" s="25">
        <v>1.502254</v>
      </c>
      <c r="D47" s="25">
        <v>3.018894</v>
      </c>
      <c r="E47" s="25">
        <v>5.0562379999999996</v>
      </c>
      <c r="F47" s="25">
        <v>7.0606559999999998</v>
      </c>
      <c r="G47" s="25">
        <v>11.067543000000001</v>
      </c>
      <c r="H47" s="25">
        <v>16.782509000000001</v>
      </c>
      <c r="I47" s="25">
        <v>23.703420999999999</v>
      </c>
      <c r="J47" s="25">
        <v>31.97044</v>
      </c>
      <c r="K47" s="25">
        <v>41.480578999999999</v>
      </c>
      <c r="L47" s="25">
        <v>50.853653000000001</v>
      </c>
      <c r="M47" s="25">
        <v>60.070095000000002</v>
      </c>
      <c r="N47" s="25">
        <v>69.095436000000007</v>
      </c>
      <c r="O47" s="25">
        <v>78.011948000000004</v>
      </c>
      <c r="P47" s="25">
        <v>85.763396999999998</v>
      </c>
      <c r="Q47" s="25">
        <v>93.742142000000001</v>
      </c>
      <c r="R47" s="25">
        <v>100.816208</v>
      </c>
      <c r="S47" s="25">
        <v>108.78138</v>
      </c>
      <c r="T47" s="25">
        <v>116.348152</v>
      </c>
      <c r="U47" s="25">
        <v>123.727859</v>
      </c>
      <c r="V47" s="25">
        <v>130.71568300000001</v>
      </c>
      <c r="W47" s="25">
        <v>137.694672</v>
      </c>
      <c r="X47" s="25">
        <v>144.713943</v>
      </c>
      <c r="Y47" s="25">
        <v>151.04200700000001</v>
      </c>
      <c r="Z47" s="25">
        <v>156.98658800000001</v>
      </c>
      <c r="AA47" s="25">
        <v>163.04388399999999</v>
      </c>
      <c r="AB47" s="25">
        <v>169.243988</v>
      </c>
      <c r="AC47" s="25">
        <v>174.93424999999999</v>
      </c>
      <c r="AD47" s="25">
        <v>180.68945299999999</v>
      </c>
      <c r="AE47" s="25">
        <v>186.522491</v>
      </c>
      <c r="AF47" s="25">
        <v>193.17152400000001</v>
      </c>
      <c r="AG47" s="28">
        <v>0.182309</v>
      </c>
      <c r="AH47">
        <v>22.358381000000001</v>
      </c>
      <c r="AI47">
        <v>22.358315000000001</v>
      </c>
      <c r="AJ47" s="9">
        <v>0</v>
      </c>
    </row>
    <row r="48" spans="1:36">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v>554.37951699999996</v>
      </c>
      <c r="AI48">
        <v>554.70135500000004</v>
      </c>
      <c r="AJ48" s="9">
        <v>1E-3</v>
      </c>
    </row>
    <row r="49" spans="1:36" ht="24">
      <c r="A49" s="12" t="s">
        <v>473</v>
      </c>
      <c r="B49" s="23" t="s">
        <v>147</v>
      </c>
      <c r="C49" s="26">
        <v>75.169692999999995</v>
      </c>
      <c r="D49" s="26">
        <v>77.553368000000006</v>
      </c>
      <c r="E49" s="26">
        <v>76.937827999999996</v>
      </c>
      <c r="F49" s="26">
        <v>74.883780999999999</v>
      </c>
      <c r="G49" s="26">
        <v>73.008735999999999</v>
      </c>
      <c r="H49" s="26">
        <v>70.952270999999996</v>
      </c>
      <c r="I49" s="26">
        <v>68.639519000000007</v>
      </c>
      <c r="J49" s="26">
        <v>66.460136000000006</v>
      </c>
      <c r="K49" s="26">
        <v>64.220459000000005</v>
      </c>
      <c r="L49" s="26">
        <v>62.007294000000002</v>
      </c>
      <c r="M49" s="26">
        <v>60.828522</v>
      </c>
      <c r="N49" s="26">
        <v>59.650131000000002</v>
      </c>
      <c r="O49" s="26">
        <v>58.55489</v>
      </c>
      <c r="P49" s="26">
        <v>57.362952999999997</v>
      </c>
      <c r="Q49" s="26">
        <v>56.156143</v>
      </c>
      <c r="R49" s="26">
        <v>54.998362999999998</v>
      </c>
      <c r="S49" s="26">
        <v>53.933726999999998</v>
      </c>
      <c r="T49" s="26">
        <v>52.840007999999997</v>
      </c>
      <c r="U49" s="26">
        <v>51.828865</v>
      </c>
      <c r="V49" s="26">
        <v>50.803615999999998</v>
      </c>
      <c r="W49" s="26">
        <v>50.346043000000002</v>
      </c>
      <c r="X49" s="26">
        <v>49.869534000000002</v>
      </c>
      <c r="Y49" s="26">
        <v>49.358772000000002</v>
      </c>
      <c r="Z49" s="26">
        <v>48.884739000000003</v>
      </c>
      <c r="AA49" s="26">
        <v>48.413406000000002</v>
      </c>
      <c r="AB49" s="26">
        <v>47.972458000000003</v>
      </c>
      <c r="AC49" s="26">
        <v>47.419342</v>
      </c>
      <c r="AD49" s="26">
        <v>46.793990999999998</v>
      </c>
      <c r="AE49" s="26">
        <v>46.348914999999998</v>
      </c>
      <c r="AF49" s="26">
        <v>46.08128</v>
      </c>
      <c r="AG49" s="29">
        <v>-1.6732E-2</v>
      </c>
      <c r="AH49">
        <v>416.15707400000002</v>
      </c>
      <c r="AI49">
        <v>416.39840700000002</v>
      </c>
      <c r="AJ49" s="9">
        <v>1E-3</v>
      </c>
    </row>
    <row r="50" spans="1:36" ht="35.65">
      <c r="A50" s="12" t="s">
        <v>474</v>
      </c>
      <c r="B50" s="24" t="s">
        <v>435</v>
      </c>
      <c r="C50" s="25">
        <v>73.017257999999998</v>
      </c>
      <c r="D50" s="25">
        <v>75.437629999999999</v>
      </c>
      <c r="E50" s="25">
        <v>74.942642000000006</v>
      </c>
      <c r="F50" s="25">
        <v>72.962173000000007</v>
      </c>
      <c r="G50" s="25">
        <v>71.154540999999995</v>
      </c>
      <c r="H50" s="25">
        <v>69.167182999999994</v>
      </c>
      <c r="I50" s="25">
        <v>66.929717999999994</v>
      </c>
      <c r="J50" s="25">
        <v>64.821083000000002</v>
      </c>
      <c r="K50" s="25">
        <v>62.652237</v>
      </c>
      <c r="L50" s="25">
        <v>60.509067999999999</v>
      </c>
      <c r="M50" s="25">
        <v>59.375098999999999</v>
      </c>
      <c r="N50" s="25">
        <v>58.240456000000002</v>
      </c>
      <c r="O50" s="25">
        <v>57.186782999999998</v>
      </c>
      <c r="P50" s="25">
        <v>56.037548000000001</v>
      </c>
      <c r="Q50" s="25">
        <v>54.872925000000002</v>
      </c>
      <c r="R50" s="25">
        <v>53.753525000000003</v>
      </c>
      <c r="S50" s="25">
        <v>52.725825999999998</v>
      </c>
      <c r="T50" s="25">
        <v>51.671089000000002</v>
      </c>
      <c r="U50" s="25">
        <v>50.697575000000001</v>
      </c>
      <c r="V50" s="25">
        <v>49.681941999999999</v>
      </c>
      <c r="W50" s="25">
        <v>49.175784999999998</v>
      </c>
      <c r="X50" s="25">
        <v>48.648246999999998</v>
      </c>
      <c r="Y50" s="25">
        <v>48.084274000000001</v>
      </c>
      <c r="Z50" s="25">
        <v>47.552925000000002</v>
      </c>
      <c r="AA50" s="25">
        <v>47.020828000000002</v>
      </c>
      <c r="AB50" s="25">
        <v>46.514626</v>
      </c>
      <c r="AC50" s="25">
        <v>45.895980999999999</v>
      </c>
      <c r="AD50" s="25">
        <v>45.203902999999997</v>
      </c>
      <c r="AE50" s="25">
        <v>44.682087000000003</v>
      </c>
      <c r="AF50" s="25">
        <v>44.326450000000001</v>
      </c>
      <c r="AG50" s="28">
        <v>-1.7063999999999999E-2</v>
      </c>
      <c r="AH50">
        <v>19.085204999999998</v>
      </c>
      <c r="AI50">
        <v>19.096606999999999</v>
      </c>
      <c r="AJ50" s="9">
        <v>-2E-3</v>
      </c>
    </row>
    <row r="51" spans="1:36">
      <c r="A51" s="12" t="s">
        <v>475</v>
      </c>
      <c r="B51" s="24" t="s">
        <v>476</v>
      </c>
      <c r="C51" s="25">
        <v>1.7114860000000001</v>
      </c>
      <c r="D51" s="25">
        <v>1.6128480000000001</v>
      </c>
      <c r="E51" s="25">
        <v>1.4495020000000001</v>
      </c>
      <c r="F51" s="25">
        <v>1.347504</v>
      </c>
      <c r="G51" s="25">
        <v>1.2532080000000001</v>
      </c>
      <c r="H51" s="25">
        <v>1.1653819999999999</v>
      </c>
      <c r="I51" s="25">
        <v>1.073898</v>
      </c>
      <c r="J51" s="25">
        <v>0.98857200000000001</v>
      </c>
      <c r="K51" s="25">
        <v>0.90627199999999997</v>
      </c>
      <c r="L51" s="25">
        <v>0.82484000000000002</v>
      </c>
      <c r="M51" s="25">
        <v>0.75754299999999997</v>
      </c>
      <c r="N51" s="25">
        <v>0.693527</v>
      </c>
      <c r="O51" s="25">
        <v>0.63092499999999996</v>
      </c>
      <c r="P51" s="25">
        <v>0.57072699999999998</v>
      </c>
      <c r="Q51" s="25">
        <v>0.513567</v>
      </c>
      <c r="R51" s="25">
        <v>0.465084</v>
      </c>
      <c r="S51" s="25">
        <v>0.41512900000000003</v>
      </c>
      <c r="T51" s="25">
        <v>0.36051800000000001</v>
      </c>
      <c r="U51" s="25">
        <v>0.304753</v>
      </c>
      <c r="V51" s="25">
        <v>0.25576300000000002</v>
      </c>
      <c r="W51" s="25">
        <v>0.25337700000000002</v>
      </c>
      <c r="X51" s="25">
        <v>0.25087799999999999</v>
      </c>
      <c r="Y51" s="25">
        <v>0.24824499999999999</v>
      </c>
      <c r="Z51" s="25">
        <v>0.24580399999999999</v>
      </c>
      <c r="AA51" s="25">
        <v>0.24337800000000001</v>
      </c>
      <c r="AB51" s="25">
        <v>0.24110400000000001</v>
      </c>
      <c r="AC51" s="25">
        <v>0.23829500000000001</v>
      </c>
      <c r="AD51" s="25">
        <v>0.23511299999999999</v>
      </c>
      <c r="AE51" s="25">
        <v>0.232824</v>
      </c>
      <c r="AF51" s="25">
        <v>0.231458</v>
      </c>
      <c r="AG51" s="28">
        <v>-6.6664000000000001E-2</v>
      </c>
      <c r="AH51">
        <v>119.13723</v>
      </c>
      <c r="AI51">
        <v>119.206306</v>
      </c>
      <c r="AJ51" s="9">
        <v>1E-3</v>
      </c>
    </row>
    <row r="52" spans="1:36" ht="35.65">
      <c r="A52" s="12" t="s">
        <v>477</v>
      </c>
      <c r="B52" s="24" t="s">
        <v>470</v>
      </c>
      <c r="C52" s="25">
        <v>0</v>
      </c>
      <c r="D52" s="25">
        <v>0</v>
      </c>
      <c r="E52" s="25">
        <v>0</v>
      </c>
      <c r="F52" s="25">
        <v>0</v>
      </c>
      <c r="G52" s="25">
        <v>0</v>
      </c>
      <c r="H52" s="25">
        <v>0</v>
      </c>
      <c r="I52" s="25">
        <v>0</v>
      </c>
      <c r="J52" s="25">
        <v>0</v>
      </c>
      <c r="K52" s="25">
        <v>0</v>
      </c>
      <c r="L52" s="25">
        <v>0</v>
      </c>
      <c r="M52" s="25">
        <v>0</v>
      </c>
      <c r="N52" s="25">
        <v>0</v>
      </c>
      <c r="O52" s="25">
        <v>0</v>
      </c>
      <c r="P52" s="25">
        <v>0</v>
      </c>
      <c r="Q52" s="25">
        <v>0</v>
      </c>
      <c r="R52" s="25">
        <v>0</v>
      </c>
      <c r="S52" s="25">
        <v>0</v>
      </c>
      <c r="T52" s="25">
        <v>0</v>
      </c>
      <c r="U52" s="25">
        <v>0</v>
      </c>
      <c r="V52" s="25">
        <v>0</v>
      </c>
      <c r="W52" s="25">
        <v>0</v>
      </c>
      <c r="X52" s="25">
        <v>0</v>
      </c>
      <c r="Y52" s="25">
        <v>0</v>
      </c>
      <c r="Z52" s="25">
        <v>0</v>
      </c>
      <c r="AA52" s="25">
        <v>0</v>
      </c>
      <c r="AB52" s="25">
        <v>0</v>
      </c>
      <c r="AC52" s="25">
        <v>0</v>
      </c>
      <c r="AD52" s="25">
        <v>0</v>
      </c>
      <c r="AE52" s="25">
        <v>0</v>
      </c>
      <c r="AF52" s="25">
        <v>0</v>
      </c>
      <c r="AG52" s="28" t="s">
        <v>452</v>
      </c>
      <c r="AH52">
        <v>213.01475500000001</v>
      </c>
      <c r="AI52">
        <v>210.57737700000001</v>
      </c>
      <c r="AJ52" s="9">
        <v>6.0000000000000001E-3</v>
      </c>
    </row>
    <row r="53" spans="1:36" ht="24">
      <c r="A53" s="12" t="s">
        <v>478</v>
      </c>
      <c r="B53" s="24" t="s">
        <v>472</v>
      </c>
      <c r="C53" s="25">
        <v>0.440946</v>
      </c>
      <c r="D53" s="25">
        <v>0.50288900000000003</v>
      </c>
      <c r="E53" s="25">
        <v>0.545682</v>
      </c>
      <c r="F53" s="25">
        <v>0.57410099999999997</v>
      </c>
      <c r="G53" s="25">
        <v>0.60097900000000004</v>
      </c>
      <c r="H53" s="25">
        <v>0.61970499999999995</v>
      </c>
      <c r="I53" s="25">
        <v>0.63590100000000005</v>
      </c>
      <c r="J53" s="25">
        <v>0.65048399999999995</v>
      </c>
      <c r="K53" s="25">
        <v>0.66195300000000001</v>
      </c>
      <c r="L53" s="25">
        <v>0.67338399999999998</v>
      </c>
      <c r="M53" s="25">
        <v>0.69588000000000005</v>
      </c>
      <c r="N53" s="25">
        <v>0.71614999999999995</v>
      </c>
      <c r="O53" s="25">
        <v>0.73718399999999995</v>
      </c>
      <c r="P53" s="25">
        <v>0.75467799999999996</v>
      </c>
      <c r="Q53" s="25">
        <v>0.76964900000000003</v>
      </c>
      <c r="R53" s="25">
        <v>0.779756</v>
      </c>
      <c r="S53" s="25">
        <v>0.79277600000000004</v>
      </c>
      <c r="T53" s="25">
        <v>0.80840000000000001</v>
      </c>
      <c r="U53" s="25">
        <v>0.82653799999999999</v>
      </c>
      <c r="V53" s="25">
        <v>0.86590999999999996</v>
      </c>
      <c r="W53" s="25">
        <v>0.916883</v>
      </c>
      <c r="X53" s="25">
        <v>0.97040899999999997</v>
      </c>
      <c r="Y53" s="25">
        <v>1.0262519999999999</v>
      </c>
      <c r="Z53" s="25">
        <v>1.086009</v>
      </c>
      <c r="AA53" s="25">
        <v>1.1492020000000001</v>
      </c>
      <c r="AB53" s="25">
        <v>1.216726</v>
      </c>
      <c r="AC53" s="25">
        <v>1.2850699999999999</v>
      </c>
      <c r="AD53" s="25">
        <v>1.354975</v>
      </c>
      <c r="AE53" s="25">
        <v>1.434007</v>
      </c>
      <c r="AF53" s="25">
        <v>1.5233730000000001</v>
      </c>
      <c r="AG53" s="28">
        <v>4.3677000000000001E-2</v>
      </c>
      <c r="AH53">
        <v>87.816879</v>
      </c>
      <c r="AI53">
        <v>86.980957000000004</v>
      </c>
      <c r="AJ53" s="9">
        <v>5.0000000000000001E-3</v>
      </c>
    </row>
    <row r="54" spans="1:36">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v>11.712026</v>
      </c>
      <c r="AI54">
        <v>11.616365999999999</v>
      </c>
      <c r="AJ54" s="9">
        <v>6.0000000000000001E-3</v>
      </c>
    </row>
    <row r="55" spans="1:36" ht="24">
      <c r="A55" s="12" t="s">
        <v>479</v>
      </c>
      <c r="B55" s="23" t="s">
        <v>148</v>
      </c>
      <c r="C55" s="26">
        <v>927.45135500000004</v>
      </c>
      <c r="D55" s="26">
        <v>990.02081299999998</v>
      </c>
      <c r="E55" s="26">
        <v>884.05950900000005</v>
      </c>
      <c r="F55" s="26">
        <v>884.70709199999999</v>
      </c>
      <c r="G55" s="26">
        <v>887.06121800000005</v>
      </c>
      <c r="H55" s="26">
        <v>885.41760299999999</v>
      </c>
      <c r="I55" s="26">
        <v>881.61273200000005</v>
      </c>
      <c r="J55" s="26">
        <v>880.34258999999997</v>
      </c>
      <c r="K55" s="26">
        <v>880.76928699999996</v>
      </c>
      <c r="L55" s="26">
        <v>879.92974900000002</v>
      </c>
      <c r="M55" s="26">
        <v>884.78594999999996</v>
      </c>
      <c r="N55" s="26">
        <v>884.65515100000005</v>
      </c>
      <c r="O55" s="26">
        <v>885.21844499999997</v>
      </c>
      <c r="P55" s="26">
        <v>886.28894000000003</v>
      </c>
      <c r="Q55" s="26">
        <v>887.35192900000004</v>
      </c>
      <c r="R55" s="26">
        <v>889.09478799999999</v>
      </c>
      <c r="S55" s="26">
        <v>891.03912400000002</v>
      </c>
      <c r="T55" s="26">
        <v>890.64679000000001</v>
      </c>
      <c r="U55" s="26">
        <v>892.27447500000005</v>
      </c>
      <c r="V55" s="26">
        <v>887.78131099999996</v>
      </c>
      <c r="W55" s="26">
        <v>886.33569299999999</v>
      </c>
      <c r="X55" s="26">
        <v>884.98419200000001</v>
      </c>
      <c r="Y55" s="26">
        <v>881.27642800000001</v>
      </c>
      <c r="Z55" s="26">
        <v>879.00164800000005</v>
      </c>
      <c r="AA55" s="26">
        <v>879.11547900000005</v>
      </c>
      <c r="AB55" s="26">
        <v>878.01025400000003</v>
      </c>
      <c r="AC55" s="26">
        <v>877.70593299999996</v>
      </c>
      <c r="AD55" s="26">
        <v>878.74401899999998</v>
      </c>
      <c r="AE55" s="26">
        <v>879.32208300000002</v>
      </c>
      <c r="AF55" s="26">
        <v>880.51599099999999</v>
      </c>
      <c r="AG55" s="29">
        <v>-1.789E-3</v>
      </c>
      <c r="AH55">
        <v>4.9189999999999998E-3</v>
      </c>
      <c r="AI55">
        <v>4.8370000000000002E-3</v>
      </c>
      <c r="AJ55" s="9">
        <v>-2E-3</v>
      </c>
    </row>
    <row r="56" spans="1:36" ht="35.65">
      <c r="A56" s="12" t="s">
        <v>480</v>
      </c>
      <c r="B56" s="24" t="s">
        <v>435</v>
      </c>
      <c r="C56" s="25">
        <v>351.65612800000002</v>
      </c>
      <c r="D56" s="25">
        <v>238.17157</v>
      </c>
      <c r="E56" s="25">
        <v>341.49670400000002</v>
      </c>
      <c r="F56" s="25">
        <v>337.37942500000003</v>
      </c>
      <c r="G56" s="25">
        <v>332.16564899999997</v>
      </c>
      <c r="H56" s="25">
        <v>331.91503899999998</v>
      </c>
      <c r="I56" s="25">
        <v>335.13259900000003</v>
      </c>
      <c r="J56" s="25">
        <v>337.84320100000002</v>
      </c>
      <c r="K56" s="25">
        <v>338.748535</v>
      </c>
      <c r="L56" s="25">
        <v>341.154968</v>
      </c>
      <c r="M56" s="25">
        <v>339.24258400000002</v>
      </c>
      <c r="N56" s="25">
        <v>339.37771600000002</v>
      </c>
      <c r="O56" s="25">
        <v>339.98928799999999</v>
      </c>
      <c r="P56" s="25">
        <v>339.515198</v>
      </c>
      <c r="Q56" s="25">
        <v>338.44873000000001</v>
      </c>
      <c r="R56" s="25">
        <v>336.32299799999998</v>
      </c>
      <c r="S56" s="25">
        <v>333.43383799999998</v>
      </c>
      <c r="T56" s="25">
        <v>333.31323200000003</v>
      </c>
      <c r="U56" s="25">
        <v>332.17944299999999</v>
      </c>
      <c r="V56" s="25">
        <v>334.76266500000003</v>
      </c>
      <c r="W56" s="25">
        <v>335.45147700000001</v>
      </c>
      <c r="X56" s="25">
        <v>336.63207999999997</v>
      </c>
      <c r="Y56" s="25">
        <v>337.43170199999997</v>
      </c>
      <c r="Z56" s="25">
        <v>336.05450400000001</v>
      </c>
      <c r="AA56" s="25">
        <v>335.15737899999999</v>
      </c>
      <c r="AB56" s="25">
        <v>333.87554899999998</v>
      </c>
      <c r="AC56" s="25">
        <v>333.81549100000001</v>
      </c>
      <c r="AD56" s="25">
        <v>333.91772500000002</v>
      </c>
      <c r="AE56" s="25">
        <v>334.09484900000001</v>
      </c>
      <c r="AF56" s="25">
        <v>334.64166299999999</v>
      </c>
      <c r="AG56" s="28">
        <v>-1.709E-3</v>
      </c>
      <c r="AH56">
        <v>46.7896</v>
      </c>
      <c r="AI56">
        <v>44.974155000000003</v>
      </c>
      <c r="AJ56" s="9">
        <v>0</v>
      </c>
    </row>
    <row r="57" spans="1:36">
      <c r="A57" s="12" t="s">
        <v>481</v>
      </c>
      <c r="B57" s="24" t="s">
        <v>476</v>
      </c>
      <c r="C57" s="25">
        <v>535.95062299999995</v>
      </c>
      <c r="D57" s="25">
        <v>727.49896200000001</v>
      </c>
      <c r="E57" s="25">
        <v>503.42858899999999</v>
      </c>
      <c r="F57" s="25">
        <v>502.77362099999999</v>
      </c>
      <c r="G57" s="25">
        <v>507.00457799999998</v>
      </c>
      <c r="H57" s="25">
        <v>500.63662699999998</v>
      </c>
      <c r="I57" s="25">
        <v>488.62951700000002</v>
      </c>
      <c r="J57" s="25">
        <v>483.53585800000002</v>
      </c>
      <c r="K57" s="25">
        <v>482.90744000000001</v>
      </c>
      <c r="L57" s="25">
        <v>478.91043100000002</v>
      </c>
      <c r="M57" s="25">
        <v>490.33029199999999</v>
      </c>
      <c r="N57" s="25">
        <v>488.39150999999998</v>
      </c>
      <c r="O57" s="25">
        <v>488.33117700000003</v>
      </c>
      <c r="P57" s="25">
        <v>489.60311899999999</v>
      </c>
      <c r="Q57" s="25">
        <v>490.947113</v>
      </c>
      <c r="R57" s="25">
        <v>494.14855999999997</v>
      </c>
      <c r="S57" s="25">
        <v>497.88388099999997</v>
      </c>
      <c r="T57" s="25">
        <v>495.34140000000002</v>
      </c>
      <c r="U57" s="25">
        <v>498.27636699999999</v>
      </c>
      <c r="V57" s="25">
        <v>484.67297400000001</v>
      </c>
      <c r="W57" s="25">
        <v>479.240387</v>
      </c>
      <c r="X57" s="25">
        <v>474.04070999999999</v>
      </c>
      <c r="Y57" s="25">
        <v>462.37161300000002</v>
      </c>
      <c r="Z57" s="25">
        <v>454.591339</v>
      </c>
      <c r="AA57" s="25">
        <v>453.270355</v>
      </c>
      <c r="AB57" s="25">
        <v>448.61398300000002</v>
      </c>
      <c r="AC57" s="25">
        <v>446.11673000000002</v>
      </c>
      <c r="AD57" s="25">
        <v>447.29937699999999</v>
      </c>
      <c r="AE57" s="25">
        <v>447.15524299999998</v>
      </c>
      <c r="AF57" s="25">
        <v>448.565247</v>
      </c>
      <c r="AG57" s="28">
        <v>-6.1190000000000003E-3</v>
      </c>
      <c r="AH57">
        <v>22.419288999999999</v>
      </c>
      <c r="AI57">
        <v>22.166677</v>
      </c>
      <c r="AJ57" s="9">
        <v>5.0000000000000001E-3</v>
      </c>
    </row>
    <row r="58" spans="1:36" ht="35.65">
      <c r="A58" s="12" t="s">
        <v>482</v>
      </c>
      <c r="B58" s="24" t="s">
        <v>470</v>
      </c>
      <c r="C58" s="25">
        <v>0</v>
      </c>
      <c r="D58" s="25">
        <v>0</v>
      </c>
      <c r="E58" s="25">
        <v>0</v>
      </c>
      <c r="F58" s="25">
        <v>0</v>
      </c>
      <c r="G58" s="25">
        <v>0</v>
      </c>
      <c r="H58" s="25">
        <v>0</v>
      </c>
      <c r="I58" s="25">
        <v>0</v>
      </c>
      <c r="J58" s="25">
        <v>0</v>
      </c>
      <c r="K58" s="25">
        <v>0</v>
      </c>
      <c r="L58" s="25">
        <v>0</v>
      </c>
      <c r="M58" s="25">
        <v>0</v>
      </c>
      <c r="N58" s="25">
        <v>0</v>
      </c>
      <c r="O58" s="25">
        <v>0</v>
      </c>
      <c r="P58" s="25">
        <v>0</v>
      </c>
      <c r="Q58" s="25">
        <v>0</v>
      </c>
      <c r="R58" s="25">
        <v>0</v>
      </c>
      <c r="S58" s="25">
        <v>0</v>
      </c>
      <c r="T58" s="25">
        <v>0</v>
      </c>
      <c r="U58" s="25">
        <v>0</v>
      </c>
      <c r="V58" s="25">
        <v>0</v>
      </c>
      <c r="W58" s="25">
        <v>0</v>
      </c>
      <c r="X58" s="25">
        <v>0</v>
      </c>
      <c r="Y58" s="25">
        <v>0</v>
      </c>
      <c r="Z58" s="25">
        <v>0</v>
      </c>
      <c r="AA58" s="25">
        <v>0</v>
      </c>
      <c r="AB58" s="25">
        <v>0</v>
      </c>
      <c r="AC58" s="25">
        <v>0</v>
      </c>
      <c r="AD58" s="25">
        <v>0</v>
      </c>
      <c r="AE58" s="25">
        <v>0</v>
      </c>
      <c r="AF58" s="25">
        <v>0</v>
      </c>
      <c r="AG58" s="28" t="s">
        <v>452</v>
      </c>
      <c r="AH58">
        <v>1.3559969999999999</v>
      </c>
      <c r="AI58">
        <v>1.3470800000000001</v>
      </c>
      <c r="AJ58" s="9">
        <v>0.01</v>
      </c>
    </row>
    <row r="59" spans="1:36" ht="24">
      <c r="A59" s="12" t="s">
        <v>483</v>
      </c>
      <c r="B59" s="24" t="s">
        <v>472</v>
      </c>
      <c r="C59" s="25">
        <v>39.844611999999998</v>
      </c>
      <c r="D59" s="25">
        <v>24.350292</v>
      </c>
      <c r="E59" s="25">
        <v>39.134216000000002</v>
      </c>
      <c r="F59" s="25">
        <v>44.554015999999997</v>
      </c>
      <c r="G59" s="25">
        <v>47.891013999999998</v>
      </c>
      <c r="H59" s="25">
        <v>52.865997</v>
      </c>
      <c r="I59" s="25">
        <v>57.850662</v>
      </c>
      <c r="J59" s="25">
        <v>58.963535</v>
      </c>
      <c r="K59" s="25">
        <v>59.113273999999997</v>
      </c>
      <c r="L59" s="25">
        <v>59.864296000000003</v>
      </c>
      <c r="M59" s="25">
        <v>55.213051</v>
      </c>
      <c r="N59" s="25">
        <v>56.885941000000003</v>
      </c>
      <c r="O59" s="25">
        <v>56.898018</v>
      </c>
      <c r="P59" s="25">
        <v>57.170631</v>
      </c>
      <c r="Q59" s="25">
        <v>57.956054999999999</v>
      </c>
      <c r="R59" s="25">
        <v>58.623233999999997</v>
      </c>
      <c r="S59" s="25">
        <v>59.721397000000003</v>
      </c>
      <c r="T59" s="25">
        <v>61.992119000000002</v>
      </c>
      <c r="U59" s="25">
        <v>61.818676000000004</v>
      </c>
      <c r="V59" s="25">
        <v>68.345634000000004</v>
      </c>
      <c r="W59" s="25">
        <v>71.643828999999997</v>
      </c>
      <c r="X59" s="25">
        <v>74.311394000000007</v>
      </c>
      <c r="Y59" s="25">
        <v>81.473067999999998</v>
      </c>
      <c r="Z59" s="25">
        <v>88.355773999999997</v>
      </c>
      <c r="AA59" s="25">
        <v>90.687775000000002</v>
      </c>
      <c r="AB59" s="25">
        <v>95.520767000000006</v>
      </c>
      <c r="AC59" s="25">
        <v>97.773712000000003</v>
      </c>
      <c r="AD59" s="25">
        <v>97.526932000000002</v>
      </c>
      <c r="AE59" s="25">
        <v>98.071976000000006</v>
      </c>
      <c r="AF59" s="25">
        <v>97.309059000000005</v>
      </c>
      <c r="AG59" s="28">
        <v>3.1268999999999998E-2</v>
      </c>
      <c r="AH59">
        <v>5.518154</v>
      </c>
      <c r="AI59">
        <v>6.8551640000000003</v>
      </c>
      <c r="AJ59" s="9">
        <v>0.10199999999999999</v>
      </c>
    </row>
    <row r="60" spans="1:36">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v>1.6909E-2</v>
      </c>
      <c r="AI60">
        <v>1.6667000000000001E-2</v>
      </c>
      <c r="AJ60" s="9">
        <v>4.0000000000000001E-3</v>
      </c>
    </row>
    <row r="61" spans="1:36" ht="35.65">
      <c r="A61" s="12" t="s">
        <v>484</v>
      </c>
      <c r="B61" s="23" t="s">
        <v>424</v>
      </c>
      <c r="C61" s="26">
        <v>2296.1611330000001</v>
      </c>
      <c r="D61" s="26">
        <v>2683.6513669999999</v>
      </c>
      <c r="E61" s="26">
        <v>2951.118164</v>
      </c>
      <c r="F61" s="26">
        <v>3034.7094729999999</v>
      </c>
      <c r="G61" s="26">
        <v>3111.6896969999998</v>
      </c>
      <c r="H61" s="26">
        <v>3173.992432</v>
      </c>
      <c r="I61" s="26">
        <v>3213.9558109999998</v>
      </c>
      <c r="J61" s="26">
        <v>3252.0551759999998</v>
      </c>
      <c r="K61" s="26">
        <v>3293.8454590000001</v>
      </c>
      <c r="L61" s="26">
        <v>3340.3571780000002</v>
      </c>
      <c r="M61" s="26">
        <v>3377.2758789999998</v>
      </c>
      <c r="N61" s="26">
        <v>3393.485107</v>
      </c>
      <c r="O61" s="26">
        <v>3431.1589359999998</v>
      </c>
      <c r="P61" s="26">
        <v>3465.1965329999998</v>
      </c>
      <c r="Q61" s="26">
        <v>3501.516846</v>
      </c>
      <c r="R61" s="26">
        <v>3538.3811040000001</v>
      </c>
      <c r="S61" s="26">
        <v>3580.70874</v>
      </c>
      <c r="T61" s="26">
        <v>3619.171143</v>
      </c>
      <c r="U61" s="26">
        <v>3663.686279</v>
      </c>
      <c r="V61" s="26">
        <v>3712.9865719999998</v>
      </c>
      <c r="W61" s="26">
        <v>3753.7878420000002</v>
      </c>
      <c r="X61" s="26">
        <v>3799.3937989999999</v>
      </c>
      <c r="Y61" s="26">
        <v>3847.1994629999999</v>
      </c>
      <c r="Z61" s="26">
        <v>3892.524414</v>
      </c>
      <c r="AA61" s="26">
        <v>3945.7468260000001</v>
      </c>
      <c r="AB61" s="26">
        <v>3999.0383299999999</v>
      </c>
      <c r="AC61" s="26">
        <v>4045.6613769999999</v>
      </c>
      <c r="AD61" s="26">
        <v>4090.9533689999998</v>
      </c>
      <c r="AE61" s="26">
        <v>4144.0703119999998</v>
      </c>
      <c r="AF61" s="26">
        <v>4203.2158200000003</v>
      </c>
      <c r="AG61" s="29">
        <v>2.1068E-2</v>
      </c>
      <c r="AH61">
        <v>40.965553</v>
      </c>
      <c r="AI61">
        <v>41.161906999999999</v>
      </c>
      <c r="AJ61" s="9">
        <v>1.7999999999999999E-2</v>
      </c>
    </row>
    <row r="62" spans="1:36">
      <c r="A62" s="12" t="s">
        <v>485</v>
      </c>
      <c r="B62" s="24" t="s">
        <v>486</v>
      </c>
      <c r="C62" s="25">
        <v>2273.726318</v>
      </c>
      <c r="D62" s="25">
        <v>2661.2297359999998</v>
      </c>
      <c r="E62" s="25">
        <v>2928.7075199999999</v>
      </c>
      <c r="F62" s="25">
        <v>3012.3078609999998</v>
      </c>
      <c r="G62" s="25">
        <v>3089.295654</v>
      </c>
      <c r="H62" s="25">
        <v>3151.6047359999998</v>
      </c>
      <c r="I62" s="25">
        <v>3191.5732419999999</v>
      </c>
      <c r="J62" s="25">
        <v>3229.6767580000001</v>
      </c>
      <c r="K62" s="25">
        <v>3271.4704590000001</v>
      </c>
      <c r="L62" s="25">
        <v>3317.985107</v>
      </c>
      <c r="M62" s="25">
        <v>3354.90625</v>
      </c>
      <c r="N62" s="25">
        <v>3371.117432</v>
      </c>
      <c r="O62" s="25">
        <v>3408.7929690000001</v>
      </c>
      <c r="P62" s="25">
        <v>3442.8320309999999</v>
      </c>
      <c r="Q62" s="25">
        <v>3479.1533199999999</v>
      </c>
      <c r="R62" s="25">
        <v>3516.0185550000001</v>
      </c>
      <c r="S62" s="25">
        <v>3558.3469239999999</v>
      </c>
      <c r="T62" s="25">
        <v>3596.8100589999999</v>
      </c>
      <c r="U62" s="25">
        <v>3641.3256839999999</v>
      </c>
      <c r="V62" s="25">
        <v>3690.6264649999998</v>
      </c>
      <c r="W62" s="25">
        <v>3731.4282229999999</v>
      </c>
      <c r="X62" s="25">
        <v>3777.0344239999999</v>
      </c>
      <c r="Y62" s="25">
        <v>3824.8403320000002</v>
      </c>
      <c r="Z62" s="25">
        <v>3870.1655270000001</v>
      </c>
      <c r="AA62" s="25">
        <v>3923.3879390000002</v>
      </c>
      <c r="AB62" s="25">
        <v>3976.6796880000002</v>
      </c>
      <c r="AC62" s="25">
        <v>4023.3027339999999</v>
      </c>
      <c r="AD62" s="25">
        <v>4068.594971</v>
      </c>
      <c r="AE62" s="25">
        <v>4121.7119140000004</v>
      </c>
      <c r="AF62" s="25">
        <v>4180.857422</v>
      </c>
      <c r="AG62" s="28">
        <v>2.1225000000000001E-2</v>
      </c>
      <c r="AH62">
        <v>0</v>
      </c>
      <c r="AI62">
        <v>0</v>
      </c>
      <c r="AJ62" t="s">
        <v>110</v>
      </c>
    </row>
    <row r="63" spans="1:36" ht="24">
      <c r="A63" s="12" t="s">
        <v>487</v>
      </c>
      <c r="B63" s="24" t="s">
        <v>488</v>
      </c>
      <c r="C63" s="25">
        <v>22.434891</v>
      </c>
      <c r="D63" s="25">
        <v>22.421617999999999</v>
      </c>
      <c r="E63" s="25">
        <v>22.410634999999999</v>
      </c>
      <c r="F63" s="25">
        <v>22.401547999999998</v>
      </c>
      <c r="G63" s="25">
        <v>22.394031999999999</v>
      </c>
      <c r="H63" s="25">
        <v>22.387812</v>
      </c>
      <c r="I63" s="25">
        <v>22.382666</v>
      </c>
      <c r="J63" s="25">
        <v>22.378406999999999</v>
      </c>
      <c r="K63" s="25">
        <v>22.374884000000002</v>
      </c>
      <c r="L63" s="25">
        <v>22.371969</v>
      </c>
      <c r="M63" s="25">
        <v>22.369558000000001</v>
      </c>
      <c r="N63" s="25">
        <v>22.367563000000001</v>
      </c>
      <c r="O63" s="25">
        <v>22.365911000000001</v>
      </c>
      <c r="P63" s="25">
        <v>22.364546000000001</v>
      </c>
      <c r="Q63" s="25">
        <v>22.363416999999998</v>
      </c>
      <c r="R63" s="25">
        <v>22.362480000000001</v>
      </c>
      <c r="S63" s="25">
        <v>22.361708</v>
      </c>
      <c r="T63" s="25">
        <v>22.361066999999998</v>
      </c>
      <c r="U63" s="25">
        <v>22.360537999999998</v>
      </c>
      <c r="V63" s="25">
        <v>22.360099999999999</v>
      </c>
      <c r="W63" s="25">
        <v>22.359736999999999</v>
      </c>
      <c r="X63" s="25">
        <v>22.359438000000001</v>
      </c>
      <c r="Y63" s="25">
        <v>22.359190000000002</v>
      </c>
      <c r="Z63" s="25">
        <v>22.358984</v>
      </c>
      <c r="AA63" s="25">
        <v>22.358813999999999</v>
      </c>
      <c r="AB63" s="25">
        <v>22.358673</v>
      </c>
      <c r="AC63" s="25">
        <v>22.358557000000001</v>
      </c>
      <c r="AD63" s="25">
        <v>22.358460999999998</v>
      </c>
      <c r="AE63" s="25">
        <v>22.358381000000001</v>
      </c>
      <c r="AF63" s="25">
        <v>22.358315000000001</v>
      </c>
      <c r="AG63" s="28">
        <v>-1.18E-4</v>
      </c>
      <c r="AH63">
        <v>0</v>
      </c>
      <c r="AI63">
        <v>0</v>
      </c>
      <c r="AJ63" t="s">
        <v>110</v>
      </c>
    </row>
    <row r="64" spans="1:36">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v>40.965553</v>
      </c>
      <c r="AI64">
        <v>41.161906999999999</v>
      </c>
      <c r="AJ64" s="9">
        <v>1.7999999999999999E-2</v>
      </c>
    </row>
    <row r="65" spans="1:36">
      <c r="A65" s="12" t="s">
        <v>489</v>
      </c>
      <c r="B65" s="23" t="s">
        <v>175</v>
      </c>
      <c r="C65" s="26">
        <v>537.703125</v>
      </c>
      <c r="D65" s="26">
        <v>545.34875499999998</v>
      </c>
      <c r="E65" s="26">
        <v>539.67163100000005</v>
      </c>
      <c r="F65" s="26">
        <v>539.22375499999998</v>
      </c>
      <c r="G65" s="26">
        <v>542.58715800000004</v>
      </c>
      <c r="H65" s="26">
        <v>545.14965800000004</v>
      </c>
      <c r="I65" s="26">
        <v>547.036743</v>
      </c>
      <c r="J65" s="26">
        <v>549.19799799999998</v>
      </c>
      <c r="K65" s="26">
        <v>547.83374000000003</v>
      </c>
      <c r="L65" s="26">
        <v>549.64349400000003</v>
      </c>
      <c r="M65" s="26">
        <v>549.11926300000005</v>
      </c>
      <c r="N65" s="26">
        <v>549.31872599999997</v>
      </c>
      <c r="O65" s="26">
        <v>549.48425299999997</v>
      </c>
      <c r="P65" s="26">
        <v>549.62329099999999</v>
      </c>
      <c r="Q65" s="26">
        <v>549.73779300000001</v>
      </c>
      <c r="R65" s="26">
        <v>549.99847399999999</v>
      </c>
      <c r="S65" s="26">
        <v>550.35229500000003</v>
      </c>
      <c r="T65" s="26">
        <v>550.70202600000005</v>
      </c>
      <c r="U65" s="26">
        <v>551.05041500000004</v>
      </c>
      <c r="V65" s="26">
        <v>551.39324999999997</v>
      </c>
      <c r="W65" s="26">
        <v>551.73486300000002</v>
      </c>
      <c r="X65" s="26">
        <v>552.07397500000002</v>
      </c>
      <c r="Y65" s="26">
        <v>552.408997</v>
      </c>
      <c r="Z65" s="26">
        <v>552.74206500000003</v>
      </c>
      <c r="AA65" s="26">
        <v>553.07428000000004</v>
      </c>
      <c r="AB65" s="26">
        <v>553.40344200000004</v>
      </c>
      <c r="AC65" s="26">
        <v>553.73046899999997</v>
      </c>
      <c r="AD65" s="26">
        <v>554.056152</v>
      </c>
      <c r="AE65" s="26">
        <v>554.37951699999996</v>
      </c>
      <c r="AF65" s="26">
        <v>554.70135500000004</v>
      </c>
      <c r="AG65" s="29">
        <v>1.0740000000000001E-3</v>
      </c>
      <c r="AH65">
        <v>0</v>
      </c>
      <c r="AI65">
        <v>0</v>
      </c>
      <c r="AJ65" t="s">
        <v>110</v>
      </c>
    </row>
    <row r="66" spans="1:36" ht="35.65">
      <c r="A66" s="12" t="s">
        <v>490</v>
      </c>
      <c r="B66" s="24" t="s">
        <v>491</v>
      </c>
      <c r="C66" s="25">
        <v>402.12243699999999</v>
      </c>
      <c r="D66" s="25">
        <v>408.58813500000002</v>
      </c>
      <c r="E66" s="25">
        <v>405.11737099999999</v>
      </c>
      <c r="F66" s="25">
        <v>404.78070100000002</v>
      </c>
      <c r="G66" s="25">
        <v>407.30474900000002</v>
      </c>
      <c r="H66" s="25">
        <v>409.22909499999997</v>
      </c>
      <c r="I66" s="25">
        <v>410.64746100000002</v>
      </c>
      <c r="J66" s="25">
        <v>412.27038599999997</v>
      </c>
      <c r="K66" s="25">
        <v>411.24566700000003</v>
      </c>
      <c r="L66" s="25">
        <v>412.60449199999999</v>
      </c>
      <c r="M66" s="25">
        <v>412.20864899999998</v>
      </c>
      <c r="N66" s="25">
        <v>412.35833700000001</v>
      </c>
      <c r="O66" s="25">
        <v>412.48217799999998</v>
      </c>
      <c r="P66" s="25">
        <v>412.58575400000001</v>
      </c>
      <c r="Q66" s="25">
        <v>412.67089800000002</v>
      </c>
      <c r="R66" s="25">
        <v>412.86550899999997</v>
      </c>
      <c r="S66" s="25">
        <v>413.12994400000002</v>
      </c>
      <c r="T66" s="25">
        <v>413.39245599999998</v>
      </c>
      <c r="U66" s="25">
        <v>413.65313700000002</v>
      </c>
      <c r="V66" s="25">
        <v>413.91204800000003</v>
      </c>
      <c r="W66" s="25">
        <v>414.16891500000003</v>
      </c>
      <c r="X66" s="25">
        <v>414.42382800000001</v>
      </c>
      <c r="Y66" s="25">
        <v>414.67672700000003</v>
      </c>
      <c r="Z66" s="25">
        <v>414.92770400000001</v>
      </c>
      <c r="AA66" s="25">
        <v>415.176849</v>
      </c>
      <c r="AB66" s="25">
        <v>415.42431599999998</v>
      </c>
      <c r="AC66" s="25">
        <v>415.67010499999998</v>
      </c>
      <c r="AD66" s="25">
        <v>415.91433699999999</v>
      </c>
      <c r="AE66" s="25">
        <v>416.15707400000002</v>
      </c>
      <c r="AF66" s="25">
        <v>416.39840700000002</v>
      </c>
      <c r="AG66" s="28">
        <v>1.204E-3</v>
      </c>
      <c r="AH66">
        <v>0</v>
      </c>
      <c r="AI66">
        <v>0</v>
      </c>
      <c r="AJ66" t="s">
        <v>110</v>
      </c>
    </row>
    <row r="67" spans="1:36" ht="24">
      <c r="A67" s="12" t="s">
        <v>492</v>
      </c>
      <c r="B67" s="24" t="s">
        <v>468</v>
      </c>
      <c r="C67" s="25">
        <v>20.461241000000001</v>
      </c>
      <c r="D67" s="25">
        <v>19.790189999999999</v>
      </c>
      <c r="E67" s="25">
        <v>18.577483999999998</v>
      </c>
      <c r="F67" s="25">
        <v>18.562657999999999</v>
      </c>
      <c r="G67" s="25">
        <v>18.679366999999999</v>
      </c>
      <c r="H67" s="25">
        <v>18.766643999999999</v>
      </c>
      <c r="I67" s="25">
        <v>18.82938</v>
      </c>
      <c r="J67" s="25">
        <v>18.903067</v>
      </c>
      <c r="K67" s="25">
        <v>18.856854999999999</v>
      </c>
      <c r="L67" s="25">
        <v>18.918801999999999</v>
      </c>
      <c r="M67" s="25">
        <v>18.903721000000001</v>
      </c>
      <c r="N67" s="25">
        <v>18.910616000000001</v>
      </c>
      <c r="O67" s="25">
        <v>18.916868000000001</v>
      </c>
      <c r="P67" s="25">
        <v>18.92268</v>
      </c>
      <c r="Q67" s="25">
        <v>18.927703999999999</v>
      </c>
      <c r="R67" s="25">
        <v>18.938010999999999</v>
      </c>
      <c r="S67" s="25">
        <v>18.951756</v>
      </c>
      <c r="T67" s="25">
        <v>18.963802000000001</v>
      </c>
      <c r="U67" s="25">
        <v>18.976884999999999</v>
      </c>
      <c r="V67" s="25">
        <v>18.986682999999999</v>
      </c>
      <c r="W67" s="25">
        <v>18.997869000000001</v>
      </c>
      <c r="X67" s="25">
        <v>19.009169</v>
      </c>
      <c r="Y67" s="25">
        <v>19.018823999999999</v>
      </c>
      <c r="Z67" s="25">
        <v>19.029070000000001</v>
      </c>
      <c r="AA67" s="25">
        <v>19.040801999999999</v>
      </c>
      <c r="AB67" s="25">
        <v>19.051625999999999</v>
      </c>
      <c r="AC67" s="25">
        <v>19.062536000000001</v>
      </c>
      <c r="AD67" s="25">
        <v>19.074103999999998</v>
      </c>
      <c r="AE67" s="25">
        <v>19.085204999999998</v>
      </c>
      <c r="AF67" s="25">
        <v>19.096606999999999</v>
      </c>
      <c r="AG67" s="28">
        <v>-2.3770000000000002E-3</v>
      </c>
      <c r="AH67">
        <v>0</v>
      </c>
      <c r="AI67">
        <v>0</v>
      </c>
      <c r="AJ67" t="s">
        <v>110</v>
      </c>
    </row>
    <row r="68" spans="1:36" ht="24">
      <c r="A68" s="12" t="s">
        <v>493</v>
      </c>
      <c r="B68" s="24" t="s">
        <v>494</v>
      </c>
      <c r="C68" s="25">
        <v>115.119415</v>
      </c>
      <c r="D68" s="25">
        <v>116.97041299999999</v>
      </c>
      <c r="E68" s="25">
        <v>115.97680699999999</v>
      </c>
      <c r="F68" s="25">
        <v>115.880424</v>
      </c>
      <c r="G68" s="25">
        <v>116.603004</v>
      </c>
      <c r="H68" s="25">
        <v>117.15389999999999</v>
      </c>
      <c r="I68" s="25">
        <v>117.55993700000001</v>
      </c>
      <c r="J68" s="25">
        <v>118.024559</v>
      </c>
      <c r="K68" s="25">
        <v>117.731201</v>
      </c>
      <c r="L68" s="25">
        <v>118.120216</v>
      </c>
      <c r="M68" s="25">
        <v>118.006882</v>
      </c>
      <c r="N68" s="25">
        <v>118.049744</v>
      </c>
      <c r="O68" s="25">
        <v>118.08519</v>
      </c>
      <c r="P68" s="25">
        <v>118.11483800000001</v>
      </c>
      <c r="Q68" s="25">
        <v>118.139214</v>
      </c>
      <c r="R68" s="25">
        <v>118.194923</v>
      </c>
      <c r="S68" s="25">
        <v>118.27063</v>
      </c>
      <c r="T68" s="25">
        <v>118.34577899999999</v>
      </c>
      <c r="U68" s="25">
        <v>118.42041</v>
      </c>
      <c r="V68" s="25">
        <v>118.494522</v>
      </c>
      <c r="W68" s="25">
        <v>118.568062</v>
      </c>
      <c r="X68" s="25">
        <v>118.64102200000001</v>
      </c>
      <c r="Y68" s="25">
        <v>118.713425</v>
      </c>
      <c r="Z68" s="25">
        <v>118.78527800000001</v>
      </c>
      <c r="AA68" s="25">
        <v>118.856613</v>
      </c>
      <c r="AB68" s="25">
        <v>118.92746</v>
      </c>
      <c r="AC68" s="25">
        <v>118.997818</v>
      </c>
      <c r="AD68" s="25">
        <v>119.067734</v>
      </c>
      <c r="AE68" s="25">
        <v>119.13723</v>
      </c>
      <c r="AF68" s="25">
        <v>119.206306</v>
      </c>
      <c r="AG68" s="28">
        <v>1.204E-3</v>
      </c>
      <c r="AH68">
        <v>0</v>
      </c>
      <c r="AI68">
        <v>0</v>
      </c>
      <c r="AJ68" t="s">
        <v>110</v>
      </c>
    </row>
    <row r="69" spans="1:36">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v>89.772278</v>
      </c>
      <c r="AI69">
        <v>89.311194999999998</v>
      </c>
      <c r="AJ69" s="9">
        <v>6.0000000000000001E-3</v>
      </c>
    </row>
    <row r="70" spans="1:36" ht="35.65">
      <c r="A70" s="12" t="s">
        <v>495</v>
      </c>
      <c r="B70" s="23" t="s">
        <v>425</v>
      </c>
      <c r="C70" s="26">
        <v>175.12567100000001</v>
      </c>
      <c r="D70" s="26">
        <v>199.400192</v>
      </c>
      <c r="E70" s="26">
        <v>211.32579000000001</v>
      </c>
      <c r="F70" s="26">
        <v>217.84545900000001</v>
      </c>
      <c r="G70" s="26">
        <v>221.70657299999999</v>
      </c>
      <c r="H70" s="26">
        <v>224.223602</v>
      </c>
      <c r="I70" s="26">
        <v>225.852982</v>
      </c>
      <c r="J70" s="26">
        <v>226.766907</v>
      </c>
      <c r="K70" s="26">
        <v>227.22096300000001</v>
      </c>
      <c r="L70" s="26">
        <v>227.62361100000001</v>
      </c>
      <c r="M70" s="26">
        <v>228.039795</v>
      </c>
      <c r="N70" s="26">
        <v>227.957672</v>
      </c>
      <c r="O70" s="26">
        <v>227.73249799999999</v>
      </c>
      <c r="P70" s="26">
        <v>227.421097</v>
      </c>
      <c r="Q70" s="26">
        <v>226.926514</v>
      </c>
      <c r="R70" s="26">
        <v>226.58166499999999</v>
      </c>
      <c r="S70" s="26">
        <v>226.33427399999999</v>
      </c>
      <c r="T70" s="26">
        <v>226.04068000000001</v>
      </c>
      <c r="U70" s="26">
        <v>225.20178200000001</v>
      </c>
      <c r="V70" s="26">
        <v>224.45675700000001</v>
      </c>
      <c r="W70" s="26">
        <v>223.568939</v>
      </c>
      <c r="X70" s="26">
        <v>222.53797900000001</v>
      </c>
      <c r="Y70" s="26">
        <v>221.54235800000001</v>
      </c>
      <c r="Z70" s="26">
        <v>220.49520899999999</v>
      </c>
      <c r="AA70" s="26">
        <v>219.292664</v>
      </c>
      <c r="AB70" s="26">
        <v>218.10140999999999</v>
      </c>
      <c r="AC70" s="26">
        <v>216.69142199999999</v>
      </c>
      <c r="AD70" s="26">
        <v>215.01010099999999</v>
      </c>
      <c r="AE70" s="26">
        <v>213.01475500000001</v>
      </c>
      <c r="AF70" s="26">
        <v>210.57737700000001</v>
      </c>
      <c r="AG70" s="29">
        <v>6.3769999999999999E-3</v>
      </c>
      <c r="AH70">
        <v>5.37134</v>
      </c>
      <c r="AI70">
        <v>5.3437510000000001</v>
      </c>
      <c r="AJ70" s="9">
        <v>6.0000000000000001E-3</v>
      </c>
    </row>
    <row r="71" spans="1:36">
      <c r="A71" s="12" t="s">
        <v>496</v>
      </c>
      <c r="B71" s="24" t="s">
        <v>497</v>
      </c>
      <c r="C71" s="25">
        <v>75.313231999999999</v>
      </c>
      <c r="D71" s="25">
        <v>82.089530999999994</v>
      </c>
      <c r="E71" s="25">
        <v>86.692977999999997</v>
      </c>
      <c r="F71" s="25">
        <v>90.064269999999993</v>
      </c>
      <c r="G71" s="25">
        <v>92.387680000000003</v>
      </c>
      <c r="H71" s="25">
        <v>94.193466000000001</v>
      </c>
      <c r="I71" s="25">
        <v>95.518471000000005</v>
      </c>
      <c r="J71" s="25">
        <v>96.276381999999998</v>
      </c>
      <c r="K71" s="25">
        <v>96.685287000000002</v>
      </c>
      <c r="L71" s="25">
        <v>97.144073000000006</v>
      </c>
      <c r="M71" s="25">
        <v>97.692047000000002</v>
      </c>
      <c r="N71" s="25">
        <v>97.729561000000004</v>
      </c>
      <c r="O71" s="25">
        <v>97.570175000000006</v>
      </c>
      <c r="P71" s="25">
        <v>97.256912</v>
      </c>
      <c r="Q71" s="25">
        <v>96.751548999999997</v>
      </c>
      <c r="R71" s="25">
        <v>96.316826000000006</v>
      </c>
      <c r="S71" s="25">
        <v>95.774390999999994</v>
      </c>
      <c r="T71" s="25">
        <v>95.265297000000004</v>
      </c>
      <c r="U71" s="25">
        <v>94.576369999999997</v>
      </c>
      <c r="V71" s="25">
        <v>94.018851999999995</v>
      </c>
      <c r="W71" s="25">
        <v>93.417525999999995</v>
      </c>
      <c r="X71" s="25">
        <v>92.731255000000004</v>
      </c>
      <c r="Y71" s="25">
        <v>92.131393000000003</v>
      </c>
      <c r="Z71" s="25">
        <v>91.537315000000007</v>
      </c>
      <c r="AA71" s="25">
        <v>90.839286999999999</v>
      </c>
      <c r="AB71" s="25">
        <v>90.224250999999995</v>
      </c>
      <c r="AC71" s="25">
        <v>89.512221999999994</v>
      </c>
      <c r="AD71" s="25">
        <v>88.689475999999999</v>
      </c>
      <c r="AE71" s="25">
        <v>87.816879</v>
      </c>
      <c r="AF71" s="25">
        <v>86.980957000000004</v>
      </c>
      <c r="AG71" s="28">
        <v>4.9789999999999999E-3</v>
      </c>
      <c r="AH71">
        <v>0</v>
      </c>
      <c r="AI71">
        <v>0</v>
      </c>
      <c r="AJ71" t="s">
        <v>110</v>
      </c>
    </row>
    <row r="72" spans="1:36" ht="24">
      <c r="A72" s="12" t="s">
        <v>498</v>
      </c>
      <c r="B72" s="24" t="s">
        <v>499</v>
      </c>
      <c r="C72" s="25">
        <v>9.6433230000000005</v>
      </c>
      <c r="D72" s="25">
        <v>10.540934</v>
      </c>
      <c r="E72" s="25">
        <v>11.148802999999999</v>
      </c>
      <c r="F72" s="25">
        <v>11.600770000000001</v>
      </c>
      <c r="G72" s="25">
        <v>11.917157</v>
      </c>
      <c r="H72" s="25">
        <v>12.169338</v>
      </c>
      <c r="I72" s="25">
        <v>12.357654999999999</v>
      </c>
      <c r="J72" s="25">
        <v>12.472455</v>
      </c>
      <c r="K72" s="25">
        <v>12.542721</v>
      </c>
      <c r="L72" s="25">
        <v>12.621245999999999</v>
      </c>
      <c r="M72" s="25">
        <v>12.713088000000001</v>
      </c>
      <c r="N72" s="25">
        <v>12.736143</v>
      </c>
      <c r="O72" s="25">
        <v>12.732991999999999</v>
      </c>
      <c r="P72" s="25">
        <v>12.709225</v>
      </c>
      <c r="Q72" s="25">
        <v>12.659914000000001</v>
      </c>
      <c r="R72" s="25">
        <v>12.620424999999999</v>
      </c>
      <c r="S72" s="25">
        <v>12.566718</v>
      </c>
      <c r="T72" s="25">
        <v>12.517704</v>
      </c>
      <c r="U72" s="25">
        <v>12.443576</v>
      </c>
      <c r="V72" s="25">
        <v>12.387663</v>
      </c>
      <c r="W72" s="25">
        <v>12.324693999999999</v>
      </c>
      <c r="X72" s="25">
        <v>12.250159999999999</v>
      </c>
      <c r="Y72" s="25">
        <v>12.187834000000001</v>
      </c>
      <c r="Z72" s="25">
        <v>12.126117000000001</v>
      </c>
      <c r="AA72" s="25">
        <v>12.050186</v>
      </c>
      <c r="AB72" s="25">
        <v>11.985734000000001</v>
      </c>
      <c r="AC72" s="25">
        <v>11.906828000000001</v>
      </c>
      <c r="AD72" s="25">
        <v>11.812537000000001</v>
      </c>
      <c r="AE72" s="25">
        <v>11.712026</v>
      </c>
      <c r="AF72" s="25">
        <v>11.616365999999999</v>
      </c>
      <c r="AG72" s="28">
        <v>6.4400000000000004E-3</v>
      </c>
      <c r="AH72">
        <v>78.515174999999999</v>
      </c>
      <c r="AI72">
        <v>78.090041999999997</v>
      </c>
      <c r="AJ72" s="9">
        <v>5.0000000000000001E-3</v>
      </c>
    </row>
    <row r="73" spans="1:36">
      <c r="A73" s="12" t="s">
        <v>500</v>
      </c>
      <c r="B73" s="24" t="s">
        <v>501</v>
      </c>
      <c r="C73" s="25">
        <v>5.1609999999999998E-3</v>
      </c>
      <c r="D73" s="25">
        <v>5.496E-3</v>
      </c>
      <c r="E73" s="25">
        <v>5.7359999999999998E-3</v>
      </c>
      <c r="F73" s="25">
        <v>5.8849999999999996E-3</v>
      </c>
      <c r="G73" s="25">
        <v>5.9800000000000001E-3</v>
      </c>
      <c r="H73" s="25">
        <v>6.0460000000000002E-3</v>
      </c>
      <c r="I73" s="25">
        <v>6.097E-3</v>
      </c>
      <c r="J73" s="25">
        <v>6.1120000000000002E-3</v>
      </c>
      <c r="K73" s="25">
        <v>6.1019999999999998E-3</v>
      </c>
      <c r="L73" s="25">
        <v>6.0910000000000001E-3</v>
      </c>
      <c r="M73" s="25">
        <v>6.0860000000000003E-3</v>
      </c>
      <c r="N73" s="25">
        <v>6.051E-3</v>
      </c>
      <c r="O73" s="25">
        <v>6.0049999999999999E-3</v>
      </c>
      <c r="P73" s="25">
        <v>5.953E-3</v>
      </c>
      <c r="Q73" s="25">
        <v>5.8919999999999997E-3</v>
      </c>
      <c r="R73" s="25">
        <v>5.8339999999999998E-3</v>
      </c>
      <c r="S73" s="25">
        <v>5.7679999999999997E-3</v>
      </c>
      <c r="T73" s="25">
        <v>5.705E-3</v>
      </c>
      <c r="U73" s="25">
        <v>5.6350000000000003E-3</v>
      </c>
      <c r="V73" s="25">
        <v>5.5669999999999999E-3</v>
      </c>
      <c r="W73" s="25">
        <v>5.4999999999999997E-3</v>
      </c>
      <c r="X73" s="25">
        <v>5.4299999999999999E-3</v>
      </c>
      <c r="Y73" s="25">
        <v>5.3619999999999996E-3</v>
      </c>
      <c r="Z73" s="25">
        <v>5.2940000000000001E-3</v>
      </c>
      <c r="AA73" s="25">
        <v>5.2209999999999999E-3</v>
      </c>
      <c r="AB73" s="25">
        <v>5.1489999999999999E-3</v>
      </c>
      <c r="AC73" s="25">
        <v>5.078E-3</v>
      </c>
      <c r="AD73" s="25">
        <v>5.0010000000000002E-3</v>
      </c>
      <c r="AE73" s="25">
        <v>4.9189999999999998E-3</v>
      </c>
      <c r="AF73" s="25">
        <v>4.8370000000000002E-3</v>
      </c>
      <c r="AG73" s="28">
        <v>-2.2309999999999999E-3</v>
      </c>
      <c r="AH73">
        <v>1.4942040000000001</v>
      </c>
      <c r="AI73">
        <v>1.508394</v>
      </c>
      <c r="AJ73" s="9">
        <v>1.9E-2</v>
      </c>
    </row>
    <row r="74" spans="1:36" ht="35.65">
      <c r="A74" s="12" t="s">
        <v>502</v>
      </c>
      <c r="B74" s="24" t="s">
        <v>503</v>
      </c>
      <c r="C74" s="25">
        <v>45.060589</v>
      </c>
      <c r="D74" s="25">
        <v>48.910423000000002</v>
      </c>
      <c r="E74" s="25">
        <v>51.438122</v>
      </c>
      <c r="F74" s="25">
        <v>53.268456</v>
      </c>
      <c r="G74" s="25">
        <v>54.502411000000002</v>
      </c>
      <c r="H74" s="25">
        <v>55.450690999999999</v>
      </c>
      <c r="I74" s="25">
        <v>56.114525</v>
      </c>
      <c r="J74" s="25">
        <v>56.457973000000003</v>
      </c>
      <c r="K74" s="25">
        <v>56.608898000000003</v>
      </c>
      <c r="L74" s="25">
        <v>56.796799</v>
      </c>
      <c r="M74" s="25">
        <v>57.038184999999999</v>
      </c>
      <c r="N74" s="25">
        <v>56.982272999999999</v>
      </c>
      <c r="O74" s="25">
        <v>56.809921000000003</v>
      </c>
      <c r="P74" s="25">
        <v>56.540951</v>
      </c>
      <c r="Q74" s="25">
        <v>56.149715</v>
      </c>
      <c r="R74" s="25">
        <v>55.791142000000001</v>
      </c>
      <c r="S74" s="25">
        <v>55.365161999999998</v>
      </c>
      <c r="T74" s="25">
        <v>54.947074999999998</v>
      </c>
      <c r="U74" s="25">
        <v>54.407032000000001</v>
      </c>
      <c r="V74" s="25">
        <v>53.927959000000001</v>
      </c>
      <c r="W74" s="25">
        <v>53.398918000000002</v>
      </c>
      <c r="X74" s="25">
        <v>52.798279000000001</v>
      </c>
      <c r="Y74" s="25">
        <v>52.219101000000002</v>
      </c>
      <c r="Z74" s="25">
        <v>51.604584000000003</v>
      </c>
      <c r="AA74" s="25">
        <v>50.88467</v>
      </c>
      <c r="AB74" s="25">
        <v>50.147407999999999</v>
      </c>
      <c r="AC74" s="25">
        <v>49.255951000000003</v>
      </c>
      <c r="AD74" s="25">
        <v>48.159224999999999</v>
      </c>
      <c r="AE74" s="25">
        <v>46.7896</v>
      </c>
      <c r="AF74" s="25">
        <v>44.974155000000003</v>
      </c>
      <c r="AG74" s="28">
        <v>-6.6000000000000005E-5</v>
      </c>
      <c r="AH74">
        <v>4.3915660000000001</v>
      </c>
      <c r="AI74">
        <v>4.3690100000000003</v>
      </c>
      <c r="AJ74" s="9">
        <v>6.0000000000000001E-3</v>
      </c>
    </row>
    <row r="75" spans="1:36" ht="47.25">
      <c r="A75" s="12" t="s">
        <v>504</v>
      </c>
      <c r="B75" s="24" t="s">
        <v>505</v>
      </c>
      <c r="C75" s="25">
        <v>19.164963</v>
      </c>
      <c r="D75" s="25">
        <v>21.02298</v>
      </c>
      <c r="E75" s="25">
        <v>22.358467000000001</v>
      </c>
      <c r="F75" s="25">
        <v>23.335905</v>
      </c>
      <c r="G75" s="25">
        <v>24.015098999999999</v>
      </c>
      <c r="H75" s="25">
        <v>24.532710999999999</v>
      </c>
      <c r="I75" s="25">
        <v>24.923483000000001</v>
      </c>
      <c r="J75" s="25">
        <v>25.149429000000001</v>
      </c>
      <c r="K75" s="25">
        <v>25.266787999999998</v>
      </c>
      <c r="L75" s="25">
        <v>25.382044</v>
      </c>
      <c r="M75" s="25">
        <v>25.510753999999999</v>
      </c>
      <c r="N75" s="25">
        <v>25.501729999999998</v>
      </c>
      <c r="O75" s="25">
        <v>25.436585999999998</v>
      </c>
      <c r="P75" s="25">
        <v>25.330863999999998</v>
      </c>
      <c r="Q75" s="25">
        <v>25.177016999999999</v>
      </c>
      <c r="R75" s="25">
        <v>25.038975000000001</v>
      </c>
      <c r="S75" s="25">
        <v>24.867069000000001</v>
      </c>
      <c r="T75" s="25">
        <v>24.70186</v>
      </c>
      <c r="U75" s="25">
        <v>24.494648000000002</v>
      </c>
      <c r="V75" s="25">
        <v>24.317627000000002</v>
      </c>
      <c r="W75" s="25">
        <v>24.134003</v>
      </c>
      <c r="X75" s="25">
        <v>23.926787999999998</v>
      </c>
      <c r="Y75" s="25">
        <v>23.738327000000002</v>
      </c>
      <c r="Z75" s="25">
        <v>23.551292</v>
      </c>
      <c r="AA75" s="25">
        <v>23.335457000000002</v>
      </c>
      <c r="AB75" s="25">
        <v>23.138323</v>
      </c>
      <c r="AC75" s="25">
        <v>22.922705000000001</v>
      </c>
      <c r="AD75" s="25">
        <v>22.679783</v>
      </c>
      <c r="AE75" s="25">
        <v>22.419288999999999</v>
      </c>
      <c r="AF75" s="25">
        <v>22.166677</v>
      </c>
      <c r="AG75" s="28">
        <v>5.0299999999999997E-3</v>
      </c>
      <c r="AH75">
        <v>0</v>
      </c>
      <c r="AI75">
        <v>0</v>
      </c>
      <c r="AJ75" t="s">
        <v>110</v>
      </c>
    </row>
    <row r="76" spans="1:36">
      <c r="A76" s="12" t="s">
        <v>506</v>
      </c>
      <c r="B76" s="24" t="s">
        <v>507</v>
      </c>
      <c r="C76" s="25">
        <v>1.0136350000000001</v>
      </c>
      <c r="D76" s="25">
        <v>1.1214280000000001</v>
      </c>
      <c r="E76" s="25">
        <v>1.1965779999999999</v>
      </c>
      <c r="F76" s="25">
        <v>1.253755</v>
      </c>
      <c r="G76" s="25">
        <v>1.2953699999999999</v>
      </c>
      <c r="H76" s="25">
        <v>1.3301050000000001</v>
      </c>
      <c r="I76" s="25">
        <v>1.357456</v>
      </c>
      <c r="J76" s="25">
        <v>1.375831</v>
      </c>
      <c r="K76" s="25">
        <v>1.3886940000000001</v>
      </c>
      <c r="L76" s="25">
        <v>1.4023129999999999</v>
      </c>
      <c r="M76" s="25">
        <v>1.4178390000000001</v>
      </c>
      <c r="N76" s="25">
        <v>1.4246030000000001</v>
      </c>
      <c r="O76" s="25">
        <v>1.4278219999999999</v>
      </c>
      <c r="P76" s="25">
        <v>1.4284509999999999</v>
      </c>
      <c r="Q76" s="25">
        <v>1.4261349999999999</v>
      </c>
      <c r="R76" s="25">
        <v>1.4251339999999999</v>
      </c>
      <c r="S76" s="25">
        <v>1.4221159999999999</v>
      </c>
      <c r="T76" s="25">
        <v>1.4197329999999999</v>
      </c>
      <c r="U76" s="25">
        <v>1.4140159999999999</v>
      </c>
      <c r="V76" s="25">
        <v>1.4105300000000001</v>
      </c>
      <c r="W76" s="25">
        <v>1.406185</v>
      </c>
      <c r="X76" s="25">
        <v>1.4003129999999999</v>
      </c>
      <c r="Y76" s="25">
        <v>1.3960170000000001</v>
      </c>
      <c r="Z76" s="25">
        <v>1.391753</v>
      </c>
      <c r="AA76" s="25">
        <v>1.385535</v>
      </c>
      <c r="AB76" s="25">
        <v>1.380744</v>
      </c>
      <c r="AC76" s="25">
        <v>1.374058</v>
      </c>
      <c r="AD76" s="25">
        <v>1.3654170000000001</v>
      </c>
      <c r="AE76" s="25">
        <v>1.3559969999999999</v>
      </c>
      <c r="AF76" s="25">
        <v>1.3470800000000001</v>
      </c>
      <c r="AG76" s="28">
        <v>9.8549999999999992E-3</v>
      </c>
      <c r="AH76">
        <v>0</v>
      </c>
      <c r="AI76">
        <v>0</v>
      </c>
      <c r="AJ76" t="s">
        <v>110</v>
      </c>
    </row>
    <row r="77" spans="1:36">
      <c r="A77" s="12" t="s">
        <v>508</v>
      </c>
      <c r="B77" s="24" t="s">
        <v>509</v>
      </c>
      <c r="C77" s="25">
        <v>0.41080800000000001</v>
      </c>
      <c r="D77" s="25">
        <v>0.47196700000000003</v>
      </c>
      <c r="E77" s="25">
        <v>0.52781999999999996</v>
      </c>
      <c r="F77" s="25">
        <v>0.58121599999999995</v>
      </c>
      <c r="G77" s="25">
        <v>0.63278500000000004</v>
      </c>
      <c r="H77" s="25">
        <v>0.68526399999999998</v>
      </c>
      <c r="I77" s="25">
        <v>0.739618</v>
      </c>
      <c r="J77" s="25">
        <v>0.79476100000000005</v>
      </c>
      <c r="K77" s="25">
        <v>0.85218000000000005</v>
      </c>
      <c r="L77" s="25">
        <v>0.91561099999999995</v>
      </c>
      <c r="M77" s="25">
        <v>0.98605200000000004</v>
      </c>
      <c r="N77" s="25">
        <v>1.0587519999999999</v>
      </c>
      <c r="O77" s="25">
        <v>1.136935</v>
      </c>
      <c r="P77" s="25">
        <v>1.221665</v>
      </c>
      <c r="Q77" s="25">
        <v>1.313231</v>
      </c>
      <c r="R77" s="25">
        <v>1.4158059999999999</v>
      </c>
      <c r="S77" s="25">
        <v>1.5282180000000001</v>
      </c>
      <c r="T77" s="25">
        <v>1.6540509999999999</v>
      </c>
      <c r="U77" s="25">
        <v>1.7924979999999999</v>
      </c>
      <c r="V77" s="25">
        <v>1.9507209999999999</v>
      </c>
      <c r="W77" s="25">
        <v>2.1296390000000001</v>
      </c>
      <c r="X77" s="25">
        <v>2.3318880000000002</v>
      </c>
      <c r="Y77" s="25">
        <v>2.5665460000000002</v>
      </c>
      <c r="Z77" s="25">
        <v>2.840255</v>
      </c>
      <c r="AA77" s="25">
        <v>3.1604169999999998</v>
      </c>
      <c r="AB77" s="25">
        <v>3.5493030000000001</v>
      </c>
      <c r="AC77" s="25">
        <v>4.0302100000000003</v>
      </c>
      <c r="AD77" s="25">
        <v>4.6503500000000004</v>
      </c>
      <c r="AE77" s="25">
        <v>5.518154</v>
      </c>
      <c r="AF77" s="25">
        <v>6.8551640000000003</v>
      </c>
      <c r="AG77" s="28">
        <v>0.101922</v>
      </c>
      <c r="AH77">
        <v>67.135193000000001</v>
      </c>
      <c r="AI77">
        <v>67.960930000000005</v>
      </c>
      <c r="AJ77" s="9">
        <v>2.1999999999999999E-2</v>
      </c>
    </row>
    <row r="78" spans="1:36">
      <c r="A78" s="12" t="s">
        <v>510</v>
      </c>
      <c r="B78" s="24" t="s">
        <v>511</v>
      </c>
      <c r="C78" s="25">
        <v>1.4751999999999999E-2</v>
      </c>
      <c r="D78" s="25">
        <v>1.6302000000000001E-2</v>
      </c>
      <c r="E78" s="25">
        <v>1.7451999999999999E-2</v>
      </c>
      <c r="F78" s="25">
        <v>1.8290000000000001E-2</v>
      </c>
      <c r="G78" s="25">
        <v>1.8873000000000001E-2</v>
      </c>
      <c r="H78" s="25">
        <v>1.9307000000000001E-2</v>
      </c>
      <c r="I78" s="25">
        <v>1.9635E-2</v>
      </c>
      <c r="J78" s="25">
        <v>1.9817999999999999E-2</v>
      </c>
      <c r="K78" s="25">
        <v>1.9900000000000001E-2</v>
      </c>
      <c r="L78" s="25">
        <v>1.9973000000000001E-2</v>
      </c>
      <c r="M78" s="25">
        <v>2.0046000000000001E-2</v>
      </c>
      <c r="N78" s="25">
        <v>2.0005999999999999E-2</v>
      </c>
      <c r="O78" s="25">
        <v>1.9921000000000001E-2</v>
      </c>
      <c r="P78" s="25">
        <v>1.9803000000000001E-2</v>
      </c>
      <c r="Q78" s="25">
        <v>1.9649E-2</v>
      </c>
      <c r="R78" s="25">
        <v>1.9505000000000002E-2</v>
      </c>
      <c r="S78" s="25">
        <v>1.9332999999999999E-2</v>
      </c>
      <c r="T78" s="25">
        <v>1.9162999999999999E-2</v>
      </c>
      <c r="U78" s="25">
        <v>1.8963000000000001E-2</v>
      </c>
      <c r="V78" s="25">
        <v>1.8780999999999999E-2</v>
      </c>
      <c r="W78" s="25">
        <v>1.8596000000000001E-2</v>
      </c>
      <c r="X78" s="25">
        <v>1.8394000000000001E-2</v>
      </c>
      <c r="Y78" s="25">
        <v>1.8201999999999999E-2</v>
      </c>
      <c r="Z78" s="25">
        <v>1.8010999999999999E-2</v>
      </c>
      <c r="AA78" s="25">
        <v>1.7798000000000001E-2</v>
      </c>
      <c r="AB78" s="25">
        <v>1.7596000000000001E-2</v>
      </c>
      <c r="AC78" s="25">
        <v>1.7385000000000001E-2</v>
      </c>
      <c r="AD78" s="25">
        <v>1.7155E-2</v>
      </c>
      <c r="AE78" s="25">
        <v>1.6909E-2</v>
      </c>
      <c r="AF78" s="25">
        <v>1.6667000000000001E-2</v>
      </c>
      <c r="AG78" s="28">
        <v>4.2170000000000003E-3</v>
      </c>
      <c r="AH78">
        <v>13.396444000000001</v>
      </c>
      <c r="AI78">
        <v>13.474932000000001</v>
      </c>
      <c r="AJ78" s="9">
        <v>2.5000000000000001E-2</v>
      </c>
    </row>
    <row r="79" spans="1:36" ht="24">
      <c r="A79" s="12" t="s">
        <v>512</v>
      </c>
      <c r="B79" s="24" t="s">
        <v>513</v>
      </c>
      <c r="C79" s="25">
        <v>24.198651999999999</v>
      </c>
      <c r="D79" s="25">
        <v>27.012305999999999</v>
      </c>
      <c r="E79" s="25">
        <v>29.212630999999998</v>
      </c>
      <c r="F79" s="25">
        <v>30.957491000000001</v>
      </c>
      <c r="G79" s="25">
        <v>32.341728000000003</v>
      </c>
      <c r="H79" s="25">
        <v>33.455863999999998</v>
      </c>
      <c r="I79" s="25">
        <v>34.358207999999998</v>
      </c>
      <c r="J79" s="25">
        <v>35.101486000000001</v>
      </c>
      <c r="K79" s="25">
        <v>35.729759000000001</v>
      </c>
      <c r="L79" s="25">
        <v>36.272857999999999</v>
      </c>
      <c r="M79" s="25">
        <v>36.745235000000001</v>
      </c>
      <c r="N79" s="25">
        <v>37.157916999999998</v>
      </c>
      <c r="O79" s="25">
        <v>37.519179999999999</v>
      </c>
      <c r="P79" s="25">
        <v>37.836520999999998</v>
      </c>
      <c r="Q79" s="25">
        <v>38.120975000000001</v>
      </c>
      <c r="R79" s="25">
        <v>38.371074999999998</v>
      </c>
      <c r="S79" s="25">
        <v>38.582680000000003</v>
      </c>
      <c r="T79" s="25">
        <v>38.780827000000002</v>
      </c>
      <c r="U79" s="25">
        <v>38.998050999999997</v>
      </c>
      <c r="V79" s="25">
        <v>39.207397</v>
      </c>
      <c r="W79" s="25">
        <v>39.410442000000003</v>
      </c>
      <c r="X79" s="25">
        <v>39.611862000000002</v>
      </c>
      <c r="Y79" s="25">
        <v>39.810284000000003</v>
      </c>
      <c r="Z79" s="25">
        <v>40.004852</v>
      </c>
      <c r="AA79" s="25">
        <v>40.199120000000001</v>
      </c>
      <c r="AB79" s="25">
        <v>40.391823000000002</v>
      </c>
      <c r="AC79" s="25">
        <v>40.581470000000003</v>
      </c>
      <c r="AD79" s="25">
        <v>40.771324</v>
      </c>
      <c r="AE79" s="25">
        <v>40.965553</v>
      </c>
      <c r="AF79" s="25">
        <v>41.161906999999999</v>
      </c>
      <c r="AG79" s="28">
        <v>1.8487E-2</v>
      </c>
      <c r="AH79">
        <v>2.0818129999999999</v>
      </c>
      <c r="AI79">
        <v>2.0940089999999998</v>
      </c>
      <c r="AJ79" s="9">
        <v>2.5000000000000001E-2</v>
      </c>
    </row>
    <row r="80" spans="1:36" ht="24">
      <c r="A80" s="12" t="s">
        <v>514</v>
      </c>
      <c r="B80" s="24" t="s">
        <v>499</v>
      </c>
      <c r="C80" s="25">
        <v>0</v>
      </c>
      <c r="D80" s="25">
        <v>0</v>
      </c>
      <c r="E80" s="25">
        <v>0</v>
      </c>
      <c r="F80" s="25">
        <v>0</v>
      </c>
      <c r="G80" s="25">
        <v>0</v>
      </c>
      <c r="H80" s="25">
        <v>0</v>
      </c>
      <c r="I80" s="25">
        <v>0</v>
      </c>
      <c r="J80" s="25">
        <v>0</v>
      </c>
      <c r="K80" s="25">
        <v>0</v>
      </c>
      <c r="L80" s="25">
        <v>0</v>
      </c>
      <c r="M80" s="25">
        <v>0</v>
      </c>
      <c r="N80" s="25">
        <v>0</v>
      </c>
      <c r="O80" s="25">
        <v>0</v>
      </c>
      <c r="P80" s="25">
        <v>0</v>
      </c>
      <c r="Q80" s="25">
        <v>0</v>
      </c>
      <c r="R80" s="25">
        <v>0</v>
      </c>
      <c r="S80" s="25">
        <v>0</v>
      </c>
      <c r="T80" s="25">
        <v>0</v>
      </c>
      <c r="U80" s="25">
        <v>0</v>
      </c>
      <c r="V80" s="25">
        <v>0</v>
      </c>
      <c r="W80" s="25">
        <v>0</v>
      </c>
      <c r="X80" s="25">
        <v>0</v>
      </c>
      <c r="Y80" s="25">
        <v>0</v>
      </c>
      <c r="Z80" s="25">
        <v>0</v>
      </c>
      <c r="AA80" s="25">
        <v>0</v>
      </c>
      <c r="AB80" s="25">
        <v>0</v>
      </c>
      <c r="AC80" s="25">
        <v>0</v>
      </c>
      <c r="AD80" s="25">
        <v>0</v>
      </c>
      <c r="AE80" s="25">
        <v>0</v>
      </c>
      <c r="AF80" s="25">
        <v>0</v>
      </c>
      <c r="AG80" s="28" t="s">
        <v>452</v>
      </c>
      <c r="AH80">
        <v>11.314631</v>
      </c>
      <c r="AI80">
        <v>11.380922</v>
      </c>
      <c r="AJ80" s="9">
        <v>2.5000000000000001E-2</v>
      </c>
    </row>
    <row r="81" spans="1:36">
      <c r="A81" s="12" t="s">
        <v>515</v>
      </c>
      <c r="B81" s="24" t="s">
        <v>501</v>
      </c>
      <c r="C81" s="25">
        <v>0</v>
      </c>
      <c r="D81" s="25">
        <v>0</v>
      </c>
      <c r="E81" s="25">
        <v>0</v>
      </c>
      <c r="F81" s="25">
        <v>0</v>
      </c>
      <c r="G81" s="25">
        <v>0</v>
      </c>
      <c r="H81" s="25">
        <v>0</v>
      </c>
      <c r="I81" s="25">
        <v>0</v>
      </c>
      <c r="J81" s="25">
        <v>0</v>
      </c>
      <c r="K81" s="25">
        <v>0</v>
      </c>
      <c r="L81" s="25">
        <v>0</v>
      </c>
      <c r="M81" s="25">
        <v>0</v>
      </c>
      <c r="N81" s="25">
        <v>0</v>
      </c>
      <c r="O81" s="25">
        <v>0</v>
      </c>
      <c r="P81" s="25">
        <v>0</v>
      </c>
      <c r="Q81" s="25">
        <v>0</v>
      </c>
      <c r="R81" s="25">
        <v>0</v>
      </c>
      <c r="S81" s="25">
        <v>0</v>
      </c>
      <c r="T81" s="25">
        <v>0</v>
      </c>
      <c r="U81" s="25">
        <v>0</v>
      </c>
      <c r="V81" s="25">
        <v>0</v>
      </c>
      <c r="W81" s="25">
        <v>0</v>
      </c>
      <c r="X81" s="25">
        <v>0</v>
      </c>
      <c r="Y81" s="25">
        <v>0</v>
      </c>
      <c r="Z81" s="25">
        <v>0</v>
      </c>
      <c r="AA81" s="25">
        <v>0</v>
      </c>
      <c r="AB81" s="25">
        <v>0</v>
      </c>
      <c r="AC81" s="25">
        <v>0</v>
      </c>
      <c r="AD81" s="25">
        <v>0</v>
      </c>
      <c r="AE81" s="25">
        <v>0</v>
      </c>
      <c r="AF81" s="25">
        <v>0</v>
      </c>
      <c r="AG81" s="28" t="s">
        <v>452</v>
      </c>
      <c r="AH81">
        <v>0</v>
      </c>
      <c r="AI81">
        <v>0</v>
      </c>
      <c r="AJ81" t="s">
        <v>110</v>
      </c>
    </row>
    <row r="82" spans="1:36" ht="35.65">
      <c r="A82" s="12" t="s">
        <v>516</v>
      </c>
      <c r="B82" s="24" t="s">
        <v>503</v>
      </c>
      <c r="C82" s="25">
        <v>24.198651999999999</v>
      </c>
      <c r="D82" s="25">
        <v>27.012305999999999</v>
      </c>
      <c r="E82" s="25">
        <v>29.212630999999998</v>
      </c>
      <c r="F82" s="25">
        <v>30.957491000000001</v>
      </c>
      <c r="G82" s="25">
        <v>32.341728000000003</v>
      </c>
      <c r="H82" s="25">
        <v>33.455863999999998</v>
      </c>
      <c r="I82" s="25">
        <v>34.358207999999998</v>
      </c>
      <c r="J82" s="25">
        <v>35.101486000000001</v>
      </c>
      <c r="K82" s="25">
        <v>35.729759000000001</v>
      </c>
      <c r="L82" s="25">
        <v>36.272857999999999</v>
      </c>
      <c r="M82" s="25">
        <v>36.745235000000001</v>
      </c>
      <c r="N82" s="25">
        <v>37.157916999999998</v>
      </c>
      <c r="O82" s="25">
        <v>37.519179999999999</v>
      </c>
      <c r="P82" s="25">
        <v>37.836520999999998</v>
      </c>
      <c r="Q82" s="25">
        <v>38.120975000000001</v>
      </c>
      <c r="R82" s="25">
        <v>38.371074999999998</v>
      </c>
      <c r="S82" s="25">
        <v>38.582680000000003</v>
      </c>
      <c r="T82" s="25">
        <v>38.780827000000002</v>
      </c>
      <c r="U82" s="25">
        <v>38.998050999999997</v>
      </c>
      <c r="V82" s="25">
        <v>39.207397</v>
      </c>
      <c r="W82" s="25">
        <v>39.410442000000003</v>
      </c>
      <c r="X82" s="25">
        <v>39.611862000000002</v>
      </c>
      <c r="Y82" s="25">
        <v>39.810284000000003</v>
      </c>
      <c r="Z82" s="25">
        <v>40.004852</v>
      </c>
      <c r="AA82" s="25">
        <v>40.199120000000001</v>
      </c>
      <c r="AB82" s="25">
        <v>40.391823000000002</v>
      </c>
      <c r="AC82" s="25">
        <v>40.581470000000003</v>
      </c>
      <c r="AD82" s="25">
        <v>40.771324</v>
      </c>
      <c r="AE82" s="25">
        <v>40.965553</v>
      </c>
      <c r="AF82" s="25">
        <v>41.161906999999999</v>
      </c>
      <c r="AG82" s="28">
        <v>1.8487E-2</v>
      </c>
      <c r="AH82">
        <v>0</v>
      </c>
      <c r="AI82">
        <v>0</v>
      </c>
      <c r="AJ82" t="s">
        <v>110</v>
      </c>
    </row>
    <row r="83" spans="1:36" ht="47.25">
      <c r="A83" s="12" t="s">
        <v>517</v>
      </c>
      <c r="B83" s="24" t="s">
        <v>505</v>
      </c>
      <c r="C83" s="25">
        <v>0</v>
      </c>
      <c r="D83" s="25">
        <v>0</v>
      </c>
      <c r="E83" s="25">
        <v>0</v>
      </c>
      <c r="F83" s="25">
        <v>0</v>
      </c>
      <c r="G83" s="25">
        <v>0</v>
      </c>
      <c r="H83" s="25">
        <v>0</v>
      </c>
      <c r="I83" s="25">
        <v>0</v>
      </c>
      <c r="J83" s="25">
        <v>0</v>
      </c>
      <c r="K83" s="25">
        <v>0</v>
      </c>
      <c r="L83" s="25">
        <v>0</v>
      </c>
      <c r="M83" s="25">
        <v>0</v>
      </c>
      <c r="N83" s="25">
        <v>0</v>
      </c>
      <c r="O83" s="25">
        <v>0</v>
      </c>
      <c r="P83" s="25">
        <v>0</v>
      </c>
      <c r="Q83" s="25">
        <v>0</v>
      </c>
      <c r="R83" s="25">
        <v>0</v>
      </c>
      <c r="S83" s="25">
        <v>0</v>
      </c>
      <c r="T83" s="25">
        <v>0</v>
      </c>
      <c r="U83" s="25">
        <v>0</v>
      </c>
      <c r="V83" s="25">
        <v>0</v>
      </c>
      <c r="W83" s="25">
        <v>0</v>
      </c>
      <c r="X83" s="25">
        <v>0</v>
      </c>
      <c r="Y83" s="25">
        <v>0</v>
      </c>
      <c r="Z83" s="25">
        <v>0</v>
      </c>
      <c r="AA83" s="25">
        <v>0</v>
      </c>
      <c r="AB83" s="25">
        <v>0</v>
      </c>
      <c r="AC83" s="25">
        <v>0</v>
      </c>
      <c r="AD83" s="25">
        <v>0</v>
      </c>
      <c r="AE83" s="25">
        <v>0</v>
      </c>
      <c r="AF83" s="25">
        <v>0</v>
      </c>
      <c r="AG83" s="28" t="s">
        <v>452</v>
      </c>
      <c r="AH83">
        <v>23.661840000000002</v>
      </c>
      <c r="AI83">
        <v>23.94849</v>
      </c>
      <c r="AJ83" s="9">
        <v>2.1999999999999999E-2</v>
      </c>
    </row>
    <row r="84" spans="1:36">
      <c r="A84" s="12" t="s">
        <v>518</v>
      </c>
      <c r="B84" s="24" t="s">
        <v>507</v>
      </c>
      <c r="C84" s="25">
        <v>0</v>
      </c>
      <c r="D84" s="25">
        <v>0</v>
      </c>
      <c r="E84" s="25">
        <v>0</v>
      </c>
      <c r="F84" s="25">
        <v>0</v>
      </c>
      <c r="G84" s="25">
        <v>0</v>
      </c>
      <c r="H84" s="25">
        <v>0</v>
      </c>
      <c r="I84" s="25">
        <v>0</v>
      </c>
      <c r="J84" s="25">
        <v>0</v>
      </c>
      <c r="K84" s="25">
        <v>0</v>
      </c>
      <c r="L84" s="25">
        <v>0</v>
      </c>
      <c r="M84" s="25">
        <v>0</v>
      </c>
      <c r="N84" s="25">
        <v>0</v>
      </c>
      <c r="O84" s="25">
        <v>0</v>
      </c>
      <c r="P84" s="25">
        <v>0</v>
      </c>
      <c r="Q84" s="25">
        <v>0</v>
      </c>
      <c r="R84" s="25">
        <v>0</v>
      </c>
      <c r="S84" s="25">
        <v>0</v>
      </c>
      <c r="T84" s="25">
        <v>0</v>
      </c>
      <c r="U84" s="25">
        <v>0</v>
      </c>
      <c r="V84" s="25">
        <v>0</v>
      </c>
      <c r="W84" s="25">
        <v>0</v>
      </c>
      <c r="X84" s="25">
        <v>0</v>
      </c>
      <c r="Y84" s="25">
        <v>0</v>
      </c>
      <c r="Z84" s="25">
        <v>0</v>
      </c>
      <c r="AA84" s="25">
        <v>0</v>
      </c>
      <c r="AB84" s="25">
        <v>0</v>
      </c>
      <c r="AC84" s="25">
        <v>0</v>
      </c>
      <c r="AD84" s="25">
        <v>0</v>
      </c>
      <c r="AE84" s="25">
        <v>0</v>
      </c>
      <c r="AF84" s="25">
        <v>0</v>
      </c>
      <c r="AG84" s="28" t="s">
        <v>452</v>
      </c>
      <c r="AH84">
        <v>23.661840000000002</v>
      </c>
      <c r="AI84">
        <v>23.94849</v>
      </c>
      <c r="AJ84" s="9">
        <v>2.1999999999999999E-2</v>
      </c>
    </row>
    <row r="85" spans="1:36">
      <c r="A85" s="12" t="s">
        <v>519</v>
      </c>
      <c r="B85" s="24" t="s">
        <v>509</v>
      </c>
      <c r="C85" s="25">
        <v>0</v>
      </c>
      <c r="D85" s="25">
        <v>0</v>
      </c>
      <c r="E85" s="25">
        <v>0</v>
      </c>
      <c r="F85" s="25">
        <v>0</v>
      </c>
      <c r="G85" s="25">
        <v>0</v>
      </c>
      <c r="H85" s="25">
        <v>0</v>
      </c>
      <c r="I85" s="25">
        <v>0</v>
      </c>
      <c r="J85" s="25">
        <v>0</v>
      </c>
      <c r="K85" s="25">
        <v>0</v>
      </c>
      <c r="L85" s="25">
        <v>0</v>
      </c>
      <c r="M85" s="25">
        <v>0</v>
      </c>
      <c r="N85" s="25">
        <v>0</v>
      </c>
      <c r="O85" s="25">
        <v>0</v>
      </c>
      <c r="P85" s="25">
        <v>0</v>
      </c>
      <c r="Q85" s="25">
        <v>0</v>
      </c>
      <c r="R85" s="25">
        <v>0</v>
      </c>
      <c r="S85" s="25">
        <v>0</v>
      </c>
      <c r="T85" s="25">
        <v>0</v>
      </c>
      <c r="U85" s="25">
        <v>0</v>
      </c>
      <c r="V85" s="25">
        <v>0</v>
      </c>
      <c r="W85" s="25">
        <v>0</v>
      </c>
      <c r="X85" s="25">
        <v>0</v>
      </c>
      <c r="Y85" s="25">
        <v>0</v>
      </c>
      <c r="Z85" s="25">
        <v>0</v>
      </c>
      <c r="AA85" s="25">
        <v>0</v>
      </c>
      <c r="AB85" s="25">
        <v>0</v>
      </c>
      <c r="AC85" s="25">
        <v>0</v>
      </c>
      <c r="AD85" s="25">
        <v>0</v>
      </c>
      <c r="AE85" s="25">
        <v>0</v>
      </c>
      <c r="AF85" s="25">
        <v>0</v>
      </c>
      <c r="AG85" s="28" t="s">
        <v>452</v>
      </c>
      <c r="AH85">
        <v>30.076912</v>
      </c>
      <c r="AI85">
        <v>30.537510000000001</v>
      </c>
      <c r="AJ85" s="9">
        <v>2.1000000000000001E-2</v>
      </c>
    </row>
    <row r="86" spans="1:36">
      <c r="A86" s="12" t="s">
        <v>520</v>
      </c>
      <c r="B86" s="24" t="s">
        <v>511</v>
      </c>
      <c r="C86" s="25">
        <v>0</v>
      </c>
      <c r="D86" s="25">
        <v>0</v>
      </c>
      <c r="E86" s="25">
        <v>0</v>
      </c>
      <c r="F86" s="25">
        <v>0</v>
      </c>
      <c r="G86" s="25">
        <v>0</v>
      </c>
      <c r="H86" s="25">
        <v>0</v>
      </c>
      <c r="I86" s="25">
        <v>0</v>
      </c>
      <c r="J86" s="25">
        <v>0</v>
      </c>
      <c r="K86" s="25">
        <v>0</v>
      </c>
      <c r="L86" s="25">
        <v>0</v>
      </c>
      <c r="M86" s="25">
        <v>0</v>
      </c>
      <c r="N86" s="25">
        <v>0</v>
      </c>
      <c r="O86" s="25">
        <v>0</v>
      </c>
      <c r="P86" s="25">
        <v>0</v>
      </c>
      <c r="Q86" s="25">
        <v>0</v>
      </c>
      <c r="R86" s="25">
        <v>0</v>
      </c>
      <c r="S86" s="25">
        <v>0</v>
      </c>
      <c r="T86" s="25">
        <v>0</v>
      </c>
      <c r="U86" s="25">
        <v>0</v>
      </c>
      <c r="V86" s="25">
        <v>0</v>
      </c>
      <c r="W86" s="25">
        <v>0</v>
      </c>
      <c r="X86" s="25">
        <v>0</v>
      </c>
      <c r="Y86" s="25">
        <v>0</v>
      </c>
      <c r="Z86" s="25">
        <v>0</v>
      </c>
      <c r="AA86" s="25">
        <v>0</v>
      </c>
      <c r="AB86" s="25">
        <v>0</v>
      </c>
      <c r="AC86" s="25">
        <v>0</v>
      </c>
      <c r="AD86" s="25">
        <v>0</v>
      </c>
      <c r="AE86" s="25">
        <v>0</v>
      </c>
      <c r="AF86" s="25">
        <v>0</v>
      </c>
      <c r="AG86" s="28" t="s">
        <v>452</v>
      </c>
      <c r="AH86">
        <v>9.5472020000000004</v>
      </c>
      <c r="AI86">
        <v>9.7163330000000006</v>
      </c>
      <c r="AJ86" s="9">
        <v>2.1999999999999999E-2</v>
      </c>
    </row>
    <row r="87" spans="1:36">
      <c r="A87" s="12" t="s">
        <v>521</v>
      </c>
      <c r="B87" s="24" t="s">
        <v>522</v>
      </c>
      <c r="C87" s="25">
        <v>76.044501999999994</v>
      </c>
      <c r="D87" s="25">
        <v>90.79213</v>
      </c>
      <c r="E87" s="25">
        <v>95.971183999999994</v>
      </c>
      <c r="F87" s="25">
        <v>97.429085000000001</v>
      </c>
      <c r="G87" s="25">
        <v>97.634795999999994</v>
      </c>
      <c r="H87" s="25">
        <v>97.284903999999997</v>
      </c>
      <c r="I87" s="25">
        <v>96.741660999999993</v>
      </c>
      <c r="J87" s="25">
        <v>96.209746999999993</v>
      </c>
      <c r="K87" s="25">
        <v>95.684082000000004</v>
      </c>
      <c r="L87" s="25">
        <v>95.148360999999994</v>
      </c>
      <c r="M87" s="25">
        <v>94.614684999999994</v>
      </c>
      <c r="N87" s="25">
        <v>94.155013999999994</v>
      </c>
      <c r="O87" s="25">
        <v>93.805999999999997</v>
      </c>
      <c r="P87" s="25">
        <v>93.575080999999997</v>
      </c>
      <c r="Q87" s="25">
        <v>93.392753999999996</v>
      </c>
      <c r="R87" s="25">
        <v>93.334914999999995</v>
      </c>
      <c r="S87" s="25">
        <v>93.530533000000005</v>
      </c>
      <c r="T87" s="25">
        <v>93.673462000000001</v>
      </c>
      <c r="U87" s="25">
        <v>93.444473000000002</v>
      </c>
      <c r="V87" s="25">
        <v>93.205589000000003</v>
      </c>
      <c r="W87" s="25">
        <v>92.894690999999995</v>
      </c>
      <c r="X87" s="25">
        <v>92.550583000000003</v>
      </c>
      <c r="Y87" s="25">
        <v>92.190781000000001</v>
      </c>
      <c r="Z87" s="25">
        <v>91.816612000000006</v>
      </c>
      <c r="AA87" s="25">
        <v>91.437714</v>
      </c>
      <c r="AB87" s="25">
        <v>91.057372999999998</v>
      </c>
      <c r="AC87" s="25">
        <v>90.650406000000004</v>
      </c>
      <c r="AD87" s="25">
        <v>90.221801999999997</v>
      </c>
      <c r="AE87" s="25">
        <v>89.772278</v>
      </c>
      <c r="AF87" s="25">
        <v>89.311194999999998</v>
      </c>
      <c r="AG87" s="28">
        <v>5.561E-3</v>
      </c>
      <c r="AH87">
        <v>20.529709</v>
      </c>
      <c r="AI87">
        <v>20.821176999999999</v>
      </c>
      <c r="AJ87" s="9">
        <v>2.1000000000000001E-2</v>
      </c>
    </row>
    <row r="88" spans="1:36" ht="24">
      <c r="A88" s="12" t="s">
        <v>523</v>
      </c>
      <c r="B88" s="24" t="s">
        <v>499</v>
      </c>
      <c r="C88" s="25">
        <v>4.5499660000000004</v>
      </c>
      <c r="D88" s="25">
        <v>5.4323610000000002</v>
      </c>
      <c r="E88" s="25">
        <v>5.7422389999999996</v>
      </c>
      <c r="F88" s="25">
        <v>5.8294680000000003</v>
      </c>
      <c r="G88" s="25">
        <v>5.8417770000000004</v>
      </c>
      <c r="H88" s="25">
        <v>5.8208419999999998</v>
      </c>
      <c r="I88" s="25">
        <v>5.7883389999999997</v>
      </c>
      <c r="J88" s="25">
        <v>5.7565119999999999</v>
      </c>
      <c r="K88" s="25">
        <v>5.72506</v>
      </c>
      <c r="L88" s="25">
        <v>5.6930069999999997</v>
      </c>
      <c r="M88" s="25">
        <v>5.6610750000000003</v>
      </c>
      <c r="N88" s="25">
        <v>5.6335709999999999</v>
      </c>
      <c r="O88" s="25">
        <v>5.6126889999999996</v>
      </c>
      <c r="P88" s="25">
        <v>5.5988730000000002</v>
      </c>
      <c r="Q88" s="25">
        <v>5.5879630000000002</v>
      </c>
      <c r="R88" s="25">
        <v>5.5845029999999998</v>
      </c>
      <c r="S88" s="25">
        <v>5.5962059999999996</v>
      </c>
      <c r="T88" s="25">
        <v>5.6047589999999996</v>
      </c>
      <c r="U88" s="25">
        <v>5.5910580000000003</v>
      </c>
      <c r="V88" s="25">
        <v>5.576765</v>
      </c>
      <c r="W88" s="25">
        <v>5.5581630000000004</v>
      </c>
      <c r="X88" s="25">
        <v>5.5375730000000001</v>
      </c>
      <c r="Y88" s="25">
        <v>5.5160460000000002</v>
      </c>
      <c r="Z88" s="25">
        <v>5.4936579999999999</v>
      </c>
      <c r="AA88" s="25">
        <v>5.470987</v>
      </c>
      <c r="AB88" s="25">
        <v>5.4482299999999997</v>
      </c>
      <c r="AC88" s="25">
        <v>5.4238799999999996</v>
      </c>
      <c r="AD88" s="25">
        <v>5.3982349999999997</v>
      </c>
      <c r="AE88" s="25">
        <v>5.37134</v>
      </c>
      <c r="AF88" s="25">
        <v>5.3437510000000001</v>
      </c>
      <c r="AG88" s="28">
        <v>5.561E-3</v>
      </c>
      <c r="AH88">
        <v>0</v>
      </c>
      <c r="AI88">
        <v>0</v>
      </c>
      <c r="AJ88" t="s">
        <v>110</v>
      </c>
    </row>
    <row r="89" spans="1:36">
      <c r="A89" s="12" t="s">
        <v>524</v>
      </c>
      <c r="B89" s="24" t="s">
        <v>501</v>
      </c>
      <c r="C89" s="25">
        <v>0</v>
      </c>
      <c r="D89" s="25">
        <v>0</v>
      </c>
      <c r="E89" s="25">
        <v>0</v>
      </c>
      <c r="F89" s="25">
        <v>0</v>
      </c>
      <c r="G89" s="25">
        <v>0</v>
      </c>
      <c r="H89" s="25">
        <v>0</v>
      </c>
      <c r="I89" s="25">
        <v>0</v>
      </c>
      <c r="J89" s="25">
        <v>0</v>
      </c>
      <c r="K89" s="25">
        <v>0</v>
      </c>
      <c r="L89" s="25">
        <v>0</v>
      </c>
      <c r="M89" s="25">
        <v>0</v>
      </c>
      <c r="N89" s="25">
        <v>0</v>
      </c>
      <c r="O89" s="25">
        <v>0</v>
      </c>
      <c r="P89" s="25">
        <v>0</v>
      </c>
      <c r="Q89" s="25">
        <v>0</v>
      </c>
      <c r="R89" s="25">
        <v>0</v>
      </c>
      <c r="S89" s="25">
        <v>0</v>
      </c>
      <c r="T89" s="25">
        <v>0</v>
      </c>
      <c r="U89" s="25">
        <v>0</v>
      </c>
      <c r="V89" s="25">
        <v>0</v>
      </c>
      <c r="W89" s="25">
        <v>0</v>
      </c>
      <c r="X89" s="25">
        <v>0</v>
      </c>
      <c r="Y89" s="25">
        <v>0</v>
      </c>
      <c r="Z89" s="25">
        <v>0</v>
      </c>
      <c r="AA89" s="25">
        <v>0</v>
      </c>
      <c r="AB89" s="25">
        <v>0</v>
      </c>
      <c r="AC89" s="25">
        <v>0</v>
      </c>
      <c r="AD89" s="25">
        <v>0</v>
      </c>
      <c r="AE89" s="25">
        <v>0</v>
      </c>
      <c r="AF89" s="25">
        <v>0</v>
      </c>
      <c r="AG89" s="28" t="s">
        <v>452</v>
      </c>
      <c r="AH89">
        <v>0</v>
      </c>
      <c r="AI89">
        <v>0</v>
      </c>
      <c r="AJ89" t="s">
        <v>110</v>
      </c>
    </row>
    <row r="90" spans="1:36" ht="35.65">
      <c r="A90" s="12" t="s">
        <v>525</v>
      </c>
      <c r="B90" s="24" t="s">
        <v>503</v>
      </c>
      <c r="C90" s="25">
        <v>66.903946000000005</v>
      </c>
      <c r="D90" s="25">
        <v>79.866623000000004</v>
      </c>
      <c r="E90" s="25">
        <v>84.410392999999999</v>
      </c>
      <c r="F90" s="25">
        <v>85.676758000000007</v>
      </c>
      <c r="G90" s="25">
        <v>85.841071999999997</v>
      </c>
      <c r="H90" s="25">
        <v>85.516707999999994</v>
      </c>
      <c r="I90" s="25">
        <v>85.022239999999996</v>
      </c>
      <c r="J90" s="25">
        <v>84.537384000000003</v>
      </c>
      <c r="K90" s="25">
        <v>84.058197000000007</v>
      </c>
      <c r="L90" s="25">
        <v>83.57029</v>
      </c>
      <c r="M90" s="25">
        <v>83.087447999999995</v>
      </c>
      <c r="N90" s="25">
        <v>82.669296000000003</v>
      </c>
      <c r="O90" s="25">
        <v>82.348731999999998</v>
      </c>
      <c r="P90" s="25">
        <v>82.131691000000004</v>
      </c>
      <c r="Q90" s="25">
        <v>81.956665000000001</v>
      </c>
      <c r="R90" s="25">
        <v>81.890297000000004</v>
      </c>
      <c r="S90" s="25">
        <v>82.045471000000006</v>
      </c>
      <c r="T90" s="25">
        <v>82.153717</v>
      </c>
      <c r="U90" s="25">
        <v>81.93544</v>
      </c>
      <c r="V90" s="25">
        <v>81.707840000000004</v>
      </c>
      <c r="W90" s="25">
        <v>81.416816999999995</v>
      </c>
      <c r="X90" s="25">
        <v>81.096405000000004</v>
      </c>
      <c r="Y90" s="25">
        <v>80.761443999999997</v>
      </c>
      <c r="Z90" s="25">
        <v>80.413048000000003</v>
      </c>
      <c r="AA90" s="25">
        <v>80.060181</v>
      </c>
      <c r="AB90" s="25">
        <v>79.705521000000005</v>
      </c>
      <c r="AC90" s="25">
        <v>79.327445999999995</v>
      </c>
      <c r="AD90" s="25">
        <v>78.930412000000004</v>
      </c>
      <c r="AE90" s="25">
        <v>78.515174999999999</v>
      </c>
      <c r="AF90" s="25">
        <v>78.090041999999997</v>
      </c>
      <c r="AG90" s="28">
        <v>5.3449999999999999E-3</v>
      </c>
      <c r="AH90">
        <v>192.858002</v>
      </c>
      <c r="AI90">
        <v>192.57214400000001</v>
      </c>
      <c r="AJ90" s="9">
        <v>-2E-3</v>
      </c>
    </row>
    <row r="91" spans="1:36" ht="47.25">
      <c r="A91" s="12" t="s">
        <v>526</v>
      </c>
      <c r="B91" s="24" t="s">
        <v>505</v>
      </c>
      <c r="C91" s="25">
        <v>0.87057399999999996</v>
      </c>
      <c r="D91" s="25">
        <v>1.0516920000000001</v>
      </c>
      <c r="E91" s="25">
        <v>1.1237379999999999</v>
      </c>
      <c r="F91" s="25">
        <v>1.1567270000000001</v>
      </c>
      <c r="G91" s="25">
        <v>1.1757610000000001</v>
      </c>
      <c r="H91" s="25">
        <v>1.18828</v>
      </c>
      <c r="I91" s="25">
        <v>1.1985840000000001</v>
      </c>
      <c r="J91" s="25">
        <v>1.2093670000000001</v>
      </c>
      <c r="K91" s="25">
        <v>1.2200660000000001</v>
      </c>
      <c r="L91" s="25">
        <v>1.230507</v>
      </c>
      <c r="M91" s="25">
        <v>1.237716</v>
      </c>
      <c r="N91" s="25">
        <v>1.2461850000000001</v>
      </c>
      <c r="O91" s="25">
        <v>1.2556890000000001</v>
      </c>
      <c r="P91" s="25">
        <v>1.2669239999999999</v>
      </c>
      <c r="Q91" s="25">
        <v>1.279453</v>
      </c>
      <c r="R91" s="25">
        <v>1.2942689999999999</v>
      </c>
      <c r="S91" s="25">
        <v>1.3134410000000001</v>
      </c>
      <c r="T91" s="25">
        <v>1.332581</v>
      </c>
      <c r="U91" s="25">
        <v>1.34677</v>
      </c>
      <c r="V91" s="25">
        <v>1.3614630000000001</v>
      </c>
      <c r="W91" s="25">
        <v>1.375402</v>
      </c>
      <c r="X91" s="25">
        <v>1.389122</v>
      </c>
      <c r="Y91" s="25">
        <v>1.40341</v>
      </c>
      <c r="Z91" s="25">
        <v>1.418331</v>
      </c>
      <c r="AA91" s="25">
        <v>1.4335059999999999</v>
      </c>
      <c r="AB91" s="25">
        <v>1.449198</v>
      </c>
      <c r="AC91" s="25">
        <v>1.4645550000000001</v>
      </c>
      <c r="AD91" s="25">
        <v>1.479595</v>
      </c>
      <c r="AE91" s="25">
        <v>1.4942040000000001</v>
      </c>
      <c r="AF91" s="25">
        <v>1.508394</v>
      </c>
      <c r="AG91" s="28">
        <v>1.9134000000000002E-2</v>
      </c>
      <c r="AH91">
        <v>148.35287500000001</v>
      </c>
      <c r="AI91">
        <v>147.84863300000001</v>
      </c>
      <c r="AJ91" s="9">
        <v>-4.0000000000000001E-3</v>
      </c>
    </row>
    <row r="92" spans="1:36">
      <c r="A92" s="12" t="s">
        <v>527</v>
      </c>
      <c r="B92" s="24" t="s">
        <v>507</v>
      </c>
      <c r="C92" s="25">
        <v>3.7200169999999999</v>
      </c>
      <c r="D92" s="25">
        <v>4.4414559999999996</v>
      </c>
      <c r="E92" s="25">
        <v>4.6948090000000002</v>
      </c>
      <c r="F92" s="25">
        <v>4.7661290000000003</v>
      </c>
      <c r="G92" s="25">
        <v>4.776192</v>
      </c>
      <c r="H92" s="25">
        <v>4.7590760000000003</v>
      </c>
      <c r="I92" s="25">
        <v>4.7325010000000001</v>
      </c>
      <c r="J92" s="25">
        <v>4.7064789999999999</v>
      </c>
      <c r="K92" s="25">
        <v>4.6807660000000002</v>
      </c>
      <c r="L92" s="25">
        <v>4.6545579999999998</v>
      </c>
      <c r="M92" s="25">
        <v>4.6284510000000001</v>
      </c>
      <c r="N92" s="25">
        <v>4.6059640000000002</v>
      </c>
      <c r="O92" s="25">
        <v>4.5888910000000003</v>
      </c>
      <c r="P92" s="25">
        <v>4.5775959999999998</v>
      </c>
      <c r="Q92" s="25">
        <v>4.568676</v>
      </c>
      <c r="R92" s="25">
        <v>4.5658450000000004</v>
      </c>
      <c r="S92" s="25">
        <v>4.5754159999999997</v>
      </c>
      <c r="T92" s="25">
        <v>4.5824069999999999</v>
      </c>
      <c r="U92" s="25">
        <v>4.5712060000000001</v>
      </c>
      <c r="V92" s="25">
        <v>4.55952</v>
      </c>
      <c r="W92" s="25">
        <v>4.5443110000000004</v>
      </c>
      <c r="X92" s="25">
        <v>4.5274770000000002</v>
      </c>
      <c r="Y92" s="25">
        <v>4.5098760000000002</v>
      </c>
      <c r="Z92" s="25">
        <v>4.4915719999999997</v>
      </c>
      <c r="AA92" s="25">
        <v>4.4730369999999997</v>
      </c>
      <c r="AB92" s="25">
        <v>4.4544319999999997</v>
      </c>
      <c r="AC92" s="25">
        <v>4.4345220000000003</v>
      </c>
      <c r="AD92" s="25">
        <v>4.4135559999999998</v>
      </c>
      <c r="AE92" s="25">
        <v>4.3915660000000001</v>
      </c>
      <c r="AF92" s="25">
        <v>4.3690100000000003</v>
      </c>
      <c r="AG92" s="28">
        <v>5.561E-3</v>
      </c>
      <c r="AH92">
        <v>44.505119000000001</v>
      </c>
      <c r="AI92">
        <v>44.723514999999999</v>
      </c>
      <c r="AJ92" s="9">
        <v>5.0000000000000001E-3</v>
      </c>
    </row>
    <row r="93" spans="1:36">
      <c r="A93" s="12" t="s">
        <v>528</v>
      </c>
      <c r="B93" s="24" t="s">
        <v>509</v>
      </c>
      <c r="C93" s="25">
        <v>0</v>
      </c>
      <c r="D93" s="25">
        <v>0</v>
      </c>
      <c r="E93" s="25">
        <v>0</v>
      </c>
      <c r="F93" s="25">
        <v>0</v>
      </c>
      <c r="G93" s="25">
        <v>0</v>
      </c>
      <c r="H93" s="25">
        <v>0</v>
      </c>
      <c r="I93" s="25">
        <v>0</v>
      </c>
      <c r="J93" s="25">
        <v>0</v>
      </c>
      <c r="K93" s="25">
        <v>0</v>
      </c>
      <c r="L93" s="25">
        <v>0</v>
      </c>
      <c r="M93" s="25">
        <v>0</v>
      </c>
      <c r="N93" s="25">
        <v>0</v>
      </c>
      <c r="O93" s="25">
        <v>0</v>
      </c>
      <c r="P93" s="25">
        <v>0</v>
      </c>
      <c r="Q93" s="25">
        <v>0</v>
      </c>
      <c r="R93" s="25">
        <v>0</v>
      </c>
      <c r="S93" s="25">
        <v>0</v>
      </c>
      <c r="T93" s="25">
        <v>0</v>
      </c>
      <c r="U93" s="25">
        <v>0</v>
      </c>
      <c r="V93" s="25">
        <v>0</v>
      </c>
      <c r="W93" s="25">
        <v>0</v>
      </c>
      <c r="X93" s="25">
        <v>0</v>
      </c>
      <c r="Y93" s="25">
        <v>0</v>
      </c>
      <c r="Z93" s="25">
        <v>0</v>
      </c>
      <c r="AA93" s="25">
        <v>0</v>
      </c>
      <c r="AB93" s="25">
        <v>0</v>
      </c>
      <c r="AC93" s="25">
        <v>0</v>
      </c>
      <c r="AD93" s="25">
        <v>0</v>
      </c>
      <c r="AE93" s="25">
        <v>0</v>
      </c>
      <c r="AF93" s="25">
        <v>0</v>
      </c>
      <c r="AG93" s="28" t="s">
        <v>452</v>
      </c>
      <c r="AH93">
        <v>132.70448300000001</v>
      </c>
      <c r="AI93">
        <v>132.83111600000001</v>
      </c>
      <c r="AJ93" s="9">
        <v>2E-3</v>
      </c>
    </row>
    <row r="94" spans="1:36">
      <c r="A94" s="12" t="s">
        <v>529</v>
      </c>
      <c r="B94" s="24" t="s">
        <v>511</v>
      </c>
      <c r="C94" s="25">
        <v>0</v>
      </c>
      <c r="D94" s="25">
        <v>0</v>
      </c>
      <c r="E94" s="25">
        <v>0</v>
      </c>
      <c r="F94" s="25">
        <v>0</v>
      </c>
      <c r="G94" s="25">
        <v>0</v>
      </c>
      <c r="H94" s="25">
        <v>0</v>
      </c>
      <c r="I94" s="25">
        <v>0</v>
      </c>
      <c r="J94" s="25">
        <v>0</v>
      </c>
      <c r="K94" s="25">
        <v>0</v>
      </c>
      <c r="L94" s="25">
        <v>0</v>
      </c>
      <c r="M94" s="25">
        <v>0</v>
      </c>
      <c r="N94" s="25">
        <v>0</v>
      </c>
      <c r="O94" s="25">
        <v>0</v>
      </c>
      <c r="P94" s="25">
        <v>0</v>
      </c>
      <c r="Q94" s="25">
        <v>0</v>
      </c>
      <c r="R94" s="25">
        <v>0</v>
      </c>
      <c r="S94" s="25">
        <v>0</v>
      </c>
      <c r="T94" s="25">
        <v>0</v>
      </c>
      <c r="U94" s="25">
        <v>0</v>
      </c>
      <c r="V94" s="25">
        <v>0</v>
      </c>
      <c r="W94" s="25">
        <v>0</v>
      </c>
      <c r="X94" s="25">
        <v>0</v>
      </c>
      <c r="Y94" s="25">
        <v>0</v>
      </c>
      <c r="Z94" s="25">
        <v>0</v>
      </c>
      <c r="AA94" s="25">
        <v>0</v>
      </c>
      <c r="AB94" s="25">
        <v>0</v>
      </c>
      <c r="AC94" s="25">
        <v>0</v>
      </c>
      <c r="AD94" s="25">
        <v>0</v>
      </c>
      <c r="AE94" s="25">
        <v>0</v>
      </c>
      <c r="AF94" s="25">
        <v>0</v>
      </c>
      <c r="AG94" s="28" t="s">
        <v>452</v>
      </c>
      <c r="AH94">
        <v>703.19329800000003</v>
      </c>
      <c r="AI94">
        <v>710.15020800000002</v>
      </c>
      <c r="AJ94" s="9">
        <v>-2E-3</v>
      </c>
    </row>
    <row r="95" spans="1:36" ht="35.65">
      <c r="A95" s="12" t="s">
        <v>530</v>
      </c>
      <c r="B95" s="23" t="s">
        <v>426</v>
      </c>
      <c r="C95" s="26">
        <v>35.747318</v>
      </c>
      <c r="D95" s="26">
        <v>40.344104999999999</v>
      </c>
      <c r="E95" s="26">
        <v>43.365397999999999</v>
      </c>
      <c r="F95" s="26">
        <v>45.948174000000002</v>
      </c>
      <c r="G95" s="26">
        <v>47.974677999999997</v>
      </c>
      <c r="H95" s="26">
        <v>49.670772999999997</v>
      </c>
      <c r="I95" s="26">
        <v>50.918190000000003</v>
      </c>
      <c r="J95" s="26">
        <v>51.923713999999997</v>
      </c>
      <c r="K95" s="26">
        <v>52.848305000000003</v>
      </c>
      <c r="L95" s="26">
        <v>53.864001999999999</v>
      </c>
      <c r="M95" s="26">
        <v>54.846595999999998</v>
      </c>
      <c r="N95" s="26">
        <v>55.669662000000002</v>
      </c>
      <c r="O95" s="26">
        <v>56.455813999999997</v>
      </c>
      <c r="P95" s="26">
        <v>57.163257999999999</v>
      </c>
      <c r="Q95" s="26">
        <v>57.769817000000003</v>
      </c>
      <c r="R95" s="26">
        <v>58.395102999999999</v>
      </c>
      <c r="S95" s="26">
        <v>59.068030999999998</v>
      </c>
      <c r="T95" s="26">
        <v>59.723274000000004</v>
      </c>
      <c r="U95" s="26">
        <v>60.304985000000002</v>
      </c>
      <c r="V95" s="26">
        <v>60.995941000000002</v>
      </c>
      <c r="W95" s="26">
        <v>61.573295999999999</v>
      </c>
      <c r="X95" s="26">
        <v>62.161354000000003</v>
      </c>
      <c r="Y95" s="26">
        <v>62.81823</v>
      </c>
      <c r="Z95" s="26">
        <v>63.486359</v>
      </c>
      <c r="AA95" s="26">
        <v>64.212356999999997</v>
      </c>
      <c r="AB95" s="26">
        <v>65.027725000000004</v>
      </c>
      <c r="AC95" s="26">
        <v>65.726546999999997</v>
      </c>
      <c r="AD95" s="26">
        <v>66.387557999999999</v>
      </c>
      <c r="AE95" s="26">
        <v>67.135193000000001</v>
      </c>
      <c r="AF95" s="26">
        <v>67.960930000000005</v>
      </c>
      <c r="AG95" s="29">
        <v>2.2401000000000001E-2</v>
      </c>
      <c r="AH95">
        <v>28719.751952999999</v>
      </c>
      <c r="AI95">
        <v>28946.207031000002</v>
      </c>
      <c r="AJ95" s="9">
        <v>3.0000000000000001E-3</v>
      </c>
    </row>
    <row r="96" spans="1:36" ht="24">
      <c r="A96" s="12" t="s">
        <v>531</v>
      </c>
      <c r="B96" s="24" t="s">
        <v>532</v>
      </c>
      <c r="C96" s="25">
        <v>6.5376079999999996</v>
      </c>
      <c r="D96" s="25">
        <v>7.6941170000000003</v>
      </c>
      <c r="E96" s="25">
        <v>8.600384</v>
      </c>
      <c r="F96" s="25">
        <v>9.3146170000000001</v>
      </c>
      <c r="G96" s="25">
        <v>9.8805449999999997</v>
      </c>
      <c r="H96" s="25">
        <v>10.335025999999999</v>
      </c>
      <c r="I96" s="25">
        <v>10.704774</v>
      </c>
      <c r="J96" s="25">
        <v>11.008782</v>
      </c>
      <c r="K96" s="25">
        <v>11.263825000000001</v>
      </c>
      <c r="L96" s="25">
        <v>11.482137</v>
      </c>
      <c r="M96" s="25">
        <v>11.671988000000001</v>
      </c>
      <c r="N96" s="25">
        <v>11.837391999999999</v>
      </c>
      <c r="O96" s="25">
        <v>11.982087999999999</v>
      </c>
      <c r="P96" s="25">
        <v>12.11</v>
      </c>
      <c r="Q96" s="25">
        <v>12.225593999999999</v>
      </c>
      <c r="R96" s="25">
        <v>12.328609</v>
      </c>
      <c r="S96" s="25">
        <v>12.416886</v>
      </c>
      <c r="T96" s="25">
        <v>12.500261</v>
      </c>
      <c r="U96" s="25">
        <v>12.589261</v>
      </c>
      <c r="V96" s="25">
        <v>12.674621999999999</v>
      </c>
      <c r="W96" s="25">
        <v>12.758965</v>
      </c>
      <c r="X96" s="25">
        <v>12.842041</v>
      </c>
      <c r="Y96" s="25">
        <v>12.923666000000001</v>
      </c>
      <c r="Z96" s="25">
        <v>13.003992</v>
      </c>
      <c r="AA96" s="25">
        <v>13.083086</v>
      </c>
      <c r="AB96" s="25">
        <v>13.161218999999999</v>
      </c>
      <c r="AC96" s="25">
        <v>13.239566</v>
      </c>
      <c r="AD96" s="25">
        <v>13.317968</v>
      </c>
      <c r="AE96" s="25">
        <v>13.396444000000001</v>
      </c>
      <c r="AF96" s="25">
        <v>13.474932000000001</v>
      </c>
      <c r="AG96" s="28">
        <v>2.5253999999999999E-2</v>
      </c>
    </row>
    <row r="97" spans="1:33">
      <c r="A97" s="12" t="s">
        <v>533</v>
      </c>
      <c r="B97" s="24" t="s">
        <v>509</v>
      </c>
      <c r="C97" s="25">
        <v>1.0159469999999999</v>
      </c>
      <c r="D97" s="25">
        <v>1.1956690000000001</v>
      </c>
      <c r="E97" s="25">
        <v>1.336503</v>
      </c>
      <c r="F97" s="25">
        <v>1.447495</v>
      </c>
      <c r="G97" s="25">
        <v>1.5354399999999999</v>
      </c>
      <c r="H97" s="25">
        <v>1.6060669999999999</v>
      </c>
      <c r="I97" s="25">
        <v>1.663527</v>
      </c>
      <c r="J97" s="25">
        <v>1.710769</v>
      </c>
      <c r="K97" s="25">
        <v>1.750402</v>
      </c>
      <c r="L97" s="25">
        <v>1.7843279999999999</v>
      </c>
      <c r="M97" s="25">
        <v>1.813831</v>
      </c>
      <c r="N97" s="25">
        <v>1.8395360000000001</v>
      </c>
      <c r="O97" s="25">
        <v>1.8620209999999999</v>
      </c>
      <c r="P97" s="25">
        <v>1.881899</v>
      </c>
      <c r="Q97" s="25">
        <v>1.8998619999999999</v>
      </c>
      <c r="R97" s="25">
        <v>1.9158710000000001</v>
      </c>
      <c r="S97" s="25">
        <v>1.929589</v>
      </c>
      <c r="T97" s="25">
        <v>1.9425460000000001</v>
      </c>
      <c r="U97" s="25">
        <v>1.9563759999999999</v>
      </c>
      <c r="V97" s="25">
        <v>1.969641</v>
      </c>
      <c r="W97" s="25">
        <v>1.982748</v>
      </c>
      <c r="X97" s="25">
        <v>1.9956579999999999</v>
      </c>
      <c r="Y97" s="25">
        <v>2.008343</v>
      </c>
      <c r="Z97" s="25">
        <v>2.0208249999999999</v>
      </c>
      <c r="AA97" s="25">
        <v>2.0331160000000001</v>
      </c>
      <c r="AB97" s="25">
        <v>2.0452590000000002</v>
      </c>
      <c r="AC97" s="25">
        <v>2.0574340000000002</v>
      </c>
      <c r="AD97" s="25">
        <v>2.069617</v>
      </c>
      <c r="AE97" s="25">
        <v>2.0818129999999999</v>
      </c>
      <c r="AF97" s="25">
        <v>2.0940089999999998</v>
      </c>
      <c r="AG97" s="28">
        <v>2.5253999999999999E-2</v>
      </c>
    </row>
    <row r="98" spans="1:33">
      <c r="A98" s="12" t="s">
        <v>534</v>
      </c>
      <c r="B98" s="24" t="s">
        <v>535</v>
      </c>
      <c r="C98" s="25">
        <v>5.5216609999999999</v>
      </c>
      <c r="D98" s="25">
        <v>6.4984479999999998</v>
      </c>
      <c r="E98" s="25">
        <v>7.2638809999999996</v>
      </c>
      <c r="F98" s="25">
        <v>7.8671220000000002</v>
      </c>
      <c r="G98" s="25">
        <v>8.3451039999999992</v>
      </c>
      <c r="H98" s="25">
        <v>8.7289589999999997</v>
      </c>
      <c r="I98" s="25">
        <v>9.0412470000000003</v>
      </c>
      <c r="J98" s="25">
        <v>9.2980140000000002</v>
      </c>
      <c r="K98" s="25">
        <v>9.5134229999999995</v>
      </c>
      <c r="L98" s="25">
        <v>9.6978080000000002</v>
      </c>
      <c r="M98" s="25">
        <v>9.8581559999999993</v>
      </c>
      <c r="N98" s="25">
        <v>9.9978560000000005</v>
      </c>
      <c r="O98" s="25">
        <v>10.120067000000001</v>
      </c>
      <c r="P98" s="25">
        <v>10.228101000000001</v>
      </c>
      <c r="Q98" s="25">
        <v>10.325730999999999</v>
      </c>
      <c r="R98" s="25">
        <v>10.412739</v>
      </c>
      <c r="S98" s="25">
        <v>10.487297</v>
      </c>
      <c r="T98" s="25">
        <v>10.557715</v>
      </c>
      <c r="U98" s="25">
        <v>10.632885</v>
      </c>
      <c r="V98" s="25">
        <v>10.704981</v>
      </c>
      <c r="W98" s="25">
        <v>10.776217000000001</v>
      </c>
      <c r="X98" s="25">
        <v>10.846382999999999</v>
      </c>
      <c r="Y98" s="25">
        <v>10.915323000000001</v>
      </c>
      <c r="Z98" s="25">
        <v>10.983167</v>
      </c>
      <c r="AA98" s="25">
        <v>11.04997</v>
      </c>
      <c r="AB98" s="25">
        <v>11.115959999999999</v>
      </c>
      <c r="AC98" s="25">
        <v>11.182131999999999</v>
      </c>
      <c r="AD98" s="25">
        <v>11.248351</v>
      </c>
      <c r="AE98" s="25">
        <v>11.314631</v>
      </c>
      <c r="AF98" s="25">
        <v>11.380922</v>
      </c>
      <c r="AG98" s="28">
        <v>2.5253999999999999E-2</v>
      </c>
    </row>
    <row r="99" spans="1:33" ht="35.65">
      <c r="A99" s="12" t="s">
        <v>536</v>
      </c>
      <c r="B99" s="24" t="s">
        <v>537</v>
      </c>
      <c r="C99" s="25">
        <v>0</v>
      </c>
      <c r="D99" s="25">
        <v>0</v>
      </c>
      <c r="E99" s="25">
        <v>0</v>
      </c>
      <c r="F99" s="25">
        <v>0</v>
      </c>
      <c r="G99" s="25">
        <v>0</v>
      </c>
      <c r="H99" s="25">
        <v>0</v>
      </c>
      <c r="I99" s="25">
        <v>0</v>
      </c>
      <c r="J99" s="25">
        <v>0</v>
      </c>
      <c r="K99" s="25">
        <v>0</v>
      </c>
      <c r="L99" s="25">
        <v>0</v>
      </c>
      <c r="M99" s="25">
        <v>0</v>
      </c>
      <c r="N99" s="25">
        <v>0</v>
      </c>
      <c r="O99" s="25">
        <v>0</v>
      </c>
      <c r="P99" s="25">
        <v>0</v>
      </c>
      <c r="Q99" s="25">
        <v>0</v>
      </c>
      <c r="R99" s="25">
        <v>0</v>
      </c>
      <c r="S99" s="25">
        <v>0</v>
      </c>
      <c r="T99" s="25">
        <v>0</v>
      </c>
      <c r="U99" s="25">
        <v>0</v>
      </c>
      <c r="V99" s="25">
        <v>0</v>
      </c>
      <c r="W99" s="25">
        <v>0</v>
      </c>
      <c r="X99" s="25">
        <v>0</v>
      </c>
      <c r="Y99" s="25">
        <v>0</v>
      </c>
      <c r="Z99" s="25">
        <v>0</v>
      </c>
      <c r="AA99" s="25">
        <v>0</v>
      </c>
      <c r="AB99" s="25">
        <v>0</v>
      </c>
      <c r="AC99" s="25">
        <v>0</v>
      </c>
      <c r="AD99" s="25">
        <v>0</v>
      </c>
      <c r="AE99" s="25">
        <v>0</v>
      </c>
      <c r="AF99" s="25">
        <v>0</v>
      </c>
      <c r="AG99" s="28" t="s">
        <v>452</v>
      </c>
    </row>
    <row r="100" spans="1:33" ht="24">
      <c r="A100" s="12" t="s">
        <v>538</v>
      </c>
      <c r="B100" s="24" t="s">
        <v>539</v>
      </c>
      <c r="C100" s="25">
        <v>0</v>
      </c>
      <c r="D100" s="25">
        <v>0</v>
      </c>
      <c r="E100" s="25">
        <v>0</v>
      </c>
      <c r="F100" s="25">
        <v>0</v>
      </c>
      <c r="G100" s="25">
        <v>0</v>
      </c>
      <c r="H100" s="25">
        <v>0</v>
      </c>
      <c r="I100" s="25">
        <v>0</v>
      </c>
      <c r="J100" s="25">
        <v>0</v>
      </c>
      <c r="K100" s="25">
        <v>0</v>
      </c>
      <c r="L100" s="25">
        <v>0</v>
      </c>
      <c r="M100" s="25">
        <v>0</v>
      </c>
      <c r="N100" s="25">
        <v>0</v>
      </c>
      <c r="O100" s="25">
        <v>0</v>
      </c>
      <c r="P100" s="25">
        <v>0</v>
      </c>
      <c r="Q100" s="25">
        <v>0</v>
      </c>
      <c r="R100" s="25">
        <v>0</v>
      </c>
      <c r="S100" s="25">
        <v>0</v>
      </c>
      <c r="T100" s="25">
        <v>0</v>
      </c>
      <c r="U100" s="25">
        <v>0</v>
      </c>
      <c r="V100" s="25">
        <v>0</v>
      </c>
      <c r="W100" s="25">
        <v>0</v>
      </c>
      <c r="X100" s="25">
        <v>0</v>
      </c>
      <c r="Y100" s="25">
        <v>0</v>
      </c>
      <c r="Z100" s="25">
        <v>0</v>
      </c>
      <c r="AA100" s="25">
        <v>0</v>
      </c>
      <c r="AB100" s="25">
        <v>0</v>
      </c>
      <c r="AC100" s="25">
        <v>0</v>
      </c>
      <c r="AD100" s="25">
        <v>0</v>
      </c>
      <c r="AE100" s="25">
        <v>0</v>
      </c>
      <c r="AF100" s="25">
        <v>0</v>
      </c>
      <c r="AG100" s="28" t="s">
        <v>452</v>
      </c>
    </row>
    <row r="101" spans="1:33">
      <c r="A101" s="12" t="s">
        <v>540</v>
      </c>
      <c r="B101" s="24" t="s">
        <v>541</v>
      </c>
      <c r="C101" s="25">
        <v>12.700588</v>
      </c>
      <c r="D101" s="25">
        <v>14.364753</v>
      </c>
      <c r="E101" s="25">
        <v>15.38791</v>
      </c>
      <c r="F101" s="25">
        <v>16.292556999999999</v>
      </c>
      <c r="G101" s="25">
        <v>16.996079999999999</v>
      </c>
      <c r="H101" s="25">
        <v>17.604413999999998</v>
      </c>
      <c r="I101" s="25">
        <v>18.043613000000001</v>
      </c>
      <c r="J101" s="25">
        <v>18.391649000000001</v>
      </c>
      <c r="K101" s="25">
        <v>18.714884000000001</v>
      </c>
      <c r="L101" s="25">
        <v>19.093592000000001</v>
      </c>
      <c r="M101" s="25">
        <v>19.474936</v>
      </c>
      <c r="N101" s="25">
        <v>19.774450000000002</v>
      </c>
      <c r="O101" s="25">
        <v>20.058819</v>
      </c>
      <c r="P101" s="25">
        <v>20.311828999999999</v>
      </c>
      <c r="Q101" s="25">
        <v>20.512810000000002</v>
      </c>
      <c r="R101" s="25">
        <v>20.728580000000001</v>
      </c>
      <c r="S101" s="25">
        <v>20.966011000000002</v>
      </c>
      <c r="T101" s="25">
        <v>21.199514000000001</v>
      </c>
      <c r="U101" s="25">
        <v>21.387691</v>
      </c>
      <c r="V101" s="25">
        <v>21.628992</v>
      </c>
      <c r="W101" s="25">
        <v>21.819023000000001</v>
      </c>
      <c r="X101" s="25">
        <v>22.007545</v>
      </c>
      <c r="Y101" s="25">
        <v>22.229607000000001</v>
      </c>
      <c r="Z101" s="25">
        <v>22.454782000000002</v>
      </c>
      <c r="AA101" s="25">
        <v>22.696708999999998</v>
      </c>
      <c r="AB101" s="25">
        <v>22.978424</v>
      </c>
      <c r="AC101" s="25">
        <v>23.205546999999999</v>
      </c>
      <c r="AD101" s="25">
        <v>23.414211000000002</v>
      </c>
      <c r="AE101" s="25">
        <v>23.661840000000002</v>
      </c>
      <c r="AF101" s="25">
        <v>23.94849</v>
      </c>
      <c r="AG101" s="28">
        <v>2.2112E-2</v>
      </c>
    </row>
    <row r="102" spans="1:33">
      <c r="A102" s="12" t="s">
        <v>542</v>
      </c>
      <c r="B102" s="24" t="s">
        <v>509</v>
      </c>
      <c r="C102" s="25">
        <v>12.700588</v>
      </c>
      <c r="D102" s="25">
        <v>14.364753</v>
      </c>
      <c r="E102" s="25">
        <v>15.38791</v>
      </c>
      <c r="F102" s="25">
        <v>16.292556999999999</v>
      </c>
      <c r="G102" s="25">
        <v>16.996079999999999</v>
      </c>
      <c r="H102" s="25">
        <v>17.604413999999998</v>
      </c>
      <c r="I102" s="25">
        <v>18.043613000000001</v>
      </c>
      <c r="J102" s="25">
        <v>18.391649000000001</v>
      </c>
      <c r="K102" s="25">
        <v>18.714884000000001</v>
      </c>
      <c r="L102" s="25">
        <v>19.093592000000001</v>
      </c>
      <c r="M102" s="25">
        <v>19.474936</v>
      </c>
      <c r="N102" s="25">
        <v>19.774450000000002</v>
      </c>
      <c r="O102" s="25">
        <v>20.058819</v>
      </c>
      <c r="P102" s="25">
        <v>20.311828999999999</v>
      </c>
      <c r="Q102" s="25">
        <v>20.512810000000002</v>
      </c>
      <c r="R102" s="25">
        <v>20.728580000000001</v>
      </c>
      <c r="S102" s="25">
        <v>20.966011000000002</v>
      </c>
      <c r="T102" s="25">
        <v>21.199514000000001</v>
      </c>
      <c r="U102" s="25">
        <v>21.387691</v>
      </c>
      <c r="V102" s="25">
        <v>21.628992</v>
      </c>
      <c r="W102" s="25">
        <v>21.819023000000001</v>
      </c>
      <c r="X102" s="25">
        <v>22.007545</v>
      </c>
      <c r="Y102" s="25">
        <v>22.229607000000001</v>
      </c>
      <c r="Z102" s="25">
        <v>22.454782000000002</v>
      </c>
      <c r="AA102" s="25">
        <v>22.696708999999998</v>
      </c>
      <c r="AB102" s="25">
        <v>22.978424</v>
      </c>
      <c r="AC102" s="25">
        <v>23.205546999999999</v>
      </c>
      <c r="AD102" s="25">
        <v>23.414211000000002</v>
      </c>
      <c r="AE102" s="25">
        <v>23.661840000000002</v>
      </c>
      <c r="AF102" s="25">
        <v>23.94849</v>
      </c>
      <c r="AG102" s="28">
        <v>2.2112E-2</v>
      </c>
    </row>
    <row r="103" spans="1:33" ht="24">
      <c r="A103" s="12" t="s">
        <v>543</v>
      </c>
      <c r="B103" s="24" t="s">
        <v>544</v>
      </c>
      <c r="C103" s="25">
        <v>16.509121</v>
      </c>
      <c r="D103" s="25">
        <v>18.285233000000002</v>
      </c>
      <c r="E103" s="25">
        <v>19.377106000000001</v>
      </c>
      <c r="F103" s="25">
        <v>20.340997999999999</v>
      </c>
      <c r="G103" s="25">
        <v>21.098049</v>
      </c>
      <c r="H103" s="25">
        <v>21.731332999999999</v>
      </c>
      <c r="I103" s="25">
        <v>22.169803999999999</v>
      </c>
      <c r="J103" s="25">
        <v>22.523285000000001</v>
      </c>
      <c r="K103" s="25">
        <v>22.869595</v>
      </c>
      <c r="L103" s="25">
        <v>23.288273</v>
      </c>
      <c r="M103" s="25">
        <v>23.699677000000001</v>
      </c>
      <c r="N103" s="25">
        <v>24.057817</v>
      </c>
      <c r="O103" s="25">
        <v>24.414905999999998</v>
      </c>
      <c r="P103" s="25">
        <v>24.741427999999999</v>
      </c>
      <c r="Q103" s="25">
        <v>25.031414000000002</v>
      </c>
      <c r="R103" s="25">
        <v>25.337914999999999</v>
      </c>
      <c r="S103" s="25">
        <v>25.685137000000001</v>
      </c>
      <c r="T103" s="25">
        <v>26.023502000000001</v>
      </c>
      <c r="U103" s="25">
        <v>26.328029999999998</v>
      </c>
      <c r="V103" s="25">
        <v>26.692329000000001</v>
      </c>
      <c r="W103" s="25">
        <v>26.99531</v>
      </c>
      <c r="X103" s="25">
        <v>27.311768000000001</v>
      </c>
      <c r="Y103" s="25">
        <v>27.664957000000001</v>
      </c>
      <c r="Z103" s="25">
        <v>28.027588000000002</v>
      </c>
      <c r="AA103" s="25">
        <v>28.432559999999999</v>
      </c>
      <c r="AB103" s="25">
        <v>28.888083000000002</v>
      </c>
      <c r="AC103" s="25">
        <v>29.281431000000001</v>
      </c>
      <c r="AD103" s="25">
        <v>29.655377999999999</v>
      </c>
      <c r="AE103" s="25">
        <v>30.076912</v>
      </c>
      <c r="AF103" s="25">
        <v>30.537510000000001</v>
      </c>
      <c r="AG103" s="28">
        <v>2.1434999999999999E-2</v>
      </c>
    </row>
    <row r="104" spans="1:33">
      <c r="A104" s="12" t="s">
        <v>545</v>
      </c>
      <c r="B104" s="24" t="s">
        <v>509</v>
      </c>
      <c r="C104" s="25">
        <v>5.2127150000000002</v>
      </c>
      <c r="D104" s="25">
        <v>5.695138</v>
      </c>
      <c r="E104" s="25">
        <v>5.9626049999999999</v>
      </c>
      <c r="F104" s="25">
        <v>6.2147670000000002</v>
      </c>
      <c r="G104" s="25">
        <v>6.4174519999999999</v>
      </c>
      <c r="H104" s="25">
        <v>6.5885199999999999</v>
      </c>
      <c r="I104" s="25">
        <v>6.6994280000000002</v>
      </c>
      <c r="J104" s="25">
        <v>6.7960029999999998</v>
      </c>
      <c r="K104" s="25">
        <v>6.9016250000000001</v>
      </c>
      <c r="L104" s="25">
        <v>7.0355650000000001</v>
      </c>
      <c r="M104" s="25">
        <v>7.165921</v>
      </c>
      <c r="N104" s="25">
        <v>7.2919429999999998</v>
      </c>
      <c r="O104" s="25">
        <v>7.4233589999999996</v>
      </c>
      <c r="P104" s="25">
        <v>7.5462530000000001</v>
      </c>
      <c r="Q104" s="25">
        <v>7.65665</v>
      </c>
      <c r="R104" s="25">
        <v>7.7712139999999996</v>
      </c>
      <c r="S104" s="25">
        <v>7.9042019999999997</v>
      </c>
      <c r="T104" s="25">
        <v>8.032076</v>
      </c>
      <c r="U104" s="25">
        <v>8.1507020000000008</v>
      </c>
      <c r="V104" s="25">
        <v>8.2886360000000003</v>
      </c>
      <c r="W104" s="25">
        <v>8.4046099999999999</v>
      </c>
      <c r="X104" s="25">
        <v>8.5259020000000003</v>
      </c>
      <c r="Y104" s="25">
        <v>8.6576000000000004</v>
      </c>
      <c r="Z104" s="25">
        <v>8.7912809999999997</v>
      </c>
      <c r="AA104" s="25">
        <v>8.9423670000000008</v>
      </c>
      <c r="AB104" s="25">
        <v>9.108644</v>
      </c>
      <c r="AC104" s="25">
        <v>9.2528950000000005</v>
      </c>
      <c r="AD104" s="25">
        <v>9.3912560000000003</v>
      </c>
      <c r="AE104" s="25">
        <v>9.5472020000000004</v>
      </c>
      <c r="AF104" s="25">
        <v>9.7163330000000006</v>
      </c>
      <c r="AG104" s="28">
        <v>2.1704999999999999E-2</v>
      </c>
    </row>
    <row r="105" spans="1:33">
      <c r="A105" s="12" t="s">
        <v>546</v>
      </c>
      <c r="B105" s="24" t="s">
        <v>535</v>
      </c>
      <c r="C105" s="25">
        <v>11.296407</v>
      </c>
      <c r="D105" s="25">
        <v>12.590095</v>
      </c>
      <c r="E105" s="25">
        <v>13.414501</v>
      </c>
      <c r="F105" s="25">
        <v>14.126231000000001</v>
      </c>
      <c r="G105" s="25">
        <v>14.680597000000001</v>
      </c>
      <c r="H105" s="25">
        <v>15.142814</v>
      </c>
      <c r="I105" s="25">
        <v>15.470375000000001</v>
      </c>
      <c r="J105" s="25">
        <v>15.727282000000001</v>
      </c>
      <c r="K105" s="25">
        <v>15.967969999999999</v>
      </c>
      <c r="L105" s="25">
        <v>16.252707999999998</v>
      </c>
      <c r="M105" s="25">
        <v>16.533753999999998</v>
      </c>
      <c r="N105" s="25">
        <v>16.765875000000001</v>
      </c>
      <c r="O105" s="25">
        <v>16.991547000000001</v>
      </c>
      <c r="P105" s="25">
        <v>17.195174999999999</v>
      </c>
      <c r="Q105" s="25">
        <v>17.374763000000002</v>
      </c>
      <c r="R105" s="25">
        <v>17.566701999999999</v>
      </c>
      <c r="S105" s="25">
        <v>17.780934999999999</v>
      </c>
      <c r="T105" s="25">
        <v>17.991426000000001</v>
      </c>
      <c r="U105" s="25">
        <v>18.177327999999999</v>
      </c>
      <c r="V105" s="25">
        <v>18.403694000000002</v>
      </c>
      <c r="W105" s="25">
        <v>18.590699999999998</v>
      </c>
      <c r="X105" s="25">
        <v>18.785865999999999</v>
      </c>
      <c r="Y105" s="25">
        <v>19.007356999999999</v>
      </c>
      <c r="Z105" s="25">
        <v>19.236307</v>
      </c>
      <c r="AA105" s="25">
        <v>19.490192</v>
      </c>
      <c r="AB105" s="25">
        <v>19.779437999999999</v>
      </c>
      <c r="AC105" s="25">
        <v>20.028535999999999</v>
      </c>
      <c r="AD105" s="25">
        <v>20.264122</v>
      </c>
      <c r="AE105" s="25">
        <v>20.529709</v>
      </c>
      <c r="AF105" s="25">
        <v>20.821176999999999</v>
      </c>
      <c r="AG105" s="28">
        <v>2.1309999999999999E-2</v>
      </c>
    </row>
    <row r="106" spans="1:33" ht="35.65">
      <c r="A106" s="12" t="s">
        <v>547</v>
      </c>
      <c r="B106" s="24" t="s">
        <v>537</v>
      </c>
      <c r="C106" s="25">
        <v>0</v>
      </c>
      <c r="D106" s="25">
        <v>0</v>
      </c>
      <c r="E106" s="25">
        <v>0</v>
      </c>
      <c r="F106" s="25">
        <v>0</v>
      </c>
      <c r="G106" s="25">
        <v>0</v>
      </c>
      <c r="H106" s="25">
        <v>0</v>
      </c>
      <c r="I106" s="25">
        <v>0</v>
      </c>
      <c r="J106" s="25">
        <v>0</v>
      </c>
      <c r="K106" s="25">
        <v>0</v>
      </c>
      <c r="L106" s="25">
        <v>0</v>
      </c>
      <c r="M106" s="25">
        <v>0</v>
      </c>
      <c r="N106" s="25">
        <v>0</v>
      </c>
      <c r="O106" s="25">
        <v>0</v>
      </c>
      <c r="P106" s="25">
        <v>0</v>
      </c>
      <c r="Q106" s="25">
        <v>0</v>
      </c>
      <c r="R106" s="25">
        <v>0</v>
      </c>
      <c r="S106" s="25">
        <v>0</v>
      </c>
      <c r="T106" s="25">
        <v>0</v>
      </c>
      <c r="U106" s="25">
        <v>0</v>
      </c>
      <c r="V106" s="25">
        <v>0</v>
      </c>
      <c r="W106" s="25">
        <v>0</v>
      </c>
      <c r="X106" s="25">
        <v>0</v>
      </c>
      <c r="Y106" s="25">
        <v>0</v>
      </c>
      <c r="Z106" s="25">
        <v>0</v>
      </c>
      <c r="AA106" s="25">
        <v>0</v>
      </c>
      <c r="AB106" s="25">
        <v>0</v>
      </c>
      <c r="AC106" s="25">
        <v>0</v>
      </c>
      <c r="AD106" s="25">
        <v>0</v>
      </c>
      <c r="AE106" s="25">
        <v>0</v>
      </c>
      <c r="AF106" s="25">
        <v>0</v>
      </c>
      <c r="AG106" s="28" t="s">
        <v>452</v>
      </c>
    </row>
    <row r="107" spans="1:33" ht="24">
      <c r="A107" s="12" t="s">
        <v>548</v>
      </c>
      <c r="B107" s="24" t="s">
        <v>539</v>
      </c>
      <c r="C107" s="25">
        <v>0</v>
      </c>
      <c r="D107" s="25">
        <v>0</v>
      </c>
      <c r="E107" s="25">
        <v>0</v>
      </c>
      <c r="F107" s="25">
        <v>0</v>
      </c>
      <c r="G107" s="25">
        <v>0</v>
      </c>
      <c r="H107" s="25">
        <v>0</v>
      </c>
      <c r="I107" s="25">
        <v>0</v>
      </c>
      <c r="J107" s="25">
        <v>0</v>
      </c>
      <c r="K107" s="25">
        <v>0</v>
      </c>
      <c r="L107" s="25">
        <v>0</v>
      </c>
      <c r="M107" s="25">
        <v>0</v>
      </c>
      <c r="N107" s="25">
        <v>0</v>
      </c>
      <c r="O107" s="25">
        <v>0</v>
      </c>
      <c r="P107" s="25">
        <v>0</v>
      </c>
      <c r="Q107" s="25">
        <v>0</v>
      </c>
      <c r="R107" s="25">
        <v>0</v>
      </c>
      <c r="S107" s="25">
        <v>0</v>
      </c>
      <c r="T107" s="25">
        <v>0</v>
      </c>
      <c r="U107" s="25">
        <v>0</v>
      </c>
      <c r="V107" s="25">
        <v>0</v>
      </c>
      <c r="W107" s="25">
        <v>0</v>
      </c>
      <c r="X107" s="25">
        <v>0</v>
      </c>
      <c r="Y107" s="25">
        <v>0</v>
      </c>
      <c r="Z107" s="25">
        <v>0</v>
      </c>
      <c r="AA107" s="25">
        <v>0</v>
      </c>
      <c r="AB107" s="25">
        <v>0</v>
      </c>
      <c r="AC107" s="25">
        <v>0</v>
      </c>
      <c r="AD107" s="25">
        <v>0</v>
      </c>
      <c r="AE107" s="25">
        <v>0</v>
      </c>
      <c r="AF107" s="25">
        <v>0</v>
      </c>
      <c r="AG107" s="28" t="s">
        <v>452</v>
      </c>
    </row>
    <row r="108" spans="1:33">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row>
    <row r="109" spans="1:33" ht="24">
      <c r="A109" s="12" t="s">
        <v>549</v>
      </c>
      <c r="B109" s="23" t="s">
        <v>169</v>
      </c>
      <c r="C109" s="26">
        <v>204.09703099999999</v>
      </c>
      <c r="D109" s="26">
        <v>207.81658899999999</v>
      </c>
      <c r="E109" s="26">
        <v>208.00427199999999</v>
      </c>
      <c r="F109" s="26">
        <v>208.62669399999999</v>
      </c>
      <c r="G109" s="26">
        <v>208.70083600000001</v>
      </c>
      <c r="H109" s="26">
        <v>208.389374</v>
      </c>
      <c r="I109" s="26">
        <v>207.106934</v>
      </c>
      <c r="J109" s="26">
        <v>205.85676599999999</v>
      </c>
      <c r="K109" s="26">
        <v>204.91546600000001</v>
      </c>
      <c r="L109" s="26">
        <v>204.26499899999999</v>
      </c>
      <c r="M109" s="26">
        <v>203.40438800000001</v>
      </c>
      <c r="N109" s="26">
        <v>202.68185399999999</v>
      </c>
      <c r="O109" s="26">
        <v>202.113373</v>
      </c>
      <c r="P109" s="26">
        <v>201.50842299999999</v>
      </c>
      <c r="Q109" s="26">
        <v>200.80012500000001</v>
      </c>
      <c r="R109" s="26">
        <v>200.07522599999999</v>
      </c>
      <c r="S109" s="26">
        <v>199.64593500000001</v>
      </c>
      <c r="T109" s="26">
        <v>199.11071799999999</v>
      </c>
      <c r="U109" s="26">
        <v>198.525757</v>
      </c>
      <c r="V109" s="26">
        <v>198.07746900000001</v>
      </c>
      <c r="W109" s="26">
        <v>197.287598</v>
      </c>
      <c r="X109" s="26">
        <v>196.60789500000001</v>
      </c>
      <c r="Y109" s="26">
        <v>195.98907500000001</v>
      </c>
      <c r="Z109" s="26">
        <v>195.342804</v>
      </c>
      <c r="AA109" s="26">
        <v>194.913635</v>
      </c>
      <c r="AB109" s="26">
        <v>194.54913300000001</v>
      </c>
      <c r="AC109" s="26">
        <v>193.90734900000001</v>
      </c>
      <c r="AD109" s="26">
        <v>193.25498999999999</v>
      </c>
      <c r="AE109" s="26">
        <v>192.858002</v>
      </c>
      <c r="AF109" s="26">
        <v>192.57214400000001</v>
      </c>
      <c r="AG109" s="29">
        <v>-2.0019999999999999E-3</v>
      </c>
    </row>
    <row r="110" spans="1:33">
      <c r="A110" s="12" t="s">
        <v>550</v>
      </c>
      <c r="B110" s="24" t="s">
        <v>551</v>
      </c>
      <c r="C110" s="25">
        <v>164.88896199999999</v>
      </c>
      <c r="D110" s="25">
        <v>167.62558000000001</v>
      </c>
      <c r="E110" s="25">
        <v>167.50697299999999</v>
      </c>
      <c r="F110" s="25">
        <v>167.73602299999999</v>
      </c>
      <c r="G110" s="25">
        <v>167.521973</v>
      </c>
      <c r="H110" s="25">
        <v>166.997345</v>
      </c>
      <c r="I110" s="25">
        <v>165.69532799999999</v>
      </c>
      <c r="J110" s="25">
        <v>164.42112700000001</v>
      </c>
      <c r="K110" s="25">
        <v>163.39518699999999</v>
      </c>
      <c r="L110" s="25">
        <v>162.601913</v>
      </c>
      <c r="M110" s="25">
        <v>161.64205899999999</v>
      </c>
      <c r="N110" s="25">
        <v>160.79272499999999</v>
      </c>
      <c r="O110" s="25">
        <v>160.06601000000001</v>
      </c>
      <c r="P110" s="25">
        <v>159.31068400000001</v>
      </c>
      <c r="Q110" s="25">
        <v>158.474121</v>
      </c>
      <c r="R110" s="25">
        <v>157.62510700000001</v>
      </c>
      <c r="S110" s="25">
        <v>157.00924699999999</v>
      </c>
      <c r="T110" s="25">
        <v>156.310104</v>
      </c>
      <c r="U110" s="25">
        <v>155.57217399999999</v>
      </c>
      <c r="V110" s="25">
        <v>154.94146699999999</v>
      </c>
      <c r="W110" s="25">
        <v>154.044006</v>
      </c>
      <c r="X110" s="25">
        <v>153.23336800000001</v>
      </c>
      <c r="Y110" s="25">
        <v>152.47070299999999</v>
      </c>
      <c r="Z110" s="25">
        <v>151.68722500000001</v>
      </c>
      <c r="AA110" s="25">
        <v>151.07257100000001</v>
      </c>
      <c r="AB110" s="25">
        <v>150.507904</v>
      </c>
      <c r="AC110" s="25">
        <v>149.72891200000001</v>
      </c>
      <c r="AD110" s="25">
        <v>148.942352</v>
      </c>
      <c r="AE110" s="25">
        <v>148.35287500000001</v>
      </c>
      <c r="AF110" s="25">
        <v>147.84863300000001</v>
      </c>
      <c r="AG110" s="28">
        <v>-3.754E-3</v>
      </c>
    </row>
    <row r="111" spans="1:33" ht="35.65">
      <c r="A111" s="12" t="s">
        <v>552</v>
      </c>
      <c r="B111" s="24" t="s">
        <v>435</v>
      </c>
      <c r="C111" s="25">
        <v>39.208072999999999</v>
      </c>
      <c r="D111" s="25">
        <v>40.191006000000002</v>
      </c>
      <c r="E111" s="25">
        <v>40.497298999999998</v>
      </c>
      <c r="F111" s="25">
        <v>40.890670999999998</v>
      </c>
      <c r="G111" s="25">
        <v>41.17886</v>
      </c>
      <c r="H111" s="25">
        <v>41.392029000000001</v>
      </c>
      <c r="I111" s="25">
        <v>41.411610000000003</v>
      </c>
      <c r="J111" s="25">
        <v>41.435642000000001</v>
      </c>
      <c r="K111" s="25">
        <v>41.520287000000003</v>
      </c>
      <c r="L111" s="25">
        <v>41.663086</v>
      </c>
      <c r="M111" s="25">
        <v>41.762337000000002</v>
      </c>
      <c r="N111" s="25">
        <v>41.889136999999998</v>
      </c>
      <c r="O111" s="25">
        <v>42.047367000000001</v>
      </c>
      <c r="P111" s="25">
        <v>42.197741999999998</v>
      </c>
      <c r="Q111" s="25">
        <v>42.326008000000002</v>
      </c>
      <c r="R111" s="25">
        <v>42.450127000000002</v>
      </c>
      <c r="S111" s="25">
        <v>42.636696000000001</v>
      </c>
      <c r="T111" s="25">
        <v>42.800617000000003</v>
      </c>
      <c r="U111" s="25">
        <v>42.953589999999998</v>
      </c>
      <c r="V111" s="25">
        <v>43.136001999999998</v>
      </c>
      <c r="W111" s="25">
        <v>43.243583999999998</v>
      </c>
      <c r="X111" s="25">
        <v>43.374530999999998</v>
      </c>
      <c r="Y111" s="25">
        <v>43.518363999999998</v>
      </c>
      <c r="Z111" s="25">
        <v>43.655586</v>
      </c>
      <c r="AA111" s="25">
        <v>43.841064000000003</v>
      </c>
      <c r="AB111" s="25">
        <v>44.041221999999998</v>
      </c>
      <c r="AC111" s="25">
        <v>44.178435999999998</v>
      </c>
      <c r="AD111" s="25">
        <v>44.312634000000003</v>
      </c>
      <c r="AE111" s="25">
        <v>44.505119000000001</v>
      </c>
      <c r="AF111" s="25">
        <v>44.723514999999999</v>
      </c>
      <c r="AG111" s="28">
        <v>4.5490000000000001E-3</v>
      </c>
    </row>
    <row r="112" spans="1:33">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row>
    <row r="113" spans="1:33">
      <c r="A113" s="12" t="s">
        <v>553</v>
      </c>
      <c r="B113" s="24" t="s">
        <v>173</v>
      </c>
      <c r="C113" s="25">
        <v>125.031578</v>
      </c>
      <c r="D113" s="25">
        <v>126.896736</v>
      </c>
      <c r="E113" s="25">
        <v>127.926041</v>
      </c>
      <c r="F113" s="25">
        <v>128.600266</v>
      </c>
      <c r="G113" s="25">
        <v>129.10189800000001</v>
      </c>
      <c r="H113" s="25">
        <v>129.64999399999999</v>
      </c>
      <c r="I113" s="25">
        <v>129.96121199999999</v>
      </c>
      <c r="J113" s="25">
        <v>130.19676200000001</v>
      </c>
      <c r="K113" s="25">
        <v>130.40360999999999</v>
      </c>
      <c r="L113" s="25">
        <v>130.57878099999999</v>
      </c>
      <c r="M113" s="25">
        <v>130.71516399999999</v>
      </c>
      <c r="N113" s="25">
        <v>130.83389299999999</v>
      </c>
      <c r="O113" s="25">
        <v>130.94082599999999</v>
      </c>
      <c r="P113" s="25">
        <v>131.026443</v>
      </c>
      <c r="Q113" s="25">
        <v>131.09085099999999</v>
      </c>
      <c r="R113" s="25">
        <v>131.16413900000001</v>
      </c>
      <c r="S113" s="25">
        <v>131.26132200000001</v>
      </c>
      <c r="T113" s="25">
        <v>131.36518899999999</v>
      </c>
      <c r="U113" s="25">
        <v>131.48391699999999</v>
      </c>
      <c r="V113" s="25">
        <v>131.63140899999999</v>
      </c>
      <c r="W113" s="25">
        <v>131.76234400000001</v>
      </c>
      <c r="X113" s="25">
        <v>131.87556499999999</v>
      </c>
      <c r="Y113" s="25">
        <v>131.992706</v>
      </c>
      <c r="Z113" s="25">
        <v>132.10150100000001</v>
      </c>
      <c r="AA113" s="25">
        <v>132.230469</v>
      </c>
      <c r="AB113" s="25">
        <v>132.369202</v>
      </c>
      <c r="AC113" s="25">
        <v>132.482193</v>
      </c>
      <c r="AD113" s="25">
        <v>132.585846</v>
      </c>
      <c r="AE113" s="25">
        <v>132.70448300000001</v>
      </c>
      <c r="AF113" s="25">
        <v>132.83111600000001</v>
      </c>
      <c r="AG113" s="28">
        <v>2.0890000000000001E-3</v>
      </c>
    </row>
    <row r="114" spans="1:33" ht="24">
      <c r="A114" s="12" t="s">
        <v>554</v>
      </c>
      <c r="B114" s="24" t="s">
        <v>174</v>
      </c>
      <c r="C114" s="25">
        <v>748.06146200000001</v>
      </c>
      <c r="D114" s="25">
        <v>701.06182899999999</v>
      </c>
      <c r="E114" s="25">
        <v>682.70349099999999</v>
      </c>
      <c r="F114" s="25">
        <v>669.31573500000002</v>
      </c>
      <c r="G114" s="25">
        <v>657.777649</v>
      </c>
      <c r="H114" s="25">
        <v>646.21258499999999</v>
      </c>
      <c r="I114" s="25">
        <v>628.37182600000006</v>
      </c>
      <c r="J114" s="25">
        <v>632.31945800000005</v>
      </c>
      <c r="K114" s="25">
        <v>627.75476100000003</v>
      </c>
      <c r="L114" s="25">
        <v>619.43811000000005</v>
      </c>
      <c r="M114" s="25">
        <v>616.01281700000004</v>
      </c>
      <c r="N114" s="25">
        <v>619.79211399999997</v>
      </c>
      <c r="O114" s="25">
        <v>619.58685300000002</v>
      </c>
      <c r="P114" s="25">
        <v>616.83026099999995</v>
      </c>
      <c r="Q114" s="25">
        <v>618.30474900000002</v>
      </c>
      <c r="R114" s="25">
        <v>621.54339600000003</v>
      </c>
      <c r="S114" s="25">
        <v>629.67156999999997</v>
      </c>
      <c r="T114" s="25">
        <v>636.62567100000001</v>
      </c>
      <c r="U114" s="25">
        <v>641.26690699999995</v>
      </c>
      <c r="V114" s="25">
        <v>649.24737500000003</v>
      </c>
      <c r="W114" s="25">
        <v>656.71551499999998</v>
      </c>
      <c r="X114" s="25">
        <v>659.97137499999997</v>
      </c>
      <c r="Y114" s="25">
        <v>668.71801800000003</v>
      </c>
      <c r="Z114" s="25">
        <v>671.82458499999996</v>
      </c>
      <c r="AA114" s="25">
        <v>675.87640399999998</v>
      </c>
      <c r="AB114" s="25">
        <v>683.62017800000001</v>
      </c>
      <c r="AC114" s="25">
        <v>691.62048300000004</v>
      </c>
      <c r="AD114" s="25">
        <v>699.38653599999998</v>
      </c>
      <c r="AE114" s="25">
        <v>703.19329800000003</v>
      </c>
      <c r="AF114" s="25">
        <v>710.15020800000002</v>
      </c>
      <c r="AG114" s="28">
        <v>-1.792E-3</v>
      </c>
    </row>
    <row r="115" spans="1:33">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row>
    <row r="116" spans="1:33" ht="35.65">
      <c r="A116" s="12" t="s">
        <v>555</v>
      </c>
      <c r="B116" s="23" t="s">
        <v>140</v>
      </c>
      <c r="C116" s="26">
        <v>26324.886718999998</v>
      </c>
      <c r="D116" s="26">
        <v>27263.316406000002</v>
      </c>
      <c r="E116" s="26">
        <v>27692.980468999998</v>
      </c>
      <c r="F116" s="26">
        <v>27715.5</v>
      </c>
      <c r="G116" s="26">
        <v>27753.820312</v>
      </c>
      <c r="H116" s="26">
        <v>27727.53125</v>
      </c>
      <c r="I116" s="26">
        <v>27607.042968999998</v>
      </c>
      <c r="J116" s="26">
        <v>27503.935547000001</v>
      </c>
      <c r="K116" s="26">
        <v>27408.986327999999</v>
      </c>
      <c r="L116" s="26">
        <v>27340.705077999999</v>
      </c>
      <c r="M116" s="26">
        <v>27288.166015999999</v>
      </c>
      <c r="N116" s="26">
        <v>27213.582031000002</v>
      </c>
      <c r="O116" s="26">
        <v>27191.142577999999</v>
      </c>
      <c r="P116" s="26">
        <v>27165.730468999998</v>
      </c>
      <c r="Q116" s="26">
        <v>27154.113281000002</v>
      </c>
      <c r="R116" s="26">
        <v>27158.546875</v>
      </c>
      <c r="S116" s="26">
        <v>27206.796875</v>
      </c>
      <c r="T116" s="26">
        <v>27259.251952999999</v>
      </c>
      <c r="U116" s="26">
        <v>27333.582031000002</v>
      </c>
      <c r="V116" s="26">
        <v>27424.380859000001</v>
      </c>
      <c r="W116" s="26">
        <v>27521.037109000001</v>
      </c>
      <c r="X116" s="26">
        <v>27633.677734000001</v>
      </c>
      <c r="Y116" s="26">
        <v>27756.361327999999</v>
      </c>
      <c r="Z116" s="26">
        <v>27883.910156000002</v>
      </c>
      <c r="AA116" s="26">
        <v>28036.740234000001</v>
      </c>
      <c r="AB116" s="26">
        <v>28214.255859000001</v>
      </c>
      <c r="AC116" s="26">
        <v>28376.744140999999</v>
      </c>
      <c r="AD116" s="26">
        <v>28533.669922000001</v>
      </c>
      <c r="AE116" s="26">
        <v>28719.751952999999</v>
      </c>
      <c r="AF116" s="26">
        <v>28946.207031000002</v>
      </c>
      <c r="AG116" s="29">
        <v>3.2789999999999998E-3</v>
      </c>
    </row>
    <row r="117" spans="1:33" ht="14.65" thickBo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row>
    <row r="118" spans="1:33">
      <c r="A118" s="6"/>
      <c r="B118" s="75" t="s">
        <v>556</v>
      </c>
      <c r="C118" s="76"/>
      <c r="D118" s="76"/>
      <c r="E118" s="76"/>
      <c r="F118" s="76"/>
      <c r="G118" s="76"/>
      <c r="H118" s="76"/>
      <c r="I118" s="76"/>
      <c r="J118" s="76"/>
      <c r="K118" s="76"/>
      <c r="L118" s="76"/>
      <c r="M118" s="76"/>
      <c r="N118" s="76"/>
      <c r="O118" s="76"/>
      <c r="P118" s="76"/>
      <c r="Q118" s="76"/>
      <c r="R118" s="76"/>
      <c r="S118" s="76"/>
      <c r="T118" s="76"/>
      <c r="U118" s="76"/>
      <c r="V118" s="76"/>
      <c r="W118" s="76"/>
      <c r="X118" s="76"/>
      <c r="Y118" s="76"/>
      <c r="Z118" s="76"/>
      <c r="AA118" s="76"/>
      <c r="AB118" s="76"/>
      <c r="AC118" s="76"/>
      <c r="AD118" s="76"/>
      <c r="AE118" s="76"/>
      <c r="AF118" s="76"/>
      <c r="AG118" s="76"/>
    </row>
    <row r="119" spans="1:33">
      <c r="A119" s="6"/>
      <c r="B119" s="8" t="s">
        <v>141</v>
      </c>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row>
    <row r="120" spans="1:33">
      <c r="A120" s="6"/>
      <c r="B120" s="8" t="s">
        <v>289</v>
      </c>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row>
    <row r="121" spans="1:33">
      <c r="A121" s="6"/>
      <c r="B121" s="8" t="s">
        <v>557</v>
      </c>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row>
    <row r="122" spans="1:33">
      <c r="A122" s="6"/>
      <c r="B122" s="8" t="s">
        <v>558</v>
      </c>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row>
    <row r="123" spans="1:33">
      <c r="A123" s="6"/>
      <c r="B123" s="8" t="s">
        <v>150</v>
      </c>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row>
    <row r="124" spans="1:33">
      <c r="A124" s="6"/>
      <c r="B124" s="8" t="s">
        <v>290</v>
      </c>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row>
    <row r="125" spans="1:33">
      <c r="A125" s="6"/>
      <c r="B125" s="8" t="s">
        <v>286</v>
      </c>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row>
    <row r="126" spans="1:33">
      <c r="A126" s="6"/>
      <c r="B126" s="8" t="s">
        <v>291</v>
      </c>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row>
    <row r="127" spans="1:33">
      <c r="A127" s="12"/>
      <c r="B127" s="24"/>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25"/>
      <c r="AG127" s="28"/>
    </row>
    <row r="128" spans="1:33">
      <c r="A128" s="12"/>
      <c r="B128" s="24"/>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25"/>
      <c r="AG128" s="28"/>
    </row>
    <row r="129" spans="1:33">
      <c r="A129" s="12"/>
      <c r="B129" s="24"/>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25"/>
      <c r="AG129" s="28"/>
    </row>
    <row r="130" spans="1:33">
      <c r="A130" s="12"/>
      <c r="B130" s="24"/>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25"/>
      <c r="AG130" s="28"/>
    </row>
    <row r="131" spans="1:33">
      <c r="A131" s="12"/>
      <c r="B131" s="24"/>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25"/>
      <c r="AG131" s="28"/>
    </row>
    <row r="132" spans="1:33">
      <c r="A132" s="12"/>
      <c r="B132" s="24"/>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25"/>
      <c r="AG132" s="28"/>
    </row>
    <row r="133" spans="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row>
    <row r="134" spans="1:33">
      <c r="A134" s="12"/>
      <c r="B134" s="23"/>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c r="AA134" s="26"/>
      <c r="AB134" s="26"/>
      <c r="AC134" s="26"/>
      <c r="AD134" s="26"/>
      <c r="AE134" s="26"/>
      <c r="AF134" s="26"/>
      <c r="AG134" s="29"/>
    </row>
    <row r="135" spans="1:33">
      <c r="A135" s="12"/>
      <c r="B135" s="24"/>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25"/>
      <c r="AG135" s="28"/>
    </row>
    <row r="136" spans="1:33">
      <c r="A136" s="12"/>
      <c r="B136" s="24"/>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25"/>
      <c r="AG136" s="28"/>
    </row>
    <row r="137" spans="1:33">
      <c r="A137" s="12"/>
      <c r="B137" s="24"/>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25"/>
      <c r="AG137" s="28"/>
    </row>
    <row r="138" spans="1:33">
      <c r="A138" s="12"/>
      <c r="B138" s="24"/>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25"/>
      <c r="AG138" s="28"/>
    </row>
    <row r="139" spans="1:33">
      <c r="A139" s="12"/>
      <c r="B139" s="24"/>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25"/>
      <c r="AG139" s="28"/>
    </row>
    <row r="140" spans="1:33">
      <c r="A140" s="12"/>
      <c r="B140" s="24"/>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25"/>
      <c r="AG140" s="28"/>
    </row>
    <row r="141" spans="1:33">
      <c r="A141" s="12"/>
      <c r="B141" s="24"/>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25"/>
      <c r="AG141" s="28"/>
    </row>
    <row r="142" spans="1:33">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row>
    <row r="143" spans="1:33">
      <c r="A143" s="12"/>
      <c r="B143" s="23"/>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c r="AA143" s="26"/>
      <c r="AB143" s="26"/>
      <c r="AC143" s="26"/>
      <c r="AD143" s="26"/>
      <c r="AE143" s="26"/>
      <c r="AF143" s="26"/>
      <c r="AG143" s="29"/>
    </row>
    <row r="144" spans="1:33">
      <c r="A144" s="12"/>
      <c r="B144" s="24"/>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25"/>
      <c r="AG144" s="28"/>
    </row>
    <row r="145" spans="1:33">
      <c r="A145" s="12"/>
      <c r="B145" s="24"/>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25"/>
      <c r="AG145" s="28"/>
    </row>
    <row r="146" spans="1:33">
      <c r="A146" s="12"/>
      <c r="B146" s="24"/>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25"/>
      <c r="AG146" s="28"/>
    </row>
    <row r="147" spans="1:33">
      <c r="A147" s="12"/>
      <c r="B147" s="24"/>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25"/>
      <c r="AG147" s="28"/>
    </row>
    <row r="148" spans="1:33">
      <c r="A148" s="12"/>
      <c r="B148" s="24"/>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25"/>
      <c r="AG148" s="28"/>
    </row>
    <row r="149" spans="1:33">
      <c r="A149" s="12"/>
      <c r="B149" s="24"/>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25"/>
      <c r="AG149" s="28"/>
    </row>
    <row r="150" spans="1:33">
      <c r="A150" s="12"/>
      <c r="B150" s="24"/>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25"/>
      <c r="AG150" s="28"/>
    </row>
    <row r="153" spans="1:33">
      <c r="A153" s="12"/>
      <c r="B153" s="23"/>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c r="AA153" s="26"/>
      <c r="AB153" s="26"/>
      <c r="AC153" s="26"/>
      <c r="AD153" s="26"/>
      <c r="AE153" s="26"/>
      <c r="AF153" s="26"/>
      <c r="AG153" s="29"/>
    </row>
    <row r="154" spans="1:33">
      <c r="A154" s="12"/>
      <c r="B154" s="24"/>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25"/>
      <c r="AG154" s="28"/>
    </row>
    <row r="155" spans="1:33">
      <c r="A155" s="12"/>
      <c r="B155" s="24"/>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25"/>
      <c r="AG155" s="28"/>
    </row>
    <row r="156" spans="1:33">
      <c r="A156" s="12"/>
      <c r="B156" s="24"/>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25"/>
      <c r="AG156" s="28"/>
    </row>
    <row r="157" spans="1:33">
      <c r="A157" s="12"/>
      <c r="B157" s="24"/>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25"/>
      <c r="AG157" s="28"/>
    </row>
    <row r="159" spans="1:33">
      <c r="A159" s="12"/>
      <c r="B159" s="23"/>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c r="AA159" s="26"/>
      <c r="AB159" s="26"/>
      <c r="AC159" s="26"/>
      <c r="AD159" s="26"/>
      <c r="AE159" s="26"/>
      <c r="AF159" s="26"/>
      <c r="AG159" s="29"/>
    </row>
    <row r="160" spans="1:33">
      <c r="A160" s="12"/>
      <c r="B160" s="24"/>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25"/>
      <c r="AG160" s="28"/>
    </row>
    <row r="161" spans="1:33">
      <c r="A161" s="12"/>
      <c r="B161" s="24"/>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25"/>
      <c r="AG161" s="28"/>
    </row>
    <row r="162" spans="1:33">
      <c r="A162" s="12"/>
      <c r="B162" s="24"/>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25"/>
      <c r="AG162" s="28"/>
    </row>
    <row r="163" spans="1:33">
      <c r="A163" s="12"/>
      <c r="B163" s="24"/>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25"/>
      <c r="AG163" s="28"/>
    </row>
    <row r="165" spans="1:33">
      <c r="A165" s="12"/>
      <c r="B165" s="23"/>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c r="AA165" s="26"/>
      <c r="AB165" s="26"/>
      <c r="AC165" s="26"/>
      <c r="AD165" s="26"/>
      <c r="AE165" s="26"/>
      <c r="AF165" s="26"/>
      <c r="AG165" s="29"/>
    </row>
    <row r="166" spans="1:33">
      <c r="A166" s="12"/>
      <c r="B166" s="24"/>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25"/>
      <c r="AG166" s="28"/>
    </row>
    <row r="167" spans="1:33">
      <c r="A167" s="12"/>
      <c r="B167" s="24"/>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25"/>
      <c r="AG167" s="28"/>
    </row>
    <row r="168" spans="1:33">
      <c r="A168" s="12"/>
      <c r="B168" s="24"/>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25"/>
      <c r="AG168" s="28"/>
    </row>
    <row r="169" spans="1:33">
      <c r="A169" s="12"/>
      <c r="B169" s="24"/>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25"/>
      <c r="AG169" s="28"/>
    </row>
    <row r="171" spans="1:33">
      <c r="A171" s="12"/>
      <c r="B171" s="23"/>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c r="AA171" s="26"/>
      <c r="AB171" s="26"/>
      <c r="AC171" s="26"/>
      <c r="AD171" s="26"/>
      <c r="AE171" s="26"/>
      <c r="AF171" s="26"/>
      <c r="AG171" s="29"/>
    </row>
    <row r="172" spans="1:33">
      <c r="A172" s="12"/>
      <c r="B172" s="24"/>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25"/>
      <c r="AG172" s="28"/>
    </row>
    <row r="173" spans="1:33">
      <c r="A173" s="12"/>
      <c r="B173" s="24"/>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25"/>
      <c r="AG173" s="28"/>
    </row>
    <row r="175" spans="1:33">
      <c r="A175" s="12"/>
      <c r="B175" s="23"/>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c r="AA175" s="26"/>
      <c r="AB175" s="26"/>
      <c r="AC175" s="26"/>
      <c r="AD175" s="26"/>
      <c r="AE175" s="26"/>
      <c r="AF175" s="26"/>
      <c r="AG175" s="29"/>
    </row>
    <row r="176" spans="1:33">
      <c r="A176" s="12"/>
      <c r="B176" s="24"/>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25"/>
      <c r="AG176" s="28"/>
    </row>
    <row r="177" spans="1:33">
      <c r="A177" s="12"/>
      <c r="B177" s="24"/>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25"/>
      <c r="AG177" s="28"/>
    </row>
    <row r="178" spans="1:33">
      <c r="A178" s="12"/>
      <c r="B178" s="24"/>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25"/>
      <c r="AG178" s="28"/>
    </row>
    <row r="180" spans="1:33">
      <c r="A180" s="12"/>
      <c r="B180" s="23"/>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c r="AA180" s="26"/>
      <c r="AB180" s="26"/>
      <c r="AC180" s="26"/>
      <c r="AD180" s="26"/>
      <c r="AE180" s="26"/>
      <c r="AF180" s="26"/>
      <c r="AG180" s="29"/>
    </row>
    <row r="181" spans="1:33">
      <c r="A181" s="12"/>
      <c r="B181" s="24"/>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25"/>
      <c r="AG181" s="28"/>
    </row>
    <row r="182" spans="1:33">
      <c r="A182" s="12"/>
      <c r="B182" s="24"/>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25"/>
      <c r="AG182" s="28"/>
    </row>
    <row r="183" spans="1:33">
      <c r="A183" s="12"/>
      <c r="B183" s="24"/>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25"/>
      <c r="AG183" s="28"/>
    </row>
    <row r="184" spans="1:33">
      <c r="A184" s="12"/>
      <c r="B184" s="24"/>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25"/>
      <c r="AG184" s="28"/>
    </row>
    <row r="185" spans="1:33">
      <c r="A185" s="12"/>
      <c r="B185" s="24"/>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25"/>
      <c r="AG185" s="28"/>
    </row>
    <row r="186" spans="1:33">
      <c r="A186" s="12"/>
      <c r="B186" s="24"/>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25"/>
      <c r="AG186" s="28"/>
    </row>
    <row r="187" spans="1:33">
      <c r="A187" s="12"/>
      <c r="B187" s="24"/>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25"/>
      <c r="AG187" s="28"/>
    </row>
    <row r="188" spans="1:33">
      <c r="A188" s="12"/>
      <c r="B188" s="24"/>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25"/>
      <c r="AG188" s="28"/>
    </row>
    <row r="189" spans="1:33">
      <c r="A189" s="12"/>
      <c r="B189" s="24"/>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25"/>
      <c r="AG189" s="28"/>
    </row>
    <row r="190" spans="1:33">
      <c r="A190" s="12"/>
      <c r="B190" s="24"/>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25"/>
      <c r="AG190" s="28"/>
    </row>
    <row r="191" spans="1:33">
      <c r="A191" s="12"/>
      <c r="B191" s="24"/>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25"/>
      <c r="AG191" s="28"/>
    </row>
    <row r="192" spans="1:33">
      <c r="A192" s="12"/>
      <c r="B192" s="24"/>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25"/>
      <c r="AG192" s="28"/>
    </row>
    <row r="193" spans="1:33">
      <c r="A193" s="12"/>
      <c r="B193" s="24"/>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25"/>
      <c r="AG193" s="28"/>
    </row>
    <row r="194" spans="1:33">
      <c r="A194" s="12"/>
      <c r="B194" s="24"/>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25"/>
      <c r="AG194" s="28"/>
    </row>
    <row r="195" spans="1:33">
      <c r="A195" s="12"/>
      <c r="B195" s="24"/>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25"/>
      <c r="AG195" s="28"/>
    </row>
    <row r="196" spans="1:33">
      <c r="A196" s="12"/>
      <c r="B196" s="24"/>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25"/>
      <c r="AG196" s="28"/>
    </row>
    <row r="197" spans="1:33">
      <c r="A197" s="12"/>
      <c r="B197" s="24"/>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25"/>
      <c r="AG197" s="28"/>
    </row>
    <row r="198" spans="1:33">
      <c r="A198" s="12"/>
      <c r="B198" s="24"/>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25"/>
      <c r="AG198" s="28"/>
    </row>
    <row r="199" spans="1:33">
      <c r="A199" s="12"/>
      <c r="B199" s="24"/>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25"/>
      <c r="AG199" s="28"/>
    </row>
    <row r="200" spans="1:33">
      <c r="A200" s="12"/>
      <c r="B200" s="24"/>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25"/>
      <c r="AG200" s="28"/>
    </row>
    <row r="201" spans="1:33">
      <c r="A201" s="12"/>
      <c r="B201" s="24"/>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25"/>
      <c r="AG201" s="28"/>
    </row>
    <row r="202" spans="1:33">
      <c r="A202" s="12"/>
      <c r="B202" s="24"/>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25"/>
      <c r="AG202" s="28"/>
    </row>
    <row r="203" spans="1:33">
      <c r="A203" s="12"/>
      <c r="B203" s="24"/>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25"/>
      <c r="AG203" s="28"/>
    </row>
    <row r="204" spans="1:33">
      <c r="A204" s="12"/>
      <c r="B204" s="24"/>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25"/>
      <c r="AG204" s="28"/>
    </row>
    <row r="205" spans="1:33">
      <c r="A205" s="12"/>
      <c r="B205" s="23"/>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c r="AA205" s="26"/>
      <c r="AB205" s="26"/>
      <c r="AC205" s="26"/>
      <c r="AD205" s="26"/>
      <c r="AE205" s="26"/>
      <c r="AF205" s="26"/>
      <c r="AG205" s="29"/>
    </row>
    <row r="206" spans="1:33">
      <c r="A206" s="12"/>
      <c r="B206" s="24"/>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25"/>
      <c r="AG206" s="28"/>
    </row>
    <row r="207" spans="1:33">
      <c r="A207" s="12"/>
      <c r="B207" s="24"/>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25"/>
      <c r="AG207" s="28"/>
    </row>
    <row r="208" spans="1:33">
      <c r="A208" s="12"/>
      <c r="B208" s="24"/>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c r="AD208" s="25"/>
      <c r="AE208" s="25"/>
      <c r="AF208" s="25"/>
      <c r="AG208" s="28"/>
    </row>
    <row r="209" spans="1:33">
      <c r="A209" s="12"/>
      <c r="B209" s="24"/>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25"/>
      <c r="AG209" s="28"/>
    </row>
    <row r="210" spans="1:33">
      <c r="A210" s="12"/>
      <c r="B210" s="24"/>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25"/>
      <c r="AG210" s="28"/>
    </row>
    <row r="211" spans="1:33">
      <c r="A211" s="12"/>
      <c r="B211" s="24"/>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25"/>
      <c r="AG211" s="28"/>
    </row>
    <row r="212" spans="1:33">
      <c r="A212" s="12"/>
      <c r="B212" s="24"/>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c r="AF212" s="25"/>
      <c r="AG212" s="28"/>
    </row>
    <row r="213" spans="1:33">
      <c r="A213" s="12"/>
      <c r="B213" s="24"/>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25"/>
      <c r="AG213" s="28"/>
    </row>
    <row r="214" spans="1:33">
      <c r="A214" s="12"/>
      <c r="B214" s="24"/>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c r="AF214" s="25"/>
      <c r="AG214" s="28"/>
    </row>
    <row r="215" spans="1:33">
      <c r="A215" s="12"/>
      <c r="B215" s="24"/>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25"/>
      <c r="AG215" s="28"/>
    </row>
    <row r="216" spans="1:33">
      <c r="A216" s="12"/>
      <c r="B216" s="24"/>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F216" s="25"/>
      <c r="AG216" s="28"/>
    </row>
    <row r="217" spans="1:33">
      <c r="A217" s="12"/>
      <c r="B217" s="24"/>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25"/>
      <c r="AG217" s="28"/>
    </row>
    <row r="219" spans="1:33">
      <c r="A219" s="12"/>
      <c r="B219" s="23"/>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c r="AA219" s="26"/>
      <c r="AB219" s="26"/>
      <c r="AC219" s="26"/>
      <c r="AD219" s="26"/>
      <c r="AE219" s="26"/>
      <c r="AF219" s="26"/>
      <c r="AG219" s="29"/>
    </row>
    <row r="220" spans="1:33">
      <c r="A220" s="12"/>
      <c r="B220" s="24"/>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25"/>
      <c r="AG220" s="28"/>
    </row>
    <row r="221" spans="1:33">
      <c r="A221" s="12"/>
      <c r="B221" s="24"/>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25"/>
      <c r="AG221" s="28"/>
    </row>
    <row r="223" spans="1:33">
      <c r="A223" s="12"/>
      <c r="B223" s="24"/>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25"/>
      <c r="AG223" s="28"/>
    </row>
    <row r="224" spans="1:33">
      <c r="A224" s="12"/>
      <c r="B224" s="24"/>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25"/>
      <c r="AG224" s="28"/>
    </row>
    <row r="226" spans="1:33">
      <c r="A226" s="12"/>
      <c r="B226" s="32"/>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c r="AA226" s="33"/>
      <c r="AB226" s="33"/>
      <c r="AC226" s="33"/>
      <c r="AD226" s="33"/>
      <c r="AE226" s="33"/>
      <c r="AF226" s="33"/>
      <c r="AG226" s="34"/>
    </row>
    <row r="228" spans="1:33">
      <c r="A228" s="6"/>
      <c r="B228" s="35"/>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6"/>
      <c r="AG228" s="6"/>
    </row>
    <row r="229" spans="1:33">
      <c r="A229" s="6"/>
      <c r="B229" s="8"/>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c r="AG229" s="6"/>
    </row>
    <row r="230" spans="1:33">
      <c r="A230" s="6"/>
      <c r="B230" s="8"/>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c r="AG230" s="6"/>
    </row>
    <row r="231" spans="1:33">
      <c r="A231" s="6"/>
      <c r="B231" s="8"/>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6"/>
      <c r="AG231" s="6"/>
    </row>
    <row r="232" spans="1:33">
      <c r="A232" s="6"/>
      <c r="B232" s="8"/>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c r="AG232" s="6"/>
    </row>
    <row r="233" spans="1:33">
      <c r="A233" s="6"/>
      <c r="B233" s="8"/>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row>
    <row r="234" spans="1:33">
      <c r="A234" s="6"/>
      <c r="B234" s="8"/>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c r="AG234" s="6"/>
    </row>
    <row r="235" spans="1:33">
      <c r="A235" s="6"/>
      <c r="B235" s="8"/>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c r="AG235" s="6"/>
    </row>
    <row r="236" spans="1:33">
      <c r="A236" s="6"/>
      <c r="B236" s="8"/>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c r="AG236" s="6"/>
    </row>
    <row r="257" spans="2:33">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row>
    <row r="258" spans="2:33">
      <c r="B258" s="74"/>
      <c r="C258" s="74"/>
      <c r="D258" s="74"/>
      <c r="E258" s="74"/>
      <c r="F258" s="74"/>
      <c r="G258" s="74"/>
      <c r="H258" s="74"/>
      <c r="I258" s="74"/>
      <c r="J258" s="74"/>
      <c r="K258" s="74"/>
      <c r="L258" s="74"/>
      <c r="M258" s="74"/>
      <c r="N258" s="74"/>
      <c r="O258" s="74"/>
      <c r="P258" s="74"/>
      <c r="Q258" s="74"/>
      <c r="R258" s="74"/>
      <c r="S258" s="74"/>
      <c r="T258" s="74"/>
      <c r="U258" s="74"/>
      <c r="V258" s="74"/>
      <c r="W258" s="74"/>
      <c r="X258" s="74"/>
      <c r="Y258" s="74"/>
      <c r="Z258" s="74"/>
      <c r="AA258" s="74"/>
      <c r="AB258" s="74"/>
      <c r="AC258" s="74"/>
      <c r="AD258" s="74"/>
      <c r="AE258" s="74"/>
      <c r="AF258" s="74"/>
      <c r="AG258" s="74"/>
    </row>
    <row r="267" spans="2:33">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row>
    <row r="268" spans="2:33">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row>
    <row r="269" spans="2:33">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c r="AG269" s="6"/>
    </row>
    <row r="270" spans="2:33">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c r="AG270" s="6"/>
    </row>
    <row r="271" spans="2:33">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c r="AG271" s="6"/>
    </row>
    <row r="272" spans="2:33">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row>
    <row r="339" spans="2:33">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c r="AF339" s="6"/>
      <c r="AG339" s="6"/>
    </row>
    <row r="340" spans="2:33">
      <c r="B340" s="74"/>
      <c r="C340" s="74"/>
      <c r="D340" s="74"/>
      <c r="E340" s="74"/>
      <c r="F340" s="74"/>
      <c r="G340" s="74"/>
      <c r="H340" s="74"/>
      <c r="I340" s="74"/>
      <c r="J340" s="74"/>
      <c r="K340" s="74"/>
      <c r="L340" s="74"/>
      <c r="M340" s="74"/>
      <c r="N340" s="74"/>
      <c r="O340" s="74"/>
      <c r="P340" s="74"/>
      <c r="Q340" s="74"/>
      <c r="R340" s="74"/>
      <c r="S340" s="74"/>
      <c r="T340" s="74"/>
      <c r="U340" s="74"/>
      <c r="V340" s="74"/>
      <c r="W340" s="74"/>
      <c r="X340" s="74"/>
      <c r="Y340" s="74"/>
      <c r="Z340" s="74"/>
      <c r="AA340" s="74"/>
      <c r="AB340" s="74"/>
      <c r="AC340" s="74"/>
      <c r="AD340" s="74"/>
      <c r="AE340" s="74"/>
      <c r="AF340" s="74"/>
      <c r="AG340" s="74"/>
    </row>
    <row r="346" spans="2:33">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row>
    <row r="347" spans="2:33">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row>
    <row r="348" spans="2:33">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row>
    <row r="349" spans="2:33">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row>
    <row r="350" spans="2:33">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row>
    <row r="351" spans="2:33">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row>
    <row r="352" spans="2:33">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6"/>
      <c r="AG352" s="6"/>
    </row>
    <row r="449" spans="2:33">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c r="AE449" s="6"/>
      <c r="AF449" s="6"/>
      <c r="AG449" s="6"/>
    </row>
    <row r="451" spans="2:33">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c r="AE451" s="6"/>
      <c r="AF451" s="6"/>
      <c r="AG451" s="6"/>
    </row>
    <row r="452" spans="2:33">
      <c r="B452" s="74"/>
      <c r="C452" s="74"/>
      <c r="D452" s="74"/>
      <c r="E452" s="74"/>
      <c r="F452" s="74"/>
      <c r="G452" s="74"/>
      <c r="H452" s="74"/>
      <c r="I452" s="74"/>
      <c r="J452" s="74"/>
      <c r="K452" s="74"/>
      <c r="L452" s="74"/>
      <c r="M452" s="74"/>
      <c r="N452" s="74"/>
      <c r="O452" s="74"/>
      <c r="P452" s="74"/>
      <c r="Q452" s="74"/>
      <c r="R452" s="74"/>
      <c r="S452" s="74"/>
      <c r="T452" s="74"/>
      <c r="U452" s="74"/>
      <c r="V452" s="74"/>
      <c r="W452" s="74"/>
      <c r="X452" s="74"/>
      <c r="Y452" s="74"/>
      <c r="Z452" s="74"/>
      <c r="AA452" s="74"/>
      <c r="AB452" s="74"/>
      <c r="AC452" s="74"/>
      <c r="AD452" s="74"/>
      <c r="AE452" s="74"/>
      <c r="AF452" s="74"/>
      <c r="AG452" s="74"/>
    </row>
    <row r="460" spans="2:33">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c r="AE460" s="6"/>
      <c r="AF460" s="6"/>
      <c r="AG460" s="6"/>
    </row>
    <row r="461" spans="2:33">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c r="AE461" s="6"/>
      <c r="AF461" s="6"/>
      <c r="AG461" s="6"/>
    </row>
    <row r="462" spans="2:33">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c r="AF462" s="6"/>
      <c r="AG462" s="6"/>
    </row>
    <row r="463" spans="2:33">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c r="AE463" s="6"/>
      <c r="AF463" s="6"/>
      <c r="AG463" s="6"/>
    </row>
    <row r="464" spans="2:33">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c r="AE464" s="6"/>
      <c r="AF464" s="6"/>
      <c r="AG464" s="6"/>
    </row>
    <row r="552" spans="2:33">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c r="AE552" s="6"/>
      <c r="AF552" s="6"/>
      <c r="AG552" s="6"/>
    </row>
    <row r="554" spans="2:33">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c r="AE554" s="6"/>
      <c r="AF554" s="6"/>
      <c r="AG554" s="6"/>
    </row>
    <row r="556" spans="2:33">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c r="AE556" s="6"/>
      <c r="AF556" s="6"/>
      <c r="AG556" s="6"/>
    </row>
    <row r="557" spans="2:33">
      <c r="B557" s="74"/>
      <c r="C557" s="74"/>
      <c r="D557" s="74"/>
      <c r="E557" s="74"/>
      <c r="F557" s="74"/>
      <c r="G557" s="74"/>
      <c r="H557" s="74"/>
      <c r="I557" s="74"/>
      <c r="J557" s="74"/>
      <c r="K557" s="74"/>
      <c r="L557" s="74"/>
      <c r="M557" s="74"/>
      <c r="N557" s="74"/>
      <c r="O557" s="74"/>
      <c r="P557" s="74"/>
      <c r="Q557" s="74"/>
      <c r="R557" s="74"/>
      <c r="S557" s="74"/>
      <c r="T557" s="74"/>
      <c r="U557" s="74"/>
      <c r="V557" s="74"/>
      <c r="W557" s="74"/>
      <c r="X557" s="74"/>
      <c r="Y557" s="74"/>
      <c r="Z557" s="74"/>
      <c r="AA557" s="74"/>
      <c r="AB557" s="74"/>
      <c r="AC557" s="74"/>
      <c r="AD557" s="74"/>
      <c r="AE557" s="74"/>
      <c r="AF557" s="74"/>
      <c r="AG557" s="74"/>
    </row>
    <row r="625" spans="2:33">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c r="AE625" s="6"/>
      <c r="AF625" s="6"/>
      <c r="AG625" s="6"/>
    </row>
    <row r="627" spans="2:33">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c r="AD627" s="6"/>
      <c r="AE627" s="6"/>
      <c r="AF627" s="6"/>
      <c r="AG627" s="6"/>
    </row>
    <row r="630" spans="2:33">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c r="AE630" s="6"/>
      <c r="AF630" s="6"/>
      <c r="AG630" s="6"/>
    </row>
    <row r="632" spans="2:33">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c r="AD632" s="6"/>
      <c r="AE632" s="6"/>
      <c r="AF632" s="6"/>
      <c r="AG632" s="6"/>
    </row>
    <row r="633" spans="2:33">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c r="AD633" s="6"/>
      <c r="AE633" s="6"/>
      <c r="AF633" s="6"/>
      <c r="AG633" s="6"/>
    </row>
    <row r="635" spans="2:33">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c r="AD635" s="6"/>
      <c r="AE635" s="6"/>
      <c r="AF635" s="6"/>
      <c r="AG635" s="6"/>
    </row>
    <row r="637" spans="2:33">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c r="AD637" s="6"/>
      <c r="AE637" s="6"/>
      <c r="AF637" s="6"/>
      <c r="AG637" s="6"/>
    </row>
    <row r="638" spans="2:33">
      <c r="B638" s="74"/>
      <c r="C638" s="74"/>
      <c r="D638" s="74"/>
      <c r="E638" s="74"/>
      <c r="F638" s="74"/>
      <c r="G638" s="74"/>
      <c r="H638" s="74"/>
      <c r="I638" s="74"/>
      <c r="J638" s="74"/>
      <c r="K638" s="74"/>
      <c r="L638" s="74"/>
      <c r="M638" s="74"/>
      <c r="N638" s="74"/>
      <c r="O638" s="74"/>
      <c r="P638" s="74"/>
      <c r="Q638" s="74"/>
      <c r="R638" s="74"/>
      <c r="S638" s="74"/>
      <c r="T638" s="74"/>
      <c r="U638" s="74"/>
      <c r="V638" s="74"/>
      <c r="W638" s="74"/>
      <c r="X638" s="74"/>
      <c r="Y638" s="74"/>
      <c r="Z638" s="74"/>
      <c r="AA638" s="74"/>
      <c r="AB638" s="74"/>
      <c r="AC638" s="74"/>
      <c r="AD638" s="74"/>
      <c r="AE638" s="74"/>
      <c r="AF638" s="74"/>
      <c r="AG638" s="74"/>
    </row>
    <row r="709" spans="2:33">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c r="AD709" s="6"/>
      <c r="AE709" s="6"/>
      <c r="AF709" s="6"/>
      <c r="AG709" s="6"/>
    </row>
    <row r="710" spans="2:33">
      <c r="B710" s="74"/>
      <c r="C710" s="74"/>
      <c r="D710" s="74"/>
      <c r="E710" s="74"/>
      <c r="F710" s="74"/>
      <c r="G710" s="74"/>
      <c r="H710" s="74"/>
      <c r="I710" s="74"/>
      <c r="J710" s="74"/>
      <c r="K710" s="74"/>
      <c r="L710" s="74"/>
      <c r="M710" s="74"/>
      <c r="N710" s="74"/>
      <c r="O710" s="74"/>
      <c r="P710" s="74"/>
      <c r="Q710" s="74"/>
      <c r="R710" s="74"/>
      <c r="S710" s="74"/>
      <c r="T710" s="74"/>
      <c r="U710" s="74"/>
      <c r="V710" s="74"/>
      <c r="W710" s="74"/>
      <c r="X710" s="74"/>
      <c r="Y710" s="74"/>
      <c r="Z710" s="74"/>
      <c r="AA710" s="74"/>
      <c r="AB710" s="74"/>
      <c r="AC710" s="74"/>
      <c r="AD710" s="74"/>
      <c r="AE710" s="74"/>
      <c r="AF710" s="74"/>
      <c r="AG710" s="74"/>
    </row>
    <row r="716" spans="2:33">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c r="AD716" s="6"/>
      <c r="AE716" s="6"/>
      <c r="AF716" s="6"/>
      <c r="AG716" s="6"/>
    </row>
    <row r="717" spans="2:33">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c r="AD717" s="6"/>
      <c r="AE717" s="6"/>
      <c r="AF717" s="6"/>
      <c r="AG717" s="6"/>
    </row>
    <row r="718" spans="2:33">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c r="AD718" s="6"/>
      <c r="AE718" s="6"/>
      <c r="AF718" s="6"/>
      <c r="AG718" s="6"/>
    </row>
    <row r="719" spans="2:33">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c r="AD719" s="6"/>
      <c r="AE719" s="6"/>
      <c r="AF719" s="6"/>
      <c r="AG719" s="6"/>
    </row>
    <row r="720" spans="2:33">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c r="AD720" s="6"/>
      <c r="AE720" s="6"/>
      <c r="AF720" s="6"/>
      <c r="AG720" s="6"/>
    </row>
    <row r="881" spans="2:33">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c r="AD881" s="6"/>
      <c r="AE881" s="6"/>
      <c r="AF881" s="6"/>
      <c r="AG881" s="6"/>
    </row>
    <row r="885" spans="2:33">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c r="AG885" s="6"/>
    </row>
    <row r="886" spans="2:33">
      <c r="B886" s="74"/>
      <c r="C886" s="74"/>
      <c r="D886" s="74"/>
      <c r="E886" s="74"/>
      <c r="F886" s="74"/>
      <c r="G886" s="74"/>
      <c r="H886" s="74"/>
      <c r="I886" s="74"/>
      <c r="J886" s="74"/>
      <c r="K886" s="74"/>
      <c r="L886" s="74"/>
      <c r="M886" s="74"/>
      <c r="N886" s="74"/>
      <c r="O886" s="74"/>
      <c r="P886" s="74"/>
      <c r="Q886" s="74"/>
      <c r="R886" s="74"/>
      <c r="S886" s="74"/>
      <c r="T886" s="74"/>
      <c r="U886" s="74"/>
      <c r="V886" s="74"/>
      <c r="W886" s="74"/>
      <c r="X886" s="74"/>
      <c r="Y886" s="74"/>
      <c r="Z886" s="74"/>
      <c r="AA886" s="74"/>
      <c r="AB886" s="74"/>
      <c r="AC886" s="74"/>
      <c r="AD886" s="74"/>
      <c r="AE886" s="74"/>
      <c r="AF886" s="74"/>
      <c r="AG886" s="74"/>
    </row>
    <row r="889" spans="2:33">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c r="AD889" s="6"/>
      <c r="AE889" s="6"/>
      <c r="AF889" s="6"/>
      <c r="AG889" s="6"/>
    </row>
    <row r="890" spans="2:33">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c r="AD890" s="6"/>
      <c r="AE890" s="6"/>
      <c r="AF890" s="6"/>
      <c r="AG890" s="6"/>
    </row>
    <row r="891" spans="2:33">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c r="AD891" s="6"/>
      <c r="AE891" s="6"/>
      <c r="AF891" s="6"/>
      <c r="AG891" s="6"/>
    </row>
    <row r="892" spans="2:33">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c r="AD892" s="6"/>
      <c r="AE892" s="6"/>
      <c r="AF892" s="6"/>
      <c r="AG892" s="6"/>
    </row>
    <row r="893" spans="2:33">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c r="AD893" s="6"/>
      <c r="AE893" s="6"/>
      <c r="AF893" s="6"/>
      <c r="AG893" s="6"/>
    </row>
    <row r="894" spans="2:33">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c r="AD894" s="6"/>
      <c r="AE894" s="6"/>
      <c r="AF894" s="6"/>
      <c r="AG894" s="6"/>
    </row>
    <row r="895" spans="2:33">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c r="AD895" s="6"/>
      <c r="AE895" s="6"/>
      <c r="AF895" s="6"/>
      <c r="AG895" s="6"/>
    </row>
    <row r="896" spans="2:33">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c r="AD896" s="6"/>
      <c r="AE896" s="6"/>
      <c r="AF896" s="6"/>
      <c r="AG896" s="6"/>
    </row>
    <row r="968" spans="2:33">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c r="AD968" s="6"/>
      <c r="AE968" s="6"/>
      <c r="AF968" s="6"/>
      <c r="AG968" s="6"/>
    </row>
    <row r="969" spans="2:33">
      <c r="B969" s="74"/>
      <c r="C969" s="74"/>
      <c r="D969" s="74"/>
      <c r="E969" s="74"/>
      <c r="F969" s="74"/>
      <c r="G969" s="74"/>
      <c r="H969" s="74"/>
      <c r="I969" s="74"/>
      <c r="J969" s="74"/>
      <c r="K969" s="74"/>
      <c r="L969" s="74"/>
      <c r="M969" s="74"/>
      <c r="N969" s="74"/>
      <c r="O969" s="74"/>
      <c r="P969" s="74"/>
      <c r="Q969" s="74"/>
      <c r="R969" s="74"/>
      <c r="S969" s="74"/>
      <c r="T969" s="74"/>
      <c r="U969" s="74"/>
      <c r="V969" s="74"/>
      <c r="W969" s="74"/>
      <c r="X969" s="74"/>
      <c r="Y969" s="74"/>
      <c r="Z969" s="74"/>
      <c r="AA969" s="74"/>
      <c r="AB969" s="74"/>
      <c r="AC969" s="74"/>
      <c r="AD969" s="74"/>
      <c r="AE969" s="74"/>
      <c r="AF969" s="74"/>
      <c r="AG969" s="74"/>
    </row>
    <row r="975" spans="2:33">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c r="AD975" s="6"/>
      <c r="AE975" s="6"/>
      <c r="AF975" s="6"/>
      <c r="AG975" s="6"/>
    </row>
    <row r="976" spans="2:33">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c r="AD976" s="6"/>
      <c r="AE976" s="6"/>
      <c r="AF976" s="6"/>
      <c r="AG976" s="6"/>
    </row>
    <row r="1058" spans="2:33">
      <c r="B1058" s="6"/>
      <c r="C1058" s="6"/>
      <c r="D1058" s="6"/>
      <c r="E1058" s="6"/>
      <c r="F1058" s="6"/>
      <c r="G1058" s="6"/>
      <c r="H1058" s="6"/>
      <c r="I1058" s="6"/>
      <c r="J1058" s="6"/>
      <c r="K1058" s="6"/>
      <c r="L1058" s="6"/>
      <c r="M1058" s="6"/>
      <c r="N1058" s="6"/>
      <c r="O1058" s="6"/>
      <c r="P1058" s="6"/>
      <c r="Q1058" s="6"/>
      <c r="R1058" s="6"/>
      <c r="S1058" s="6"/>
      <c r="T1058" s="6"/>
      <c r="U1058" s="6"/>
      <c r="V1058" s="6"/>
      <c r="W1058" s="6"/>
      <c r="X1058" s="6"/>
      <c r="Y1058" s="6"/>
      <c r="Z1058" s="6"/>
      <c r="AA1058" s="6"/>
      <c r="AB1058" s="6"/>
      <c r="AC1058" s="6"/>
      <c r="AD1058" s="6"/>
      <c r="AE1058" s="6"/>
      <c r="AF1058" s="6"/>
      <c r="AG1058" s="6"/>
    </row>
    <row r="1070" spans="2:33">
      <c r="B1070" s="6"/>
      <c r="C1070" s="6"/>
      <c r="D1070" s="6"/>
      <c r="E1070" s="6"/>
      <c r="F1070" s="6"/>
      <c r="G1070" s="6"/>
      <c r="H1070" s="6"/>
      <c r="I1070" s="6"/>
      <c r="J1070" s="6"/>
      <c r="K1070" s="6"/>
      <c r="L1070" s="6"/>
      <c r="M1070" s="6"/>
      <c r="N1070" s="6"/>
      <c r="O1070" s="6"/>
      <c r="P1070" s="6"/>
      <c r="Q1070" s="6"/>
      <c r="R1070" s="6"/>
      <c r="S1070" s="6"/>
      <c r="T1070" s="6"/>
      <c r="U1070" s="6"/>
      <c r="V1070" s="6"/>
      <c r="W1070" s="6"/>
      <c r="X1070" s="6"/>
      <c r="Y1070" s="6"/>
      <c r="Z1070" s="6"/>
      <c r="AA1070" s="6"/>
      <c r="AB1070" s="6"/>
      <c r="AC1070" s="6"/>
      <c r="AD1070" s="6"/>
      <c r="AE1070" s="6"/>
      <c r="AF1070" s="6"/>
      <c r="AG1070" s="6"/>
    </row>
    <row r="1071" spans="2:33">
      <c r="B1071" s="74"/>
      <c r="C1071" s="74"/>
      <c r="D1071" s="74"/>
      <c r="E1071" s="74"/>
      <c r="F1071" s="74"/>
      <c r="G1071" s="74"/>
      <c r="H1071" s="74"/>
      <c r="I1071" s="74"/>
      <c r="J1071" s="74"/>
      <c r="K1071" s="74"/>
      <c r="L1071" s="74"/>
      <c r="M1071" s="74"/>
      <c r="N1071" s="74"/>
      <c r="O1071" s="74"/>
      <c r="P1071" s="74"/>
      <c r="Q1071" s="74"/>
      <c r="R1071" s="74"/>
      <c r="S1071" s="74"/>
      <c r="T1071" s="74"/>
      <c r="U1071" s="74"/>
      <c r="V1071" s="74"/>
      <c r="W1071" s="74"/>
      <c r="X1071" s="74"/>
      <c r="Y1071" s="74"/>
      <c r="Z1071" s="74"/>
      <c r="AA1071" s="74"/>
      <c r="AB1071" s="74"/>
      <c r="AC1071" s="74"/>
      <c r="AD1071" s="74"/>
      <c r="AE1071" s="74"/>
      <c r="AF1071" s="74"/>
      <c r="AG1071" s="74"/>
    </row>
    <row r="1169" spans="2:33">
      <c r="B1169" s="74"/>
      <c r="C1169" s="74"/>
      <c r="D1169" s="74"/>
      <c r="E1169" s="74"/>
      <c r="F1169" s="74"/>
      <c r="G1169" s="74"/>
      <c r="H1169" s="74"/>
      <c r="I1169" s="74"/>
      <c r="J1169" s="74"/>
      <c r="K1169" s="74"/>
      <c r="L1169" s="74"/>
      <c r="M1169" s="74"/>
      <c r="N1169" s="74"/>
      <c r="O1169" s="74"/>
      <c r="P1169" s="74"/>
      <c r="Q1169" s="74"/>
      <c r="R1169" s="74"/>
      <c r="S1169" s="74"/>
      <c r="T1169" s="74"/>
      <c r="U1169" s="74"/>
      <c r="V1169" s="74"/>
      <c r="W1169" s="74"/>
      <c r="X1169" s="74"/>
      <c r="Y1169" s="74"/>
      <c r="Z1169" s="74"/>
      <c r="AA1169" s="74"/>
      <c r="AB1169" s="74"/>
      <c r="AC1169" s="74"/>
      <c r="AD1169" s="74"/>
      <c r="AE1169" s="74"/>
      <c r="AF1169" s="74"/>
      <c r="AG1169" s="74"/>
    </row>
    <row r="1175" spans="2:33">
      <c r="B1175" s="6"/>
      <c r="C1175" s="6"/>
      <c r="D1175" s="6"/>
      <c r="E1175" s="6"/>
      <c r="F1175" s="6"/>
      <c r="G1175" s="6"/>
      <c r="H1175" s="6"/>
      <c r="I1175" s="6"/>
      <c r="J1175" s="6"/>
      <c r="K1175" s="6"/>
      <c r="L1175" s="6"/>
      <c r="M1175" s="6"/>
      <c r="N1175" s="6"/>
      <c r="O1175" s="6"/>
      <c r="P1175" s="6"/>
      <c r="Q1175" s="6"/>
      <c r="R1175" s="6"/>
      <c r="S1175" s="6"/>
      <c r="T1175" s="6"/>
      <c r="U1175" s="6"/>
      <c r="V1175" s="6"/>
      <c r="W1175" s="6"/>
      <c r="X1175" s="6"/>
      <c r="Y1175" s="6"/>
      <c r="Z1175" s="6"/>
      <c r="AA1175" s="6"/>
      <c r="AB1175" s="6"/>
      <c r="AC1175" s="6"/>
      <c r="AD1175" s="6"/>
      <c r="AE1175" s="6"/>
      <c r="AF1175" s="6"/>
      <c r="AG1175" s="6"/>
    </row>
    <row r="1176" spans="2:33">
      <c r="B1176" s="6"/>
      <c r="C1176" s="6"/>
      <c r="D1176" s="6"/>
      <c r="E1176" s="6"/>
      <c r="F1176" s="6"/>
      <c r="G1176" s="6"/>
      <c r="H1176" s="6"/>
      <c r="I1176" s="6"/>
      <c r="J1176" s="6"/>
      <c r="K1176" s="6"/>
      <c r="L1176" s="6"/>
      <c r="M1176" s="6"/>
      <c r="N1176" s="6"/>
      <c r="O1176" s="6"/>
      <c r="P1176" s="6"/>
      <c r="Q1176" s="6"/>
      <c r="R1176" s="6"/>
      <c r="S1176" s="6"/>
      <c r="T1176" s="6"/>
      <c r="U1176" s="6"/>
      <c r="V1176" s="6"/>
      <c r="W1176" s="6"/>
      <c r="X1176" s="6"/>
      <c r="Y1176" s="6"/>
      <c r="Z1176" s="6"/>
      <c r="AA1176" s="6"/>
      <c r="AB1176" s="6"/>
      <c r="AC1176" s="6"/>
      <c r="AD1176" s="6"/>
      <c r="AE1176" s="6"/>
      <c r="AF1176" s="6"/>
      <c r="AG1176" s="6"/>
    </row>
    <row r="1177" spans="2:33">
      <c r="B1177" s="6"/>
      <c r="C1177" s="6"/>
      <c r="D1177" s="6"/>
      <c r="E1177" s="6"/>
      <c r="F1177" s="6"/>
      <c r="G1177" s="6"/>
      <c r="H1177" s="6"/>
      <c r="I1177" s="6"/>
      <c r="J1177" s="6"/>
      <c r="K1177" s="6"/>
      <c r="L1177" s="6"/>
      <c r="M1177" s="6"/>
      <c r="N1177" s="6"/>
      <c r="O1177" s="6"/>
      <c r="P1177" s="6"/>
      <c r="Q1177" s="6"/>
      <c r="R1177" s="6"/>
      <c r="S1177" s="6"/>
      <c r="T1177" s="6"/>
      <c r="U1177" s="6"/>
      <c r="V1177" s="6"/>
      <c r="W1177" s="6"/>
      <c r="X1177" s="6"/>
      <c r="Y1177" s="6"/>
      <c r="Z1177" s="6"/>
      <c r="AA1177" s="6"/>
      <c r="AB1177" s="6"/>
      <c r="AC1177" s="6"/>
      <c r="AD1177" s="6"/>
      <c r="AE1177" s="6"/>
      <c r="AF1177" s="6"/>
      <c r="AG1177" s="6"/>
    </row>
    <row r="1178" spans="2:33">
      <c r="B1178" s="6"/>
      <c r="C1178" s="6"/>
      <c r="D1178" s="6"/>
      <c r="E1178" s="6"/>
      <c r="F1178" s="6"/>
      <c r="G1178" s="6"/>
      <c r="H1178" s="6"/>
      <c r="I1178" s="6"/>
      <c r="J1178" s="6"/>
      <c r="K1178" s="6"/>
      <c r="L1178" s="6"/>
      <c r="M1178" s="6"/>
      <c r="N1178" s="6"/>
      <c r="O1178" s="6"/>
      <c r="P1178" s="6"/>
      <c r="Q1178" s="6"/>
      <c r="R1178" s="6"/>
      <c r="S1178" s="6"/>
      <c r="T1178" s="6"/>
      <c r="U1178" s="6"/>
      <c r="V1178" s="6"/>
      <c r="W1178" s="6"/>
      <c r="X1178" s="6"/>
      <c r="Y1178" s="6"/>
      <c r="Z1178" s="6"/>
      <c r="AA1178" s="6"/>
      <c r="AB1178" s="6"/>
      <c r="AC1178" s="6"/>
      <c r="AD1178" s="6"/>
      <c r="AE1178" s="6"/>
      <c r="AF1178" s="6"/>
      <c r="AG1178" s="6"/>
    </row>
    <row r="1179" spans="2:33">
      <c r="B1179" s="6"/>
      <c r="C1179" s="6"/>
      <c r="D1179" s="6"/>
      <c r="E1179" s="6"/>
      <c r="F1179" s="6"/>
      <c r="G1179" s="6"/>
      <c r="H1179" s="6"/>
      <c r="I1179" s="6"/>
      <c r="J1179" s="6"/>
      <c r="K1179" s="6"/>
      <c r="L1179" s="6"/>
      <c r="M1179" s="6"/>
      <c r="N1179" s="6"/>
      <c r="O1179" s="6"/>
      <c r="P1179" s="6"/>
      <c r="Q1179" s="6"/>
      <c r="R1179" s="6"/>
      <c r="S1179" s="6"/>
      <c r="T1179" s="6"/>
      <c r="U1179" s="6"/>
      <c r="V1179" s="6"/>
      <c r="W1179" s="6"/>
      <c r="X1179" s="6"/>
      <c r="Y1179" s="6"/>
      <c r="Z1179" s="6"/>
      <c r="AA1179" s="6"/>
      <c r="AB1179" s="6"/>
      <c r="AC1179" s="6"/>
      <c r="AD1179" s="6"/>
      <c r="AE1179" s="6"/>
      <c r="AF1179" s="6"/>
      <c r="AG1179" s="6"/>
    </row>
    <row r="1180" spans="2:33">
      <c r="B1180" s="6"/>
      <c r="C1180" s="6"/>
      <c r="D1180" s="6"/>
      <c r="E1180" s="6"/>
      <c r="F1180" s="6"/>
      <c r="G1180" s="6"/>
      <c r="H1180" s="6"/>
      <c r="I1180" s="6"/>
      <c r="J1180" s="6"/>
      <c r="K1180" s="6"/>
      <c r="L1180" s="6"/>
      <c r="M1180" s="6"/>
      <c r="N1180" s="6"/>
      <c r="O1180" s="6"/>
      <c r="P1180" s="6"/>
      <c r="Q1180" s="6"/>
      <c r="R1180" s="6"/>
      <c r="S1180" s="6"/>
      <c r="T1180" s="6"/>
      <c r="U1180" s="6"/>
      <c r="V1180" s="6"/>
      <c r="W1180" s="6"/>
      <c r="X1180" s="6"/>
      <c r="Y1180" s="6"/>
      <c r="Z1180" s="6"/>
      <c r="AA1180" s="6"/>
      <c r="AB1180" s="6"/>
      <c r="AC1180" s="6"/>
      <c r="AD1180" s="6"/>
      <c r="AE1180" s="6"/>
      <c r="AF1180" s="6"/>
      <c r="AG1180" s="6"/>
    </row>
    <row r="1181" spans="2:33">
      <c r="B1181" s="6"/>
      <c r="C1181" s="6"/>
      <c r="D1181" s="6"/>
      <c r="E1181" s="6"/>
      <c r="F1181" s="6"/>
      <c r="G1181" s="6"/>
      <c r="H1181" s="6"/>
      <c r="I1181" s="6"/>
      <c r="J1181" s="6"/>
      <c r="K1181" s="6"/>
      <c r="L1181" s="6"/>
      <c r="M1181" s="6"/>
      <c r="N1181" s="6"/>
      <c r="O1181" s="6"/>
      <c r="P1181" s="6"/>
      <c r="Q1181" s="6"/>
      <c r="R1181" s="6"/>
      <c r="S1181" s="6"/>
      <c r="T1181" s="6"/>
      <c r="U1181" s="6"/>
      <c r="V1181" s="6"/>
      <c r="W1181" s="6"/>
      <c r="X1181" s="6"/>
      <c r="Y1181" s="6"/>
      <c r="Z1181" s="6"/>
      <c r="AA1181" s="6"/>
      <c r="AB1181" s="6"/>
      <c r="AC1181" s="6"/>
      <c r="AD1181" s="6"/>
      <c r="AE1181" s="6"/>
      <c r="AF1181" s="6"/>
      <c r="AG1181" s="6"/>
    </row>
    <row r="1182" spans="2:33">
      <c r="B1182" s="6"/>
      <c r="C1182" s="6"/>
      <c r="D1182" s="6"/>
      <c r="E1182" s="6"/>
      <c r="F1182" s="6"/>
      <c r="G1182" s="6"/>
      <c r="H1182" s="6"/>
      <c r="I1182" s="6"/>
      <c r="J1182" s="6"/>
      <c r="K1182" s="6"/>
      <c r="L1182" s="6"/>
      <c r="M1182" s="6"/>
      <c r="N1182" s="6"/>
      <c r="O1182" s="6"/>
      <c r="P1182" s="6"/>
      <c r="Q1182" s="6"/>
      <c r="R1182" s="6"/>
      <c r="S1182" s="6"/>
      <c r="T1182" s="6"/>
      <c r="U1182" s="6"/>
      <c r="V1182" s="6"/>
      <c r="W1182" s="6"/>
      <c r="X1182" s="6"/>
      <c r="Y1182" s="6"/>
      <c r="Z1182" s="6"/>
      <c r="AA1182" s="6"/>
      <c r="AB1182" s="6"/>
      <c r="AC1182" s="6"/>
      <c r="AD1182" s="6"/>
      <c r="AE1182" s="6"/>
      <c r="AF1182" s="6"/>
      <c r="AG1182" s="6"/>
    </row>
    <row r="1183" spans="2:33">
      <c r="B1183" s="6"/>
      <c r="C1183" s="6"/>
      <c r="D1183" s="6"/>
      <c r="E1183" s="6"/>
      <c r="F1183" s="6"/>
      <c r="G1183" s="6"/>
      <c r="H1183" s="6"/>
      <c r="I1183" s="6"/>
      <c r="J1183" s="6"/>
      <c r="K1183" s="6"/>
      <c r="L1183" s="6"/>
      <c r="M1183" s="6"/>
      <c r="N1183" s="6"/>
      <c r="O1183" s="6"/>
      <c r="P1183" s="6"/>
      <c r="Q1183" s="6"/>
      <c r="R1183" s="6"/>
      <c r="S1183" s="6"/>
      <c r="T1183" s="6"/>
      <c r="U1183" s="6"/>
      <c r="V1183" s="6"/>
      <c r="W1183" s="6"/>
      <c r="X1183" s="6"/>
      <c r="Y1183" s="6"/>
      <c r="Z1183" s="6"/>
      <c r="AA1183" s="6"/>
      <c r="AB1183" s="6"/>
      <c r="AC1183" s="6"/>
      <c r="AD1183" s="6"/>
      <c r="AE1183" s="6"/>
      <c r="AF1183" s="6"/>
      <c r="AG1183" s="6"/>
    </row>
    <row r="1184" spans="2:33">
      <c r="B1184" s="6"/>
      <c r="C1184" s="6"/>
      <c r="D1184" s="6"/>
      <c r="E1184" s="6"/>
      <c r="F1184" s="6"/>
      <c r="G1184" s="6"/>
      <c r="H1184" s="6"/>
      <c r="I1184" s="6"/>
      <c r="J1184" s="6"/>
      <c r="K1184" s="6"/>
      <c r="L1184" s="6"/>
      <c r="M1184" s="6"/>
      <c r="N1184" s="6"/>
      <c r="O1184" s="6"/>
      <c r="P1184" s="6"/>
      <c r="Q1184" s="6"/>
      <c r="R1184" s="6"/>
      <c r="S1184" s="6"/>
      <c r="T1184" s="6"/>
      <c r="U1184" s="6"/>
      <c r="V1184" s="6"/>
      <c r="W1184" s="6"/>
      <c r="X1184" s="6"/>
      <c r="Y1184" s="6"/>
      <c r="Z1184" s="6"/>
      <c r="AA1184" s="6"/>
      <c r="AB1184" s="6"/>
      <c r="AC1184" s="6"/>
      <c r="AD1184" s="6"/>
      <c r="AE1184" s="6"/>
      <c r="AF1184" s="6"/>
      <c r="AG1184" s="6"/>
    </row>
    <row r="1268" spans="2:33">
      <c r="B1268" s="6"/>
      <c r="C1268" s="6"/>
      <c r="D1268" s="6"/>
      <c r="E1268" s="6"/>
      <c r="F1268" s="6"/>
      <c r="G1268" s="6"/>
      <c r="H1268" s="6"/>
      <c r="I1268" s="6"/>
      <c r="J1268" s="6"/>
      <c r="K1268" s="6"/>
      <c r="L1268" s="6"/>
      <c r="M1268" s="6"/>
      <c r="N1268" s="6"/>
      <c r="O1268" s="6"/>
      <c r="P1268" s="6"/>
      <c r="Q1268" s="6"/>
      <c r="R1268" s="6"/>
      <c r="S1268" s="6"/>
      <c r="T1268" s="6"/>
      <c r="U1268" s="6"/>
      <c r="V1268" s="6"/>
      <c r="W1268" s="6"/>
      <c r="X1268" s="6"/>
      <c r="Y1268" s="6"/>
      <c r="Z1268" s="6"/>
      <c r="AA1268" s="6"/>
      <c r="AB1268" s="6"/>
      <c r="AC1268" s="6"/>
      <c r="AD1268" s="6"/>
      <c r="AE1268" s="6"/>
      <c r="AF1268" s="6"/>
      <c r="AG1268" s="6"/>
    </row>
    <row r="1269" spans="2:33">
      <c r="B1269" s="74"/>
      <c r="C1269" s="74"/>
      <c r="D1269" s="74"/>
      <c r="E1269" s="74"/>
      <c r="F1269" s="74"/>
      <c r="G1269" s="74"/>
      <c r="H1269" s="74"/>
      <c r="I1269" s="74"/>
      <c r="J1269" s="74"/>
      <c r="K1269" s="74"/>
      <c r="L1269" s="74"/>
      <c r="M1269" s="74"/>
      <c r="N1269" s="74"/>
      <c r="O1269" s="74"/>
      <c r="P1269" s="74"/>
      <c r="Q1269" s="74"/>
      <c r="R1269" s="74"/>
      <c r="S1269" s="74"/>
      <c r="T1269" s="74"/>
      <c r="U1269" s="74"/>
      <c r="V1269" s="74"/>
      <c r="W1269" s="74"/>
      <c r="X1269" s="74"/>
      <c r="Y1269" s="74"/>
      <c r="Z1269" s="74"/>
      <c r="AA1269" s="74"/>
      <c r="AB1269" s="74"/>
      <c r="AC1269" s="74"/>
      <c r="AD1269" s="74"/>
      <c r="AE1269" s="74"/>
      <c r="AF1269" s="74"/>
      <c r="AG1269" s="74"/>
    </row>
    <row r="1275" spans="2:33">
      <c r="B1275" s="6"/>
      <c r="C1275" s="6"/>
      <c r="D1275" s="6"/>
      <c r="E1275" s="6"/>
      <c r="F1275" s="6"/>
      <c r="G1275" s="6"/>
      <c r="H1275" s="6"/>
      <c r="I1275" s="6"/>
      <c r="J1275" s="6"/>
      <c r="K1275" s="6"/>
      <c r="L1275" s="6"/>
      <c r="M1275" s="6"/>
      <c r="N1275" s="6"/>
      <c r="O1275" s="6"/>
      <c r="P1275" s="6"/>
      <c r="Q1275" s="6"/>
      <c r="R1275" s="6"/>
      <c r="S1275" s="6"/>
      <c r="T1275" s="6"/>
      <c r="U1275" s="6"/>
      <c r="V1275" s="6"/>
      <c r="W1275" s="6"/>
      <c r="X1275" s="6"/>
      <c r="Y1275" s="6"/>
      <c r="Z1275" s="6"/>
      <c r="AA1275" s="6"/>
      <c r="AB1275" s="6"/>
      <c r="AC1275" s="6"/>
      <c r="AD1275" s="6"/>
      <c r="AE1275" s="6"/>
      <c r="AF1275" s="6"/>
      <c r="AG1275" s="6"/>
    </row>
    <row r="1276" spans="2:33">
      <c r="B1276" s="6"/>
      <c r="C1276" s="6"/>
      <c r="D1276" s="6"/>
      <c r="E1276" s="6"/>
      <c r="F1276" s="6"/>
      <c r="G1276" s="6"/>
      <c r="H1276" s="6"/>
      <c r="I1276" s="6"/>
      <c r="J1276" s="6"/>
      <c r="K1276" s="6"/>
      <c r="L1276" s="6"/>
      <c r="M1276" s="6"/>
      <c r="N1276" s="6"/>
      <c r="O1276" s="6"/>
      <c r="P1276" s="6"/>
      <c r="Q1276" s="6"/>
      <c r="R1276" s="6"/>
      <c r="S1276" s="6"/>
      <c r="T1276" s="6"/>
      <c r="U1276" s="6"/>
      <c r="V1276" s="6"/>
      <c r="W1276" s="6"/>
      <c r="X1276" s="6"/>
      <c r="Y1276" s="6"/>
      <c r="Z1276" s="6"/>
      <c r="AA1276" s="6"/>
      <c r="AB1276" s="6"/>
      <c r="AC1276" s="6"/>
      <c r="AD1276" s="6"/>
      <c r="AE1276" s="6"/>
      <c r="AF1276" s="6"/>
      <c r="AG1276" s="6"/>
    </row>
    <row r="1277" spans="2:33">
      <c r="B1277" s="6"/>
      <c r="C1277" s="6"/>
      <c r="D1277" s="6"/>
      <c r="E1277" s="6"/>
      <c r="F1277" s="6"/>
      <c r="G1277" s="6"/>
      <c r="H1277" s="6"/>
      <c r="I1277" s="6"/>
      <c r="J1277" s="6"/>
      <c r="K1277" s="6"/>
      <c r="L1277" s="6"/>
      <c r="M1277" s="6"/>
      <c r="N1277" s="6"/>
      <c r="O1277" s="6"/>
      <c r="P1277" s="6"/>
      <c r="Q1277" s="6"/>
      <c r="R1277" s="6"/>
      <c r="S1277" s="6"/>
      <c r="T1277" s="6"/>
      <c r="U1277" s="6"/>
      <c r="V1277" s="6"/>
      <c r="W1277" s="6"/>
      <c r="X1277" s="6"/>
      <c r="Y1277" s="6"/>
      <c r="Z1277" s="6"/>
      <c r="AA1277" s="6"/>
      <c r="AB1277" s="6"/>
      <c r="AC1277" s="6"/>
      <c r="AD1277" s="6"/>
      <c r="AE1277" s="6"/>
      <c r="AF1277" s="6"/>
      <c r="AG1277" s="6"/>
    </row>
    <row r="1278" spans="2:33">
      <c r="B1278" s="6"/>
      <c r="C1278" s="6"/>
      <c r="D1278" s="6"/>
      <c r="E1278" s="6"/>
      <c r="F1278" s="6"/>
      <c r="G1278" s="6"/>
      <c r="H1278" s="6"/>
      <c r="I1278" s="6"/>
      <c r="J1278" s="6"/>
      <c r="K1278" s="6"/>
      <c r="L1278" s="6"/>
      <c r="M1278" s="6"/>
      <c r="N1278" s="6"/>
      <c r="O1278" s="6"/>
      <c r="P1278" s="6"/>
      <c r="Q1278" s="6"/>
      <c r="R1278" s="6"/>
      <c r="S1278" s="6"/>
      <c r="T1278" s="6"/>
      <c r="U1278" s="6"/>
      <c r="V1278" s="6"/>
      <c r="W1278" s="6"/>
      <c r="X1278" s="6"/>
      <c r="Y1278" s="6"/>
      <c r="Z1278" s="6"/>
      <c r="AA1278" s="6"/>
      <c r="AB1278" s="6"/>
      <c r="AC1278" s="6"/>
      <c r="AD1278" s="6"/>
      <c r="AE1278" s="6"/>
      <c r="AF1278" s="6"/>
      <c r="AG1278" s="6"/>
    </row>
    <row r="1279" spans="2:33">
      <c r="B1279" s="6"/>
      <c r="C1279" s="6"/>
      <c r="D1279" s="6"/>
      <c r="E1279" s="6"/>
      <c r="F1279" s="6"/>
      <c r="G1279" s="6"/>
      <c r="H1279" s="6"/>
      <c r="I1279" s="6"/>
      <c r="J1279" s="6"/>
      <c r="K1279" s="6"/>
      <c r="L1279" s="6"/>
      <c r="M1279" s="6"/>
      <c r="N1279" s="6"/>
      <c r="O1279" s="6"/>
      <c r="P1279" s="6"/>
      <c r="Q1279" s="6"/>
      <c r="R1279" s="6"/>
      <c r="S1279" s="6"/>
      <c r="T1279" s="6"/>
      <c r="U1279" s="6"/>
      <c r="V1279" s="6"/>
      <c r="W1279" s="6"/>
      <c r="X1279" s="6"/>
      <c r="Y1279" s="6"/>
      <c r="Z1279" s="6"/>
      <c r="AA1279" s="6"/>
      <c r="AB1279" s="6"/>
      <c r="AC1279" s="6"/>
      <c r="AD1279" s="6"/>
      <c r="AE1279" s="6"/>
      <c r="AF1279" s="6"/>
      <c r="AG1279" s="6"/>
    </row>
    <row r="1280" spans="2:33">
      <c r="B1280" s="6"/>
      <c r="C1280" s="6"/>
      <c r="D1280" s="6"/>
      <c r="E1280" s="6"/>
      <c r="F1280" s="6"/>
      <c r="G1280" s="6"/>
      <c r="H1280" s="6"/>
      <c r="I1280" s="6"/>
      <c r="J1280" s="6"/>
      <c r="K1280" s="6"/>
      <c r="L1280" s="6"/>
      <c r="M1280" s="6"/>
      <c r="N1280" s="6"/>
      <c r="O1280" s="6"/>
      <c r="P1280" s="6"/>
      <c r="Q1280" s="6"/>
      <c r="R1280" s="6"/>
      <c r="S1280" s="6"/>
      <c r="T1280" s="6"/>
      <c r="U1280" s="6"/>
      <c r="V1280" s="6"/>
      <c r="W1280" s="6"/>
      <c r="X1280" s="6"/>
      <c r="Y1280" s="6"/>
      <c r="Z1280" s="6"/>
      <c r="AA1280" s="6"/>
      <c r="AB1280" s="6"/>
      <c r="AC1280" s="6"/>
      <c r="AD1280" s="6"/>
      <c r="AE1280" s="6"/>
      <c r="AF1280" s="6"/>
      <c r="AG1280" s="6"/>
    </row>
    <row r="1483" spans="2:33">
      <c r="B1483" s="6"/>
      <c r="C1483" s="6"/>
      <c r="D1483" s="6"/>
      <c r="E1483" s="6"/>
      <c r="F1483" s="6"/>
      <c r="G1483" s="6"/>
      <c r="H1483" s="6"/>
      <c r="I1483" s="6"/>
      <c r="J1483" s="6"/>
      <c r="K1483" s="6"/>
      <c r="L1483" s="6"/>
      <c r="M1483" s="6"/>
      <c r="N1483" s="6"/>
      <c r="O1483" s="6"/>
      <c r="P1483" s="6"/>
      <c r="Q1483" s="6"/>
      <c r="R1483" s="6"/>
      <c r="S1483" s="6"/>
      <c r="T1483" s="6"/>
      <c r="U1483" s="6"/>
      <c r="V1483" s="6"/>
      <c r="W1483" s="6"/>
      <c r="X1483" s="6"/>
      <c r="Y1483" s="6"/>
      <c r="Z1483" s="6"/>
      <c r="AA1483" s="6"/>
      <c r="AB1483" s="6"/>
      <c r="AC1483" s="6"/>
      <c r="AD1483" s="6"/>
      <c r="AE1483" s="6"/>
      <c r="AF1483" s="6"/>
      <c r="AG1483" s="6"/>
    </row>
    <row r="1484" spans="2:33">
      <c r="B1484" s="74"/>
      <c r="C1484" s="74"/>
      <c r="D1484" s="74"/>
      <c r="E1484" s="74"/>
      <c r="F1484" s="74"/>
      <c r="G1484" s="74"/>
      <c r="H1484" s="74"/>
      <c r="I1484" s="74"/>
      <c r="J1484" s="74"/>
      <c r="K1484" s="74"/>
      <c r="L1484" s="74"/>
      <c r="M1484" s="74"/>
      <c r="N1484" s="74"/>
      <c r="O1484" s="74"/>
      <c r="P1484" s="74"/>
      <c r="Q1484" s="74"/>
      <c r="R1484" s="74"/>
      <c r="S1484" s="74"/>
      <c r="T1484" s="74"/>
      <c r="U1484" s="74"/>
      <c r="V1484" s="74"/>
      <c r="W1484" s="74"/>
      <c r="X1484" s="74"/>
      <c r="Y1484" s="74"/>
      <c r="Z1484" s="74"/>
      <c r="AA1484" s="74"/>
      <c r="AB1484" s="74"/>
      <c r="AC1484" s="74"/>
      <c r="AD1484" s="74"/>
      <c r="AE1484" s="74"/>
      <c r="AF1484" s="74"/>
      <c r="AG1484" s="74"/>
    </row>
    <row r="1713" spans="2:33">
      <c r="B1713" s="74"/>
      <c r="C1713" s="74"/>
      <c r="D1713" s="74"/>
      <c r="E1713" s="74"/>
      <c r="F1713" s="74"/>
      <c r="G1713" s="74"/>
      <c r="H1713" s="74"/>
      <c r="I1713" s="74"/>
      <c r="J1713" s="74"/>
      <c r="K1713" s="74"/>
      <c r="L1713" s="74"/>
      <c r="M1713" s="74"/>
      <c r="N1713" s="74"/>
      <c r="O1713" s="74"/>
      <c r="P1713" s="74"/>
      <c r="Q1713" s="74"/>
      <c r="R1713" s="74"/>
      <c r="S1713" s="74"/>
      <c r="T1713" s="74"/>
      <c r="U1713" s="74"/>
      <c r="V1713" s="74"/>
      <c r="W1713" s="74"/>
      <c r="X1713" s="74"/>
      <c r="Y1713" s="74"/>
      <c r="Z1713" s="74"/>
      <c r="AA1713" s="74"/>
      <c r="AB1713" s="74"/>
      <c r="AC1713" s="74"/>
      <c r="AD1713" s="74"/>
      <c r="AE1713" s="74"/>
      <c r="AF1713" s="74"/>
      <c r="AG1713" s="74"/>
    </row>
    <row r="1714" spans="2:33">
      <c r="B1714" s="6"/>
      <c r="C1714" s="6"/>
      <c r="D1714" s="6"/>
      <c r="E1714" s="6"/>
      <c r="F1714" s="6"/>
      <c r="G1714" s="6"/>
      <c r="H1714" s="6"/>
      <c r="I1714" s="6"/>
      <c r="J1714" s="6"/>
      <c r="K1714" s="6"/>
      <c r="L1714" s="6"/>
      <c r="M1714" s="6"/>
      <c r="N1714" s="6"/>
      <c r="O1714" s="6"/>
      <c r="P1714" s="6"/>
      <c r="Q1714" s="6"/>
      <c r="R1714" s="6"/>
      <c r="S1714" s="6"/>
      <c r="T1714" s="6"/>
      <c r="U1714" s="6"/>
      <c r="V1714" s="6"/>
      <c r="W1714" s="6"/>
      <c r="X1714" s="6"/>
      <c r="Y1714" s="6"/>
      <c r="Z1714" s="6"/>
      <c r="AA1714" s="6"/>
      <c r="AB1714" s="6"/>
      <c r="AC1714" s="6"/>
      <c r="AD1714" s="6"/>
      <c r="AE1714" s="6"/>
      <c r="AF1714" s="6"/>
      <c r="AG1714" s="6"/>
    </row>
    <row r="1715" spans="2:33">
      <c r="B1715" s="6"/>
      <c r="C1715" s="6"/>
      <c r="D1715" s="6"/>
      <c r="E1715" s="6"/>
      <c r="F1715" s="6"/>
      <c r="G1715" s="6"/>
      <c r="H1715" s="6"/>
      <c r="I1715" s="6"/>
      <c r="J1715" s="6"/>
      <c r="K1715" s="6"/>
      <c r="L1715" s="6"/>
      <c r="M1715" s="6"/>
      <c r="N1715" s="6"/>
      <c r="O1715" s="6"/>
      <c r="P1715" s="6"/>
      <c r="Q1715" s="6"/>
      <c r="R1715" s="6"/>
      <c r="S1715" s="6"/>
      <c r="T1715" s="6"/>
      <c r="U1715" s="6"/>
      <c r="V1715" s="6"/>
      <c r="W1715" s="6"/>
      <c r="X1715" s="6"/>
      <c r="Y1715" s="6"/>
      <c r="Z1715" s="6"/>
      <c r="AA1715" s="6"/>
      <c r="AB1715" s="6"/>
      <c r="AC1715" s="6"/>
      <c r="AD1715" s="6"/>
      <c r="AE1715" s="6"/>
      <c r="AF1715" s="6"/>
      <c r="AG1715" s="6"/>
    </row>
    <row r="1716" spans="2:33">
      <c r="B1716" s="6"/>
      <c r="C1716" s="6"/>
      <c r="D1716" s="6"/>
      <c r="E1716" s="6"/>
      <c r="F1716" s="6"/>
      <c r="G1716" s="6"/>
      <c r="H1716" s="6"/>
      <c r="I1716" s="6"/>
      <c r="J1716" s="6"/>
      <c r="K1716" s="6"/>
      <c r="L1716" s="6"/>
      <c r="M1716" s="6"/>
      <c r="N1716" s="6"/>
      <c r="O1716" s="6"/>
      <c r="P1716" s="6"/>
      <c r="Q1716" s="6"/>
      <c r="R1716" s="6"/>
      <c r="S1716" s="6"/>
      <c r="T1716" s="6"/>
      <c r="U1716" s="6"/>
      <c r="V1716" s="6"/>
      <c r="W1716" s="6"/>
      <c r="X1716" s="6"/>
      <c r="Y1716" s="6"/>
      <c r="Z1716" s="6"/>
      <c r="AA1716" s="6"/>
      <c r="AB1716" s="6"/>
      <c r="AC1716" s="6"/>
      <c r="AD1716" s="6"/>
      <c r="AE1716" s="6"/>
      <c r="AF1716" s="6"/>
      <c r="AG1716" s="6"/>
    </row>
    <row r="1717" spans="2:33">
      <c r="B1717" s="6"/>
      <c r="C1717" s="6"/>
      <c r="D1717" s="6"/>
      <c r="E1717" s="6"/>
      <c r="F1717" s="6"/>
      <c r="G1717" s="6"/>
      <c r="H1717" s="6"/>
      <c r="I1717" s="6"/>
      <c r="J1717" s="6"/>
      <c r="K1717" s="6"/>
      <c r="L1717" s="6"/>
      <c r="M1717" s="6"/>
      <c r="N1717" s="6"/>
      <c r="O1717" s="6"/>
      <c r="P1717" s="6"/>
      <c r="Q1717" s="6"/>
      <c r="R1717" s="6"/>
      <c r="S1717" s="6"/>
      <c r="T1717" s="6"/>
      <c r="U1717" s="6"/>
      <c r="V1717" s="6"/>
      <c r="W1717" s="6"/>
      <c r="X1717" s="6"/>
      <c r="Y1717" s="6"/>
      <c r="Z1717" s="6"/>
      <c r="AA1717" s="6"/>
      <c r="AB1717" s="6"/>
      <c r="AC1717" s="6"/>
      <c r="AD1717" s="6"/>
      <c r="AE1717" s="6"/>
      <c r="AF1717" s="6"/>
      <c r="AG1717" s="6"/>
    </row>
    <row r="1718" spans="2:33">
      <c r="B1718" s="6"/>
      <c r="C1718" s="6"/>
      <c r="D1718" s="6"/>
      <c r="E1718" s="6"/>
      <c r="F1718" s="6"/>
      <c r="G1718" s="6"/>
      <c r="H1718" s="6"/>
      <c r="I1718" s="6"/>
      <c r="J1718" s="6"/>
      <c r="K1718" s="6"/>
      <c r="L1718" s="6"/>
      <c r="M1718" s="6"/>
      <c r="N1718" s="6"/>
      <c r="O1718" s="6"/>
      <c r="P1718" s="6"/>
      <c r="Q1718" s="6"/>
      <c r="R1718" s="6"/>
      <c r="S1718" s="6"/>
      <c r="T1718" s="6"/>
      <c r="U1718" s="6"/>
      <c r="V1718" s="6"/>
      <c r="W1718" s="6"/>
      <c r="X1718" s="6"/>
      <c r="Y1718" s="6"/>
      <c r="Z1718" s="6"/>
      <c r="AA1718" s="6"/>
      <c r="AB1718" s="6"/>
      <c r="AC1718" s="6"/>
      <c r="AD1718" s="6"/>
      <c r="AE1718" s="6"/>
      <c r="AF1718" s="6"/>
      <c r="AG1718" s="6"/>
    </row>
    <row r="1719" spans="2:33">
      <c r="B1719" s="6"/>
      <c r="C1719" s="6"/>
      <c r="D1719" s="6"/>
      <c r="E1719" s="6"/>
      <c r="F1719" s="6"/>
      <c r="G1719" s="6"/>
      <c r="H1719" s="6"/>
      <c r="I1719" s="6"/>
      <c r="J1719" s="6"/>
      <c r="K1719" s="6"/>
      <c r="L1719" s="6"/>
      <c r="M1719" s="6"/>
      <c r="N1719" s="6"/>
      <c r="O1719" s="6"/>
      <c r="P1719" s="6"/>
      <c r="Q1719" s="6"/>
      <c r="R1719" s="6"/>
      <c r="S1719" s="6"/>
      <c r="T1719" s="6"/>
      <c r="U1719" s="6"/>
      <c r="V1719" s="6"/>
      <c r="W1719" s="6"/>
      <c r="X1719" s="6"/>
      <c r="Y1719" s="6"/>
      <c r="Z1719" s="6"/>
      <c r="AA1719" s="6"/>
      <c r="AB1719" s="6"/>
      <c r="AC1719" s="6"/>
      <c r="AD1719" s="6"/>
      <c r="AE1719" s="6"/>
      <c r="AF1719" s="6"/>
      <c r="AG1719" s="6"/>
    </row>
    <row r="1720" spans="2:33">
      <c r="B1720" s="6"/>
      <c r="C1720" s="6"/>
      <c r="D1720" s="6"/>
      <c r="E1720" s="6"/>
      <c r="F1720" s="6"/>
      <c r="G1720" s="6"/>
      <c r="H1720" s="6"/>
      <c r="I1720" s="6"/>
      <c r="J1720" s="6"/>
      <c r="K1720" s="6"/>
      <c r="L1720" s="6"/>
      <c r="M1720" s="6"/>
      <c r="N1720" s="6"/>
      <c r="O1720" s="6"/>
      <c r="P1720" s="6"/>
      <c r="Q1720" s="6"/>
      <c r="R1720" s="6"/>
      <c r="S1720" s="6"/>
      <c r="T1720" s="6"/>
      <c r="U1720" s="6"/>
      <c r="V1720" s="6"/>
      <c r="W1720" s="6"/>
      <c r="X1720" s="6"/>
      <c r="Y1720" s="6"/>
      <c r="Z1720" s="6"/>
      <c r="AA1720" s="6"/>
      <c r="AB1720" s="6"/>
      <c r="AC1720" s="6"/>
      <c r="AD1720" s="6"/>
      <c r="AE1720" s="6"/>
      <c r="AF1720" s="6"/>
      <c r="AG1720" s="6"/>
    </row>
    <row r="1721" spans="2:33">
      <c r="B1721" s="6"/>
      <c r="C1721" s="6"/>
      <c r="D1721" s="6"/>
      <c r="E1721" s="6"/>
      <c r="F1721" s="6"/>
      <c r="G1721" s="6"/>
      <c r="H1721" s="6"/>
      <c r="I1721" s="6"/>
      <c r="J1721" s="6"/>
      <c r="K1721" s="6"/>
      <c r="L1721" s="6"/>
      <c r="M1721" s="6"/>
      <c r="N1721" s="6"/>
      <c r="O1721" s="6"/>
      <c r="P1721" s="6"/>
      <c r="Q1721" s="6"/>
      <c r="R1721" s="6"/>
      <c r="S1721" s="6"/>
      <c r="T1721" s="6"/>
      <c r="U1721" s="6"/>
      <c r="V1721" s="6"/>
      <c r="W1721" s="6"/>
      <c r="X1721" s="6"/>
      <c r="Y1721" s="6"/>
      <c r="Z1721" s="6"/>
      <c r="AA1721" s="6"/>
      <c r="AB1721" s="6"/>
      <c r="AC1721" s="6"/>
      <c r="AD1721" s="6"/>
      <c r="AE1721" s="6"/>
      <c r="AF1721" s="6"/>
      <c r="AG1721" s="6"/>
    </row>
    <row r="1722" spans="2:33">
      <c r="B1722" s="6"/>
      <c r="C1722" s="6"/>
      <c r="D1722" s="6"/>
      <c r="E1722" s="6"/>
      <c r="F1722" s="6"/>
      <c r="G1722" s="6"/>
      <c r="H1722" s="6"/>
      <c r="I1722" s="6"/>
      <c r="J1722" s="6"/>
      <c r="K1722" s="6"/>
      <c r="L1722" s="6"/>
      <c r="M1722" s="6"/>
      <c r="N1722" s="6"/>
      <c r="O1722" s="6"/>
      <c r="P1722" s="6"/>
      <c r="Q1722" s="6"/>
      <c r="R1722" s="6"/>
      <c r="S1722" s="6"/>
      <c r="T1722" s="6"/>
      <c r="U1722" s="6"/>
      <c r="V1722" s="6"/>
      <c r="W1722" s="6"/>
      <c r="X1722" s="6"/>
      <c r="Y1722" s="6"/>
      <c r="Z1722" s="6"/>
      <c r="AA1722" s="6"/>
      <c r="AB1722" s="6"/>
      <c r="AC1722" s="6"/>
      <c r="AD1722" s="6"/>
      <c r="AE1722" s="6"/>
      <c r="AF1722" s="6"/>
      <c r="AG1722" s="6"/>
    </row>
    <row r="1723" spans="2:33">
      <c r="B1723" s="6"/>
      <c r="C1723" s="6"/>
      <c r="D1723" s="6"/>
      <c r="E1723" s="6"/>
      <c r="F1723" s="6"/>
      <c r="G1723" s="6"/>
      <c r="H1723" s="6"/>
      <c r="I1723" s="6"/>
      <c r="J1723" s="6"/>
      <c r="K1723" s="6"/>
      <c r="L1723" s="6"/>
      <c r="M1723" s="6"/>
      <c r="N1723" s="6"/>
      <c r="O1723" s="6"/>
      <c r="P1723" s="6"/>
      <c r="Q1723" s="6"/>
      <c r="R1723" s="6"/>
      <c r="S1723" s="6"/>
      <c r="T1723" s="6"/>
      <c r="U1723" s="6"/>
      <c r="V1723" s="6"/>
      <c r="W1723" s="6"/>
      <c r="X1723" s="6"/>
      <c r="Y1723" s="6"/>
      <c r="Z1723" s="6"/>
      <c r="AA1723" s="6"/>
      <c r="AB1723" s="6"/>
      <c r="AC1723" s="6"/>
      <c r="AD1723" s="6"/>
      <c r="AE1723" s="6"/>
      <c r="AF1723" s="6"/>
      <c r="AG1723" s="6"/>
    </row>
    <row r="1724" spans="2:33">
      <c r="B1724" s="6"/>
      <c r="C1724" s="6"/>
      <c r="D1724" s="6"/>
      <c r="E1724" s="6"/>
      <c r="F1724" s="6"/>
      <c r="G1724" s="6"/>
      <c r="H1724" s="6"/>
      <c r="I1724" s="6"/>
      <c r="J1724" s="6"/>
      <c r="K1724" s="6"/>
      <c r="L1724" s="6"/>
      <c r="M1724" s="6"/>
      <c r="N1724" s="6"/>
      <c r="O1724" s="6"/>
      <c r="P1724" s="6"/>
      <c r="Q1724" s="6"/>
      <c r="R1724" s="6"/>
      <c r="S1724" s="6"/>
      <c r="T1724" s="6"/>
      <c r="U1724" s="6"/>
      <c r="V1724" s="6"/>
      <c r="W1724" s="6"/>
      <c r="X1724" s="6"/>
      <c r="Y1724" s="6"/>
      <c r="Z1724" s="6"/>
      <c r="AA1724" s="6"/>
      <c r="AB1724" s="6"/>
      <c r="AC1724" s="6"/>
      <c r="AD1724" s="6"/>
      <c r="AE1724" s="6"/>
      <c r="AF1724" s="6"/>
      <c r="AG1724" s="6"/>
    </row>
    <row r="1728" spans="2:33">
      <c r="B1728" s="6"/>
      <c r="C1728" s="6"/>
      <c r="D1728" s="6"/>
      <c r="E1728" s="6"/>
      <c r="F1728" s="6"/>
      <c r="G1728" s="6"/>
      <c r="H1728" s="6"/>
      <c r="I1728" s="6"/>
      <c r="J1728" s="6"/>
      <c r="K1728" s="6"/>
      <c r="L1728" s="6"/>
      <c r="M1728" s="6"/>
      <c r="N1728" s="6"/>
      <c r="O1728" s="6"/>
      <c r="P1728" s="6"/>
      <c r="Q1728" s="6"/>
      <c r="R1728" s="6"/>
      <c r="S1728" s="6"/>
      <c r="T1728" s="6"/>
      <c r="U1728" s="6"/>
      <c r="V1728" s="6"/>
      <c r="W1728" s="6"/>
      <c r="X1728" s="6"/>
      <c r="Y1728" s="6"/>
      <c r="Z1728" s="6"/>
      <c r="AA1728" s="6"/>
      <c r="AB1728" s="6"/>
      <c r="AC1728" s="6"/>
      <c r="AD1728" s="6"/>
      <c r="AE1728" s="6"/>
      <c r="AF1728" s="6"/>
      <c r="AG1728" s="6"/>
    </row>
    <row r="1989" spans="2:33">
      <c r="B1989" s="6"/>
      <c r="C1989" s="6"/>
      <c r="D1989" s="6"/>
      <c r="E1989" s="6"/>
      <c r="F1989" s="6"/>
      <c r="G1989" s="6"/>
      <c r="H1989" s="6"/>
      <c r="I1989" s="6"/>
      <c r="J1989" s="6"/>
      <c r="K1989" s="6"/>
      <c r="L1989" s="6"/>
      <c r="M1989" s="6"/>
      <c r="N1989" s="6"/>
      <c r="O1989" s="6"/>
      <c r="P1989" s="6"/>
      <c r="Q1989" s="6"/>
      <c r="R1989" s="6"/>
      <c r="S1989" s="6"/>
      <c r="T1989" s="6"/>
      <c r="U1989" s="6"/>
      <c r="V1989" s="6"/>
      <c r="W1989" s="6"/>
      <c r="X1989" s="6"/>
      <c r="Y1989" s="6"/>
      <c r="Z1989" s="6"/>
      <c r="AA1989" s="6"/>
      <c r="AB1989" s="6"/>
      <c r="AC1989" s="6"/>
      <c r="AD1989" s="6"/>
      <c r="AE1989" s="6"/>
      <c r="AF1989" s="6"/>
      <c r="AG1989" s="6"/>
    </row>
    <row r="1990" spans="2:33">
      <c r="B1990" s="74"/>
      <c r="C1990" s="74"/>
      <c r="D1990" s="74"/>
      <c r="E1990" s="74"/>
      <c r="F1990" s="74"/>
      <c r="G1990" s="74"/>
      <c r="H1990" s="74"/>
      <c r="I1990" s="74"/>
      <c r="J1990" s="74"/>
      <c r="K1990" s="74"/>
      <c r="L1990" s="74"/>
      <c r="M1990" s="74"/>
      <c r="N1990" s="74"/>
      <c r="O1990" s="74"/>
      <c r="P1990" s="74"/>
      <c r="Q1990" s="74"/>
      <c r="R1990" s="74"/>
      <c r="S1990" s="74"/>
      <c r="T1990" s="74"/>
      <c r="U1990" s="74"/>
      <c r="V1990" s="74"/>
      <c r="W1990" s="74"/>
      <c r="X1990" s="74"/>
      <c r="Y1990" s="74"/>
      <c r="Z1990" s="74"/>
      <c r="AA1990" s="74"/>
      <c r="AB1990" s="74"/>
      <c r="AC1990" s="74"/>
      <c r="AD1990" s="74"/>
      <c r="AE1990" s="74"/>
      <c r="AF1990" s="74"/>
      <c r="AG1990" s="74"/>
    </row>
    <row r="1998" spans="2:33">
      <c r="B1998" s="6"/>
      <c r="C1998" s="6"/>
      <c r="D1998" s="6"/>
      <c r="E1998" s="6"/>
      <c r="F1998" s="6"/>
      <c r="G1998" s="6"/>
      <c r="H1998" s="6"/>
      <c r="I1998" s="6"/>
      <c r="J1998" s="6"/>
      <c r="K1998" s="6"/>
      <c r="L1998" s="6"/>
      <c r="M1998" s="6"/>
      <c r="N1998" s="6"/>
      <c r="O1998" s="6"/>
      <c r="P1998" s="6"/>
      <c r="Q1998" s="6"/>
      <c r="R1998" s="6"/>
      <c r="S1998" s="6"/>
      <c r="T1998" s="6"/>
      <c r="U1998" s="6"/>
      <c r="V1998" s="6"/>
      <c r="W1998" s="6"/>
      <c r="X1998" s="6"/>
      <c r="Y1998" s="6"/>
      <c r="Z1998" s="6"/>
      <c r="AA1998" s="6"/>
      <c r="AB1998" s="6"/>
      <c r="AC1998" s="6"/>
      <c r="AD1998" s="6"/>
      <c r="AE1998" s="6"/>
      <c r="AF1998" s="6"/>
      <c r="AG1998" s="6"/>
    </row>
    <row r="1999" spans="2:33">
      <c r="B1999" s="6"/>
      <c r="C1999" s="6"/>
      <c r="D1999" s="6"/>
      <c r="E1999" s="6"/>
      <c r="F1999" s="6"/>
      <c r="G1999" s="6"/>
      <c r="H1999" s="6"/>
      <c r="I1999" s="6"/>
      <c r="J1999" s="6"/>
      <c r="K1999" s="6"/>
      <c r="L1999" s="6"/>
      <c r="M1999" s="6"/>
      <c r="N1999" s="6"/>
      <c r="O1999" s="6"/>
      <c r="P1999" s="6"/>
      <c r="Q1999" s="6"/>
      <c r="R1999" s="6"/>
      <c r="S1999" s="6"/>
      <c r="T1999" s="6"/>
      <c r="U1999" s="6"/>
      <c r="V1999" s="6"/>
      <c r="W1999" s="6"/>
      <c r="X1999" s="6"/>
      <c r="Y1999" s="6"/>
      <c r="Z1999" s="6"/>
      <c r="AA1999" s="6"/>
      <c r="AB1999" s="6"/>
      <c r="AC1999" s="6"/>
      <c r="AD1999" s="6"/>
      <c r="AE1999" s="6"/>
      <c r="AF1999" s="6"/>
      <c r="AG1999" s="6"/>
    </row>
    <row r="2000" spans="2:33">
      <c r="B2000" s="6"/>
      <c r="C2000" s="6"/>
      <c r="D2000" s="6"/>
      <c r="E2000" s="6"/>
      <c r="F2000" s="6"/>
      <c r="G2000" s="6"/>
      <c r="H2000" s="6"/>
      <c r="I2000" s="6"/>
      <c r="J2000" s="6"/>
      <c r="K2000" s="6"/>
      <c r="L2000" s="6"/>
      <c r="M2000" s="6"/>
      <c r="N2000" s="6"/>
      <c r="O2000" s="6"/>
      <c r="P2000" s="6"/>
      <c r="Q2000" s="6"/>
      <c r="R2000" s="6"/>
      <c r="S2000" s="6"/>
      <c r="T2000" s="6"/>
      <c r="U2000" s="6"/>
      <c r="V2000" s="6"/>
      <c r="W2000" s="6"/>
      <c r="X2000" s="6"/>
      <c r="Y2000" s="6"/>
      <c r="Z2000" s="6"/>
      <c r="AA2000" s="6"/>
      <c r="AB2000" s="6"/>
      <c r="AC2000" s="6"/>
      <c r="AD2000" s="6"/>
      <c r="AE2000" s="6"/>
      <c r="AF2000" s="6"/>
      <c r="AG2000" s="6"/>
    </row>
    <row r="2324" spans="2:33">
      <c r="B2324" s="6"/>
      <c r="C2324" s="6"/>
      <c r="D2324" s="6"/>
      <c r="E2324" s="6"/>
      <c r="F2324" s="6"/>
      <c r="G2324" s="6"/>
      <c r="H2324" s="6"/>
      <c r="I2324" s="6"/>
      <c r="J2324" s="6"/>
      <c r="K2324" s="6"/>
      <c r="L2324" s="6"/>
      <c r="M2324" s="6"/>
      <c r="N2324" s="6"/>
      <c r="O2324" s="6"/>
      <c r="P2324" s="6"/>
      <c r="Q2324" s="6"/>
      <c r="R2324" s="6"/>
      <c r="S2324" s="6"/>
      <c r="T2324" s="6"/>
      <c r="U2324" s="6"/>
      <c r="V2324" s="6"/>
      <c r="W2324" s="6"/>
      <c r="X2324" s="6"/>
      <c r="Y2324" s="6"/>
      <c r="Z2324" s="6"/>
      <c r="AA2324" s="6"/>
      <c r="AB2324" s="6"/>
      <c r="AC2324" s="6"/>
      <c r="AD2324" s="6"/>
      <c r="AE2324" s="6"/>
      <c r="AF2324" s="6"/>
      <c r="AG2324" s="6"/>
    </row>
    <row r="2325" spans="2:33">
      <c r="B2325" s="74"/>
      <c r="C2325" s="74"/>
      <c r="D2325" s="74"/>
      <c r="E2325" s="74"/>
      <c r="F2325" s="74"/>
      <c r="G2325" s="74"/>
      <c r="H2325" s="74"/>
      <c r="I2325" s="74"/>
      <c r="J2325" s="74"/>
      <c r="K2325" s="74"/>
      <c r="L2325" s="74"/>
      <c r="M2325" s="74"/>
      <c r="N2325" s="74"/>
      <c r="O2325" s="74"/>
      <c r="P2325" s="74"/>
      <c r="Q2325" s="74"/>
      <c r="R2325" s="74"/>
      <c r="S2325" s="74"/>
      <c r="T2325" s="74"/>
      <c r="U2325" s="74"/>
      <c r="V2325" s="74"/>
      <c r="W2325" s="74"/>
      <c r="X2325" s="74"/>
      <c r="Y2325" s="74"/>
      <c r="Z2325" s="74"/>
      <c r="AA2325" s="74"/>
      <c r="AB2325" s="74"/>
      <c r="AC2325" s="74"/>
      <c r="AD2325" s="74"/>
      <c r="AE2325" s="74"/>
      <c r="AF2325" s="74"/>
      <c r="AG2325" s="74"/>
    </row>
    <row r="2327" spans="2:33">
      <c r="B2327" s="6"/>
      <c r="C2327" s="6"/>
      <c r="D2327" s="6"/>
      <c r="E2327" s="6"/>
      <c r="F2327" s="6"/>
      <c r="G2327" s="6"/>
      <c r="H2327" s="6"/>
      <c r="I2327" s="6"/>
      <c r="J2327" s="6"/>
      <c r="K2327" s="6"/>
      <c r="L2327" s="6"/>
      <c r="M2327" s="6"/>
      <c r="N2327" s="6"/>
      <c r="O2327" s="6"/>
      <c r="P2327" s="6"/>
      <c r="Q2327" s="6"/>
      <c r="R2327" s="6"/>
      <c r="S2327" s="6"/>
      <c r="T2327" s="6"/>
      <c r="U2327" s="6"/>
      <c r="V2327" s="6"/>
      <c r="W2327" s="6"/>
      <c r="X2327" s="6"/>
      <c r="Y2327" s="6"/>
      <c r="Z2327" s="6"/>
      <c r="AA2327" s="6"/>
      <c r="AB2327" s="6"/>
      <c r="AC2327" s="6"/>
      <c r="AD2327" s="6"/>
      <c r="AE2327" s="6"/>
      <c r="AF2327" s="6"/>
      <c r="AG2327" s="6"/>
    </row>
    <row r="2328" spans="2:33">
      <c r="B2328" s="6"/>
      <c r="C2328" s="6"/>
      <c r="D2328" s="6"/>
      <c r="E2328" s="6"/>
      <c r="F2328" s="6"/>
      <c r="G2328" s="6"/>
      <c r="H2328" s="6"/>
      <c r="I2328" s="6"/>
      <c r="J2328" s="6"/>
      <c r="K2328" s="6"/>
      <c r="L2328" s="6"/>
      <c r="M2328" s="6"/>
      <c r="N2328" s="6"/>
      <c r="O2328" s="6"/>
      <c r="P2328" s="6"/>
      <c r="Q2328" s="6"/>
      <c r="R2328" s="6"/>
      <c r="S2328" s="6"/>
      <c r="T2328" s="6"/>
      <c r="U2328" s="6"/>
      <c r="V2328" s="6"/>
      <c r="W2328" s="6"/>
      <c r="X2328" s="6"/>
      <c r="Y2328" s="6"/>
      <c r="Z2328" s="6"/>
      <c r="AA2328" s="6"/>
      <c r="AB2328" s="6"/>
      <c r="AC2328" s="6"/>
      <c r="AD2328" s="6"/>
      <c r="AE2328" s="6"/>
      <c r="AF2328" s="6"/>
      <c r="AG2328" s="6"/>
    </row>
    <row r="2329" spans="2:33">
      <c r="B2329" s="6"/>
      <c r="C2329" s="6"/>
      <c r="D2329" s="6"/>
      <c r="E2329" s="6"/>
      <c r="F2329" s="6"/>
      <c r="G2329" s="6"/>
      <c r="H2329" s="6"/>
      <c r="I2329" s="6"/>
      <c r="J2329" s="6"/>
      <c r="K2329" s="6"/>
      <c r="L2329" s="6"/>
      <c r="M2329" s="6"/>
      <c r="N2329" s="6"/>
      <c r="O2329" s="6"/>
      <c r="P2329" s="6"/>
      <c r="Q2329" s="6"/>
      <c r="R2329" s="6"/>
      <c r="S2329" s="6"/>
      <c r="T2329" s="6"/>
      <c r="U2329" s="6"/>
      <c r="V2329" s="6"/>
      <c r="W2329" s="6"/>
      <c r="X2329" s="6"/>
      <c r="Y2329" s="6"/>
      <c r="Z2329" s="6"/>
      <c r="AA2329" s="6"/>
      <c r="AB2329" s="6"/>
      <c r="AC2329" s="6"/>
      <c r="AD2329" s="6"/>
      <c r="AE2329" s="6"/>
      <c r="AF2329" s="6"/>
      <c r="AG2329" s="6"/>
    </row>
    <row r="2330" spans="2:33">
      <c r="B2330" s="6"/>
      <c r="C2330" s="6"/>
      <c r="D2330" s="6"/>
      <c r="E2330" s="6"/>
      <c r="F2330" s="6"/>
      <c r="G2330" s="6"/>
      <c r="H2330" s="6"/>
      <c r="I2330" s="6"/>
      <c r="J2330" s="6"/>
      <c r="K2330" s="6"/>
      <c r="L2330" s="6"/>
      <c r="M2330" s="6"/>
      <c r="N2330" s="6"/>
      <c r="O2330" s="6"/>
      <c r="P2330" s="6"/>
      <c r="Q2330" s="6"/>
      <c r="R2330" s="6"/>
      <c r="S2330" s="6"/>
      <c r="T2330" s="6"/>
      <c r="U2330" s="6"/>
      <c r="V2330" s="6"/>
      <c r="W2330" s="6"/>
      <c r="X2330" s="6"/>
      <c r="Y2330" s="6"/>
      <c r="Z2330" s="6"/>
      <c r="AA2330" s="6"/>
      <c r="AB2330" s="6"/>
      <c r="AC2330" s="6"/>
      <c r="AD2330" s="6"/>
      <c r="AE2330" s="6"/>
      <c r="AF2330" s="6"/>
      <c r="AG2330" s="6"/>
    </row>
    <row r="2331" spans="2:33">
      <c r="B2331" s="6"/>
      <c r="C2331" s="6"/>
      <c r="D2331" s="6"/>
      <c r="E2331" s="6"/>
      <c r="F2331" s="6"/>
      <c r="G2331" s="6"/>
      <c r="H2331" s="6"/>
      <c r="I2331" s="6"/>
      <c r="J2331" s="6"/>
      <c r="K2331" s="6"/>
      <c r="L2331" s="6"/>
      <c r="M2331" s="6"/>
      <c r="N2331" s="6"/>
      <c r="O2331" s="6"/>
      <c r="P2331" s="6"/>
      <c r="Q2331" s="6"/>
      <c r="R2331" s="6"/>
      <c r="S2331" s="6"/>
      <c r="T2331" s="6"/>
      <c r="U2331" s="6"/>
      <c r="V2331" s="6"/>
      <c r="W2331" s="6"/>
      <c r="X2331" s="6"/>
      <c r="Y2331" s="6"/>
      <c r="Z2331" s="6"/>
      <c r="AA2331" s="6"/>
      <c r="AB2331" s="6"/>
      <c r="AC2331" s="6"/>
      <c r="AD2331" s="6"/>
      <c r="AE2331" s="6"/>
      <c r="AF2331" s="6"/>
      <c r="AG2331" s="6"/>
    </row>
    <row r="2332" spans="2:33">
      <c r="B2332" s="6"/>
      <c r="C2332" s="6"/>
      <c r="D2332" s="6"/>
      <c r="E2332" s="6"/>
      <c r="F2332" s="6"/>
      <c r="G2332" s="6"/>
      <c r="H2332" s="6"/>
      <c r="I2332" s="6"/>
      <c r="J2332" s="6"/>
      <c r="K2332" s="6"/>
      <c r="L2332" s="6"/>
      <c r="M2332" s="6"/>
      <c r="N2332" s="6"/>
      <c r="O2332" s="6"/>
      <c r="P2332" s="6"/>
      <c r="Q2332" s="6"/>
      <c r="R2332" s="6"/>
      <c r="S2332" s="6"/>
      <c r="T2332" s="6"/>
      <c r="U2332" s="6"/>
      <c r="V2332" s="6"/>
      <c r="W2332" s="6"/>
      <c r="X2332" s="6"/>
      <c r="Y2332" s="6"/>
      <c r="Z2332" s="6"/>
      <c r="AA2332" s="6"/>
      <c r="AB2332" s="6"/>
      <c r="AC2332" s="6"/>
      <c r="AD2332" s="6"/>
      <c r="AE2332" s="6"/>
      <c r="AF2332" s="6"/>
      <c r="AG2332" s="6"/>
    </row>
    <row r="2333" spans="2:33">
      <c r="B2333" s="6"/>
      <c r="C2333" s="6"/>
      <c r="D2333" s="6"/>
      <c r="E2333" s="6"/>
      <c r="F2333" s="6"/>
      <c r="G2333" s="6"/>
      <c r="H2333" s="6"/>
      <c r="I2333" s="6"/>
      <c r="J2333" s="6"/>
      <c r="K2333" s="6"/>
      <c r="L2333" s="6"/>
      <c r="M2333" s="6"/>
      <c r="N2333" s="6"/>
      <c r="O2333" s="6"/>
      <c r="P2333" s="6"/>
      <c r="Q2333" s="6"/>
      <c r="R2333" s="6"/>
      <c r="S2333" s="6"/>
      <c r="T2333" s="6"/>
      <c r="U2333" s="6"/>
      <c r="V2333" s="6"/>
      <c r="W2333" s="6"/>
      <c r="X2333" s="6"/>
      <c r="Y2333" s="6"/>
      <c r="Z2333" s="6"/>
      <c r="AA2333" s="6"/>
      <c r="AB2333" s="6"/>
      <c r="AC2333" s="6"/>
      <c r="AD2333" s="6"/>
      <c r="AE2333" s="6"/>
      <c r="AF2333" s="6"/>
      <c r="AG2333" s="6"/>
    </row>
    <row r="2334" spans="2:33">
      <c r="B2334" s="6"/>
      <c r="C2334" s="6"/>
      <c r="D2334" s="6"/>
      <c r="E2334" s="6"/>
      <c r="F2334" s="6"/>
      <c r="G2334" s="6"/>
      <c r="H2334" s="6"/>
      <c r="I2334" s="6"/>
      <c r="J2334" s="6"/>
      <c r="K2334" s="6"/>
      <c r="L2334" s="6"/>
      <c r="M2334" s="6"/>
      <c r="N2334" s="6"/>
      <c r="O2334" s="6"/>
      <c r="P2334" s="6"/>
      <c r="Q2334" s="6"/>
      <c r="R2334" s="6"/>
      <c r="S2334" s="6"/>
      <c r="T2334" s="6"/>
      <c r="U2334" s="6"/>
      <c r="V2334" s="6"/>
      <c r="W2334" s="6"/>
      <c r="X2334" s="6"/>
      <c r="Y2334" s="6"/>
      <c r="Z2334" s="6"/>
      <c r="AA2334" s="6"/>
      <c r="AB2334" s="6"/>
      <c r="AC2334" s="6"/>
      <c r="AD2334" s="6"/>
      <c r="AE2334" s="6"/>
      <c r="AF2334" s="6"/>
      <c r="AG2334" s="6"/>
    </row>
    <row r="2335" spans="2:33">
      <c r="B2335" s="6"/>
      <c r="C2335" s="6"/>
      <c r="D2335" s="6"/>
      <c r="E2335" s="6"/>
      <c r="F2335" s="6"/>
      <c r="G2335" s="6"/>
      <c r="H2335" s="6"/>
      <c r="I2335" s="6"/>
      <c r="J2335" s="6"/>
      <c r="K2335" s="6"/>
      <c r="L2335" s="6"/>
      <c r="M2335" s="6"/>
      <c r="N2335" s="6"/>
      <c r="O2335" s="6"/>
      <c r="P2335" s="6"/>
      <c r="Q2335" s="6"/>
      <c r="R2335" s="6"/>
      <c r="S2335" s="6"/>
      <c r="T2335" s="6"/>
      <c r="U2335" s="6"/>
      <c r="V2335" s="6"/>
      <c r="W2335" s="6"/>
      <c r="X2335" s="6"/>
      <c r="Y2335" s="6"/>
      <c r="Z2335" s="6"/>
      <c r="AA2335" s="6"/>
      <c r="AB2335" s="6"/>
      <c r="AC2335" s="6"/>
      <c r="AD2335" s="6"/>
      <c r="AE2335" s="6"/>
      <c r="AF2335" s="6"/>
      <c r="AG2335" s="6"/>
    </row>
    <row r="2336" spans="2:33">
      <c r="B2336" s="6"/>
      <c r="C2336" s="6"/>
      <c r="D2336" s="6"/>
      <c r="E2336" s="6"/>
      <c r="F2336" s="6"/>
      <c r="G2336" s="6"/>
      <c r="H2336" s="6"/>
      <c r="I2336" s="6"/>
      <c r="J2336" s="6"/>
      <c r="K2336" s="6"/>
      <c r="L2336" s="6"/>
      <c r="M2336" s="6"/>
      <c r="N2336" s="6"/>
      <c r="O2336" s="6"/>
      <c r="P2336" s="6"/>
      <c r="Q2336" s="6"/>
      <c r="R2336" s="6"/>
      <c r="S2336" s="6"/>
      <c r="T2336" s="6"/>
      <c r="U2336" s="6"/>
      <c r="V2336" s="6"/>
      <c r="W2336" s="6"/>
      <c r="X2336" s="6"/>
      <c r="Y2336" s="6"/>
      <c r="Z2336" s="6"/>
      <c r="AA2336" s="6"/>
      <c r="AB2336" s="6"/>
      <c r="AC2336" s="6"/>
      <c r="AD2336" s="6"/>
      <c r="AE2336" s="6"/>
      <c r="AF2336" s="6"/>
      <c r="AG2336" s="6"/>
    </row>
    <row r="2644" spans="2:33">
      <c r="B2644" s="6"/>
      <c r="C2644" s="6"/>
      <c r="D2644" s="6"/>
      <c r="E2644" s="6"/>
      <c r="F2644" s="6"/>
      <c r="G2644" s="6"/>
      <c r="H2644" s="6"/>
      <c r="I2644" s="6"/>
      <c r="J2644" s="6"/>
      <c r="K2644" s="6"/>
      <c r="L2644" s="6"/>
      <c r="M2644" s="6"/>
      <c r="N2644" s="6"/>
      <c r="O2644" s="6"/>
      <c r="P2644" s="6"/>
      <c r="Q2644" s="6"/>
      <c r="R2644" s="6"/>
      <c r="S2644" s="6"/>
      <c r="T2644" s="6"/>
      <c r="U2644" s="6"/>
      <c r="V2644" s="6"/>
      <c r="W2644" s="6"/>
      <c r="X2644" s="6"/>
      <c r="Y2644" s="6"/>
      <c r="Z2644" s="6"/>
      <c r="AA2644" s="6"/>
      <c r="AB2644" s="6"/>
      <c r="AC2644" s="6"/>
      <c r="AD2644" s="6"/>
      <c r="AE2644" s="6"/>
      <c r="AF2644" s="6"/>
      <c r="AG2644" s="6"/>
    </row>
    <row r="2645" spans="2:33">
      <c r="B2645" s="74"/>
      <c r="C2645" s="74"/>
      <c r="D2645" s="74"/>
      <c r="E2645" s="74"/>
      <c r="F2645" s="74"/>
      <c r="G2645" s="74"/>
      <c r="H2645" s="74"/>
      <c r="I2645" s="74"/>
      <c r="J2645" s="74"/>
      <c r="K2645" s="74"/>
      <c r="L2645" s="74"/>
      <c r="M2645" s="74"/>
      <c r="N2645" s="74"/>
      <c r="O2645" s="74"/>
      <c r="P2645" s="74"/>
      <c r="Q2645" s="74"/>
      <c r="R2645" s="74"/>
      <c r="S2645" s="74"/>
      <c r="T2645" s="74"/>
      <c r="U2645" s="74"/>
      <c r="V2645" s="74"/>
      <c r="W2645" s="74"/>
      <c r="X2645" s="74"/>
      <c r="Y2645" s="74"/>
      <c r="Z2645" s="74"/>
      <c r="AA2645" s="74"/>
      <c r="AB2645" s="74"/>
      <c r="AC2645" s="74"/>
      <c r="AD2645" s="74"/>
      <c r="AE2645" s="74"/>
      <c r="AF2645" s="74"/>
      <c r="AG2645" s="74"/>
    </row>
    <row r="2647" spans="2:33">
      <c r="B2647" s="6"/>
      <c r="C2647" s="6"/>
      <c r="D2647" s="6"/>
      <c r="E2647" s="6"/>
      <c r="F2647" s="6"/>
      <c r="G2647" s="6"/>
      <c r="H2647" s="6"/>
      <c r="I2647" s="6"/>
      <c r="J2647" s="6"/>
      <c r="K2647" s="6"/>
      <c r="L2647" s="6"/>
      <c r="M2647" s="6"/>
      <c r="N2647" s="6"/>
      <c r="O2647" s="6"/>
      <c r="P2647" s="6"/>
      <c r="Q2647" s="6"/>
      <c r="R2647" s="6"/>
      <c r="S2647" s="6"/>
      <c r="T2647" s="6"/>
      <c r="U2647" s="6"/>
      <c r="V2647" s="6"/>
      <c r="W2647" s="6"/>
      <c r="X2647" s="6"/>
      <c r="Y2647" s="6"/>
      <c r="Z2647" s="6"/>
      <c r="AA2647" s="6"/>
      <c r="AB2647" s="6"/>
      <c r="AC2647" s="6"/>
      <c r="AD2647" s="6"/>
      <c r="AE2647" s="6"/>
      <c r="AF2647" s="6"/>
      <c r="AG2647" s="6"/>
    </row>
    <row r="2648" spans="2:33">
      <c r="B2648" s="6"/>
      <c r="C2648" s="6"/>
      <c r="D2648" s="6"/>
      <c r="E2648" s="6"/>
      <c r="F2648" s="6"/>
      <c r="G2648" s="6"/>
      <c r="H2648" s="6"/>
      <c r="I2648" s="6"/>
      <c r="J2648" s="6"/>
      <c r="K2648" s="6"/>
      <c r="L2648" s="6"/>
      <c r="M2648" s="6"/>
      <c r="N2648" s="6"/>
      <c r="O2648" s="6"/>
      <c r="P2648" s="6"/>
      <c r="Q2648" s="6"/>
      <c r="R2648" s="6"/>
      <c r="S2648" s="6"/>
      <c r="T2648" s="6"/>
      <c r="U2648" s="6"/>
      <c r="V2648" s="6"/>
      <c r="W2648" s="6"/>
      <c r="X2648" s="6"/>
      <c r="Y2648" s="6"/>
      <c r="Z2648" s="6"/>
      <c r="AA2648" s="6"/>
      <c r="AB2648" s="6"/>
      <c r="AC2648" s="6"/>
      <c r="AD2648" s="6"/>
      <c r="AE2648" s="6"/>
      <c r="AF2648" s="6"/>
      <c r="AG2648" s="6"/>
    </row>
    <row r="2649" spans="2:33">
      <c r="B2649" s="6"/>
      <c r="C2649" s="6"/>
      <c r="D2649" s="6"/>
      <c r="E2649" s="6"/>
      <c r="F2649" s="6"/>
      <c r="G2649" s="6"/>
      <c r="H2649" s="6"/>
      <c r="I2649" s="6"/>
      <c r="J2649" s="6"/>
      <c r="K2649" s="6"/>
      <c r="L2649" s="6"/>
      <c r="M2649" s="6"/>
      <c r="N2649" s="6"/>
      <c r="O2649" s="6"/>
      <c r="P2649" s="6"/>
      <c r="Q2649" s="6"/>
      <c r="R2649" s="6"/>
      <c r="S2649" s="6"/>
      <c r="T2649" s="6"/>
      <c r="U2649" s="6"/>
      <c r="V2649" s="6"/>
      <c r="W2649" s="6"/>
      <c r="X2649" s="6"/>
      <c r="Y2649" s="6"/>
      <c r="Z2649" s="6"/>
      <c r="AA2649" s="6"/>
      <c r="AB2649" s="6"/>
      <c r="AC2649" s="6"/>
      <c r="AD2649" s="6"/>
      <c r="AE2649" s="6"/>
      <c r="AF2649" s="6"/>
      <c r="AG2649" s="6"/>
    </row>
    <row r="2650" spans="2:33">
      <c r="B2650" s="6"/>
      <c r="C2650" s="6"/>
      <c r="D2650" s="6"/>
      <c r="E2650" s="6"/>
      <c r="F2650" s="6"/>
      <c r="G2650" s="6"/>
      <c r="H2650" s="6"/>
      <c r="I2650" s="6"/>
      <c r="J2650" s="6"/>
      <c r="K2650" s="6"/>
      <c r="L2650" s="6"/>
      <c r="M2650" s="6"/>
      <c r="N2650" s="6"/>
      <c r="O2650" s="6"/>
      <c r="P2650" s="6"/>
      <c r="Q2650" s="6"/>
      <c r="R2650" s="6"/>
      <c r="S2650" s="6"/>
      <c r="T2650" s="6"/>
      <c r="U2650" s="6"/>
      <c r="V2650" s="6"/>
      <c r="W2650" s="6"/>
      <c r="X2650" s="6"/>
      <c r="Y2650" s="6"/>
      <c r="Z2650" s="6"/>
      <c r="AA2650" s="6"/>
      <c r="AB2650" s="6"/>
      <c r="AC2650" s="6"/>
      <c r="AD2650" s="6"/>
      <c r="AE2650" s="6"/>
      <c r="AF2650" s="6"/>
      <c r="AG2650" s="6"/>
    </row>
    <row r="2651" spans="2:33">
      <c r="B2651" s="6"/>
      <c r="C2651" s="6"/>
      <c r="D2651" s="6"/>
      <c r="E2651" s="6"/>
      <c r="F2651" s="6"/>
      <c r="G2651" s="6"/>
      <c r="H2651" s="6"/>
      <c r="I2651" s="6"/>
      <c r="J2651" s="6"/>
      <c r="K2651" s="6"/>
      <c r="L2651" s="6"/>
      <c r="M2651" s="6"/>
      <c r="N2651" s="6"/>
      <c r="O2651" s="6"/>
      <c r="P2651" s="6"/>
      <c r="Q2651" s="6"/>
      <c r="R2651" s="6"/>
      <c r="S2651" s="6"/>
      <c r="T2651" s="6"/>
      <c r="U2651" s="6"/>
      <c r="V2651" s="6"/>
      <c r="W2651" s="6"/>
      <c r="X2651" s="6"/>
      <c r="Y2651" s="6"/>
      <c r="Z2651" s="6"/>
      <c r="AA2651" s="6"/>
      <c r="AB2651" s="6"/>
      <c r="AC2651" s="6"/>
      <c r="AD2651" s="6"/>
      <c r="AE2651" s="6"/>
      <c r="AF2651" s="6"/>
      <c r="AG2651" s="6"/>
    </row>
    <row r="2652" spans="2:33">
      <c r="B2652" s="6"/>
      <c r="C2652" s="6"/>
      <c r="D2652" s="6"/>
      <c r="E2652" s="6"/>
      <c r="F2652" s="6"/>
      <c r="G2652" s="6"/>
      <c r="H2652" s="6"/>
      <c r="I2652" s="6"/>
      <c r="J2652" s="6"/>
      <c r="K2652" s="6"/>
      <c r="L2652" s="6"/>
      <c r="M2652" s="6"/>
      <c r="N2652" s="6"/>
      <c r="O2652" s="6"/>
      <c r="P2652" s="6"/>
      <c r="Q2652" s="6"/>
      <c r="R2652" s="6"/>
      <c r="S2652" s="6"/>
      <c r="T2652" s="6"/>
      <c r="U2652" s="6"/>
      <c r="V2652" s="6"/>
      <c r="W2652" s="6"/>
      <c r="X2652" s="6"/>
      <c r="Y2652" s="6"/>
      <c r="Z2652" s="6"/>
      <c r="AA2652" s="6"/>
      <c r="AB2652" s="6"/>
      <c r="AC2652" s="6"/>
      <c r="AD2652" s="6"/>
      <c r="AE2652" s="6"/>
      <c r="AF2652" s="6"/>
      <c r="AG2652" s="6"/>
    </row>
    <row r="2653" spans="2:33">
      <c r="B2653" s="6"/>
      <c r="C2653" s="6"/>
      <c r="D2653" s="6"/>
      <c r="E2653" s="6"/>
      <c r="F2653" s="6"/>
      <c r="G2653" s="6"/>
      <c r="H2653" s="6"/>
      <c r="I2653" s="6"/>
      <c r="J2653" s="6"/>
      <c r="K2653" s="6"/>
      <c r="L2653" s="6"/>
      <c r="M2653" s="6"/>
      <c r="N2653" s="6"/>
      <c r="O2653" s="6"/>
      <c r="P2653" s="6"/>
      <c r="Q2653" s="6"/>
      <c r="R2653" s="6"/>
      <c r="S2653" s="6"/>
      <c r="T2653" s="6"/>
      <c r="U2653" s="6"/>
      <c r="V2653" s="6"/>
      <c r="W2653" s="6"/>
      <c r="X2653" s="6"/>
      <c r="Y2653" s="6"/>
      <c r="Z2653" s="6"/>
      <c r="AA2653" s="6"/>
      <c r="AB2653" s="6"/>
      <c r="AC2653" s="6"/>
      <c r="AD2653" s="6"/>
      <c r="AE2653" s="6"/>
      <c r="AF2653" s="6"/>
      <c r="AG2653" s="6"/>
    </row>
    <row r="2654" spans="2:33">
      <c r="B2654" s="6"/>
      <c r="C2654" s="6"/>
      <c r="D2654" s="6"/>
      <c r="E2654" s="6"/>
      <c r="F2654" s="6"/>
      <c r="G2654" s="6"/>
      <c r="H2654" s="6"/>
      <c r="I2654" s="6"/>
      <c r="J2654" s="6"/>
      <c r="K2654" s="6"/>
      <c r="L2654" s="6"/>
      <c r="M2654" s="6"/>
      <c r="N2654" s="6"/>
      <c r="O2654" s="6"/>
      <c r="P2654" s="6"/>
      <c r="Q2654" s="6"/>
      <c r="R2654" s="6"/>
      <c r="S2654" s="6"/>
      <c r="T2654" s="6"/>
      <c r="U2654" s="6"/>
      <c r="V2654" s="6"/>
      <c r="W2654" s="6"/>
      <c r="X2654" s="6"/>
      <c r="Y2654" s="6"/>
      <c r="Z2654" s="6"/>
      <c r="AA2654" s="6"/>
      <c r="AB2654" s="6"/>
      <c r="AC2654" s="6"/>
      <c r="AD2654" s="6"/>
      <c r="AE2654" s="6"/>
      <c r="AF2654" s="6"/>
      <c r="AG2654" s="6"/>
    </row>
    <row r="2655" spans="2:33">
      <c r="B2655" s="6"/>
      <c r="C2655" s="6"/>
      <c r="D2655" s="6"/>
      <c r="E2655" s="6"/>
      <c r="F2655" s="6"/>
      <c r="G2655" s="6"/>
      <c r="H2655" s="6"/>
      <c r="I2655" s="6"/>
      <c r="J2655" s="6"/>
      <c r="K2655" s="6"/>
      <c r="L2655" s="6"/>
      <c r="M2655" s="6"/>
      <c r="N2655" s="6"/>
      <c r="O2655" s="6"/>
      <c r="P2655" s="6"/>
      <c r="Q2655" s="6"/>
      <c r="R2655" s="6"/>
      <c r="S2655" s="6"/>
      <c r="T2655" s="6"/>
      <c r="U2655" s="6"/>
      <c r="V2655" s="6"/>
      <c r="W2655" s="6"/>
      <c r="X2655" s="6"/>
      <c r="Y2655" s="6"/>
      <c r="Z2655" s="6"/>
      <c r="AA2655" s="6"/>
      <c r="AB2655" s="6"/>
      <c r="AC2655" s="6"/>
      <c r="AD2655" s="6"/>
      <c r="AE2655" s="6"/>
      <c r="AF2655" s="6"/>
      <c r="AG2655" s="6"/>
    </row>
    <row r="2656" spans="2:33">
      <c r="B2656" s="6"/>
      <c r="C2656" s="6"/>
      <c r="D2656" s="6"/>
      <c r="E2656" s="6"/>
      <c r="F2656" s="6"/>
      <c r="G2656" s="6"/>
      <c r="H2656" s="6"/>
      <c r="I2656" s="6"/>
      <c r="J2656" s="6"/>
      <c r="K2656" s="6"/>
      <c r="L2656" s="6"/>
      <c r="M2656" s="6"/>
      <c r="N2656" s="6"/>
      <c r="O2656" s="6"/>
      <c r="P2656" s="6"/>
      <c r="Q2656" s="6"/>
      <c r="R2656" s="6"/>
      <c r="S2656" s="6"/>
      <c r="T2656" s="6"/>
      <c r="U2656" s="6"/>
      <c r="V2656" s="6"/>
      <c r="W2656" s="6"/>
      <c r="X2656" s="6"/>
      <c r="Y2656" s="6"/>
      <c r="Z2656" s="6"/>
      <c r="AA2656" s="6"/>
      <c r="AB2656" s="6"/>
      <c r="AC2656" s="6"/>
      <c r="AD2656" s="6"/>
      <c r="AE2656" s="6"/>
      <c r="AF2656" s="6"/>
      <c r="AG2656" s="6"/>
    </row>
    <row r="2965" spans="2:33">
      <c r="B2965" s="6"/>
      <c r="C2965" s="6"/>
      <c r="D2965" s="6"/>
      <c r="E2965" s="6"/>
      <c r="F2965" s="6"/>
      <c r="G2965" s="6"/>
      <c r="H2965" s="6"/>
      <c r="I2965" s="6"/>
      <c r="J2965" s="6"/>
      <c r="K2965" s="6"/>
      <c r="L2965" s="6"/>
      <c r="M2965" s="6"/>
      <c r="N2965" s="6"/>
      <c r="O2965" s="6"/>
      <c r="P2965" s="6"/>
      <c r="Q2965" s="6"/>
      <c r="R2965" s="6"/>
      <c r="S2965" s="6"/>
      <c r="T2965" s="6"/>
      <c r="U2965" s="6"/>
      <c r="V2965" s="6"/>
      <c r="W2965" s="6"/>
      <c r="X2965" s="6"/>
      <c r="Y2965" s="6"/>
      <c r="Z2965" s="6"/>
      <c r="AA2965" s="6"/>
      <c r="AB2965" s="6"/>
      <c r="AC2965" s="6"/>
      <c r="AD2965" s="6"/>
      <c r="AE2965" s="6"/>
      <c r="AF2965" s="6"/>
      <c r="AG2965" s="6"/>
    </row>
    <row r="2970" spans="2:33">
      <c r="B2970" s="6"/>
      <c r="C2970" s="6"/>
      <c r="D2970" s="6"/>
      <c r="E2970" s="6"/>
      <c r="F2970" s="6"/>
      <c r="G2970" s="6"/>
      <c r="H2970" s="6"/>
      <c r="I2970" s="6"/>
      <c r="J2970" s="6"/>
      <c r="K2970" s="6"/>
      <c r="L2970" s="6"/>
      <c r="M2970" s="6"/>
      <c r="N2970" s="6"/>
      <c r="O2970" s="6"/>
      <c r="P2970" s="6"/>
      <c r="Q2970" s="6"/>
      <c r="R2970" s="6"/>
      <c r="S2970" s="6"/>
      <c r="T2970" s="6"/>
      <c r="U2970" s="6"/>
      <c r="V2970" s="6"/>
      <c r="W2970" s="6"/>
      <c r="X2970" s="6"/>
      <c r="Y2970" s="6"/>
      <c r="Z2970" s="6"/>
      <c r="AA2970" s="6"/>
      <c r="AB2970" s="6"/>
      <c r="AC2970" s="6"/>
      <c r="AD2970" s="6"/>
      <c r="AE2970" s="6"/>
      <c r="AF2970" s="6"/>
      <c r="AG2970" s="6"/>
    </row>
    <row r="2971" spans="2:33">
      <c r="B2971" s="74"/>
      <c r="C2971" s="74"/>
      <c r="D2971" s="74"/>
      <c r="E2971" s="74"/>
      <c r="F2971" s="74"/>
      <c r="G2971" s="74"/>
      <c r="H2971" s="74"/>
      <c r="I2971" s="74"/>
      <c r="J2971" s="74"/>
      <c r="K2971" s="74"/>
      <c r="L2971" s="74"/>
      <c r="M2971" s="74"/>
      <c r="N2971" s="74"/>
      <c r="O2971" s="74"/>
      <c r="P2971" s="74"/>
      <c r="Q2971" s="74"/>
      <c r="R2971" s="74"/>
      <c r="S2971" s="74"/>
      <c r="T2971" s="74"/>
      <c r="U2971" s="74"/>
      <c r="V2971" s="74"/>
      <c r="W2971" s="74"/>
      <c r="X2971" s="74"/>
      <c r="Y2971" s="74"/>
      <c r="Z2971" s="74"/>
      <c r="AA2971" s="74"/>
      <c r="AB2971" s="74"/>
      <c r="AC2971" s="74"/>
      <c r="AD2971" s="74"/>
      <c r="AE2971" s="74"/>
      <c r="AF2971" s="74"/>
      <c r="AG2971" s="74"/>
    </row>
    <row r="2973" spans="2:33">
      <c r="B2973" s="6"/>
      <c r="C2973" s="6"/>
      <c r="D2973" s="6"/>
      <c r="E2973" s="6"/>
      <c r="F2973" s="6"/>
      <c r="G2973" s="6"/>
      <c r="H2973" s="6"/>
      <c r="I2973" s="6"/>
      <c r="J2973" s="6"/>
      <c r="K2973" s="6"/>
      <c r="L2973" s="6"/>
      <c r="M2973" s="6"/>
      <c r="N2973" s="6"/>
      <c r="O2973" s="6"/>
      <c r="P2973" s="6"/>
      <c r="Q2973" s="6"/>
      <c r="R2973" s="6"/>
      <c r="S2973" s="6"/>
      <c r="T2973" s="6"/>
      <c r="U2973" s="6"/>
      <c r="V2973" s="6"/>
      <c r="W2973" s="6"/>
      <c r="X2973" s="6"/>
      <c r="Y2973" s="6"/>
      <c r="Z2973" s="6"/>
      <c r="AA2973" s="6"/>
      <c r="AB2973" s="6"/>
      <c r="AC2973" s="6"/>
      <c r="AD2973" s="6"/>
      <c r="AE2973" s="6"/>
      <c r="AF2973" s="6"/>
      <c r="AG2973" s="6"/>
    </row>
    <row r="2974" spans="2:33">
      <c r="B2974" s="6"/>
      <c r="C2974" s="6"/>
      <c r="D2974" s="6"/>
      <c r="E2974" s="6"/>
      <c r="F2974" s="6"/>
      <c r="G2974" s="6"/>
      <c r="H2974" s="6"/>
      <c r="I2974" s="6"/>
      <c r="J2974" s="6"/>
      <c r="K2974" s="6"/>
      <c r="L2974" s="6"/>
      <c r="M2974" s="6"/>
      <c r="N2974" s="6"/>
      <c r="O2974" s="6"/>
      <c r="P2974" s="6"/>
      <c r="Q2974" s="6"/>
      <c r="R2974" s="6"/>
      <c r="S2974" s="6"/>
      <c r="T2974" s="6"/>
      <c r="U2974" s="6"/>
      <c r="V2974" s="6"/>
      <c r="W2974" s="6"/>
      <c r="X2974" s="6"/>
      <c r="Y2974" s="6"/>
      <c r="Z2974" s="6"/>
      <c r="AA2974" s="6"/>
      <c r="AB2974" s="6"/>
      <c r="AC2974" s="6"/>
      <c r="AD2974" s="6"/>
      <c r="AE2974" s="6"/>
      <c r="AF2974" s="6"/>
      <c r="AG2974" s="6"/>
    </row>
    <row r="2975" spans="2:33">
      <c r="B2975" s="6"/>
      <c r="C2975" s="6"/>
      <c r="D2975" s="6"/>
      <c r="E2975" s="6"/>
      <c r="F2975" s="6"/>
      <c r="G2975" s="6"/>
      <c r="H2975" s="6"/>
      <c r="I2975" s="6"/>
      <c r="J2975" s="6"/>
      <c r="K2975" s="6"/>
      <c r="L2975" s="6"/>
      <c r="M2975" s="6"/>
      <c r="N2975" s="6"/>
      <c r="O2975" s="6"/>
      <c r="P2975" s="6"/>
      <c r="Q2975" s="6"/>
      <c r="R2975" s="6"/>
      <c r="S2975" s="6"/>
      <c r="T2975" s="6"/>
      <c r="U2975" s="6"/>
      <c r="V2975" s="6"/>
      <c r="W2975" s="6"/>
      <c r="X2975" s="6"/>
      <c r="Y2975" s="6"/>
      <c r="Z2975" s="6"/>
      <c r="AA2975" s="6"/>
      <c r="AB2975" s="6"/>
      <c r="AC2975" s="6"/>
      <c r="AD2975" s="6"/>
      <c r="AE2975" s="6"/>
      <c r="AF2975" s="6"/>
      <c r="AG2975" s="6"/>
    </row>
    <row r="2976" spans="2:33">
      <c r="B2976" s="6"/>
      <c r="C2976" s="6"/>
      <c r="D2976" s="6"/>
      <c r="E2976" s="6"/>
      <c r="F2976" s="6"/>
      <c r="G2976" s="6"/>
      <c r="H2976" s="6"/>
      <c r="I2976" s="6"/>
      <c r="J2976" s="6"/>
      <c r="K2976" s="6"/>
      <c r="L2976" s="6"/>
      <c r="M2976" s="6"/>
      <c r="N2976" s="6"/>
      <c r="O2976" s="6"/>
      <c r="P2976" s="6"/>
      <c r="Q2976" s="6"/>
      <c r="R2976" s="6"/>
      <c r="S2976" s="6"/>
      <c r="T2976" s="6"/>
      <c r="U2976" s="6"/>
      <c r="V2976" s="6"/>
      <c r="W2976" s="6"/>
      <c r="X2976" s="6"/>
      <c r="Y2976" s="6"/>
      <c r="Z2976" s="6"/>
      <c r="AA2976" s="6"/>
      <c r="AB2976" s="6"/>
      <c r="AC2976" s="6"/>
      <c r="AD2976" s="6"/>
      <c r="AE2976" s="6"/>
      <c r="AF2976" s="6"/>
      <c r="AG2976" s="6"/>
    </row>
    <row r="3292" spans="2:33">
      <c r="B3292" s="6"/>
      <c r="C3292" s="6"/>
      <c r="D3292" s="6"/>
      <c r="E3292" s="6"/>
      <c r="F3292" s="6"/>
      <c r="G3292" s="6"/>
      <c r="H3292" s="6"/>
      <c r="I3292" s="6"/>
      <c r="J3292" s="6"/>
      <c r="K3292" s="6"/>
      <c r="L3292" s="6"/>
      <c r="M3292" s="6"/>
      <c r="N3292" s="6"/>
      <c r="O3292" s="6"/>
      <c r="P3292" s="6"/>
      <c r="Q3292" s="6"/>
      <c r="R3292" s="6"/>
      <c r="S3292" s="6"/>
      <c r="T3292" s="6"/>
      <c r="U3292" s="6"/>
      <c r="V3292" s="6"/>
      <c r="W3292" s="6"/>
      <c r="X3292" s="6"/>
      <c r="Y3292" s="6"/>
      <c r="Z3292" s="6"/>
      <c r="AA3292" s="6"/>
      <c r="AB3292" s="6"/>
      <c r="AC3292" s="6"/>
      <c r="AD3292" s="6"/>
      <c r="AE3292" s="6"/>
      <c r="AF3292" s="6"/>
      <c r="AG3292" s="6"/>
    </row>
    <row r="3293" spans="2:33">
      <c r="B3293" s="74"/>
      <c r="C3293" s="74"/>
      <c r="D3293" s="74"/>
      <c r="E3293" s="74"/>
      <c r="F3293" s="74"/>
      <c r="G3293" s="74"/>
      <c r="H3293" s="74"/>
      <c r="I3293" s="74"/>
      <c r="J3293" s="74"/>
      <c r="K3293" s="74"/>
      <c r="L3293" s="74"/>
      <c r="M3293" s="74"/>
      <c r="N3293" s="74"/>
      <c r="O3293" s="74"/>
      <c r="P3293" s="74"/>
      <c r="Q3293" s="74"/>
      <c r="R3293" s="74"/>
      <c r="S3293" s="74"/>
      <c r="T3293" s="74"/>
      <c r="U3293" s="74"/>
      <c r="V3293" s="74"/>
      <c r="W3293" s="74"/>
      <c r="X3293" s="74"/>
      <c r="Y3293" s="74"/>
      <c r="Z3293" s="74"/>
      <c r="AA3293" s="74"/>
      <c r="AB3293" s="74"/>
      <c r="AC3293" s="74"/>
      <c r="AD3293" s="74"/>
      <c r="AE3293" s="74"/>
      <c r="AF3293" s="74"/>
      <c r="AG3293" s="74"/>
    </row>
    <row r="3294" spans="2:33">
      <c r="B3294" s="6"/>
      <c r="C3294" s="6"/>
      <c r="D3294" s="6"/>
      <c r="E3294" s="6"/>
      <c r="F3294" s="6"/>
      <c r="G3294" s="6"/>
      <c r="H3294" s="6"/>
      <c r="I3294" s="6"/>
      <c r="J3294" s="6"/>
      <c r="K3294" s="6"/>
      <c r="L3294" s="6"/>
      <c r="M3294" s="6"/>
      <c r="N3294" s="6"/>
      <c r="O3294" s="6"/>
      <c r="P3294" s="6"/>
      <c r="Q3294" s="6"/>
      <c r="R3294" s="6"/>
      <c r="S3294" s="6"/>
      <c r="T3294" s="6"/>
      <c r="U3294" s="6"/>
      <c r="V3294" s="6"/>
      <c r="W3294" s="6"/>
      <c r="X3294" s="6"/>
      <c r="Y3294" s="6"/>
      <c r="Z3294" s="6"/>
      <c r="AA3294" s="6"/>
      <c r="AB3294" s="6"/>
      <c r="AC3294" s="6"/>
      <c r="AD3294" s="6"/>
      <c r="AE3294" s="6"/>
      <c r="AF3294" s="6"/>
      <c r="AG3294" s="6"/>
    </row>
    <row r="3295" spans="2:33">
      <c r="B3295" s="6"/>
      <c r="C3295" s="6"/>
      <c r="D3295" s="6"/>
      <c r="E3295" s="6"/>
      <c r="F3295" s="6"/>
      <c r="G3295" s="6"/>
      <c r="H3295" s="6"/>
      <c r="I3295" s="6"/>
      <c r="J3295" s="6"/>
      <c r="K3295" s="6"/>
      <c r="L3295" s="6"/>
      <c r="M3295" s="6"/>
      <c r="N3295" s="6"/>
      <c r="O3295" s="6"/>
      <c r="P3295" s="6"/>
      <c r="Q3295" s="6"/>
      <c r="R3295" s="6"/>
      <c r="S3295" s="6"/>
      <c r="T3295" s="6"/>
      <c r="U3295" s="6"/>
      <c r="V3295" s="6"/>
      <c r="W3295" s="6"/>
      <c r="X3295" s="6"/>
      <c r="Y3295" s="6"/>
      <c r="Z3295" s="6"/>
      <c r="AA3295" s="6"/>
      <c r="AB3295" s="6"/>
      <c r="AC3295" s="6"/>
      <c r="AD3295" s="6"/>
      <c r="AE3295" s="6"/>
      <c r="AF3295" s="6"/>
      <c r="AG3295" s="6"/>
    </row>
    <row r="3296" spans="2:33">
      <c r="B3296" s="6"/>
      <c r="C3296" s="6"/>
      <c r="D3296" s="6"/>
      <c r="E3296" s="6"/>
      <c r="F3296" s="6"/>
      <c r="G3296" s="6"/>
      <c r="H3296" s="6"/>
      <c r="I3296" s="6"/>
      <c r="J3296" s="6"/>
      <c r="K3296" s="6"/>
      <c r="L3296" s="6"/>
      <c r="M3296" s="6"/>
      <c r="N3296" s="6"/>
      <c r="O3296" s="6"/>
      <c r="P3296" s="6"/>
      <c r="Q3296" s="6"/>
      <c r="R3296" s="6"/>
      <c r="S3296" s="6"/>
      <c r="T3296" s="6"/>
      <c r="U3296" s="6"/>
      <c r="V3296" s="6"/>
      <c r="W3296" s="6"/>
      <c r="X3296" s="6"/>
      <c r="Y3296" s="6"/>
      <c r="Z3296" s="6"/>
      <c r="AA3296" s="6"/>
      <c r="AB3296" s="6"/>
      <c r="AC3296" s="6"/>
      <c r="AD3296" s="6"/>
      <c r="AE3296" s="6"/>
      <c r="AF3296" s="6"/>
      <c r="AG3296" s="6"/>
    </row>
    <row r="3396" spans="2:33">
      <c r="B3396" s="6"/>
      <c r="C3396" s="6"/>
      <c r="D3396" s="6"/>
      <c r="E3396" s="6"/>
      <c r="F3396" s="6"/>
      <c r="G3396" s="6"/>
      <c r="H3396" s="6"/>
      <c r="I3396" s="6"/>
      <c r="J3396" s="6"/>
      <c r="K3396" s="6"/>
      <c r="L3396" s="6"/>
      <c r="M3396" s="6"/>
      <c r="N3396" s="6"/>
      <c r="O3396" s="6"/>
      <c r="P3396" s="6"/>
      <c r="Q3396" s="6"/>
      <c r="R3396" s="6"/>
      <c r="S3396" s="6"/>
      <c r="T3396" s="6"/>
      <c r="U3396" s="6"/>
      <c r="V3396" s="6"/>
      <c r="W3396" s="6"/>
      <c r="X3396" s="6"/>
      <c r="Y3396" s="6"/>
      <c r="Z3396" s="6"/>
      <c r="AA3396" s="6"/>
      <c r="AB3396" s="6"/>
      <c r="AC3396" s="6"/>
      <c r="AD3396" s="6"/>
      <c r="AE3396" s="6"/>
      <c r="AF3396" s="6"/>
      <c r="AG3396" s="6"/>
    </row>
    <row r="3399" spans="2:33">
      <c r="B3399" s="6"/>
      <c r="C3399" s="6"/>
      <c r="D3399" s="6"/>
      <c r="E3399" s="6"/>
      <c r="F3399" s="6"/>
      <c r="G3399" s="6"/>
      <c r="H3399" s="6"/>
      <c r="I3399" s="6"/>
      <c r="J3399" s="6"/>
      <c r="K3399" s="6"/>
      <c r="L3399" s="6"/>
      <c r="M3399" s="6"/>
      <c r="N3399" s="6"/>
      <c r="O3399" s="6"/>
      <c r="P3399" s="6"/>
      <c r="Q3399" s="6"/>
      <c r="R3399" s="6"/>
      <c r="S3399" s="6"/>
      <c r="T3399" s="6"/>
      <c r="U3399" s="6"/>
      <c r="V3399" s="6"/>
      <c r="W3399" s="6"/>
      <c r="X3399" s="6"/>
      <c r="Y3399" s="6"/>
      <c r="Z3399" s="6"/>
      <c r="AA3399" s="6"/>
      <c r="AB3399" s="6"/>
      <c r="AC3399" s="6"/>
      <c r="AD3399" s="6"/>
      <c r="AE3399" s="6"/>
      <c r="AF3399" s="6"/>
      <c r="AG3399" s="6"/>
    </row>
    <row r="3401" spans="2:33">
      <c r="B3401" s="6"/>
      <c r="C3401" s="6"/>
      <c r="D3401" s="6"/>
      <c r="E3401" s="6"/>
      <c r="F3401" s="6"/>
      <c r="G3401" s="6"/>
      <c r="H3401" s="6"/>
      <c r="I3401" s="6"/>
      <c r="J3401" s="6"/>
      <c r="K3401" s="6"/>
      <c r="L3401" s="6"/>
      <c r="M3401" s="6"/>
      <c r="N3401" s="6"/>
      <c r="O3401" s="6"/>
      <c r="P3401" s="6"/>
      <c r="Q3401" s="6"/>
      <c r="R3401" s="6"/>
      <c r="S3401" s="6"/>
      <c r="T3401" s="6"/>
      <c r="U3401" s="6"/>
      <c r="V3401" s="6"/>
      <c r="W3401" s="6"/>
      <c r="X3401" s="6"/>
      <c r="Y3401" s="6"/>
      <c r="Z3401" s="6"/>
      <c r="AA3401" s="6"/>
      <c r="AB3401" s="6"/>
      <c r="AC3401" s="6"/>
      <c r="AD3401" s="6"/>
      <c r="AE3401" s="6"/>
      <c r="AF3401" s="6"/>
      <c r="AG3401" s="6"/>
    </row>
    <row r="3402" spans="2:33">
      <c r="B3402" s="74"/>
      <c r="C3402" s="74"/>
      <c r="D3402" s="74"/>
      <c r="E3402" s="74"/>
      <c r="F3402" s="74"/>
      <c r="G3402" s="74"/>
      <c r="H3402" s="74"/>
      <c r="I3402" s="74"/>
      <c r="J3402" s="74"/>
      <c r="K3402" s="74"/>
      <c r="L3402" s="74"/>
      <c r="M3402" s="74"/>
      <c r="N3402" s="74"/>
      <c r="O3402" s="74"/>
      <c r="P3402" s="74"/>
      <c r="Q3402" s="74"/>
      <c r="R3402" s="74"/>
      <c r="S3402" s="74"/>
      <c r="T3402" s="74"/>
      <c r="U3402" s="74"/>
      <c r="V3402" s="74"/>
      <c r="W3402" s="74"/>
      <c r="X3402" s="74"/>
      <c r="Y3402" s="74"/>
      <c r="Z3402" s="74"/>
      <c r="AA3402" s="74"/>
      <c r="AB3402" s="74"/>
      <c r="AC3402" s="74"/>
      <c r="AD3402" s="74"/>
      <c r="AE3402" s="74"/>
      <c r="AF3402" s="74"/>
      <c r="AG3402" s="74"/>
    </row>
    <row r="3521" spans="2:33">
      <c r="B3521" s="6"/>
      <c r="C3521" s="6"/>
      <c r="D3521" s="6"/>
      <c r="E3521" s="6"/>
      <c r="F3521" s="6"/>
      <c r="G3521" s="6"/>
      <c r="H3521" s="6"/>
      <c r="I3521" s="6"/>
      <c r="J3521" s="6"/>
      <c r="K3521" s="6"/>
      <c r="L3521" s="6"/>
      <c r="M3521" s="6"/>
      <c r="N3521" s="6"/>
      <c r="O3521" s="6"/>
      <c r="P3521" s="6"/>
      <c r="Q3521" s="6"/>
      <c r="R3521" s="6"/>
      <c r="S3521" s="6"/>
      <c r="T3521" s="6"/>
      <c r="U3521" s="6"/>
      <c r="V3521" s="6"/>
      <c r="W3521" s="6"/>
      <c r="X3521" s="6"/>
      <c r="Y3521" s="6"/>
      <c r="Z3521" s="6"/>
      <c r="AA3521" s="6"/>
      <c r="AB3521" s="6"/>
      <c r="AC3521" s="6"/>
      <c r="AD3521" s="6"/>
      <c r="AE3521" s="6"/>
      <c r="AF3521" s="6"/>
      <c r="AG3521" s="6"/>
    </row>
    <row r="3524" spans="2:33">
      <c r="B3524" s="6"/>
      <c r="C3524" s="6"/>
      <c r="D3524" s="6"/>
      <c r="E3524" s="6"/>
      <c r="F3524" s="6"/>
      <c r="G3524" s="6"/>
      <c r="H3524" s="6"/>
      <c r="I3524" s="6"/>
      <c r="J3524" s="6"/>
      <c r="K3524" s="6"/>
      <c r="L3524" s="6"/>
      <c r="M3524" s="6"/>
      <c r="N3524" s="6"/>
      <c r="O3524" s="6"/>
      <c r="P3524" s="6"/>
      <c r="Q3524" s="6"/>
      <c r="R3524" s="6"/>
      <c r="S3524" s="6"/>
      <c r="T3524" s="6"/>
      <c r="U3524" s="6"/>
      <c r="V3524" s="6"/>
      <c r="W3524" s="6"/>
      <c r="X3524" s="6"/>
      <c r="Y3524" s="6"/>
      <c r="Z3524" s="6"/>
      <c r="AA3524" s="6"/>
      <c r="AB3524" s="6"/>
      <c r="AC3524" s="6"/>
      <c r="AD3524" s="6"/>
      <c r="AE3524" s="6"/>
      <c r="AF3524" s="6"/>
      <c r="AG3524" s="6"/>
    </row>
    <row r="3526" spans="2:33">
      <c r="B3526" s="6"/>
      <c r="C3526" s="6"/>
      <c r="D3526" s="6"/>
      <c r="E3526" s="6"/>
      <c r="F3526" s="6"/>
      <c r="G3526" s="6"/>
      <c r="H3526" s="6"/>
      <c r="I3526" s="6"/>
      <c r="J3526" s="6"/>
      <c r="K3526" s="6"/>
      <c r="L3526" s="6"/>
      <c r="M3526" s="6"/>
      <c r="N3526" s="6"/>
      <c r="O3526" s="6"/>
      <c r="P3526" s="6"/>
      <c r="Q3526" s="6"/>
      <c r="R3526" s="6"/>
      <c r="S3526" s="6"/>
      <c r="T3526" s="6"/>
      <c r="U3526" s="6"/>
      <c r="V3526" s="6"/>
      <c r="W3526" s="6"/>
      <c r="X3526" s="6"/>
      <c r="Y3526" s="6"/>
      <c r="Z3526" s="6"/>
      <c r="AA3526" s="6"/>
      <c r="AB3526" s="6"/>
      <c r="AC3526" s="6"/>
      <c r="AD3526" s="6"/>
      <c r="AE3526" s="6"/>
      <c r="AF3526" s="6"/>
      <c r="AG3526" s="6"/>
    </row>
    <row r="3527" spans="2:33">
      <c r="B3527" s="74"/>
      <c r="C3527" s="74"/>
      <c r="D3527" s="74"/>
      <c r="E3527" s="74"/>
      <c r="F3527" s="74"/>
      <c r="G3527" s="74"/>
      <c r="H3527" s="74"/>
      <c r="I3527" s="74"/>
      <c r="J3527" s="74"/>
      <c r="K3527" s="74"/>
      <c r="L3527" s="74"/>
      <c r="M3527" s="74"/>
      <c r="N3527" s="74"/>
      <c r="O3527" s="74"/>
      <c r="P3527" s="74"/>
      <c r="Q3527" s="74"/>
      <c r="R3527" s="74"/>
      <c r="S3527" s="74"/>
      <c r="T3527" s="74"/>
      <c r="U3527" s="74"/>
      <c r="V3527" s="74"/>
      <c r="W3527" s="74"/>
      <c r="X3527" s="74"/>
      <c r="Y3527" s="74"/>
      <c r="Z3527" s="74"/>
      <c r="AA3527" s="74"/>
      <c r="AB3527" s="74"/>
      <c r="AC3527" s="74"/>
      <c r="AD3527" s="74"/>
      <c r="AE3527" s="74"/>
      <c r="AF3527" s="74"/>
      <c r="AG3527" s="74"/>
    </row>
    <row r="3535" spans="2:33">
      <c r="B3535" s="6"/>
      <c r="C3535" s="6"/>
      <c r="D3535" s="6"/>
      <c r="E3535" s="6"/>
      <c r="F3535" s="6"/>
      <c r="G3535" s="6"/>
      <c r="H3535" s="6"/>
      <c r="I3535" s="6"/>
      <c r="J3535" s="6"/>
      <c r="K3535" s="6"/>
      <c r="L3535" s="6"/>
      <c r="M3535" s="6"/>
      <c r="N3535" s="6"/>
      <c r="O3535" s="6"/>
      <c r="P3535" s="6"/>
      <c r="Q3535" s="6"/>
      <c r="R3535" s="6"/>
      <c r="S3535" s="6"/>
      <c r="T3535" s="6"/>
      <c r="U3535" s="6"/>
      <c r="V3535" s="6"/>
      <c r="W3535" s="6"/>
      <c r="X3535" s="6"/>
      <c r="Y3535" s="6"/>
      <c r="Z3535" s="6"/>
      <c r="AA3535" s="6"/>
      <c r="AB3535" s="6"/>
      <c r="AC3535" s="6"/>
      <c r="AD3535" s="6"/>
      <c r="AE3535" s="6"/>
      <c r="AF3535" s="6"/>
      <c r="AG3535" s="6"/>
    </row>
    <row r="3536" spans="2:33">
      <c r="B3536" s="6"/>
      <c r="C3536" s="6"/>
      <c r="D3536" s="6"/>
      <c r="E3536" s="6"/>
      <c r="F3536" s="6"/>
      <c r="G3536" s="6"/>
      <c r="H3536" s="6"/>
      <c r="I3536" s="6"/>
      <c r="J3536" s="6"/>
      <c r="K3536" s="6"/>
      <c r="L3536" s="6"/>
      <c r="M3536" s="6"/>
      <c r="N3536" s="6"/>
      <c r="O3536" s="6"/>
      <c r="P3536" s="6"/>
      <c r="Q3536" s="6"/>
      <c r="R3536" s="6"/>
      <c r="S3536" s="6"/>
      <c r="T3536" s="6"/>
      <c r="U3536" s="6"/>
      <c r="V3536" s="6"/>
      <c r="W3536" s="6"/>
      <c r="X3536" s="6"/>
      <c r="Y3536" s="6"/>
      <c r="Z3536" s="6"/>
      <c r="AA3536" s="6"/>
      <c r="AB3536" s="6"/>
      <c r="AC3536" s="6"/>
      <c r="AD3536" s="6"/>
      <c r="AE3536" s="6"/>
      <c r="AF3536" s="6"/>
      <c r="AG3536" s="6"/>
    </row>
    <row r="3649" spans="2:33">
      <c r="B3649" s="6"/>
      <c r="C3649" s="6"/>
      <c r="D3649" s="6"/>
      <c r="E3649" s="6"/>
      <c r="F3649" s="6"/>
      <c r="G3649" s="6"/>
      <c r="H3649" s="6"/>
      <c r="I3649" s="6"/>
      <c r="J3649" s="6"/>
      <c r="K3649" s="6"/>
      <c r="L3649" s="6"/>
      <c r="M3649" s="6"/>
      <c r="N3649" s="6"/>
      <c r="O3649" s="6"/>
      <c r="P3649" s="6"/>
      <c r="Q3649" s="6"/>
      <c r="R3649" s="6"/>
      <c r="S3649" s="6"/>
      <c r="T3649" s="6"/>
      <c r="U3649" s="6"/>
      <c r="V3649" s="6"/>
      <c r="W3649" s="6"/>
      <c r="X3649" s="6"/>
      <c r="Y3649" s="6"/>
      <c r="Z3649" s="6"/>
      <c r="AA3649" s="6"/>
      <c r="AB3649" s="6"/>
      <c r="AC3649" s="6"/>
      <c r="AD3649" s="6"/>
      <c r="AE3649" s="6"/>
      <c r="AF3649" s="6"/>
      <c r="AG3649" s="6"/>
    </row>
    <row r="3651" spans="2:33">
      <c r="B3651" s="6"/>
      <c r="C3651" s="6"/>
      <c r="D3651" s="6"/>
      <c r="E3651" s="6"/>
      <c r="F3651" s="6"/>
      <c r="G3651" s="6"/>
      <c r="H3651" s="6"/>
      <c r="I3651" s="6"/>
      <c r="J3651" s="6"/>
      <c r="K3651" s="6"/>
      <c r="L3651" s="6"/>
      <c r="M3651" s="6"/>
      <c r="N3651" s="6"/>
      <c r="O3651" s="6"/>
      <c r="P3651" s="6"/>
      <c r="Q3651" s="6"/>
      <c r="R3651" s="6"/>
      <c r="S3651" s="6"/>
      <c r="T3651" s="6"/>
      <c r="U3651" s="6"/>
      <c r="V3651" s="6"/>
      <c r="W3651" s="6"/>
      <c r="X3651" s="6"/>
      <c r="Y3651" s="6"/>
      <c r="Z3651" s="6"/>
      <c r="AA3651" s="6"/>
      <c r="AB3651" s="6"/>
      <c r="AC3651" s="6"/>
      <c r="AD3651" s="6"/>
      <c r="AE3651" s="6"/>
      <c r="AF3651" s="6"/>
      <c r="AG3651" s="6"/>
    </row>
    <row r="3652" spans="2:33">
      <c r="B3652" s="74"/>
      <c r="C3652" s="74"/>
      <c r="D3652" s="74"/>
      <c r="E3652" s="74"/>
      <c r="F3652" s="74"/>
      <c r="G3652" s="74"/>
      <c r="H3652" s="74"/>
      <c r="I3652" s="74"/>
      <c r="J3652" s="74"/>
      <c r="K3652" s="74"/>
      <c r="L3652" s="74"/>
      <c r="M3652" s="74"/>
      <c r="N3652" s="74"/>
      <c r="O3652" s="74"/>
      <c r="P3652" s="74"/>
      <c r="Q3652" s="74"/>
      <c r="R3652" s="74"/>
      <c r="S3652" s="74"/>
      <c r="T3652" s="74"/>
      <c r="U3652" s="74"/>
      <c r="V3652" s="74"/>
      <c r="W3652" s="74"/>
      <c r="X3652" s="74"/>
      <c r="Y3652" s="74"/>
      <c r="Z3652" s="74"/>
      <c r="AA3652" s="74"/>
      <c r="AB3652" s="74"/>
      <c r="AC3652" s="74"/>
      <c r="AD3652" s="74"/>
      <c r="AE3652" s="74"/>
      <c r="AF3652" s="74"/>
      <c r="AG3652" s="74"/>
    </row>
    <row r="3660" spans="2:33">
      <c r="B3660" s="6"/>
      <c r="C3660" s="6"/>
      <c r="D3660" s="6"/>
      <c r="E3660" s="6"/>
      <c r="F3660" s="6"/>
      <c r="G3660" s="6"/>
      <c r="H3660" s="6"/>
      <c r="I3660" s="6"/>
      <c r="J3660" s="6"/>
      <c r="K3660" s="6"/>
      <c r="L3660" s="6"/>
      <c r="M3660" s="6"/>
      <c r="N3660" s="6"/>
      <c r="O3660" s="6"/>
      <c r="P3660" s="6"/>
      <c r="Q3660" s="6"/>
      <c r="R3660" s="6"/>
      <c r="S3660" s="6"/>
      <c r="T3660" s="6"/>
      <c r="U3660" s="6"/>
      <c r="V3660" s="6"/>
      <c r="W3660" s="6"/>
      <c r="X3660" s="6"/>
      <c r="Y3660" s="6"/>
      <c r="Z3660" s="6"/>
      <c r="AA3660" s="6"/>
      <c r="AB3660" s="6"/>
      <c r="AC3660" s="6"/>
      <c r="AD3660" s="6"/>
      <c r="AE3660" s="6"/>
      <c r="AF3660" s="6"/>
      <c r="AG3660" s="6"/>
    </row>
    <row r="3661" spans="2:33">
      <c r="B3661" s="6"/>
      <c r="C3661" s="6"/>
      <c r="D3661" s="6"/>
      <c r="E3661" s="6"/>
      <c r="F3661" s="6"/>
      <c r="G3661" s="6"/>
      <c r="H3661" s="6"/>
      <c r="I3661" s="6"/>
      <c r="J3661" s="6"/>
      <c r="K3661" s="6"/>
      <c r="L3661" s="6"/>
      <c r="M3661" s="6"/>
      <c r="N3661" s="6"/>
      <c r="O3661" s="6"/>
      <c r="P3661" s="6"/>
      <c r="Q3661" s="6"/>
      <c r="R3661" s="6"/>
      <c r="S3661" s="6"/>
      <c r="T3661" s="6"/>
      <c r="U3661" s="6"/>
      <c r="V3661" s="6"/>
      <c r="W3661" s="6"/>
      <c r="X3661" s="6"/>
      <c r="Y3661" s="6"/>
      <c r="Z3661" s="6"/>
      <c r="AA3661" s="6"/>
      <c r="AB3661" s="6"/>
      <c r="AC3661" s="6"/>
      <c r="AD3661" s="6"/>
      <c r="AE3661" s="6"/>
      <c r="AF3661" s="6"/>
      <c r="AG3661" s="6"/>
    </row>
    <row r="3662" spans="2:33">
      <c r="B3662" s="6"/>
      <c r="C3662" s="6"/>
      <c r="D3662" s="6"/>
      <c r="E3662" s="6"/>
      <c r="F3662" s="6"/>
      <c r="G3662" s="6"/>
      <c r="H3662" s="6"/>
      <c r="I3662" s="6"/>
      <c r="J3662" s="6"/>
      <c r="K3662" s="6"/>
      <c r="L3662" s="6"/>
      <c r="M3662" s="6"/>
      <c r="N3662" s="6"/>
      <c r="O3662" s="6"/>
      <c r="P3662" s="6"/>
      <c r="Q3662" s="6"/>
      <c r="R3662" s="6"/>
      <c r="S3662" s="6"/>
      <c r="T3662" s="6"/>
      <c r="U3662" s="6"/>
      <c r="V3662" s="6"/>
      <c r="W3662" s="6"/>
      <c r="X3662" s="6"/>
      <c r="Y3662" s="6"/>
      <c r="Z3662" s="6"/>
      <c r="AA3662" s="6"/>
      <c r="AB3662" s="6"/>
      <c r="AC3662" s="6"/>
      <c r="AD3662" s="6"/>
      <c r="AE3662" s="6"/>
      <c r="AF3662" s="6"/>
      <c r="AG3662" s="6"/>
    </row>
    <row r="3663" spans="2:33">
      <c r="B3663" s="6"/>
      <c r="C3663" s="6"/>
      <c r="D3663" s="6"/>
      <c r="E3663" s="6"/>
      <c r="F3663" s="6"/>
      <c r="G3663" s="6"/>
      <c r="H3663" s="6"/>
      <c r="I3663" s="6"/>
      <c r="J3663" s="6"/>
      <c r="K3663" s="6"/>
      <c r="L3663" s="6"/>
      <c r="M3663" s="6"/>
      <c r="N3663" s="6"/>
      <c r="O3663" s="6"/>
      <c r="P3663" s="6"/>
      <c r="Q3663" s="6"/>
      <c r="R3663" s="6"/>
      <c r="S3663" s="6"/>
      <c r="T3663" s="6"/>
      <c r="U3663" s="6"/>
      <c r="V3663" s="6"/>
      <c r="W3663" s="6"/>
      <c r="X3663" s="6"/>
      <c r="Y3663" s="6"/>
      <c r="Z3663" s="6"/>
      <c r="AA3663" s="6"/>
      <c r="AB3663" s="6"/>
      <c r="AC3663" s="6"/>
      <c r="AD3663" s="6"/>
      <c r="AE3663" s="6"/>
      <c r="AF3663" s="6"/>
      <c r="AG3663" s="6"/>
    </row>
    <row r="3664" spans="2:33">
      <c r="B3664" s="6"/>
      <c r="C3664" s="6"/>
      <c r="D3664" s="6"/>
      <c r="E3664" s="6"/>
      <c r="F3664" s="6"/>
      <c r="G3664" s="6"/>
      <c r="H3664" s="6"/>
      <c r="I3664" s="6"/>
      <c r="J3664" s="6"/>
      <c r="K3664" s="6"/>
      <c r="L3664" s="6"/>
      <c r="M3664" s="6"/>
      <c r="N3664" s="6"/>
      <c r="O3664" s="6"/>
      <c r="P3664" s="6"/>
      <c r="Q3664" s="6"/>
      <c r="R3664" s="6"/>
      <c r="S3664" s="6"/>
      <c r="T3664" s="6"/>
      <c r="U3664" s="6"/>
      <c r="V3664" s="6"/>
      <c r="W3664" s="6"/>
      <c r="X3664" s="6"/>
      <c r="Y3664" s="6"/>
      <c r="Z3664" s="6"/>
      <c r="AA3664" s="6"/>
      <c r="AB3664" s="6"/>
      <c r="AC3664" s="6"/>
      <c r="AD3664" s="6"/>
      <c r="AE3664" s="6"/>
      <c r="AF3664" s="6"/>
      <c r="AG3664" s="6"/>
    </row>
    <row r="3777" spans="2:33">
      <c r="B3777" s="74"/>
      <c r="C3777" s="74"/>
      <c r="D3777" s="74"/>
      <c r="E3777" s="74"/>
      <c r="F3777" s="74"/>
      <c r="G3777" s="74"/>
      <c r="H3777" s="74"/>
      <c r="I3777" s="74"/>
      <c r="J3777" s="74"/>
      <c r="K3777" s="74"/>
      <c r="L3777" s="74"/>
      <c r="M3777" s="74"/>
      <c r="N3777" s="74"/>
      <c r="O3777" s="74"/>
      <c r="P3777" s="74"/>
      <c r="Q3777" s="74"/>
      <c r="R3777" s="74"/>
      <c r="S3777" s="74"/>
      <c r="T3777" s="74"/>
      <c r="U3777" s="74"/>
      <c r="V3777" s="74"/>
      <c r="W3777" s="74"/>
      <c r="X3777" s="74"/>
      <c r="Y3777" s="74"/>
      <c r="Z3777" s="74"/>
      <c r="AA3777" s="74"/>
      <c r="AB3777" s="74"/>
      <c r="AC3777" s="74"/>
      <c r="AD3777" s="74"/>
      <c r="AE3777" s="74"/>
      <c r="AF3777" s="74"/>
      <c r="AG3777" s="74"/>
    </row>
    <row r="3785" spans="2:33">
      <c r="B3785" s="6"/>
      <c r="C3785" s="6"/>
      <c r="D3785" s="6"/>
      <c r="E3785" s="6"/>
      <c r="F3785" s="6"/>
      <c r="G3785" s="6"/>
      <c r="H3785" s="6"/>
      <c r="I3785" s="6"/>
      <c r="J3785" s="6"/>
      <c r="K3785" s="6"/>
      <c r="L3785" s="6"/>
      <c r="M3785" s="6"/>
      <c r="N3785" s="6"/>
      <c r="O3785" s="6"/>
      <c r="P3785" s="6"/>
      <c r="Q3785" s="6"/>
      <c r="R3785" s="6"/>
      <c r="S3785" s="6"/>
      <c r="T3785" s="6"/>
      <c r="U3785" s="6"/>
      <c r="V3785" s="6"/>
      <c r="W3785" s="6"/>
      <c r="X3785" s="6"/>
      <c r="Y3785" s="6"/>
      <c r="Z3785" s="6"/>
      <c r="AA3785" s="6"/>
      <c r="AB3785" s="6"/>
      <c r="AC3785" s="6"/>
      <c r="AD3785" s="6"/>
      <c r="AE3785" s="6"/>
      <c r="AF3785" s="6"/>
      <c r="AG3785" s="6"/>
    </row>
    <row r="3786" spans="2:33">
      <c r="B3786" s="6"/>
      <c r="C3786" s="6"/>
      <c r="D3786" s="6"/>
      <c r="E3786" s="6"/>
      <c r="F3786" s="6"/>
      <c r="G3786" s="6"/>
      <c r="H3786" s="6"/>
      <c r="I3786" s="6"/>
      <c r="J3786" s="6"/>
      <c r="K3786" s="6"/>
      <c r="L3786" s="6"/>
      <c r="M3786" s="6"/>
      <c r="N3786" s="6"/>
      <c r="O3786" s="6"/>
      <c r="P3786" s="6"/>
      <c r="Q3786" s="6"/>
      <c r="R3786" s="6"/>
      <c r="S3786" s="6"/>
      <c r="T3786" s="6"/>
      <c r="U3786" s="6"/>
      <c r="V3786" s="6"/>
      <c r="W3786" s="6"/>
      <c r="X3786" s="6"/>
      <c r="Y3786" s="6"/>
      <c r="Z3786" s="6"/>
      <c r="AA3786" s="6"/>
      <c r="AB3786" s="6"/>
      <c r="AC3786" s="6"/>
      <c r="AD3786" s="6"/>
      <c r="AE3786" s="6"/>
      <c r="AF3786" s="6"/>
      <c r="AG3786" s="6"/>
    </row>
    <row r="3787" spans="2:33">
      <c r="B3787" s="6"/>
      <c r="C3787" s="6"/>
      <c r="D3787" s="6"/>
      <c r="E3787" s="6"/>
      <c r="F3787" s="6"/>
      <c r="G3787" s="6"/>
      <c r="H3787" s="6"/>
      <c r="I3787" s="6"/>
      <c r="J3787" s="6"/>
      <c r="K3787" s="6"/>
      <c r="L3787" s="6"/>
      <c r="M3787" s="6"/>
      <c r="N3787" s="6"/>
      <c r="O3787" s="6"/>
      <c r="P3787" s="6"/>
      <c r="Q3787" s="6"/>
      <c r="R3787" s="6"/>
      <c r="S3787" s="6"/>
      <c r="T3787" s="6"/>
      <c r="U3787" s="6"/>
      <c r="V3787" s="6"/>
      <c r="W3787" s="6"/>
      <c r="X3787" s="6"/>
      <c r="Y3787" s="6"/>
      <c r="Z3787" s="6"/>
      <c r="AA3787" s="6"/>
      <c r="AB3787" s="6"/>
      <c r="AC3787" s="6"/>
      <c r="AD3787" s="6"/>
      <c r="AE3787" s="6"/>
      <c r="AF3787" s="6"/>
      <c r="AG3787" s="6"/>
    </row>
    <row r="3788" spans="2:33">
      <c r="B3788" s="6"/>
      <c r="C3788" s="6"/>
      <c r="D3788" s="6"/>
      <c r="E3788" s="6"/>
      <c r="F3788" s="6"/>
      <c r="G3788" s="6"/>
      <c r="H3788" s="6"/>
      <c r="I3788" s="6"/>
      <c r="J3788" s="6"/>
      <c r="K3788" s="6"/>
      <c r="L3788" s="6"/>
      <c r="M3788" s="6"/>
      <c r="N3788" s="6"/>
      <c r="O3788" s="6"/>
      <c r="P3788" s="6"/>
      <c r="Q3788" s="6"/>
      <c r="R3788" s="6"/>
      <c r="S3788" s="6"/>
      <c r="T3788" s="6"/>
      <c r="U3788" s="6"/>
      <c r="V3788" s="6"/>
      <c r="W3788" s="6"/>
      <c r="X3788" s="6"/>
      <c r="Y3788" s="6"/>
      <c r="Z3788" s="6"/>
      <c r="AA3788" s="6"/>
      <c r="AB3788" s="6"/>
      <c r="AC3788" s="6"/>
      <c r="AD3788" s="6"/>
      <c r="AE3788" s="6"/>
      <c r="AF3788" s="6"/>
      <c r="AG3788" s="6"/>
    </row>
    <row r="3789" spans="2:33">
      <c r="B3789" s="6"/>
      <c r="C3789" s="6"/>
      <c r="D3789" s="6"/>
      <c r="E3789" s="6"/>
      <c r="F3789" s="6"/>
      <c r="G3789" s="6"/>
      <c r="H3789" s="6"/>
      <c r="I3789" s="6"/>
      <c r="J3789" s="6"/>
      <c r="K3789" s="6"/>
      <c r="L3789" s="6"/>
      <c r="M3789" s="6"/>
      <c r="N3789" s="6"/>
      <c r="O3789" s="6"/>
      <c r="P3789" s="6"/>
      <c r="Q3789" s="6"/>
      <c r="R3789" s="6"/>
      <c r="S3789" s="6"/>
      <c r="T3789" s="6"/>
      <c r="U3789" s="6"/>
      <c r="V3789" s="6"/>
      <c r="W3789" s="6"/>
      <c r="X3789" s="6"/>
      <c r="Y3789" s="6"/>
      <c r="Z3789" s="6"/>
      <c r="AA3789" s="6"/>
      <c r="AB3789" s="6"/>
      <c r="AC3789" s="6"/>
      <c r="AD3789" s="6"/>
      <c r="AE3789" s="6"/>
      <c r="AF3789" s="6"/>
      <c r="AG3789" s="6"/>
    </row>
    <row r="3790" spans="2:33">
      <c r="B3790" s="6"/>
      <c r="C3790" s="6"/>
      <c r="D3790" s="6"/>
      <c r="E3790" s="6"/>
      <c r="F3790" s="6"/>
      <c r="G3790" s="6"/>
      <c r="H3790" s="6"/>
      <c r="I3790" s="6"/>
      <c r="J3790" s="6"/>
      <c r="K3790" s="6"/>
      <c r="L3790" s="6"/>
      <c r="M3790" s="6"/>
      <c r="N3790" s="6"/>
      <c r="O3790" s="6"/>
      <c r="P3790" s="6"/>
      <c r="Q3790" s="6"/>
      <c r="R3790" s="6"/>
      <c r="S3790" s="6"/>
      <c r="T3790" s="6"/>
      <c r="U3790" s="6"/>
      <c r="V3790" s="6"/>
      <c r="W3790" s="6"/>
      <c r="X3790" s="6"/>
      <c r="Y3790" s="6"/>
      <c r="Z3790" s="6"/>
      <c r="AA3790" s="6"/>
      <c r="AB3790" s="6"/>
      <c r="AC3790" s="6"/>
      <c r="AD3790" s="6"/>
      <c r="AE3790" s="6"/>
      <c r="AF3790" s="6"/>
      <c r="AG3790" s="6"/>
    </row>
    <row r="3791" spans="2:33">
      <c r="B3791" s="6"/>
      <c r="C3791" s="6"/>
      <c r="D3791" s="6"/>
      <c r="E3791" s="6"/>
      <c r="F3791" s="6"/>
      <c r="G3791" s="6"/>
      <c r="H3791" s="6"/>
      <c r="I3791" s="6"/>
      <c r="J3791" s="6"/>
      <c r="K3791" s="6"/>
      <c r="L3791" s="6"/>
      <c r="M3791" s="6"/>
      <c r="N3791" s="6"/>
      <c r="O3791" s="6"/>
      <c r="P3791" s="6"/>
      <c r="Q3791" s="6"/>
      <c r="R3791" s="6"/>
      <c r="S3791" s="6"/>
      <c r="T3791" s="6"/>
      <c r="U3791" s="6"/>
      <c r="V3791" s="6"/>
      <c r="W3791" s="6"/>
      <c r="X3791" s="6"/>
      <c r="Y3791" s="6"/>
      <c r="Z3791" s="6"/>
      <c r="AA3791" s="6"/>
      <c r="AB3791" s="6"/>
      <c r="AC3791" s="6"/>
      <c r="AD3791" s="6"/>
      <c r="AE3791" s="6"/>
      <c r="AF3791" s="6"/>
      <c r="AG3791" s="6"/>
    </row>
    <row r="3792" spans="2:33">
      <c r="B3792" s="6"/>
      <c r="C3792" s="6"/>
      <c r="D3792" s="6"/>
      <c r="E3792" s="6"/>
      <c r="F3792" s="6"/>
      <c r="G3792" s="6"/>
      <c r="H3792" s="6"/>
      <c r="I3792" s="6"/>
      <c r="J3792" s="6"/>
      <c r="K3792" s="6"/>
      <c r="L3792" s="6"/>
      <c r="M3792" s="6"/>
      <c r="N3792" s="6"/>
      <c r="O3792" s="6"/>
      <c r="P3792" s="6"/>
      <c r="Q3792" s="6"/>
      <c r="R3792" s="6"/>
      <c r="S3792" s="6"/>
      <c r="T3792" s="6"/>
      <c r="U3792" s="6"/>
      <c r="V3792" s="6"/>
      <c r="W3792" s="6"/>
      <c r="X3792" s="6"/>
      <c r="Y3792" s="6"/>
      <c r="Z3792" s="6"/>
      <c r="AA3792" s="6"/>
      <c r="AB3792" s="6"/>
      <c r="AC3792" s="6"/>
      <c r="AD3792" s="6"/>
      <c r="AE3792" s="6"/>
      <c r="AF3792" s="6"/>
      <c r="AG3792" s="6"/>
    </row>
    <row r="3896" spans="2:33">
      <c r="B3896" s="6"/>
      <c r="C3896" s="6"/>
      <c r="D3896" s="6"/>
      <c r="E3896" s="6"/>
      <c r="F3896" s="6"/>
      <c r="G3896" s="6"/>
      <c r="H3896" s="6"/>
      <c r="I3896" s="6"/>
      <c r="J3896" s="6"/>
      <c r="K3896" s="6"/>
      <c r="L3896" s="6"/>
      <c r="M3896" s="6"/>
      <c r="N3896" s="6"/>
      <c r="O3896" s="6"/>
      <c r="P3896" s="6"/>
      <c r="Q3896" s="6"/>
      <c r="R3896" s="6"/>
      <c r="S3896" s="6"/>
      <c r="T3896" s="6"/>
      <c r="U3896" s="6"/>
      <c r="V3896" s="6"/>
      <c r="W3896" s="6"/>
      <c r="X3896" s="6"/>
      <c r="Y3896" s="6"/>
      <c r="Z3896" s="6"/>
      <c r="AA3896" s="6"/>
      <c r="AB3896" s="6"/>
      <c r="AC3896" s="6"/>
      <c r="AD3896" s="6"/>
      <c r="AE3896" s="6"/>
      <c r="AF3896" s="6"/>
      <c r="AG3896" s="6"/>
    </row>
    <row r="3899" spans="2:33">
      <c r="B3899" s="6"/>
      <c r="C3899" s="6"/>
      <c r="D3899" s="6"/>
      <c r="E3899" s="6"/>
      <c r="F3899" s="6"/>
      <c r="G3899" s="6"/>
      <c r="H3899" s="6"/>
      <c r="I3899" s="6"/>
      <c r="J3899" s="6"/>
      <c r="K3899" s="6"/>
      <c r="L3899" s="6"/>
      <c r="M3899" s="6"/>
      <c r="N3899" s="6"/>
      <c r="O3899" s="6"/>
      <c r="P3899" s="6"/>
      <c r="Q3899" s="6"/>
      <c r="R3899" s="6"/>
      <c r="S3899" s="6"/>
      <c r="T3899" s="6"/>
      <c r="U3899" s="6"/>
      <c r="V3899" s="6"/>
      <c r="W3899" s="6"/>
      <c r="X3899" s="6"/>
      <c r="Y3899" s="6"/>
      <c r="Z3899" s="6"/>
      <c r="AA3899" s="6"/>
      <c r="AB3899" s="6"/>
      <c r="AC3899" s="6"/>
      <c r="AD3899" s="6"/>
      <c r="AE3899" s="6"/>
      <c r="AF3899" s="6"/>
      <c r="AG3899" s="6"/>
    </row>
    <row r="3901" spans="2:33">
      <c r="B3901" s="6"/>
      <c r="C3901" s="6"/>
      <c r="D3901" s="6"/>
      <c r="E3901" s="6"/>
      <c r="F3901" s="6"/>
      <c r="G3901" s="6"/>
      <c r="H3901" s="6"/>
      <c r="I3901" s="6"/>
      <c r="J3901" s="6"/>
      <c r="K3901" s="6"/>
      <c r="L3901" s="6"/>
      <c r="M3901" s="6"/>
      <c r="N3901" s="6"/>
      <c r="O3901" s="6"/>
      <c r="P3901" s="6"/>
      <c r="Q3901" s="6"/>
      <c r="R3901" s="6"/>
      <c r="S3901" s="6"/>
      <c r="T3901" s="6"/>
      <c r="U3901" s="6"/>
      <c r="V3901" s="6"/>
      <c r="W3901" s="6"/>
      <c r="X3901" s="6"/>
      <c r="Y3901" s="6"/>
      <c r="Z3901" s="6"/>
      <c r="AA3901" s="6"/>
      <c r="AB3901" s="6"/>
      <c r="AC3901" s="6"/>
      <c r="AD3901" s="6"/>
      <c r="AE3901" s="6"/>
      <c r="AF3901" s="6"/>
      <c r="AG3901" s="6"/>
    </row>
    <row r="3902" spans="2:33">
      <c r="B3902" s="74"/>
      <c r="C3902" s="74"/>
      <c r="D3902" s="74"/>
      <c r="E3902" s="74"/>
      <c r="F3902" s="74"/>
      <c r="G3902" s="74"/>
      <c r="H3902" s="74"/>
      <c r="I3902" s="74"/>
      <c r="J3902" s="74"/>
      <c r="K3902" s="74"/>
      <c r="L3902" s="74"/>
      <c r="M3902" s="74"/>
      <c r="N3902" s="74"/>
      <c r="O3902" s="74"/>
      <c r="P3902" s="74"/>
      <c r="Q3902" s="74"/>
      <c r="R3902" s="74"/>
      <c r="S3902" s="74"/>
      <c r="T3902" s="74"/>
      <c r="U3902" s="74"/>
      <c r="V3902" s="74"/>
      <c r="W3902" s="74"/>
      <c r="X3902" s="74"/>
      <c r="Y3902" s="74"/>
      <c r="Z3902" s="74"/>
      <c r="AA3902" s="74"/>
      <c r="AB3902" s="74"/>
      <c r="AC3902" s="74"/>
      <c r="AD3902" s="74"/>
      <c r="AE3902" s="74"/>
      <c r="AF3902" s="74"/>
      <c r="AG3902" s="74"/>
    </row>
    <row r="4021" spans="2:33">
      <c r="B4021" s="6"/>
      <c r="C4021" s="6"/>
      <c r="D4021" s="6"/>
      <c r="E4021" s="6"/>
      <c r="F4021" s="6"/>
      <c r="G4021" s="6"/>
      <c r="H4021" s="6"/>
      <c r="I4021" s="6"/>
      <c r="J4021" s="6"/>
      <c r="K4021" s="6"/>
      <c r="L4021" s="6"/>
      <c r="M4021" s="6"/>
      <c r="N4021" s="6"/>
      <c r="O4021" s="6"/>
      <c r="P4021" s="6"/>
      <c r="Q4021" s="6"/>
      <c r="R4021" s="6"/>
      <c r="S4021" s="6"/>
      <c r="T4021" s="6"/>
      <c r="U4021" s="6"/>
      <c r="V4021" s="6"/>
      <c r="W4021" s="6"/>
      <c r="X4021" s="6"/>
      <c r="Y4021" s="6"/>
      <c r="Z4021" s="6"/>
      <c r="AA4021" s="6"/>
      <c r="AB4021" s="6"/>
      <c r="AC4021" s="6"/>
      <c r="AD4021" s="6"/>
      <c r="AE4021" s="6"/>
      <c r="AF4021" s="6"/>
      <c r="AG4021" s="6"/>
    </row>
    <row r="4024" spans="2:33">
      <c r="B4024" s="6"/>
      <c r="C4024" s="6"/>
      <c r="D4024" s="6"/>
      <c r="E4024" s="6"/>
      <c r="F4024" s="6"/>
      <c r="G4024" s="6"/>
      <c r="H4024" s="6"/>
      <c r="I4024" s="6"/>
      <c r="J4024" s="6"/>
      <c r="K4024" s="6"/>
      <c r="L4024" s="6"/>
      <c r="M4024" s="6"/>
      <c r="N4024" s="6"/>
      <c r="O4024" s="6"/>
      <c r="P4024" s="6"/>
      <c r="Q4024" s="6"/>
      <c r="R4024" s="6"/>
      <c r="S4024" s="6"/>
      <c r="T4024" s="6"/>
      <c r="U4024" s="6"/>
      <c r="V4024" s="6"/>
      <c r="W4024" s="6"/>
      <c r="X4024" s="6"/>
      <c r="Y4024" s="6"/>
      <c r="Z4024" s="6"/>
      <c r="AA4024" s="6"/>
      <c r="AB4024" s="6"/>
      <c r="AC4024" s="6"/>
      <c r="AD4024" s="6"/>
      <c r="AE4024" s="6"/>
      <c r="AF4024" s="6"/>
      <c r="AG4024" s="6"/>
    </row>
    <row r="4026" spans="2:33">
      <c r="B4026" s="6"/>
      <c r="C4026" s="6"/>
      <c r="D4026" s="6"/>
      <c r="E4026" s="6"/>
      <c r="F4026" s="6"/>
      <c r="G4026" s="6"/>
      <c r="H4026" s="6"/>
      <c r="I4026" s="6"/>
      <c r="J4026" s="6"/>
      <c r="K4026" s="6"/>
      <c r="L4026" s="6"/>
      <c r="M4026" s="6"/>
      <c r="N4026" s="6"/>
      <c r="O4026" s="6"/>
      <c r="P4026" s="6"/>
      <c r="Q4026" s="6"/>
      <c r="R4026" s="6"/>
      <c r="S4026" s="6"/>
      <c r="T4026" s="6"/>
      <c r="U4026" s="6"/>
      <c r="V4026" s="6"/>
      <c r="W4026" s="6"/>
      <c r="X4026" s="6"/>
      <c r="Y4026" s="6"/>
      <c r="Z4026" s="6"/>
      <c r="AA4026" s="6"/>
      <c r="AB4026" s="6"/>
      <c r="AC4026" s="6"/>
      <c r="AD4026" s="6"/>
      <c r="AE4026" s="6"/>
      <c r="AF4026" s="6"/>
      <c r="AG4026" s="6"/>
    </row>
    <row r="4027" spans="2:33">
      <c r="B4027" s="74"/>
      <c r="C4027" s="74"/>
      <c r="D4027" s="74"/>
      <c r="E4027" s="74"/>
      <c r="F4027" s="74"/>
      <c r="G4027" s="74"/>
      <c r="H4027" s="74"/>
      <c r="I4027" s="74"/>
      <c r="J4027" s="74"/>
      <c r="K4027" s="74"/>
      <c r="L4027" s="74"/>
      <c r="M4027" s="74"/>
      <c r="N4027" s="74"/>
      <c r="O4027" s="74"/>
      <c r="P4027" s="74"/>
      <c r="Q4027" s="74"/>
      <c r="R4027" s="74"/>
      <c r="S4027" s="74"/>
      <c r="T4027" s="74"/>
      <c r="U4027" s="74"/>
      <c r="V4027" s="74"/>
      <c r="W4027" s="74"/>
      <c r="X4027" s="74"/>
      <c r="Y4027" s="74"/>
      <c r="Z4027" s="74"/>
      <c r="AA4027" s="74"/>
      <c r="AB4027" s="74"/>
      <c r="AC4027" s="74"/>
      <c r="AD4027" s="74"/>
      <c r="AE4027" s="74"/>
      <c r="AF4027" s="74"/>
      <c r="AG4027" s="74"/>
    </row>
    <row r="4146" spans="2:33">
      <c r="B4146" s="6"/>
      <c r="C4146" s="6"/>
      <c r="D4146" s="6"/>
      <c r="E4146" s="6"/>
      <c r="F4146" s="6"/>
      <c r="G4146" s="6"/>
      <c r="H4146" s="6"/>
      <c r="I4146" s="6"/>
      <c r="J4146" s="6"/>
      <c r="K4146" s="6"/>
      <c r="L4146" s="6"/>
      <c r="M4146" s="6"/>
      <c r="N4146" s="6"/>
      <c r="O4146" s="6"/>
      <c r="P4146" s="6"/>
      <c r="Q4146" s="6"/>
      <c r="R4146" s="6"/>
      <c r="S4146" s="6"/>
      <c r="T4146" s="6"/>
      <c r="U4146" s="6"/>
      <c r="V4146" s="6"/>
      <c r="W4146" s="6"/>
      <c r="X4146" s="6"/>
      <c r="Y4146" s="6"/>
      <c r="Z4146" s="6"/>
      <c r="AA4146" s="6"/>
      <c r="AB4146" s="6"/>
      <c r="AC4146" s="6"/>
      <c r="AD4146" s="6"/>
      <c r="AE4146" s="6"/>
      <c r="AF4146" s="6"/>
      <c r="AG4146" s="6"/>
    </row>
    <row r="4149" spans="2:33">
      <c r="B4149" s="6"/>
      <c r="C4149" s="6"/>
      <c r="D4149" s="6"/>
      <c r="E4149" s="6"/>
      <c r="F4149" s="6"/>
      <c r="G4149" s="6"/>
      <c r="H4149" s="6"/>
      <c r="I4149" s="6"/>
      <c r="J4149" s="6"/>
      <c r="K4149" s="6"/>
      <c r="L4149" s="6"/>
      <c r="M4149" s="6"/>
      <c r="N4149" s="6"/>
      <c r="O4149" s="6"/>
      <c r="P4149" s="6"/>
      <c r="Q4149" s="6"/>
      <c r="R4149" s="6"/>
      <c r="S4149" s="6"/>
      <c r="T4149" s="6"/>
      <c r="U4149" s="6"/>
      <c r="V4149" s="6"/>
      <c r="W4149" s="6"/>
      <c r="X4149" s="6"/>
      <c r="Y4149" s="6"/>
      <c r="Z4149" s="6"/>
      <c r="AA4149" s="6"/>
      <c r="AB4149" s="6"/>
      <c r="AC4149" s="6"/>
      <c r="AD4149" s="6"/>
      <c r="AE4149" s="6"/>
      <c r="AF4149" s="6"/>
      <c r="AG4149" s="6"/>
    </row>
    <row r="4151" spans="2:33">
      <c r="B4151" s="6"/>
      <c r="C4151" s="6"/>
      <c r="D4151" s="6"/>
      <c r="E4151" s="6"/>
      <c r="F4151" s="6"/>
      <c r="G4151" s="6"/>
      <c r="H4151" s="6"/>
      <c r="I4151" s="6"/>
      <c r="J4151" s="6"/>
      <c r="K4151" s="6"/>
      <c r="L4151" s="6"/>
      <c r="M4151" s="6"/>
      <c r="N4151" s="6"/>
      <c r="O4151" s="6"/>
      <c r="P4151" s="6"/>
      <c r="Q4151" s="6"/>
      <c r="R4151" s="6"/>
      <c r="S4151" s="6"/>
      <c r="T4151" s="6"/>
      <c r="U4151" s="6"/>
      <c r="V4151" s="6"/>
      <c r="W4151" s="6"/>
      <c r="X4151" s="6"/>
      <c r="Y4151" s="6"/>
      <c r="Z4151" s="6"/>
      <c r="AA4151" s="6"/>
      <c r="AB4151" s="6"/>
      <c r="AC4151" s="6"/>
      <c r="AD4151" s="6"/>
      <c r="AE4151" s="6"/>
      <c r="AF4151" s="6"/>
      <c r="AG4151" s="6"/>
    </row>
    <row r="4152" spans="2:33">
      <c r="B4152" s="74"/>
      <c r="C4152" s="74"/>
      <c r="D4152" s="74"/>
      <c r="E4152" s="74"/>
      <c r="F4152" s="74"/>
      <c r="G4152" s="74"/>
      <c r="H4152" s="74"/>
      <c r="I4152" s="74"/>
      <c r="J4152" s="74"/>
      <c r="K4152" s="74"/>
      <c r="L4152" s="74"/>
      <c r="M4152" s="74"/>
      <c r="N4152" s="74"/>
      <c r="O4152" s="74"/>
      <c r="P4152" s="74"/>
      <c r="Q4152" s="74"/>
      <c r="R4152" s="74"/>
      <c r="S4152" s="74"/>
      <c r="T4152" s="74"/>
      <c r="U4152" s="74"/>
      <c r="V4152" s="74"/>
      <c r="W4152" s="74"/>
      <c r="X4152" s="74"/>
      <c r="Y4152" s="74"/>
      <c r="Z4152" s="74"/>
      <c r="AA4152" s="74"/>
      <c r="AB4152" s="74"/>
      <c r="AC4152" s="74"/>
      <c r="AD4152" s="74"/>
      <c r="AE4152" s="74"/>
      <c r="AF4152" s="74"/>
      <c r="AG4152" s="74"/>
    </row>
    <row r="4160" spans="2:33">
      <c r="B4160" s="6"/>
      <c r="C4160" s="6"/>
      <c r="D4160" s="6"/>
      <c r="E4160" s="6"/>
      <c r="F4160" s="6"/>
      <c r="G4160" s="6"/>
      <c r="H4160" s="6"/>
      <c r="I4160" s="6"/>
      <c r="J4160" s="6"/>
      <c r="K4160" s="6"/>
      <c r="L4160" s="6"/>
      <c r="M4160" s="6"/>
      <c r="N4160" s="6"/>
      <c r="O4160" s="6"/>
      <c r="P4160" s="6"/>
      <c r="Q4160" s="6"/>
      <c r="R4160" s="6"/>
      <c r="S4160" s="6"/>
      <c r="T4160" s="6"/>
      <c r="U4160" s="6"/>
      <c r="V4160" s="6"/>
      <c r="W4160" s="6"/>
      <c r="X4160" s="6"/>
      <c r="Y4160" s="6"/>
      <c r="Z4160" s="6"/>
      <c r="AA4160" s="6"/>
      <c r="AB4160" s="6"/>
      <c r="AC4160" s="6"/>
      <c r="AD4160" s="6"/>
      <c r="AE4160" s="6"/>
      <c r="AF4160" s="6"/>
      <c r="AG4160" s="6"/>
    </row>
    <row r="4274" spans="2:33">
      <c r="B4274" s="6"/>
      <c r="C4274" s="6"/>
      <c r="D4274" s="6"/>
      <c r="E4274" s="6"/>
      <c r="F4274" s="6"/>
      <c r="G4274" s="6"/>
      <c r="H4274" s="6"/>
      <c r="I4274" s="6"/>
      <c r="J4274" s="6"/>
      <c r="K4274" s="6"/>
      <c r="L4274" s="6"/>
      <c r="M4274" s="6"/>
      <c r="N4274" s="6"/>
      <c r="O4274" s="6"/>
      <c r="P4274" s="6"/>
      <c r="Q4274" s="6"/>
      <c r="R4274" s="6"/>
      <c r="S4274" s="6"/>
      <c r="T4274" s="6"/>
      <c r="U4274" s="6"/>
      <c r="V4274" s="6"/>
      <c r="W4274" s="6"/>
      <c r="X4274" s="6"/>
      <c r="Y4274" s="6"/>
      <c r="Z4274" s="6"/>
      <c r="AA4274" s="6"/>
      <c r="AB4274" s="6"/>
      <c r="AC4274" s="6"/>
      <c r="AD4274" s="6"/>
      <c r="AE4274" s="6"/>
      <c r="AF4274" s="6"/>
      <c r="AG4274" s="6"/>
    </row>
    <row r="4276" spans="2:33">
      <c r="B4276" s="6"/>
      <c r="C4276" s="6"/>
      <c r="D4276" s="6"/>
      <c r="E4276" s="6"/>
      <c r="F4276" s="6"/>
      <c r="G4276" s="6"/>
      <c r="H4276" s="6"/>
      <c r="I4276" s="6"/>
      <c r="J4276" s="6"/>
      <c r="K4276" s="6"/>
      <c r="L4276" s="6"/>
      <c r="M4276" s="6"/>
      <c r="N4276" s="6"/>
      <c r="O4276" s="6"/>
      <c r="P4276" s="6"/>
      <c r="Q4276" s="6"/>
      <c r="R4276" s="6"/>
      <c r="S4276" s="6"/>
      <c r="T4276" s="6"/>
      <c r="U4276" s="6"/>
      <c r="V4276" s="6"/>
      <c r="W4276" s="6"/>
      <c r="X4276" s="6"/>
      <c r="Y4276" s="6"/>
      <c r="Z4276" s="6"/>
      <c r="AA4276" s="6"/>
      <c r="AB4276" s="6"/>
      <c r="AC4276" s="6"/>
      <c r="AD4276" s="6"/>
      <c r="AE4276" s="6"/>
      <c r="AF4276" s="6"/>
      <c r="AG4276" s="6"/>
    </row>
    <row r="4277" spans="2:33">
      <c r="B4277" s="74"/>
      <c r="C4277" s="74"/>
      <c r="D4277" s="74"/>
      <c r="E4277" s="74"/>
      <c r="F4277" s="74"/>
      <c r="G4277" s="74"/>
      <c r="H4277" s="74"/>
      <c r="I4277" s="74"/>
      <c r="J4277" s="74"/>
      <c r="K4277" s="74"/>
      <c r="L4277" s="74"/>
      <c r="M4277" s="74"/>
      <c r="N4277" s="74"/>
      <c r="O4277" s="74"/>
      <c r="P4277" s="74"/>
      <c r="Q4277" s="74"/>
      <c r="R4277" s="74"/>
      <c r="S4277" s="74"/>
      <c r="T4277" s="74"/>
      <c r="U4277" s="74"/>
      <c r="V4277" s="74"/>
      <c r="W4277" s="74"/>
      <c r="X4277" s="74"/>
      <c r="Y4277" s="74"/>
      <c r="Z4277" s="74"/>
      <c r="AA4277" s="74"/>
      <c r="AB4277" s="74"/>
      <c r="AC4277" s="74"/>
      <c r="AD4277" s="74"/>
      <c r="AE4277" s="74"/>
      <c r="AF4277" s="74"/>
      <c r="AG4277" s="74"/>
    </row>
    <row r="4285" spans="2:33">
      <c r="B4285" s="6"/>
      <c r="C4285" s="6"/>
      <c r="D4285" s="6"/>
      <c r="E4285" s="6"/>
      <c r="F4285" s="6"/>
      <c r="G4285" s="6"/>
      <c r="H4285" s="6"/>
      <c r="I4285" s="6"/>
      <c r="J4285" s="6"/>
      <c r="K4285" s="6"/>
      <c r="L4285" s="6"/>
      <c r="M4285" s="6"/>
      <c r="N4285" s="6"/>
      <c r="O4285" s="6"/>
      <c r="P4285" s="6"/>
      <c r="Q4285" s="6"/>
      <c r="R4285" s="6"/>
      <c r="S4285" s="6"/>
      <c r="T4285" s="6"/>
      <c r="U4285" s="6"/>
      <c r="V4285" s="6"/>
      <c r="W4285" s="6"/>
      <c r="X4285" s="6"/>
      <c r="Y4285" s="6"/>
      <c r="Z4285" s="6"/>
      <c r="AA4285" s="6"/>
      <c r="AB4285" s="6"/>
      <c r="AC4285" s="6"/>
      <c r="AD4285" s="6"/>
      <c r="AE4285" s="6"/>
      <c r="AF4285" s="6"/>
      <c r="AG4285" s="6"/>
    </row>
    <row r="4286" spans="2:33">
      <c r="B4286" s="6"/>
      <c r="C4286" s="6"/>
      <c r="D4286" s="6"/>
      <c r="E4286" s="6"/>
      <c r="F4286" s="6"/>
      <c r="G4286" s="6"/>
      <c r="H4286" s="6"/>
      <c r="I4286" s="6"/>
      <c r="J4286" s="6"/>
      <c r="K4286" s="6"/>
      <c r="L4286" s="6"/>
      <c r="M4286" s="6"/>
      <c r="N4286" s="6"/>
      <c r="O4286" s="6"/>
      <c r="P4286" s="6"/>
      <c r="Q4286" s="6"/>
      <c r="R4286" s="6"/>
      <c r="S4286" s="6"/>
      <c r="T4286" s="6"/>
      <c r="U4286" s="6"/>
      <c r="V4286" s="6"/>
      <c r="W4286" s="6"/>
      <c r="X4286" s="6"/>
      <c r="Y4286" s="6"/>
      <c r="Z4286" s="6"/>
      <c r="AA4286" s="6"/>
      <c r="AB4286" s="6"/>
      <c r="AC4286" s="6"/>
      <c r="AD4286" s="6"/>
      <c r="AE4286" s="6"/>
      <c r="AF4286" s="6"/>
      <c r="AG4286" s="6"/>
    </row>
    <row r="4287" spans="2:33">
      <c r="B4287" s="6"/>
      <c r="C4287" s="6"/>
      <c r="D4287" s="6"/>
      <c r="E4287" s="6"/>
      <c r="F4287" s="6"/>
      <c r="G4287" s="6"/>
      <c r="H4287" s="6"/>
      <c r="I4287" s="6"/>
      <c r="J4287" s="6"/>
      <c r="K4287" s="6"/>
      <c r="L4287" s="6"/>
      <c r="M4287" s="6"/>
      <c r="N4287" s="6"/>
      <c r="O4287" s="6"/>
      <c r="P4287" s="6"/>
      <c r="Q4287" s="6"/>
      <c r="R4287" s="6"/>
      <c r="S4287" s="6"/>
      <c r="T4287" s="6"/>
      <c r="U4287" s="6"/>
      <c r="V4287" s="6"/>
      <c r="W4287" s="6"/>
      <c r="X4287" s="6"/>
      <c r="Y4287" s="6"/>
      <c r="Z4287" s="6"/>
      <c r="AA4287" s="6"/>
      <c r="AB4287" s="6"/>
      <c r="AC4287" s="6"/>
      <c r="AD4287" s="6"/>
      <c r="AE4287" s="6"/>
      <c r="AF4287" s="6"/>
      <c r="AG4287" s="6"/>
    </row>
    <row r="4288" spans="2:33">
      <c r="B4288" s="6"/>
      <c r="C4288" s="6"/>
      <c r="D4288" s="6"/>
      <c r="E4288" s="6"/>
      <c r="F4288" s="6"/>
      <c r="G4288" s="6"/>
      <c r="H4288" s="6"/>
      <c r="I4288" s="6"/>
      <c r="J4288" s="6"/>
      <c r="K4288" s="6"/>
      <c r="L4288" s="6"/>
      <c r="M4288" s="6"/>
      <c r="N4288" s="6"/>
      <c r="O4288" s="6"/>
      <c r="P4288" s="6"/>
      <c r="Q4288" s="6"/>
      <c r="R4288" s="6"/>
      <c r="S4288" s="6"/>
      <c r="T4288" s="6"/>
      <c r="U4288" s="6"/>
      <c r="V4288" s="6"/>
      <c r="W4288" s="6"/>
      <c r="X4288" s="6"/>
      <c r="Y4288" s="6"/>
      <c r="Z4288" s="6"/>
      <c r="AA4288" s="6"/>
      <c r="AB4288" s="6"/>
      <c r="AC4288" s="6"/>
      <c r="AD4288" s="6"/>
      <c r="AE4288" s="6"/>
      <c r="AF4288" s="6"/>
      <c r="AG4288" s="6"/>
    </row>
    <row r="4401" spans="2:33">
      <c r="B4401" s="6"/>
      <c r="C4401" s="6"/>
      <c r="D4401" s="6"/>
      <c r="E4401" s="6"/>
      <c r="F4401" s="6"/>
      <c r="G4401" s="6"/>
      <c r="H4401" s="6"/>
      <c r="I4401" s="6"/>
      <c r="J4401" s="6"/>
      <c r="K4401" s="6"/>
      <c r="L4401" s="6"/>
      <c r="M4401" s="6"/>
      <c r="N4401" s="6"/>
      <c r="O4401" s="6"/>
      <c r="P4401" s="6"/>
      <c r="Q4401" s="6"/>
      <c r="R4401" s="6"/>
      <c r="S4401" s="6"/>
      <c r="T4401" s="6"/>
      <c r="U4401" s="6"/>
      <c r="V4401" s="6"/>
      <c r="W4401" s="6"/>
      <c r="X4401" s="6"/>
      <c r="Y4401" s="6"/>
      <c r="Z4401" s="6"/>
      <c r="AA4401" s="6"/>
      <c r="AB4401" s="6"/>
      <c r="AC4401" s="6"/>
      <c r="AD4401" s="6"/>
      <c r="AE4401" s="6"/>
      <c r="AF4401" s="6"/>
      <c r="AG4401" s="6"/>
    </row>
    <row r="4402" spans="2:33">
      <c r="B4402" s="74"/>
      <c r="C4402" s="74"/>
      <c r="D4402" s="74"/>
      <c r="E4402" s="74"/>
      <c r="F4402" s="74"/>
      <c r="G4402" s="74"/>
      <c r="H4402" s="74"/>
      <c r="I4402" s="74"/>
      <c r="J4402" s="74"/>
      <c r="K4402" s="74"/>
      <c r="L4402" s="74"/>
      <c r="M4402" s="74"/>
      <c r="N4402" s="74"/>
      <c r="O4402" s="74"/>
      <c r="P4402" s="74"/>
      <c r="Q4402" s="74"/>
      <c r="R4402" s="74"/>
      <c r="S4402" s="74"/>
      <c r="T4402" s="74"/>
      <c r="U4402" s="74"/>
      <c r="V4402" s="74"/>
      <c r="W4402" s="74"/>
      <c r="X4402" s="74"/>
      <c r="Y4402" s="74"/>
      <c r="Z4402" s="74"/>
      <c r="AA4402" s="74"/>
      <c r="AB4402" s="74"/>
      <c r="AC4402" s="74"/>
      <c r="AD4402" s="74"/>
      <c r="AE4402" s="74"/>
      <c r="AF4402" s="74"/>
      <c r="AG4402" s="74"/>
    </row>
  </sheetData>
  <mergeCells count="28">
    <mergeCell ref="B118:AG118"/>
    <mergeCell ref="B4027:AG4027"/>
    <mergeCell ref="B4152:AG4152"/>
    <mergeCell ref="B4277:AG4277"/>
    <mergeCell ref="B4402:AG4402"/>
    <mergeCell ref="B3293:AG3293"/>
    <mergeCell ref="B3402:AG3402"/>
    <mergeCell ref="B3527:AG3527"/>
    <mergeCell ref="B3652:AG3652"/>
    <mergeCell ref="B3777:AG3777"/>
    <mergeCell ref="B3902:AG3902"/>
    <mergeCell ref="B2971:AG2971"/>
    <mergeCell ref="B710:AG710"/>
    <mergeCell ref="B886:AG886"/>
    <mergeCell ref="B969:AG969"/>
    <mergeCell ref="B1071:AG1071"/>
    <mergeCell ref="B2325:AG2325"/>
    <mergeCell ref="B2645:AG2645"/>
    <mergeCell ref="B638:AG638"/>
    <mergeCell ref="B258:AG258"/>
    <mergeCell ref="B340:AG340"/>
    <mergeCell ref="B452:AG452"/>
    <mergeCell ref="B557:AG557"/>
    <mergeCell ref="B1169:AG1169"/>
    <mergeCell ref="B1269:AG1269"/>
    <mergeCell ref="B1484:AG1484"/>
    <mergeCell ref="B1713:AG1713"/>
    <mergeCell ref="B1990:AG1990"/>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DB91C-9646-4B68-ADE4-562625F53658}">
  <sheetPr>
    <tabColor theme="9"/>
  </sheetPr>
  <dimension ref="A1"/>
  <sheetViews>
    <sheetView workbookViewId="0"/>
  </sheetViews>
  <sheetFormatPr defaultRowHeight="14.25"/>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95F9F-C5EE-46CD-8663-7D8ABE925C55}">
  <dimension ref="A1:AF296"/>
  <sheetViews>
    <sheetView workbookViewId="0"/>
  </sheetViews>
  <sheetFormatPr defaultRowHeight="14.25"/>
  <cols>
    <col min="1" max="1" width="45.73046875" customWidth="1"/>
  </cols>
  <sheetData>
    <row r="1" spans="1:32">
      <c r="A1" s="15" t="s">
        <v>2026</v>
      </c>
    </row>
    <row r="2" spans="1:32">
      <c r="D2" t="s">
        <v>350</v>
      </c>
    </row>
    <row r="3" spans="1:32">
      <c r="B3" t="s">
        <v>348</v>
      </c>
      <c r="C3" t="s">
        <v>116</v>
      </c>
      <c r="D3" s="14">
        <v>1</v>
      </c>
      <c r="E3" s="14">
        <v>1</v>
      </c>
    </row>
    <row r="4" spans="1:32">
      <c r="B4" t="s">
        <v>348</v>
      </c>
      <c r="C4" t="s">
        <v>563</v>
      </c>
      <c r="D4" s="14">
        <v>1</v>
      </c>
      <c r="E4" s="14">
        <v>1</v>
      </c>
    </row>
    <row r="5" spans="1:32">
      <c r="B5" t="s">
        <v>349</v>
      </c>
      <c r="C5" t="s">
        <v>116</v>
      </c>
      <c r="D5" s="14">
        <v>1</v>
      </c>
      <c r="E5" s="14">
        <v>1</v>
      </c>
    </row>
    <row r="6" spans="1:32">
      <c r="B6" t="s">
        <v>349</v>
      </c>
      <c r="C6" t="s">
        <v>122</v>
      </c>
      <c r="D6" s="14">
        <v>1</v>
      </c>
      <c r="E6" s="14">
        <v>1</v>
      </c>
    </row>
    <row r="7" spans="1:32">
      <c r="B7" t="s">
        <v>349</v>
      </c>
      <c r="C7" t="s">
        <v>562</v>
      </c>
      <c r="D7" s="14">
        <v>1</v>
      </c>
      <c r="E7" s="14">
        <v>1</v>
      </c>
    </row>
    <row r="8" spans="1:32">
      <c r="B8" s="15"/>
    </row>
    <row r="9" spans="1:32">
      <c r="M9" s="15"/>
      <c r="N9" s="15"/>
      <c r="O9" s="15"/>
      <c r="P9" s="15"/>
      <c r="Q9" s="15"/>
      <c r="R9" s="15"/>
      <c r="S9" s="15"/>
      <c r="T9" s="15"/>
      <c r="U9" s="15"/>
      <c r="V9" s="15"/>
      <c r="W9" s="15"/>
      <c r="X9" s="15"/>
      <c r="Y9" s="15"/>
      <c r="Z9" s="15"/>
      <c r="AA9" s="15"/>
      <c r="AB9" s="15"/>
      <c r="AC9" s="15"/>
      <c r="AD9" s="15"/>
      <c r="AE9" s="15"/>
      <c r="AF9" s="15"/>
    </row>
    <row r="10" spans="1:32">
      <c r="A10" t="s">
        <v>560</v>
      </c>
      <c r="B10" s="10">
        <f>SUM('GHG Inventory'!AL3)</f>
        <v>5127</v>
      </c>
      <c r="C10" s="10"/>
      <c r="D10" s="10"/>
      <c r="E10" s="18"/>
      <c r="M10" s="16"/>
      <c r="N10" s="16"/>
      <c r="O10" s="16"/>
      <c r="P10" s="16"/>
      <c r="Q10" s="16"/>
      <c r="R10" s="16"/>
      <c r="S10" s="16"/>
      <c r="T10" s="16"/>
      <c r="U10" s="16"/>
      <c r="V10" s="16"/>
      <c r="W10" s="16"/>
      <c r="X10" s="16"/>
      <c r="Y10" s="16"/>
      <c r="Z10" s="16"/>
      <c r="AA10" s="16"/>
      <c r="AB10" s="16"/>
      <c r="AC10" s="16"/>
      <c r="AD10" s="16"/>
      <c r="AE10" s="16"/>
      <c r="AF10" s="16"/>
    </row>
    <row r="11" spans="1:32">
      <c r="A11" t="s">
        <v>561</v>
      </c>
      <c r="B11" s="10">
        <f>SUM('AEO 2022 Table 36'!C27,'AEO 2022 Table 36'!C35)</f>
        <v>5245.3319700000002</v>
      </c>
      <c r="C11" s="10"/>
      <c r="D11" s="10"/>
      <c r="E11" s="18"/>
    </row>
    <row r="12" spans="1:32">
      <c r="A12" t="s">
        <v>559</v>
      </c>
      <c r="B12" s="18">
        <v>1.07</v>
      </c>
      <c r="C12" s="10"/>
      <c r="D12" s="10"/>
      <c r="E12" s="18"/>
    </row>
    <row r="14" spans="1:32">
      <c r="A14" s="7"/>
    </row>
    <row r="17" spans="2:31">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row>
    <row r="28" spans="2:31">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row>
    <row r="39" spans="2:31">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row>
    <row r="41" spans="2:31">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row>
    <row r="50" spans="2:31">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row>
    <row r="52" spans="2:31">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row>
    <row r="57" spans="2:31">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row>
    <row r="59" spans="2:31">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row>
    <row r="61" spans="2:31">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row>
    <row r="75" spans="2:31">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row>
    <row r="86" spans="2:31">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c r="AE86" s="10"/>
    </row>
    <row r="87" spans="2:31">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c r="AD87" s="10"/>
      <c r="AE87" s="10"/>
    </row>
    <row r="98" spans="2:31">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c r="AE98" s="10"/>
    </row>
    <row r="109" spans="2:31">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row>
    <row r="111" spans="2:31">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c r="AD111" s="10"/>
      <c r="AE111" s="10"/>
    </row>
    <row r="120" spans="2:31">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c r="AD120" s="10"/>
      <c r="AE120" s="10"/>
    </row>
    <row r="122" spans="2:31">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row>
    <row r="127" spans="2:31">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row>
    <row r="129" spans="2:31">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c r="AD129" s="10"/>
      <c r="AE129" s="10"/>
    </row>
    <row r="131" spans="2:31">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c r="AD131" s="10"/>
      <c r="AE131" s="10"/>
    </row>
    <row r="145" spans="2:31">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row>
    <row r="156" spans="2:31">
      <c r="B156" s="10"/>
      <c r="C156" s="10"/>
      <c r="D156" s="10"/>
      <c r="E156" s="10"/>
      <c r="F156" s="10"/>
      <c r="G156" s="10"/>
      <c r="H156" s="10"/>
      <c r="I156" s="10"/>
      <c r="J156" s="10"/>
      <c r="K156" s="10"/>
      <c r="L156" s="10"/>
      <c r="M156" s="10"/>
      <c r="N156" s="10"/>
      <c r="Q156" s="10"/>
      <c r="R156" s="10"/>
      <c r="S156" s="10"/>
      <c r="T156" s="10"/>
      <c r="U156" s="10"/>
      <c r="V156" s="10"/>
      <c r="W156" s="10"/>
      <c r="X156" s="10"/>
      <c r="Y156" s="10"/>
      <c r="Z156" s="10"/>
      <c r="AA156" s="10"/>
      <c r="AB156" s="10"/>
      <c r="AC156" s="10"/>
      <c r="AD156" s="10"/>
      <c r="AE156" s="10"/>
    </row>
    <row r="157" spans="2:31">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c r="AD157" s="10"/>
      <c r="AE157" s="10"/>
    </row>
    <row r="168" spans="2:31">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c r="AD168" s="10"/>
      <c r="AE168" s="10"/>
    </row>
    <row r="179" spans="2:31">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row>
    <row r="181" spans="2:31">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row>
    <row r="190" spans="2:31">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row>
    <row r="192" spans="2:31">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row>
    <row r="215" spans="2:31">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c r="AD215" s="10"/>
      <c r="AE215" s="10"/>
    </row>
    <row r="226" spans="2:31">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c r="AD226" s="10"/>
      <c r="AE226" s="10"/>
    </row>
    <row r="227" spans="2:31">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c r="AD227" s="10"/>
      <c r="AE227" s="10"/>
    </row>
    <row r="238" spans="2:31">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c r="AD238" s="10"/>
      <c r="AE238" s="10"/>
    </row>
    <row r="249" spans="2:20">
      <c r="B249" s="10"/>
      <c r="C249" s="10"/>
      <c r="D249" s="10"/>
      <c r="E249" s="10"/>
      <c r="F249" s="10"/>
      <c r="G249" s="10"/>
      <c r="H249" s="10"/>
      <c r="I249" s="10"/>
      <c r="J249" s="10"/>
      <c r="K249" s="10"/>
      <c r="L249" s="10"/>
      <c r="M249" s="10"/>
      <c r="N249" s="10"/>
      <c r="O249" s="10"/>
      <c r="P249" s="10"/>
      <c r="Q249" s="10"/>
      <c r="R249" s="10"/>
      <c r="S249" s="10"/>
      <c r="T249" s="10"/>
    </row>
    <row r="251" spans="2:20">
      <c r="B251" s="10"/>
      <c r="C251" s="10"/>
      <c r="D251" s="10"/>
      <c r="E251" s="10"/>
      <c r="F251" s="10"/>
      <c r="G251" s="10"/>
      <c r="H251" s="10"/>
      <c r="I251" s="10"/>
      <c r="J251" s="10"/>
      <c r="K251" s="10"/>
      <c r="L251" s="10"/>
      <c r="M251" s="10"/>
      <c r="N251" s="10"/>
      <c r="O251" s="10"/>
      <c r="P251" s="10"/>
      <c r="Q251" s="10"/>
      <c r="R251" s="10"/>
      <c r="S251" s="10"/>
      <c r="T251" s="10"/>
    </row>
    <row r="260" spans="2:31">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c r="AB260" s="10"/>
      <c r="AC260" s="10"/>
      <c r="AD260" s="10"/>
      <c r="AE260" s="10"/>
    </row>
    <row r="262" spans="2:31">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c r="AB262" s="10"/>
      <c r="AC262" s="10"/>
      <c r="AD262" s="10"/>
      <c r="AE262" s="10"/>
    </row>
    <row r="267" spans="2:31">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c r="AB267" s="10"/>
      <c r="AC267" s="10"/>
      <c r="AD267" s="10"/>
      <c r="AE267" s="10"/>
    </row>
    <row r="270" spans="2:31">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c r="AB270" s="10"/>
      <c r="AC270" s="10"/>
      <c r="AD270" s="10"/>
      <c r="AE270" s="10"/>
    </row>
    <row r="272" spans="2:31">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c r="AB272" s="10"/>
      <c r="AC272" s="10"/>
      <c r="AD272" s="10"/>
      <c r="AE272" s="10"/>
    </row>
    <row r="285" spans="2:31">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c r="AB285" s="10"/>
      <c r="AC285" s="10"/>
      <c r="AD285" s="10"/>
      <c r="AE285" s="10"/>
    </row>
    <row r="296" spans="2:31">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c r="AB296" s="10"/>
      <c r="AC296" s="10"/>
      <c r="AD296" s="10"/>
      <c r="AE296" s="10"/>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63F4A-742D-4EA9-974A-31C1D5B5D2D9}">
  <dimension ref="A1"/>
  <sheetViews>
    <sheetView workbookViewId="0">
      <selection sqref="A1:C23"/>
    </sheetView>
  </sheetViews>
  <sheetFormatPr defaultRowHeight="14.25"/>
  <cols>
    <col min="1" max="1" width="28.73046875" customWidth="1"/>
    <col min="2" max="2" width="22.73046875" customWidth="1"/>
    <col min="3" max="3" width="100.73046875" customWidth="1"/>
  </cols>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6E9DF-7033-4FC2-B8D5-A48EEF4795DF}">
  <dimension ref="A1:AB51"/>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RowHeight="14.25"/>
  <cols>
    <col min="1" max="1" width="28.73046875" customWidth="1"/>
    <col min="2" max="28" width="11.73046875" customWidth="1"/>
  </cols>
  <sheetData>
    <row r="1" spans="1:28">
      <c r="A1" s="1" t="s">
        <v>2937</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c r="A2" s="1" t="s">
        <v>203</v>
      </c>
      <c r="B2">
        <f>IFERROR(INDEX(Census_pop_2020_2025!G:G, MATCH("."&amp;$A$2, Census_pop_2020_2025!A:A, 0)),INDEX(Census_pop_2020_2025!G:G, MATCH($A$2, Census_pop_2020_2025!A:A, 0)))</f>
        <v>340003797</v>
      </c>
      <c r="C2">
        <f>IFERROR(INDEX(Census_pop_2020_2025!H:H, MATCH("."&amp;$A$2, Census_pop_2020_2025!A:A, 0)),INDEX(Census_pop_2020_2025!H:H, MATCH($A$2, Census_pop_2020_2025!A:A, 0)))</f>
        <v>341784857</v>
      </c>
      <c r="D2">
        <f>(IFERROR(INDEX(Census_pop_2020_2025!H:H, MATCH("."&amp;$A$2, Census_pop_2020_2025!A:A, 0)),INDEX(Census_pop_2020_2025!H:H, MATCH($A$2, Census_pop_2020_2025!A:A, 0))))+0.2*((INDEX(Cooper_pop_2030_2050!D:D, MATCH($A$2, Cooper_pop_2030_2050!B:B, 0)))-(IFERROR(INDEX(Census_pop_2020_2025!H:H, MATCH("."&amp;$A$2, Census_pop_2020_2025!A:A, 0)),INDEX(Census_pop_2020_2025!H:H, MATCH($A$2, Census_pop_2020_2025!A:A, 0)))))</f>
        <v>343367058.56720102</v>
      </c>
      <c r="E2">
        <f>(IFERROR(INDEX(Census_pop_2020_2025!H:H, MATCH("."&amp;$A$2, Census_pop_2020_2025!A:A, 0)),INDEX(Census_pop_2020_2025!H:H, MATCH($A$2, Census_pop_2020_2025!A:A, 0))))+0.4*((INDEX(Cooper_pop_2030_2050!D:D, MATCH($A$2, Cooper_pop_2030_2050!B:B, 0)))-(IFERROR(INDEX(Census_pop_2020_2025!H:H, MATCH("."&amp;$A$2, Census_pop_2020_2025!A:A, 0)),INDEX(Census_pop_2020_2025!H:H, MATCH($A$2, Census_pop_2020_2025!A:A, 0)))))</f>
        <v>344949260.13440204</v>
      </c>
      <c r="F2">
        <f>(IFERROR(INDEX(Census_pop_2020_2025!H:H, MATCH("."&amp;$A$2, Census_pop_2020_2025!A:A, 0)),INDEX(Census_pop_2020_2025!H:H, MATCH($A$2, Census_pop_2020_2025!A:A, 0))))+0.6*((INDEX(Cooper_pop_2030_2050!D:D, MATCH($A$2, Cooper_pop_2030_2050!B:B, 0)))-(IFERROR(INDEX(Census_pop_2020_2025!H:H, MATCH("."&amp;$A$2, Census_pop_2020_2025!A:A, 0)),INDEX(Census_pop_2020_2025!H:H, MATCH($A$2, Census_pop_2020_2025!A:A, 0)))))</f>
        <v>346531461.70160306</v>
      </c>
      <c r="G2">
        <f>(IFERROR(INDEX(Census_pop_2020_2025!H:H, MATCH("."&amp;$A$2, Census_pop_2020_2025!A:A, 0)),INDEX(Census_pop_2020_2025!H:H, MATCH($A$2, Census_pop_2020_2025!A:A, 0))))+0.8*((INDEX(Cooper_pop_2030_2050!D:D, MATCH($A$2, Cooper_pop_2030_2050!B:B, 0)))-(IFERROR(INDEX(Census_pop_2020_2025!H:H, MATCH("."&amp;$A$2, Census_pop_2020_2025!A:A, 0)),INDEX(Census_pop_2020_2025!H:H, MATCH($A$2, Census_pop_2020_2025!A:A, 0)))))</f>
        <v>348113663.26880407</v>
      </c>
      <c r="H2">
        <f>INDEX(Cooper_pop_2030_2050!D:D, MATCH($A$2, Cooper_pop_2030_2050!B:B, 0))</f>
        <v>349695864.83600509</v>
      </c>
      <c r="I2">
        <f>(INDEX(Cooper_pop_2030_2050!D:D, MATCH($A$2, Cooper_pop_2030_2050!B:B, 0)))+0.1*((INDEX(Cooper_pop_2030_2050!E:E, MATCH($A$2, Cooper_pop_2030_2050!B:B, 0)))-(INDEX(Cooper_pop_2030_2050!D:D, MATCH($A$2, Cooper_pop_2030_2050!B:B, 0))))</f>
        <v>350955625.45300847</v>
      </c>
      <c r="J2">
        <f>(INDEX(Cooper_pop_2030_2050!D:D, MATCH($A$2, Cooper_pop_2030_2050!B:B, 0)))+0.2*((INDEX(Cooper_pop_2030_2050!E:E, MATCH($A$2, Cooper_pop_2030_2050!B:B, 0)))-(INDEX(Cooper_pop_2030_2050!D:D, MATCH($A$2, Cooper_pop_2030_2050!B:B, 0))))</f>
        <v>352215386.07001179</v>
      </c>
      <c r="K2">
        <f>(INDEX(Cooper_pop_2030_2050!D:D, MATCH($A$2, Cooper_pop_2030_2050!B:B, 0)))+0.3*((INDEX(Cooper_pop_2030_2050!E:E, MATCH($A$2, Cooper_pop_2030_2050!B:B, 0)))-(INDEX(Cooper_pop_2030_2050!D:D, MATCH($A$2, Cooper_pop_2030_2050!B:B, 0))))</f>
        <v>353475146.68701518</v>
      </c>
      <c r="L2">
        <f>(INDEX(Cooper_pop_2030_2050!D:D, MATCH($A$2, Cooper_pop_2030_2050!B:B, 0)))+0.4*((INDEX(Cooper_pop_2030_2050!E:E, MATCH($A$2, Cooper_pop_2030_2050!B:B, 0)))-(INDEX(Cooper_pop_2030_2050!D:D, MATCH($A$2, Cooper_pop_2030_2050!B:B, 0))))</f>
        <v>354734907.30401856</v>
      </c>
      <c r="M2">
        <f>(INDEX(Cooper_pop_2030_2050!D:D, MATCH($A$2, Cooper_pop_2030_2050!B:B, 0)))+0.5*((INDEX(Cooper_pop_2030_2050!E:E, MATCH($A$2, Cooper_pop_2030_2050!B:B, 0)))-(INDEX(Cooper_pop_2030_2050!D:D, MATCH($A$2, Cooper_pop_2030_2050!B:B, 0))))</f>
        <v>355994667.92102194</v>
      </c>
      <c r="N2">
        <f>(INDEX(Cooper_pop_2030_2050!D:D, MATCH($A$2, Cooper_pop_2030_2050!B:B, 0)))+0.6*((INDEX(Cooper_pop_2030_2050!E:E, MATCH($A$2, Cooper_pop_2030_2050!B:B, 0)))-(INDEX(Cooper_pop_2030_2050!D:D, MATCH($A$2, Cooper_pop_2030_2050!B:B, 0))))</f>
        <v>357254428.53802526</v>
      </c>
      <c r="O2">
        <f>(INDEX(Cooper_pop_2030_2050!D:D, MATCH($A$2, Cooper_pop_2030_2050!B:B, 0)))+0.7*((INDEX(Cooper_pop_2030_2050!E:E, MATCH($A$2, Cooper_pop_2030_2050!B:B, 0)))-(INDEX(Cooper_pop_2030_2050!D:D, MATCH($A$2, Cooper_pop_2030_2050!B:B, 0))))</f>
        <v>358514189.15502864</v>
      </c>
      <c r="P2">
        <f>(INDEX(Cooper_pop_2030_2050!D:D, MATCH($A$2, Cooper_pop_2030_2050!B:B, 0)))+0.8*((INDEX(Cooper_pop_2030_2050!E:E, MATCH($A$2, Cooper_pop_2030_2050!B:B, 0)))-(INDEX(Cooper_pop_2030_2050!D:D, MATCH($A$2, Cooper_pop_2030_2050!B:B, 0))))</f>
        <v>359773949.77203202</v>
      </c>
      <c r="Q2">
        <f>(INDEX(Cooper_pop_2030_2050!D:D, MATCH($A$2, Cooper_pop_2030_2050!B:B, 0)))+0.9*((INDEX(Cooper_pop_2030_2050!E:E, MATCH($A$2, Cooper_pop_2030_2050!B:B, 0)))-(INDEX(Cooper_pop_2030_2050!D:D, MATCH($A$2, Cooper_pop_2030_2050!B:B, 0))))</f>
        <v>361033710.38903534</v>
      </c>
      <c r="R2">
        <f>INDEX(Cooper_pop_2030_2050!E:E, MATCH($A$2, Cooper_pop_2030_2050!B:B, 0))</f>
        <v>362293471.00603873</v>
      </c>
      <c r="S2">
        <f>(INDEX(Cooper_pop_2030_2050!E:E, MATCH($A$2, Cooper_pop_2030_2050!B:B, 0)))+0.1*((INDEX(Cooper_pop_2030_2050!F:F, MATCH($A$2, Cooper_pop_2030_2050!B:B, 0)))-(INDEX(Cooper_pop_2030_2050!E:E, MATCH($A$2, Cooper_pop_2030_2050!B:B, 0))))</f>
        <v>363240822.0587166</v>
      </c>
      <c r="T2">
        <f>(INDEX(Cooper_pop_2030_2050!E:E, MATCH($A$2, Cooper_pop_2030_2050!B:B, 0)))+0.2*((INDEX(Cooper_pop_2030_2050!F:F, MATCH($A$2, Cooper_pop_2030_2050!B:B, 0)))-(INDEX(Cooper_pop_2030_2050!E:E, MATCH($A$2, Cooper_pop_2030_2050!B:B, 0))))</f>
        <v>364188173.11139446</v>
      </c>
      <c r="U2">
        <f>(INDEX(Cooper_pop_2030_2050!E:E, MATCH($A$2, Cooper_pop_2030_2050!B:B, 0)))+0.3*((INDEX(Cooper_pop_2030_2050!F:F, MATCH($A$2, Cooper_pop_2030_2050!B:B, 0)))-(INDEX(Cooper_pop_2030_2050!E:E, MATCH($A$2, Cooper_pop_2030_2050!B:B, 0))))</f>
        <v>365135524.16407233</v>
      </c>
      <c r="V2">
        <f>(INDEX(Cooper_pop_2030_2050!E:E, MATCH($A$2, Cooper_pop_2030_2050!B:B, 0)))+0.4*((INDEX(Cooper_pop_2030_2050!F:F, MATCH($A$2, Cooper_pop_2030_2050!B:B, 0)))-(INDEX(Cooper_pop_2030_2050!E:E, MATCH($A$2, Cooper_pop_2030_2050!B:B, 0))))</f>
        <v>366082875.2167502</v>
      </c>
      <c r="W2">
        <f>(INDEX(Cooper_pop_2030_2050!E:E, MATCH($A$2, Cooper_pop_2030_2050!B:B, 0)))+0.5*((INDEX(Cooper_pop_2030_2050!F:F, MATCH($A$2, Cooper_pop_2030_2050!B:B, 0)))-(INDEX(Cooper_pop_2030_2050!E:E, MATCH($A$2, Cooper_pop_2030_2050!B:B, 0))))</f>
        <v>367030226.26942807</v>
      </c>
      <c r="X2">
        <f>(INDEX(Cooper_pop_2030_2050!E:E, MATCH($A$2, Cooper_pop_2030_2050!B:B, 0)))+0.6*((INDEX(Cooper_pop_2030_2050!F:F, MATCH($A$2, Cooper_pop_2030_2050!B:B, 0)))-(INDEX(Cooper_pop_2030_2050!E:E, MATCH($A$2, Cooper_pop_2030_2050!B:B, 0))))</f>
        <v>367977577.32210594</v>
      </c>
      <c r="Y2">
        <f>(INDEX(Cooper_pop_2030_2050!E:E, MATCH($A$2, Cooper_pop_2030_2050!B:B, 0)))+0.7*((INDEX(Cooper_pop_2030_2050!F:F, MATCH($A$2, Cooper_pop_2030_2050!B:B, 0)))-(INDEX(Cooper_pop_2030_2050!E:E, MATCH($A$2, Cooper_pop_2030_2050!B:B, 0))))</f>
        <v>368924928.37478381</v>
      </c>
      <c r="Z2">
        <f>(INDEX(Cooper_pop_2030_2050!E:E, MATCH($A$2, Cooper_pop_2030_2050!B:B, 0)))+0.8*((INDEX(Cooper_pop_2030_2050!F:F, MATCH($A$2, Cooper_pop_2030_2050!B:B, 0)))-(INDEX(Cooper_pop_2030_2050!E:E, MATCH($A$2, Cooper_pop_2030_2050!B:B, 0))))</f>
        <v>369872279.42746168</v>
      </c>
      <c r="AA2">
        <f>(INDEX(Cooper_pop_2030_2050!E:E, MATCH($A$2, Cooper_pop_2030_2050!B:B, 0)))+0.9*((INDEX(Cooper_pop_2030_2050!F:F, MATCH($A$2, Cooper_pop_2030_2050!B:B, 0)))-(INDEX(Cooper_pop_2030_2050!E:E, MATCH($A$2, Cooper_pop_2030_2050!B:B, 0))))</f>
        <v>370819630.48013955</v>
      </c>
      <c r="AB2">
        <f>INDEX(Cooper_pop_2030_2050!F:F, MATCH($A$2, Cooper_pop_2030_2050!B:B, 0))</f>
        <v>371766981.53281742</v>
      </c>
    </row>
    <row r="3" spans="1:28">
      <c r="A3" t="s">
        <v>2885</v>
      </c>
      <c r="B3">
        <f>IFERROR(INDEX(Census_pop_2020_2025!G:G, MATCH("."&amp;$A3, Census_pop_2020_2025!A:A, 0)),INDEX(Census_pop_2020_2025!G:G, MATCH($A3, Census_pop_2020_2025!A:A, 0)))</f>
        <v>5163055</v>
      </c>
      <c r="C3">
        <f>IFERROR(INDEX(Census_pop_2020_2025!H:H, MATCH("."&amp;$A3, Census_pop_2020_2025!A:A, 0)),INDEX(Census_pop_2020_2025!H:H, MATCH($A3, Census_pop_2020_2025!A:A, 0)))</f>
        <v>5193088</v>
      </c>
      <c r="D3">
        <f>(IFERROR(INDEX(Census_pop_2020_2025!H:H, MATCH("."&amp;$A3, Census_pop_2020_2025!A:A, 0)),INDEX(Census_pop_2020_2025!H:H, MATCH($A3, Census_pop_2020_2025!A:A, 0))))+0.2*((INDEX(Cooper_pop_2030_2050!D:D, MATCH($A3, Cooper_pop_2030_2050!B:B, 0)))-(IFERROR(INDEX(Census_pop_2020_2025!H:H, MATCH("."&amp;$A3, Census_pop_2020_2025!A:A, 0)),INDEX(Census_pop_2020_2025!H:H, MATCH($A3, Census_pop_2020_2025!A:A, 0)))))</f>
        <v>5197258.7918799911</v>
      </c>
      <c r="E3">
        <f>(IFERROR(INDEX(Census_pop_2020_2025!H:H, MATCH("."&amp;$A3, Census_pop_2020_2025!A:A, 0)),INDEX(Census_pop_2020_2025!H:H, MATCH($A3, Census_pop_2020_2025!A:A, 0))))+0.4*((INDEX(Cooper_pop_2030_2050!D:D, MATCH($A3, Cooper_pop_2030_2050!B:B, 0)))-(IFERROR(INDEX(Census_pop_2020_2025!H:H, MATCH("."&amp;$A3, Census_pop_2020_2025!A:A, 0)),INDEX(Census_pop_2020_2025!H:H, MATCH($A3, Census_pop_2020_2025!A:A, 0)))))</f>
        <v>5201429.5837599821</v>
      </c>
      <c r="F3">
        <f>(IFERROR(INDEX(Census_pop_2020_2025!H:H, MATCH("."&amp;$A3, Census_pop_2020_2025!A:A, 0)),INDEX(Census_pop_2020_2025!H:H, MATCH($A3, Census_pop_2020_2025!A:A, 0))))+0.6*((INDEX(Cooper_pop_2030_2050!D:D, MATCH($A3, Cooper_pop_2030_2050!B:B, 0)))-(IFERROR(INDEX(Census_pop_2020_2025!H:H, MATCH("."&amp;$A3, Census_pop_2020_2025!A:A, 0)),INDEX(Census_pop_2020_2025!H:H, MATCH($A3, Census_pop_2020_2025!A:A, 0)))))</f>
        <v>5205600.3756399723</v>
      </c>
      <c r="G3">
        <f>(IFERROR(INDEX(Census_pop_2020_2025!H:H, MATCH("."&amp;$A3, Census_pop_2020_2025!A:A, 0)),INDEX(Census_pop_2020_2025!H:H, MATCH($A3, Census_pop_2020_2025!A:A, 0))))+0.8*((INDEX(Cooper_pop_2030_2050!D:D, MATCH($A3, Cooper_pop_2030_2050!B:B, 0)))-(IFERROR(INDEX(Census_pop_2020_2025!H:H, MATCH("."&amp;$A3, Census_pop_2020_2025!A:A, 0)),INDEX(Census_pop_2020_2025!H:H, MATCH($A3, Census_pop_2020_2025!A:A, 0)))))</f>
        <v>5209771.1675199633</v>
      </c>
      <c r="H3">
        <f>INDEX(Cooper_pop_2030_2050!D:D, MATCH($A3, Cooper_pop_2030_2050!B:B, 0))</f>
        <v>5213941.9593999544</v>
      </c>
      <c r="I3">
        <f>(INDEX(Cooper_pop_2030_2050!D:D, MATCH($A3, Cooper_pop_2030_2050!B:B, 0)))+0.1*((INDEX(Cooper_pop_2030_2050!E:E, MATCH($A3, Cooper_pop_2030_2050!B:B, 0)))-(INDEX(Cooper_pop_2030_2050!D:D, MATCH($A3, Cooper_pop_2030_2050!B:B, 0))))</f>
        <v>5219488.9628647845</v>
      </c>
      <c r="J3">
        <f>(INDEX(Cooper_pop_2030_2050!D:D, MATCH($A3, Cooper_pop_2030_2050!B:B, 0)))+0.2*((INDEX(Cooper_pop_2030_2050!E:E, MATCH($A3, Cooper_pop_2030_2050!B:B, 0)))-(INDEX(Cooper_pop_2030_2050!D:D, MATCH($A3, Cooper_pop_2030_2050!B:B, 0))))</f>
        <v>5225035.9663296146</v>
      </c>
      <c r="K3">
        <f>(INDEX(Cooper_pop_2030_2050!D:D, MATCH($A3, Cooper_pop_2030_2050!B:B, 0)))+0.3*((INDEX(Cooper_pop_2030_2050!E:E, MATCH($A3, Cooper_pop_2030_2050!B:B, 0)))-(INDEX(Cooper_pop_2030_2050!D:D, MATCH($A3, Cooper_pop_2030_2050!B:B, 0))))</f>
        <v>5230582.9697944447</v>
      </c>
      <c r="L3">
        <f>(INDEX(Cooper_pop_2030_2050!D:D, MATCH($A3, Cooper_pop_2030_2050!B:B, 0)))+0.4*((INDEX(Cooper_pop_2030_2050!E:E, MATCH($A3, Cooper_pop_2030_2050!B:B, 0)))-(INDEX(Cooper_pop_2030_2050!D:D, MATCH($A3, Cooper_pop_2030_2050!B:B, 0))))</f>
        <v>5236129.9732592748</v>
      </c>
      <c r="M3">
        <f>(INDEX(Cooper_pop_2030_2050!D:D, MATCH($A3, Cooper_pop_2030_2050!B:B, 0)))+0.5*((INDEX(Cooper_pop_2030_2050!E:E, MATCH($A3, Cooper_pop_2030_2050!B:B, 0)))-(INDEX(Cooper_pop_2030_2050!D:D, MATCH($A3, Cooper_pop_2030_2050!B:B, 0))))</f>
        <v>5241676.976724105</v>
      </c>
      <c r="N3">
        <f>(INDEX(Cooper_pop_2030_2050!D:D, MATCH($A3, Cooper_pop_2030_2050!B:B, 0)))+0.6*((INDEX(Cooper_pop_2030_2050!E:E, MATCH($A3, Cooper_pop_2030_2050!B:B, 0)))-(INDEX(Cooper_pop_2030_2050!D:D, MATCH($A3, Cooper_pop_2030_2050!B:B, 0))))</f>
        <v>5247223.9801889341</v>
      </c>
      <c r="O3">
        <f>(INDEX(Cooper_pop_2030_2050!D:D, MATCH($A3, Cooper_pop_2030_2050!B:B, 0)))+0.7*((INDEX(Cooper_pop_2030_2050!E:E, MATCH($A3, Cooper_pop_2030_2050!B:B, 0)))-(INDEX(Cooper_pop_2030_2050!D:D, MATCH($A3, Cooper_pop_2030_2050!B:B, 0))))</f>
        <v>5252770.9836537642</v>
      </c>
      <c r="P3">
        <f>(INDEX(Cooper_pop_2030_2050!D:D, MATCH($A3, Cooper_pop_2030_2050!B:B, 0)))+0.8*((INDEX(Cooper_pop_2030_2050!E:E, MATCH($A3, Cooper_pop_2030_2050!B:B, 0)))-(INDEX(Cooper_pop_2030_2050!D:D, MATCH($A3, Cooper_pop_2030_2050!B:B, 0))))</f>
        <v>5258317.9871185943</v>
      </c>
      <c r="Q3">
        <f>(INDEX(Cooper_pop_2030_2050!D:D, MATCH($A3, Cooper_pop_2030_2050!B:B, 0)))+0.9*((INDEX(Cooper_pop_2030_2050!E:E, MATCH($A3, Cooper_pop_2030_2050!B:B, 0)))-(INDEX(Cooper_pop_2030_2050!D:D, MATCH($A3, Cooper_pop_2030_2050!B:B, 0))))</f>
        <v>5263864.9905834245</v>
      </c>
      <c r="R3">
        <f>INDEX(Cooper_pop_2030_2050!E:E, MATCH($A3, Cooper_pop_2030_2050!B:B, 0))</f>
        <v>5269411.9940482546</v>
      </c>
      <c r="S3">
        <f>(INDEX(Cooper_pop_2030_2050!E:E, MATCH($A3, Cooper_pop_2030_2050!B:B, 0)))+0.1*((INDEX(Cooper_pop_2030_2050!F:F, MATCH($A3, Cooper_pop_2030_2050!B:B, 0)))-(INDEX(Cooper_pop_2030_2050!E:E, MATCH($A3, Cooper_pop_2030_2050!B:B, 0))))</f>
        <v>5268777.6774073839</v>
      </c>
      <c r="T3">
        <f>(INDEX(Cooper_pop_2030_2050!E:E, MATCH($A3, Cooper_pop_2030_2050!B:B, 0)))+0.2*((INDEX(Cooper_pop_2030_2050!F:F, MATCH($A3, Cooper_pop_2030_2050!B:B, 0)))-(INDEX(Cooper_pop_2030_2050!E:E, MATCH($A3, Cooper_pop_2030_2050!B:B, 0))))</f>
        <v>5268143.3607665142</v>
      </c>
      <c r="U3">
        <f>(INDEX(Cooper_pop_2030_2050!E:E, MATCH($A3, Cooper_pop_2030_2050!B:B, 0)))+0.3*((INDEX(Cooper_pop_2030_2050!F:F, MATCH($A3, Cooper_pop_2030_2050!B:B, 0)))-(INDEX(Cooper_pop_2030_2050!E:E, MATCH($A3, Cooper_pop_2030_2050!B:B, 0))))</f>
        <v>5267509.0441256436</v>
      </c>
      <c r="V3">
        <f>(INDEX(Cooper_pop_2030_2050!E:E, MATCH($A3, Cooper_pop_2030_2050!B:B, 0)))+0.4*((INDEX(Cooper_pop_2030_2050!F:F, MATCH($A3, Cooper_pop_2030_2050!B:B, 0)))-(INDEX(Cooper_pop_2030_2050!E:E, MATCH($A3, Cooper_pop_2030_2050!B:B, 0))))</f>
        <v>5266874.7274847738</v>
      </c>
      <c r="W3">
        <f>(INDEX(Cooper_pop_2030_2050!E:E, MATCH($A3, Cooper_pop_2030_2050!B:B, 0)))+0.5*((INDEX(Cooper_pop_2030_2050!F:F, MATCH($A3, Cooper_pop_2030_2050!B:B, 0)))-(INDEX(Cooper_pop_2030_2050!E:E, MATCH($A3, Cooper_pop_2030_2050!B:B, 0))))</f>
        <v>5266240.4108439032</v>
      </c>
      <c r="X3">
        <f>(INDEX(Cooper_pop_2030_2050!E:E, MATCH($A3, Cooper_pop_2030_2050!B:B, 0)))+0.6*((INDEX(Cooper_pop_2030_2050!F:F, MATCH($A3, Cooper_pop_2030_2050!B:B, 0)))-(INDEX(Cooper_pop_2030_2050!E:E, MATCH($A3, Cooper_pop_2030_2050!B:B, 0))))</f>
        <v>5265606.0942030326</v>
      </c>
      <c r="Y3">
        <f>(INDEX(Cooper_pop_2030_2050!E:E, MATCH($A3, Cooper_pop_2030_2050!B:B, 0)))+0.7*((INDEX(Cooper_pop_2030_2050!F:F, MATCH($A3, Cooper_pop_2030_2050!B:B, 0)))-(INDEX(Cooper_pop_2030_2050!E:E, MATCH($A3, Cooper_pop_2030_2050!B:B, 0))))</f>
        <v>5264971.7775621628</v>
      </c>
      <c r="Z3">
        <f>(INDEX(Cooper_pop_2030_2050!E:E, MATCH($A3, Cooper_pop_2030_2050!B:B, 0)))+0.8*((INDEX(Cooper_pop_2030_2050!F:F, MATCH($A3, Cooper_pop_2030_2050!B:B, 0)))-(INDEX(Cooper_pop_2030_2050!E:E, MATCH($A3, Cooper_pop_2030_2050!B:B, 0))))</f>
        <v>5264337.4609212922</v>
      </c>
      <c r="AA3">
        <f>(INDEX(Cooper_pop_2030_2050!E:E, MATCH($A3, Cooper_pop_2030_2050!B:B, 0)))+0.9*((INDEX(Cooper_pop_2030_2050!F:F, MATCH($A3, Cooper_pop_2030_2050!B:B, 0)))-(INDEX(Cooper_pop_2030_2050!E:E, MATCH($A3, Cooper_pop_2030_2050!B:B, 0))))</f>
        <v>5263703.1442804225</v>
      </c>
      <c r="AB3">
        <f>INDEX(Cooper_pop_2030_2050!F:F, MATCH($A3, Cooper_pop_2030_2050!B:B, 0))</f>
        <v>5263068.8276395518</v>
      </c>
    </row>
    <row r="4" spans="1:28">
      <c r="A4" t="s">
        <v>2887</v>
      </c>
      <c r="B4">
        <f>IFERROR(INDEX(Census_pop_2020_2025!G:G, MATCH("."&amp;$A4, Census_pop_2020_2025!A:A, 0)),INDEX(Census_pop_2020_2025!G:G, MATCH($A4, Census_pop_2020_2025!A:A, 0)))</f>
        <v>7556424</v>
      </c>
      <c r="C4">
        <f>IFERROR(INDEX(Census_pop_2020_2025!H:H, MATCH("."&amp;$A4, Census_pop_2020_2025!A:A, 0)),INDEX(Census_pop_2020_2025!H:H, MATCH($A4, Census_pop_2020_2025!A:A, 0)))</f>
        <v>7623818</v>
      </c>
      <c r="D4">
        <f>(IFERROR(INDEX(Census_pop_2020_2025!H:H, MATCH("."&amp;$A4, Census_pop_2020_2025!A:A, 0)),INDEX(Census_pop_2020_2025!H:H, MATCH($A4, Census_pop_2020_2025!A:A, 0))))+0.2*((INDEX(Cooper_pop_2030_2050!D:D, MATCH($A4, Cooper_pop_2030_2050!B:B, 0)))-(IFERROR(INDEX(Census_pop_2020_2025!H:H, MATCH("."&amp;$A4, Census_pop_2020_2025!A:A, 0)),INDEX(Census_pop_2020_2025!H:H, MATCH($A4, Census_pop_2020_2025!A:A, 0)))))</f>
        <v>7652301.5789602641</v>
      </c>
      <c r="E4">
        <f>(IFERROR(INDEX(Census_pop_2020_2025!H:H, MATCH("."&amp;$A4, Census_pop_2020_2025!A:A, 0)),INDEX(Census_pop_2020_2025!H:H, MATCH($A4, Census_pop_2020_2025!A:A, 0))))+0.4*((INDEX(Cooper_pop_2030_2050!D:D, MATCH($A4, Cooper_pop_2030_2050!B:B, 0)))-(IFERROR(INDEX(Census_pop_2020_2025!H:H, MATCH("."&amp;$A4, Census_pop_2020_2025!A:A, 0)),INDEX(Census_pop_2020_2025!H:H, MATCH($A4, Census_pop_2020_2025!A:A, 0)))))</f>
        <v>7680785.1579205282</v>
      </c>
      <c r="F4">
        <f>(IFERROR(INDEX(Census_pop_2020_2025!H:H, MATCH("."&amp;$A4, Census_pop_2020_2025!A:A, 0)),INDEX(Census_pop_2020_2025!H:H, MATCH($A4, Census_pop_2020_2025!A:A, 0))))+0.6*((INDEX(Cooper_pop_2030_2050!D:D, MATCH($A4, Cooper_pop_2030_2050!B:B, 0)))-(IFERROR(INDEX(Census_pop_2020_2025!H:H, MATCH("."&amp;$A4, Census_pop_2020_2025!A:A, 0)),INDEX(Census_pop_2020_2025!H:H, MATCH($A4, Census_pop_2020_2025!A:A, 0)))))</f>
        <v>7709268.7368807932</v>
      </c>
      <c r="G4">
        <f>(IFERROR(INDEX(Census_pop_2020_2025!H:H, MATCH("."&amp;$A4, Census_pop_2020_2025!A:A, 0)),INDEX(Census_pop_2020_2025!H:H, MATCH($A4, Census_pop_2020_2025!A:A, 0))))+0.8*((INDEX(Cooper_pop_2030_2050!D:D, MATCH($A4, Cooper_pop_2030_2050!B:B, 0)))-(IFERROR(INDEX(Census_pop_2020_2025!H:H, MATCH("."&amp;$A4, Census_pop_2020_2025!A:A, 0)),INDEX(Census_pop_2020_2025!H:H, MATCH($A4, Census_pop_2020_2025!A:A, 0)))))</f>
        <v>7737752.3158410573</v>
      </c>
      <c r="H4">
        <f>INDEX(Cooper_pop_2030_2050!D:D, MATCH($A4, Cooper_pop_2030_2050!B:B, 0))</f>
        <v>7766235.8948013214</v>
      </c>
      <c r="I4">
        <f>(INDEX(Cooper_pop_2030_2050!D:D, MATCH($A4, Cooper_pop_2030_2050!B:B, 0)))+0.1*((INDEX(Cooper_pop_2030_2050!E:E, MATCH($A4, Cooper_pop_2030_2050!B:B, 0)))-(INDEX(Cooper_pop_2030_2050!D:D, MATCH($A4, Cooper_pop_2030_2050!B:B, 0))))</f>
        <v>7825015.3352482785</v>
      </c>
      <c r="J4">
        <f>(INDEX(Cooper_pop_2030_2050!D:D, MATCH($A4, Cooper_pop_2030_2050!B:B, 0)))+0.2*((INDEX(Cooper_pop_2030_2050!E:E, MATCH($A4, Cooper_pop_2030_2050!B:B, 0)))-(INDEX(Cooper_pop_2030_2050!D:D, MATCH($A4, Cooper_pop_2030_2050!B:B, 0))))</f>
        <v>7883794.7756952345</v>
      </c>
      <c r="K4">
        <f>(INDEX(Cooper_pop_2030_2050!D:D, MATCH($A4, Cooper_pop_2030_2050!B:B, 0)))+0.3*((INDEX(Cooper_pop_2030_2050!E:E, MATCH($A4, Cooper_pop_2030_2050!B:B, 0)))-(INDEX(Cooper_pop_2030_2050!D:D, MATCH($A4, Cooper_pop_2030_2050!B:B, 0))))</f>
        <v>7942574.2161421906</v>
      </c>
      <c r="L4">
        <f>(INDEX(Cooper_pop_2030_2050!D:D, MATCH($A4, Cooper_pop_2030_2050!B:B, 0)))+0.4*((INDEX(Cooper_pop_2030_2050!E:E, MATCH($A4, Cooper_pop_2030_2050!B:B, 0)))-(INDEX(Cooper_pop_2030_2050!D:D, MATCH($A4, Cooper_pop_2030_2050!B:B, 0))))</f>
        <v>8001353.6565891476</v>
      </c>
      <c r="M4">
        <f>(INDEX(Cooper_pop_2030_2050!D:D, MATCH($A4, Cooper_pop_2030_2050!B:B, 0)))+0.5*((INDEX(Cooper_pop_2030_2050!E:E, MATCH($A4, Cooper_pop_2030_2050!B:B, 0)))-(INDEX(Cooper_pop_2030_2050!D:D, MATCH($A4, Cooper_pop_2030_2050!B:B, 0))))</f>
        <v>8060133.0970361046</v>
      </c>
      <c r="N4">
        <f>(INDEX(Cooper_pop_2030_2050!D:D, MATCH($A4, Cooper_pop_2030_2050!B:B, 0)))+0.6*((INDEX(Cooper_pop_2030_2050!E:E, MATCH($A4, Cooper_pop_2030_2050!B:B, 0)))-(INDEX(Cooper_pop_2030_2050!D:D, MATCH($A4, Cooper_pop_2030_2050!B:B, 0))))</f>
        <v>8118912.5374830607</v>
      </c>
      <c r="O4">
        <f>(INDEX(Cooper_pop_2030_2050!D:D, MATCH($A4, Cooper_pop_2030_2050!B:B, 0)))+0.7*((INDEX(Cooper_pop_2030_2050!E:E, MATCH($A4, Cooper_pop_2030_2050!B:B, 0)))-(INDEX(Cooper_pop_2030_2050!D:D, MATCH($A4, Cooper_pop_2030_2050!B:B, 0))))</f>
        <v>8177691.9779300168</v>
      </c>
      <c r="P4">
        <f>(INDEX(Cooper_pop_2030_2050!D:D, MATCH($A4, Cooper_pop_2030_2050!B:B, 0)))+0.8*((INDEX(Cooper_pop_2030_2050!E:E, MATCH($A4, Cooper_pop_2030_2050!B:B, 0)))-(INDEX(Cooper_pop_2030_2050!D:D, MATCH($A4, Cooper_pop_2030_2050!B:B, 0))))</f>
        <v>8236471.4183769738</v>
      </c>
      <c r="Q4">
        <f>(INDEX(Cooper_pop_2030_2050!D:D, MATCH($A4, Cooper_pop_2030_2050!B:B, 0)))+0.9*((INDEX(Cooper_pop_2030_2050!E:E, MATCH($A4, Cooper_pop_2030_2050!B:B, 0)))-(INDEX(Cooper_pop_2030_2050!D:D, MATCH($A4, Cooper_pop_2030_2050!B:B, 0))))</f>
        <v>8295250.8588239308</v>
      </c>
      <c r="R4">
        <f>INDEX(Cooper_pop_2030_2050!E:E, MATCH($A4, Cooper_pop_2030_2050!B:B, 0))</f>
        <v>8354030.2992708869</v>
      </c>
      <c r="S4">
        <f>(INDEX(Cooper_pop_2030_2050!E:E, MATCH($A4, Cooper_pop_2030_2050!B:B, 0)))+0.1*((INDEX(Cooper_pop_2030_2050!F:F, MATCH($A4, Cooper_pop_2030_2050!B:B, 0)))-(INDEX(Cooper_pop_2030_2050!E:E, MATCH($A4, Cooper_pop_2030_2050!B:B, 0))))</f>
        <v>8406728.4449421857</v>
      </c>
      <c r="T4">
        <f>(INDEX(Cooper_pop_2030_2050!E:E, MATCH($A4, Cooper_pop_2030_2050!B:B, 0)))+0.2*((INDEX(Cooper_pop_2030_2050!F:F, MATCH($A4, Cooper_pop_2030_2050!B:B, 0)))-(INDEX(Cooper_pop_2030_2050!E:E, MATCH($A4, Cooper_pop_2030_2050!B:B, 0))))</f>
        <v>8459426.5906134844</v>
      </c>
      <c r="U4">
        <f>(INDEX(Cooper_pop_2030_2050!E:E, MATCH($A4, Cooper_pop_2030_2050!B:B, 0)))+0.3*((INDEX(Cooper_pop_2030_2050!F:F, MATCH($A4, Cooper_pop_2030_2050!B:B, 0)))-(INDEX(Cooper_pop_2030_2050!E:E, MATCH($A4, Cooper_pop_2030_2050!B:B, 0))))</f>
        <v>8512124.7362847831</v>
      </c>
      <c r="V4">
        <f>(INDEX(Cooper_pop_2030_2050!E:E, MATCH($A4, Cooper_pop_2030_2050!B:B, 0)))+0.4*((INDEX(Cooper_pop_2030_2050!F:F, MATCH($A4, Cooper_pop_2030_2050!B:B, 0)))-(INDEX(Cooper_pop_2030_2050!E:E, MATCH($A4, Cooper_pop_2030_2050!B:B, 0))))</f>
        <v>8564822.8819560818</v>
      </c>
      <c r="W4">
        <f>(INDEX(Cooper_pop_2030_2050!E:E, MATCH($A4, Cooper_pop_2030_2050!B:B, 0)))+0.5*((INDEX(Cooper_pop_2030_2050!F:F, MATCH($A4, Cooper_pop_2030_2050!B:B, 0)))-(INDEX(Cooper_pop_2030_2050!E:E, MATCH($A4, Cooper_pop_2030_2050!B:B, 0))))</f>
        <v>8617521.0276273806</v>
      </c>
      <c r="X4">
        <f>(INDEX(Cooper_pop_2030_2050!E:E, MATCH($A4, Cooper_pop_2030_2050!B:B, 0)))+0.6*((INDEX(Cooper_pop_2030_2050!F:F, MATCH($A4, Cooper_pop_2030_2050!B:B, 0)))-(INDEX(Cooper_pop_2030_2050!E:E, MATCH($A4, Cooper_pop_2030_2050!B:B, 0))))</f>
        <v>8670219.1732986793</v>
      </c>
      <c r="Y4">
        <f>(INDEX(Cooper_pop_2030_2050!E:E, MATCH($A4, Cooper_pop_2030_2050!B:B, 0)))+0.7*((INDEX(Cooper_pop_2030_2050!F:F, MATCH($A4, Cooper_pop_2030_2050!B:B, 0)))-(INDEX(Cooper_pop_2030_2050!E:E, MATCH($A4, Cooper_pop_2030_2050!B:B, 0))))</f>
        <v>8722917.318969978</v>
      </c>
      <c r="Z4">
        <f>(INDEX(Cooper_pop_2030_2050!E:E, MATCH($A4, Cooper_pop_2030_2050!B:B, 0)))+0.8*((INDEX(Cooper_pop_2030_2050!F:F, MATCH($A4, Cooper_pop_2030_2050!B:B, 0)))-(INDEX(Cooper_pop_2030_2050!E:E, MATCH($A4, Cooper_pop_2030_2050!B:B, 0))))</f>
        <v>8775615.4646412767</v>
      </c>
      <c r="AA4">
        <f>(INDEX(Cooper_pop_2030_2050!E:E, MATCH($A4, Cooper_pop_2030_2050!B:B, 0)))+0.9*((INDEX(Cooper_pop_2030_2050!F:F, MATCH($A4, Cooper_pop_2030_2050!B:B, 0)))-(INDEX(Cooper_pop_2030_2050!E:E, MATCH($A4, Cooper_pop_2030_2050!B:B, 0))))</f>
        <v>8828313.6103125755</v>
      </c>
      <c r="AB4">
        <f>INDEX(Cooper_pop_2030_2050!F:F, MATCH($A4, Cooper_pop_2030_2050!B:B, 0))</f>
        <v>8881011.7559838742</v>
      </c>
    </row>
    <row r="5" spans="1:28">
      <c r="A5" t="s">
        <v>2888</v>
      </c>
      <c r="B5">
        <f>IFERROR(INDEX(Census_pop_2020_2025!G:G, MATCH("."&amp;$A5, Census_pop_2020_2025!A:A, 0)),INDEX(Census_pop_2020_2025!G:G, MATCH($A5, Census_pop_2020_2025!A:A, 0)))</f>
        <v>3096080</v>
      </c>
      <c r="C5">
        <f>IFERROR(INDEX(Census_pop_2020_2025!H:H, MATCH("."&amp;$A5, Census_pop_2020_2025!A:A, 0)),INDEX(Census_pop_2020_2025!H:H, MATCH($A5, Census_pop_2020_2025!A:A, 0)))</f>
        <v>3114791</v>
      </c>
      <c r="D5">
        <f>(IFERROR(INDEX(Census_pop_2020_2025!H:H, MATCH("."&amp;$A5, Census_pop_2020_2025!A:A, 0)),INDEX(Census_pop_2020_2025!H:H, MATCH($A5, Census_pop_2020_2025!A:A, 0))))+0.2*((INDEX(Cooper_pop_2030_2050!D:D, MATCH($A5, Cooper_pop_2030_2050!B:B, 0)))-(IFERROR(INDEX(Census_pop_2020_2025!H:H, MATCH("."&amp;$A5, Census_pop_2020_2025!A:A, 0)),INDEX(Census_pop_2020_2025!H:H, MATCH($A5, Census_pop_2020_2025!A:A, 0)))))</f>
        <v>3108791.9692826066</v>
      </c>
      <c r="E5">
        <f>(IFERROR(INDEX(Census_pop_2020_2025!H:H, MATCH("."&amp;$A5, Census_pop_2020_2025!A:A, 0)),INDEX(Census_pop_2020_2025!H:H, MATCH($A5, Census_pop_2020_2025!A:A, 0))))+0.4*((INDEX(Cooper_pop_2030_2050!D:D, MATCH($A5, Cooper_pop_2030_2050!B:B, 0)))-(IFERROR(INDEX(Census_pop_2020_2025!H:H, MATCH("."&amp;$A5, Census_pop_2020_2025!A:A, 0)),INDEX(Census_pop_2020_2025!H:H, MATCH($A5, Census_pop_2020_2025!A:A, 0)))))</f>
        <v>3102792.9385652137</v>
      </c>
      <c r="F5">
        <f>(IFERROR(INDEX(Census_pop_2020_2025!H:H, MATCH("."&amp;$A5, Census_pop_2020_2025!A:A, 0)),INDEX(Census_pop_2020_2025!H:H, MATCH($A5, Census_pop_2020_2025!A:A, 0))))+0.6*((INDEX(Cooper_pop_2030_2050!D:D, MATCH($A5, Cooper_pop_2030_2050!B:B, 0)))-(IFERROR(INDEX(Census_pop_2020_2025!H:H, MATCH("."&amp;$A5, Census_pop_2020_2025!A:A, 0)),INDEX(Census_pop_2020_2025!H:H, MATCH($A5, Census_pop_2020_2025!A:A, 0)))))</f>
        <v>3096793.9078478203</v>
      </c>
      <c r="G5">
        <f>(IFERROR(INDEX(Census_pop_2020_2025!H:H, MATCH("."&amp;$A5, Census_pop_2020_2025!A:A, 0)),INDEX(Census_pop_2020_2025!H:H, MATCH($A5, Census_pop_2020_2025!A:A, 0))))+0.8*((INDEX(Cooper_pop_2030_2050!D:D, MATCH($A5, Cooper_pop_2030_2050!B:B, 0)))-(IFERROR(INDEX(Census_pop_2020_2025!H:H, MATCH("."&amp;$A5, Census_pop_2020_2025!A:A, 0)),INDEX(Census_pop_2020_2025!H:H, MATCH($A5, Census_pop_2020_2025!A:A, 0)))))</f>
        <v>3090794.8771304274</v>
      </c>
      <c r="H5">
        <f>INDEX(Cooper_pop_2030_2050!D:D, MATCH($A5, Cooper_pop_2030_2050!B:B, 0))</f>
        <v>3084795.846413034</v>
      </c>
      <c r="I5">
        <f>(INDEX(Cooper_pop_2030_2050!D:D, MATCH($A5, Cooper_pop_2030_2050!B:B, 0)))+0.1*((INDEX(Cooper_pop_2030_2050!E:E, MATCH($A5, Cooper_pop_2030_2050!B:B, 0)))-(INDEX(Cooper_pop_2030_2050!D:D, MATCH($A5, Cooper_pop_2030_2050!B:B, 0))))</f>
        <v>3082627.9538537622</v>
      </c>
      <c r="J5">
        <f>(INDEX(Cooper_pop_2030_2050!D:D, MATCH($A5, Cooper_pop_2030_2050!B:B, 0)))+0.2*((INDEX(Cooper_pop_2030_2050!E:E, MATCH($A5, Cooper_pop_2030_2050!B:B, 0)))-(INDEX(Cooper_pop_2030_2050!D:D, MATCH($A5, Cooper_pop_2030_2050!B:B, 0))))</f>
        <v>3080460.0612944905</v>
      </c>
      <c r="K5">
        <f>(INDEX(Cooper_pop_2030_2050!D:D, MATCH($A5, Cooper_pop_2030_2050!B:B, 0)))+0.3*((INDEX(Cooper_pop_2030_2050!E:E, MATCH($A5, Cooper_pop_2030_2050!B:B, 0)))-(INDEX(Cooper_pop_2030_2050!D:D, MATCH($A5, Cooper_pop_2030_2050!B:B, 0))))</f>
        <v>3078292.1687352187</v>
      </c>
      <c r="L5">
        <f>(INDEX(Cooper_pop_2030_2050!D:D, MATCH($A5, Cooper_pop_2030_2050!B:B, 0)))+0.4*((INDEX(Cooper_pop_2030_2050!E:E, MATCH($A5, Cooper_pop_2030_2050!B:B, 0)))-(INDEX(Cooper_pop_2030_2050!D:D, MATCH($A5, Cooper_pop_2030_2050!B:B, 0))))</f>
        <v>3076124.2761759469</v>
      </c>
      <c r="M5">
        <f>(INDEX(Cooper_pop_2030_2050!D:D, MATCH($A5, Cooper_pop_2030_2050!B:B, 0)))+0.5*((INDEX(Cooper_pop_2030_2050!E:E, MATCH($A5, Cooper_pop_2030_2050!B:B, 0)))-(INDEX(Cooper_pop_2030_2050!D:D, MATCH($A5, Cooper_pop_2030_2050!B:B, 0))))</f>
        <v>3073956.3836166747</v>
      </c>
      <c r="N5">
        <f>(INDEX(Cooper_pop_2030_2050!D:D, MATCH($A5, Cooper_pop_2030_2050!B:B, 0)))+0.6*((INDEX(Cooper_pop_2030_2050!E:E, MATCH($A5, Cooper_pop_2030_2050!B:B, 0)))-(INDEX(Cooper_pop_2030_2050!D:D, MATCH($A5, Cooper_pop_2030_2050!B:B, 0))))</f>
        <v>3071788.4910574029</v>
      </c>
      <c r="O5">
        <f>(INDEX(Cooper_pop_2030_2050!D:D, MATCH($A5, Cooper_pop_2030_2050!B:B, 0)))+0.7*((INDEX(Cooper_pop_2030_2050!E:E, MATCH($A5, Cooper_pop_2030_2050!B:B, 0)))-(INDEX(Cooper_pop_2030_2050!D:D, MATCH($A5, Cooper_pop_2030_2050!B:B, 0))))</f>
        <v>3069620.5984981311</v>
      </c>
      <c r="P5">
        <f>(INDEX(Cooper_pop_2030_2050!D:D, MATCH($A5, Cooper_pop_2030_2050!B:B, 0)))+0.8*((INDEX(Cooper_pop_2030_2050!E:E, MATCH($A5, Cooper_pop_2030_2050!B:B, 0)))-(INDEX(Cooper_pop_2030_2050!D:D, MATCH($A5, Cooper_pop_2030_2050!B:B, 0))))</f>
        <v>3067452.7059388594</v>
      </c>
      <c r="Q5">
        <f>(INDEX(Cooper_pop_2030_2050!D:D, MATCH($A5, Cooper_pop_2030_2050!B:B, 0)))+0.9*((INDEX(Cooper_pop_2030_2050!E:E, MATCH($A5, Cooper_pop_2030_2050!B:B, 0)))-(INDEX(Cooper_pop_2030_2050!D:D, MATCH($A5, Cooper_pop_2030_2050!B:B, 0))))</f>
        <v>3065284.8133795876</v>
      </c>
      <c r="R5">
        <f>INDEX(Cooper_pop_2030_2050!E:E, MATCH($A5, Cooper_pop_2030_2050!B:B, 0))</f>
        <v>3063116.9208203158</v>
      </c>
      <c r="S5">
        <f>(INDEX(Cooper_pop_2030_2050!E:E, MATCH($A5, Cooper_pop_2030_2050!B:B, 0)))+0.1*((INDEX(Cooper_pop_2030_2050!F:F, MATCH($A5, Cooper_pop_2030_2050!B:B, 0)))-(INDEX(Cooper_pop_2030_2050!E:E, MATCH($A5, Cooper_pop_2030_2050!B:B, 0))))</f>
        <v>3057400.1592046143</v>
      </c>
      <c r="T5">
        <f>(INDEX(Cooper_pop_2030_2050!E:E, MATCH($A5, Cooper_pop_2030_2050!B:B, 0)))+0.2*((INDEX(Cooper_pop_2030_2050!F:F, MATCH($A5, Cooper_pop_2030_2050!B:B, 0)))-(INDEX(Cooper_pop_2030_2050!E:E, MATCH($A5, Cooper_pop_2030_2050!B:B, 0))))</f>
        <v>3051683.3975889129</v>
      </c>
      <c r="U5">
        <f>(INDEX(Cooper_pop_2030_2050!E:E, MATCH($A5, Cooper_pop_2030_2050!B:B, 0)))+0.3*((INDEX(Cooper_pop_2030_2050!F:F, MATCH($A5, Cooper_pop_2030_2050!B:B, 0)))-(INDEX(Cooper_pop_2030_2050!E:E, MATCH($A5, Cooper_pop_2030_2050!B:B, 0))))</f>
        <v>3045966.6359732118</v>
      </c>
      <c r="V5">
        <f>(INDEX(Cooper_pop_2030_2050!E:E, MATCH($A5, Cooper_pop_2030_2050!B:B, 0)))+0.4*((INDEX(Cooper_pop_2030_2050!F:F, MATCH($A5, Cooper_pop_2030_2050!B:B, 0)))-(INDEX(Cooper_pop_2030_2050!E:E, MATCH($A5, Cooper_pop_2030_2050!B:B, 0))))</f>
        <v>3040249.8743575104</v>
      </c>
      <c r="W5">
        <f>(INDEX(Cooper_pop_2030_2050!E:E, MATCH($A5, Cooper_pop_2030_2050!B:B, 0)))+0.5*((INDEX(Cooper_pop_2030_2050!F:F, MATCH($A5, Cooper_pop_2030_2050!B:B, 0)))-(INDEX(Cooper_pop_2030_2050!E:E, MATCH($A5, Cooper_pop_2030_2050!B:B, 0))))</f>
        <v>3034533.1127418089</v>
      </c>
      <c r="X5">
        <f>(INDEX(Cooper_pop_2030_2050!E:E, MATCH($A5, Cooper_pop_2030_2050!B:B, 0)))+0.6*((INDEX(Cooper_pop_2030_2050!F:F, MATCH($A5, Cooper_pop_2030_2050!B:B, 0)))-(INDEX(Cooper_pop_2030_2050!E:E, MATCH($A5, Cooper_pop_2030_2050!B:B, 0))))</f>
        <v>3028816.3511261074</v>
      </c>
      <c r="Y5">
        <f>(INDEX(Cooper_pop_2030_2050!E:E, MATCH($A5, Cooper_pop_2030_2050!B:B, 0)))+0.7*((INDEX(Cooper_pop_2030_2050!F:F, MATCH($A5, Cooper_pop_2030_2050!B:B, 0)))-(INDEX(Cooper_pop_2030_2050!E:E, MATCH($A5, Cooper_pop_2030_2050!B:B, 0))))</f>
        <v>3023099.5895104059</v>
      </c>
      <c r="Z5">
        <f>(INDEX(Cooper_pop_2030_2050!E:E, MATCH($A5, Cooper_pop_2030_2050!B:B, 0)))+0.8*((INDEX(Cooper_pop_2030_2050!F:F, MATCH($A5, Cooper_pop_2030_2050!B:B, 0)))-(INDEX(Cooper_pop_2030_2050!E:E, MATCH($A5, Cooper_pop_2030_2050!B:B, 0))))</f>
        <v>3017382.8278947049</v>
      </c>
      <c r="AA5">
        <f>(INDEX(Cooper_pop_2030_2050!E:E, MATCH($A5, Cooper_pop_2030_2050!B:B, 0)))+0.9*((INDEX(Cooper_pop_2030_2050!F:F, MATCH($A5, Cooper_pop_2030_2050!B:B, 0)))-(INDEX(Cooper_pop_2030_2050!E:E, MATCH($A5, Cooper_pop_2030_2050!B:B, 0))))</f>
        <v>3011666.0662790034</v>
      </c>
      <c r="AB5">
        <f>INDEX(Cooper_pop_2030_2050!F:F, MATCH($A5, Cooper_pop_2030_2050!B:B, 0))</f>
        <v>3005949.3046633019</v>
      </c>
    </row>
    <row r="6" spans="1:28">
      <c r="A6" t="s">
        <v>2889</v>
      </c>
      <c r="B6">
        <f>IFERROR(INDEX(Census_pop_2020_2025!G:G, MATCH("."&amp;$A6, Census_pop_2020_2025!A:A, 0)),INDEX(Census_pop_2020_2025!G:G, MATCH($A6, Census_pop_2020_2025!A:A, 0)))</f>
        <v>39364774</v>
      </c>
      <c r="C6">
        <f>IFERROR(INDEX(Census_pop_2020_2025!H:H, MATCH("."&amp;$A6, Census_pop_2020_2025!A:A, 0)),INDEX(Census_pop_2020_2025!H:H, MATCH($A6, Census_pop_2020_2025!A:A, 0)))</f>
        <v>39355309</v>
      </c>
      <c r="D6">
        <f>(IFERROR(INDEX(Census_pop_2020_2025!H:H, MATCH("."&amp;$A6, Census_pop_2020_2025!A:A, 0)),INDEX(Census_pop_2020_2025!H:H, MATCH($A6, Census_pop_2020_2025!A:A, 0))))+0.2*((INDEX(Cooper_pop_2030_2050!D:D, MATCH($A6, Cooper_pop_2030_2050!B:B, 0)))-(IFERROR(INDEX(Census_pop_2020_2025!H:H, MATCH("."&amp;$A6, Census_pop_2020_2025!A:A, 0)),INDEX(Census_pop_2020_2025!H:H, MATCH($A6, Census_pop_2020_2025!A:A, 0)))))</f>
        <v>39748538.082592554</v>
      </c>
      <c r="E6">
        <f>(IFERROR(INDEX(Census_pop_2020_2025!H:H, MATCH("."&amp;$A6, Census_pop_2020_2025!A:A, 0)),INDEX(Census_pop_2020_2025!H:H, MATCH($A6, Census_pop_2020_2025!A:A, 0))))+0.4*((INDEX(Cooper_pop_2030_2050!D:D, MATCH($A6, Cooper_pop_2030_2050!B:B, 0)))-(IFERROR(INDEX(Census_pop_2020_2025!H:H, MATCH("."&amp;$A6, Census_pop_2020_2025!A:A, 0)),INDEX(Census_pop_2020_2025!H:H, MATCH($A6, Census_pop_2020_2025!A:A, 0)))))</f>
        <v>40141767.165185116</v>
      </c>
      <c r="F6">
        <f>(IFERROR(INDEX(Census_pop_2020_2025!H:H, MATCH("."&amp;$A6, Census_pop_2020_2025!A:A, 0)),INDEX(Census_pop_2020_2025!H:H, MATCH($A6, Census_pop_2020_2025!A:A, 0))))+0.6*((INDEX(Cooper_pop_2030_2050!D:D, MATCH($A6, Cooper_pop_2030_2050!B:B, 0)))-(IFERROR(INDEX(Census_pop_2020_2025!H:H, MATCH("."&amp;$A6, Census_pop_2020_2025!A:A, 0)),INDEX(Census_pop_2020_2025!H:H, MATCH($A6, Census_pop_2020_2025!A:A, 0)))))</f>
        <v>40534996.247777671</v>
      </c>
      <c r="G6">
        <f>(IFERROR(INDEX(Census_pop_2020_2025!H:H, MATCH("."&amp;$A6, Census_pop_2020_2025!A:A, 0)),INDEX(Census_pop_2020_2025!H:H, MATCH($A6, Census_pop_2020_2025!A:A, 0))))+0.8*((INDEX(Cooper_pop_2030_2050!D:D, MATCH($A6, Cooper_pop_2030_2050!B:B, 0)))-(IFERROR(INDEX(Census_pop_2020_2025!H:H, MATCH("."&amp;$A6, Census_pop_2020_2025!A:A, 0)),INDEX(Census_pop_2020_2025!H:H, MATCH($A6, Census_pop_2020_2025!A:A, 0)))))</f>
        <v>40928225.330370232</v>
      </c>
      <c r="H6">
        <f>INDEX(Cooper_pop_2030_2050!D:D, MATCH($A6, Cooper_pop_2030_2050!B:B, 0))</f>
        <v>41321454.412962787</v>
      </c>
      <c r="I6">
        <f>(INDEX(Cooper_pop_2030_2050!D:D, MATCH($A6, Cooper_pop_2030_2050!B:B, 0)))+0.1*((INDEX(Cooper_pop_2030_2050!E:E, MATCH($A6, Cooper_pop_2030_2050!B:B, 0)))-(INDEX(Cooper_pop_2030_2050!D:D, MATCH($A6, Cooper_pop_2030_2050!B:B, 0))))</f>
        <v>41405754.300935946</v>
      </c>
      <c r="J6">
        <f>(INDEX(Cooper_pop_2030_2050!D:D, MATCH($A6, Cooper_pop_2030_2050!B:B, 0)))+0.2*((INDEX(Cooper_pop_2030_2050!E:E, MATCH($A6, Cooper_pop_2030_2050!B:B, 0)))-(INDEX(Cooper_pop_2030_2050!D:D, MATCH($A6, Cooper_pop_2030_2050!B:B, 0))))</f>
        <v>41490054.188909099</v>
      </c>
      <c r="K6">
        <f>(INDEX(Cooper_pop_2030_2050!D:D, MATCH($A6, Cooper_pop_2030_2050!B:B, 0)))+0.3*((INDEX(Cooper_pop_2030_2050!E:E, MATCH($A6, Cooper_pop_2030_2050!B:B, 0)))-(INDEX(Cooper_pop_2030_2050!D:D, MATCH($A6, Cooper_pop_2030_2050!B:B, 0))))</f>
        <v>41574354.076882258</v>
      </c>
      <c r="L6">
        <f>(INDEX(Cooper_pop_2030_2050!D:D, MATCH($A6, Cooper_pop_2030_2050!B:B, 0)))+0.4*((INDEX(Cooper_pop_2030_2050!E:E, MATCH($A6, Cooper_pop_2030_2050!B:B, 0)))-(INDEX(Cooper_pop_2030_2050!D:D, MATCH($A6, Cooper_pop_2030_2050!B:B, 0))))</f>
        <v>41658653.964855418</v>
      </c>
      <c r="M6">
        <f>(INDEX(Cooper_pop_2030_2050!D:D, MATCH($A6, Cooper_pop_2030_2050!B:B, 0)))+0.5*((INDEX(Cooper_pop_2030_2050!E:E, MATCH($A6, Cooper_pop_2030_2050!B:B, 0)))-(INDEX(Cooper_pop_2030_2050!D:D, MATCH($A6, Cooper_pop_2030_2050!B:B, 0))))</f>
        <v>41742953.852828577</v>
      </c>
      <c r="N6">
        <f>(INDEX(Cooper_pop_2030_2050!D:D, MATCH($A6, Cooper_pop_2030_2050!B:B, 0)))+0.6*((INDEX(Cooper_pop_2030_2050!E:E, MATCH($A6, Cooper_pop_2030_2050!B:B, 0)))-(INDEX(Cooper_pop_2030_2050!D:D, MATCH($A6, Cooper_pop_2030_2050!B:B, 0))))</f>
        <v>41827253.740801729</v>
      </c>
      <c r="O6">
        <f>(INDEX(Cooper_pop_2030_2050!D:D, MATCH($A6, Cooper_pop_2030_2050!B:B, 0)))+0.7*((INDEX(Cooper_pop_2030_2050!E:E, MATCH($A6, Cooper_pop_2030_2050!B:B, 0)))-(INDEX(Cooper_pop_2030_2050!D:D, MATCH($A6, Cooper_pop_2030_2050!B:B, 0))))</f>
        <v>41911553.628774889</v>
      </c>
      <c r="P6">
        <f>(INDEX(Cooper_pop_2030_2050!D:D, MATCH($A6, Cooper_pop_2030_2050!B:B, 0)))+0.8*((INDEX(Cooper_pop_2030_2050!E:E, MATCH($A6, Cooper_pop_2030_2050!B:B, 0)))-(INDEX(Cooper_pop_2030_2050!D:D, MATCH($A6, Cooper_pop_2030_2050!B:B, 0))))</f>
        <v>41995853.516748048</v>
      </c>
      <c r="Q6">
        <f>(INDEX(Cooper_pop_2030_2050!D:D, MATCH($A6, Cooper_pop_2030_2050!B:B, 0)))+0.9*((INDEX(Cooper_pop_2030_2050!E:E, MATCH($A6, Cooper_pop_2030_2050!B:B, 0)))-(INDEX(Cooper_pop_2030_2050!D:D, MATCH($A6, Cooper_pop_2030_2050!B:B, 0))))</f>
        <v>42080153.4047212</v>
      </c>
      <c r="R6">
        <f>INDEX(Cooper_pop_2030_2050!E:E, MATCH($A6, Cooper_pop_2030_2050!B:B, 0))</f>
        <v>42164453.29269436</v>
      </c>
      <c r="S6">
        <f>(INDEX(Cooper_pop_2030_2050!E:E, MATCH($A6, Cooper_pop_2030_2050!B:B, 0)))+0.1*((INDEX(Cooper_pop_2030_2050!F:F, MATCH($A6, Cooper_pop_2030_2050!B:B, 0)))-(INDEX(Cooper_pop_2030_2050!E:E, MATCH($A6, Cooper_pop_2030_2050!B:B, 0))))</f>
        <v>42200057.139837377</v>
      </c>
      <c r="T6">
        <f>(INDEX(Cooper_pop_2030_2050!E:E, MATCH($A6, Cooper_pop_2030_2050!B:B, 0)))+0.2*((INDEX(Cooper_pop_2030_2050!F:F, MATCH($A6, Cooper_pop_2030_2050!B:B, 0)))-(INDEX(Cooper_pop_2030_2050!E:E, MATCH($A6, Cooper_pop_2030_2050!B:B, 0))))</f>
        <v>42235660.986980386</v>
      </c>
      <c r="U6">
        <f>(INDEX(Cooper_pop_2030_2050!E:E, MATCH($A6, Cooper_pop_2030_2050!B:B, 0)))+0.3*((INDEX(Cooper_pop_2030_2050!F:F, MATCH($A6, Cooper_pop_2030_2050!B:B, 0)))-(INDEX(Cooper_pop_2030_2050!E:E, MATCH($A6, Cooper_pop_2030_2050!B:B, 0))))</f>
        <v>42271264.834123403</v>
      </c>
      <c r="V6">
        <f>(INDEX(Cooper_pop_2030_2050!E:E, MATCH($A6, Cooper_pop_2030_2050!B:B, 0)))+0.4*((INDEX(Cooper_pop_2030_2050!F:F, MATCH($A6, Cooper_pop_2030_2050!B:B, 0)))-(INDEX(Cooper_pop_2030_2050!E:E, MATCH($A6, Cooper_pop_2030_2050!B:B, 0))))</f>
        <v>42306868.681266412</v>
      </c>
      <c r="W6">
        <f>(INDEX(Cooper_pop_2030_2050!E:E, MATCH($A6, Cooper_pop_2030_2050!B:B, 0)))+0.5*((INDEX(Cooper_pop_2030_2050!F:F, MATCH($A6, Cooper_pop_2030_2050!B:B, 0)))-(INDEX(Cooper_pop_2030_2050!E:E, MATCH($A6, Cooper_pop_2030_2050!B:B, 0))))</f>
        <v>42342472.528409429</v>
      </c>
      <c r="X6">
        <f>(INDEX(Cooper_pop_2030_2050!E:E, MATCH($A6, Cooper_pop_2030_2050!B:B, 0)))+0.6*((INDEX(Cooper_pop_2030_2050!F:F, MATCH($A6, Cooper_pop_2030_2050!B:B, 0)))-(INDEX(Cooper_pop_2030_2050!E:E, MATCH($A6, Cooper_pop_2030_2050!B:B, 0))))</f>
        <v>42378076.375552446</v>
      </c>
      <c r="Y6">
        <f>(INDEX(Cooper_pop_2030_2050!E:E, MATCH($A6, Cooper_pop_2030_2050!B:B, 0)))+0.7*((INDEX(Cooper_pop_2030_2050!F:F, MATCH($A6, Cooper_pop_2030_2050!B:B, 0)))-(INDEX(Cooper_pop_2030_2050!E:E, MATCH($A6, Cooper_pop_2030_2050!B:B, 0))))</f>
        <v>42413680.222695455</v>
      </c>
      <c r="Z6">
        <f>(INDEX(Cooper_pop_2030_2050!E:E, MATCH($A6, Cooper_pop_2030_2050!B:B, 0)))+0.8*((INDEX(Cooper_pop_2030_2050!F:F, MATCH($A6, Cooper_pop_2030_2050!B:B, 0)))-(INDEX(Cooper_pop_2030_2050!E:E, MATCH($A6, Cooper_pop_2030_2050!B:B, 0))))</f>
        <v>42449284.069838472</v>
      </c>
      <c r="AA6">
        <f>(INDEX(Cooper_pop_2030_2050!E:E, MATCH($A6, Cooper_pop_2030_2050!B:B, 0)))+0.9*((INDEX(Cooper_pop_2030_2050!F:F, MATCH($A6, Cooper_pop_2030_2050!B:B, 0)))-(INDEX(Cooper_pop_2030_2050!E:E, MATCH($A6, Cooper_pop_2030_2050!B:B, 0))))</f>
        <v>42484887.916981481</v>
      </c>
      <c r="AB6">
        <f>INDEX(Cooper_pop_2030_2050!F:F, MATCH($A6, Cooper_pop_2030_2050!B:B, 0))</f>
        <v>42520491.764124498</v>
      </c>
    </row>
    <row r="7" spans="1:28">
      <c r="A7" t="s">
        <v>2890</v>
      </c>
      <c r="B7">
        <f>IFERROR(INDEX(Census_pop_2020_2025!G:G, MATCH("."&amp;$A7, Census_pop_2020_2025!A:A, 0)),INDEX(Census_pop_2020_2025!G:G, MATCH($A7, Census_pop_2020_2025!A:A, 0)))</f>
        <v>5988502</v>
      </c>
      <c r="C7">
        <f>IFERROR(INDEX(Census_pop_2020_2025!H:H, MATCH("."&amp;$A7, Census_pop_2020_2025!A:A, 0)),INDEX(Census_pop_2020_2025!H:H, MATCH($A7, Census_pop_2020_2025!A:A, 0)))</f>
        <v>6012561</v>
      </c>
      <c r="D7">
        <f>(IFERROR(INDEX(Census_pop_2020_2025!H:H, MATCH("."&amp;$A7, Census_pop_2020_2025!A:A, 0)),INDEX(Census_pop_2020_2025!H:H, MATCH($A7, Census_pop_2020_2025!A:A, 0))))+0.2*((INDEX(Cooper_pop_2030_2050!D:D, MATCH($A7, Cooper_pop_2030_2050!B:B, 0)))-(IFERROR(INDEX(Census_pop_2020_2025!H:H, MATCH("."&amp;$A7, Census_pop_2020_2025!A:A, 0)),INDEX(Census_pop_2020_2025!H:H, MATCH($A7, Census_pop_2020_2025!A:A, 0)))))</f>
        <v>6087491.0826532114</v>
      </c>
      <c r="E7">
        <f>(IFERROR(INDEX(Census_pop_2020_2025!H:H, MATCH("."&amp;$A7, Census_pop_2020_2025!A:A, 0)),INDEX(Census_pop_2020_2025!H:H, MATCH($A7, Census_pop_2020_2025!A:A, 0))))+0.4*((INDEX(Cooper_pop_2030_2050!D:D, MATCH($A7, Cooper_pop_2030_2050!B:B, 0)))-(IFERROR(INDEX(Census_pop_2020_2025!H:H, MATCH("."&amp;$A7, Census_pop_2020_2025!A:A, 0)),INDEX(Census_pop_2020_2025!H:H, MATCH($A7, Census_pop_2020_2025!A:A, 0)))))</f>
        <v>6162421.1653064229</v>
      </c>
      <c r="F7">
        <f>(IFERROR(INDEX(Census_pop_2020_2025!H:H, MATCH("."&amp;$A7, Census_pop_2020_2025!A:A, 0)),INDEX(Census_pop_2020_2025!H:H, MATCH($A7, Census_pop_2020_2025!A:A, 0))))+0.6*((INDEX(Cooper_pop_2030_2050!D:D, MATCH($A7, Cooper_pop_2030_2050!B:B, 0)))-(IFERROR(INDEX(Census_pop_2020_2025!H:H, MATCH("."&amp;$A7, Census_pop_2020_2025!A:A, 0)),INDEX(Census_pop_2020_2025!H:H, MATCH($A7, Census_pop_2020_2025!A:A, 0)))))</f>
        <v>6237351.2479596343</v>
      </c>
      <c r="G7">
        <f>(IFERROR(INDEX(Census_pop_2020_2025!H:H, MATCH("."&amp;$A7, Census_pop_2020_2025!A:A, 0)),INDEX(Census_pop_2020_2025!H:H, MATCH($A7, Census_pop_2020_2025!A:A, 0))))+0.8*((INDEX(Cooper_pop_2030_2050!D:D, MATCH($A7, Cooper_pop_2030_2050!B:B, 0)))-(IFERROR(INDEX(Census_pop_2020_2025!H:H, MATCH("."&amp;$A7, Census_pop_2020_2025!A:A, 0)),INDEX(Census_pop_2020_2025!H:H, MATCH($A7, Census_pop_2020_2025!A:A, 0)))))</f>
        <v>6312281.3306128457</v>
      </c>
      <c r="H7">
        <f>INDEX(Cooper_pop_2030_2050!D:D, MATCH($A7, Cooper_pop_2030_2050!B:B, 0))</f>
        <v>6387211.4132660571</v>
      </c>
      <c r="I7">
        <f>(INDEX(Cooper_pop_2030_2050!D:D, MATCH($A7, Cooper_pop_2030_2050!B:B, 0)))+0.1*((INDEX(Cooper_pop_2030_2050!E:E, MATCH($A7, Cooper_pop_2030_2050!B:B, 0)))-(INDEX(Cooper_pop_2030_2050!D:D, MATCH($A7, Cooper_pop_2030_2050!B:B, 0))))</f>
        <v>6453498.3973099124</v>
      </c>
      <c r="J7">
        <f>(INDEX(Cooper_pop_2030_2050!D:D, MATCH($A7, Cooper_pop_2030_2050!B:B, 0)))+0.2*((INDEX(Cooper_pop_2030_2050!E:E, MATCH($A7, Cooper_pop_2030_2050!B:B, 0)))-(INDEX(Cooper_pop_2030_2050!D:D, MATCH($A7, Cooper_pop_2030_2050!B:B, 0))))</f>
        <v>6519785.3813537685</v>
      </c>
      <c r="K7">
        <f>(INDEX(Cooper_pop_2030_2050!D:D, MATCH($A7, Cooper_pop_2030_2050!B:B, 0)))+0.3*((INDEX(Cooper_pop_2030_2050!E:E, MATCH($A7, Cooper_pop_2030_2050!B:B, 0)))-(INDEX(Cooper_pop_2030_2050!D:D, MATCH($A7, Cooper_pop_2030_2050!B:B, 0))))</f>
        <v>6586072.3653976237</v>
      </c>
      <c r="L7">
        <f>(INDEX(Cooper_pop_2030_2050!D:D, MATCH($A7, Cooper_pop_2030_2050!B:B, 0)))+0.4*((INDEX(Cooper_pop_2030_2050!E:E, MATCH($A7, Cooper_pop_2030_2050!B:B, 0)))-(INDEX(Cooper_pop_2030_2050!D:D, MATCH($A7, Cooper_pop_2030_2050!B:B, 0))))</f>
        <v>6652359.3494414799</v>
      </c>
      <c r="M7">
        <f>(INDEX(Cooper_pop_2030_2050!D:D, MATCH($A7, Cooper_pop_2030_2050!B:B, 0)))+0.5*((INDEX(Cooper_pop_2030_2050!E:E, MATCH($A7, Cooper_pop_2030_2050!B:B, 0)))-(INDEX(Cooper_pop_2030_2050!D:D, MATCH($A7, Cooper_pop_2030_2050!B:B, 0))))</f>
        <v>6718646.3334853351</v>
      </c>
      <c r="N7">
        <f>(INDEX(Cooper_pop_2030_2050!D:D, MATCH($A7, Cooper_pop_2030_2050!B:B, 0)))+0.6*((INDEX(Cooper_pop_2030_2050!E:E, MATCH($A7, Cooper_pop_2030_2050!B:B, 0)))-(INDEX(Cooper_pop_2030_2050!D:D, MATCH($A7, Cooper_pop_2030_2050!B:B, 0))))</f>
        <v>6784933.3175291903</v>
      </c>
      <c r="O7">
        <f>(INDEX(Cooper_pop_2030_2050!D:D, MATCH($A7, Cooper_pop_2030_2050!B:B, 0)))+0.7*((INDEX(Cooper_pop_2030_2050!E:E, MATCH($A7, Cooper_pop_2030_2050!B:B, 0)))-(INDEX(Cooper_pop_2030_2050!D:D, MATCH($A7, Cooper_pop_2030_2050!B:B, 0))))</f>
        <v>6851220.3015730465</v>
      </c>
      <c r="P7">
        <f>(INDEX(Cooper_pop_2030_2050!D:D, MATCH($A7, Cooper_pop_2030_2050!B:B, 0)))+0.8*((INDEX(Cooper_pop_2030_2050!E:E, MATCH($A7, Cooper_pop_2030_2050!B:B, 0)))-(INDEX(Cooper_pop_2030_2050!D:D, MATCH($A7, Cooper_pop_2030_2050!B:B, 0))))</f>
        <v>6917507.2856169017</v>
      </c>
      <c r="Q7">
        <f>(INDEX(Cooper_pop_2030_2050!D:D, MATCH($A7, Cooper_pop_2030_2050!B:B, 0)))+0.9*((INDEX(Cooper_pop_2030_2050!E:E, MATCH($A7, Cooper_pop_2030_2050!B:B, 0)))-(INDEX(Cooper_pop_2030_2050!D:D, MATCH($A7, Cooper_pop_2030_2050!B:B, 0))))</f>
        <v>6983794.2696607579</v>
      </c>
      <c r="R7">
        <f>INDEX(Cooper_pop_2030_2050!E:E, MATCH($A7, Cooper_pop_2030_2050!B:B, 0))</f>
        <v>7050081.2537046131</v>
      </c>
      <c r="S7">
        <f>(INDEX(Cooper_pop_2030_2050!E:E, MATCH($A7, Cooper_pop_2030_2050!B:B, 0)))+0.1*((INDEX(Cooper_pop_2030_2050!F:F, MATCH($A7, Cooper_pop_2030_2050!B:B, 0)))-(INDEX(Cooper_pop_2030_2050!E:E, MATCH($A7, Cooper_pop_2030_2050!B:B, 0))))</f>
        <v>7114128.9853758961</v>
      </c>
      <c r="T7">
        <f>(INDEX(Cooper_pop_2030_2050!E:E, MATCH($A7, Cooper_pop_2030_2050!B:B, 0)))+0.2*((INDEX(Cooper_pop_2030_2050!F:F, MATCH($A7, Cooper_pop_2030_2050!B:B, 0)))-(INDEX(Cooper_pop_2030_2050!E:E, MATCH($A7, Cooper_pop_2030_2050!B:B, 0))))</f>
        <v>7178176.7170471791</v>
      </c>
      <c r="U7">
        <f>(INDEX(Cooper_pop_2030_2050!E:E, MATCH($A7, Cooper_pop_2030_2050!B:B, 0)))+0.3*((INDEX(Cooper_pop_2030_2050!F:F, MATCH($A7, Cooper_pop_2030_2050!B:B, 0)))-(INDEX(Cooper_pop_2030_2050!E:E, MATCH($A7, Cooper_pop_2030_2050!B:B, 0))))</f>
        <v>7242224.4487184612</v>
      </c>
      <c r="V7">
        <f>(INDEX(Cooper_pop_2030_2050!E:E, MATCH($A7, Cooper_pop_2030_2050!B:B, 0)))+0.4*((INDEX(Cooper_pop_2030_2050!F:F, MATCH($A7, Cooper_pop_2030_2050!B:B, 0)))-(INDEX(Cooper_pop_2030_2050!E:E, MATCH($A7, Cooper_pop_2030_2050!B:B, 0))))</f>
        <v>7306272.1803897442</v>
      </c>
      <c r="W7">
        <f>(INDEX(Cooper_pop_2030_2050!E:E, MATCH($A7, Cooper_pop_2030_2050!B:B, 0)))+0.5*((INDEX(Cooper_pop_2030_2050!F:F, MATCH($A7, Cooper_pop_2030_2050!B:B, 0)))-(INDEX(Cooper_pop_2030_2050!E:E, MATCH($A7, Cooper_pop_2030_2050!B:B, 0))))</f>
        <v>7370319.9120610273</v>
      </c>
      <c r="X7">
        <f>(INDEX(Cooper_pop_2030_2050!E:E, MATCH($A7, Cooper_pop_2030_2050!B:B, 0)))+0.6*((INDEX(Cooper_pop_2030_2050!F:F, MATCH($A7, Cooper_pop_2030_2050!B:B, 0)))-(INDEX(Cooper_pop_2030_2050!E:E, MATCH($A7, Cooper_pop_2030_2050!B:B, 0))))</f>
        <v>7434367.6437323103</v>
      </c>
      <c r="Y7">
        <f>(INDEX(Cooper_pop_2030_2050!E:E, MATCH($A7, Cooper_pop_2030_2050!B:B, 0)))+0.7*((INDEX(Cooper_pop_2030_2050!F:F, MATCH($A7, Cooper_pop_2030_2050!B:B, 0)))-(INDEX(Cooper_pop_2030_2050!E:E, MATCH($A7, Cooper_pop_2030_2050!B:B, 0))))</f>
        <v>7498415.3754035933</v>
      </c>
      <c r="Z7">
        <f>(INDEX(Cooper_pop_2030_2050!E:E, MATCH($A7, Cooper_pop_2030_2050!B:B, 0)))+0.8*((INDEX(Cooper_pop_2030_2050!F:F, MATCH($A7, Cooper_pop_2030_2050!B:B, 0)))-(INDEX(Cooper_pop_2030_2050!E:E, MATCH($A7, Cooper_pop_2030_2050!B:B, 0))))</f>
        <v>7562463.1070748754</v>
      </c>
      <c r="AA7">
        <f>(INDEX(Cooper_pop_2030_2050!E:E, MATCH($A7, Cooper_pop_2030_2050!B:B, 0)))+0.9*((INDEX(Cooper_pop_2030_2050!F:F, MATCH($A7, Cooper_pop_2030_2050!B:B, 0)))-(INDEX(Cooper_pop_2030_2050!E:E, MATCH($A7, Cooper_pop_2030_2050!B:B, 0))))</f>
        <v>7626510.8387461584</v>
      </c>
      <c r="AB7">
        <f>INDEX(Cooper_pop_2030_2050!F:F, MATCH($A7, Cooper_pop_2030_2050!B:B, 0))</f>
        <v>7690558.5704174414</v>
      </c>
    </row>
    <row r="8" spans="1:28">
      <c r="A8" t="s">
        <v>2891</v>
      </c>
      <c r="B8">
        <f>IFERROR(INDEX(Census_pop_2020_2025!G:G, MATCH("."&amp;$A8, Census_pop_2020_2025!A:A, 0)),INDEX(Census_pop_2020_2025!G:G, MATCH($A8, Census_pop_2020_2025!A:A, 0)))</f>
        <v>3674449</v>
      </c>
      <c r="C8">
        <f>IFERROR(INDEX(Census_pop_2020_2025!H:H, MATCH("."&amp;$A8, Census_pop_2020_2025!A:A, 0)),INDEX(Census_pop_2020_2025!H:H, MATCH($A8, Census_pop_2020_2025!A:A, 0)))</f>
        <v>3688496</v>
      </c>
      <c r="D8">
        <f>(IFERROR(INDEX(Census_pop_2020_2025!H:H, MATCH("."&amp;$A8, Census_pop_2020_2025!A:A, 0)),INDEX(Census_pop_2020_2025!H:H, MATCH($A8, Census_pop_2020_2025!A:A, 0))))+0.2*((INDEX(Cooper_pop_2030_2050!D:D, MATCH($A8, Cooper_pop_2030_2050!B:B, 0)))-(IFERROR(INDEX(Census_pop_2020_2025!H:H, MATCH("."&amp;$A8, Census_pop_2020_2025!A:A, 0)),INDEX(Census_pop_2020_2025!H:H, MATCH($A8, Census_pop_2020_2025!A:A, 0)))))</f>
        <v>3676791.0272770855</v>
      </c>
      <c r="E8">
        <f>(IFERROR(INDEX(Census_pop_2020_2025!H:H, MATCH("."&amp;$A8, Census_pop_2020_2025!A:A, 0)),INDEX(Census_pop_2020_2025!H:H, MATCH($A8, Census_pop_2020_2025!A:A, 0))))+0.4*((INDEX(Cooper_pop_2030_2050!D:D, MATCH($A8, Cooper_pop_2030_2050!B:B, 0)))-(IFERROR(INDEX(Census_pop_2020_2025!H:H, MATCH("."&amp;$A8, Census_pop_2020_2025!A:A, 0)),INDEX(Census_pop_2020_2025!H:H, MATCH($A8, Census_pop_2020_2025!A:A, 0)))))</f>
        <v>3665086.0545541709</v>
      </c>
      <c r="F8">
        <f>(IFERROR(INDEX(Census_pop_2020_2025!H:H, MATCH("."&amp;$A8, Census_pop_2020_2025!A:A, 0)),INDEX(Census_pop_2020_2025!H:H, MATCH($A8, Census_pop_2020_2025!A:A, 0))))+0.6*((INDEX(Cooper_pop_2030_2050!D:D, MATCH($A8, Cooper_pop_2030_2050!B:B, 0)))-(IFERROR(INDEX(Census_pop_2020_2025!H:H, MATCH("."&amp;$A8, Census_pop_2020_2025!A:A, 0)),INDEX(Census_pop_2020_2025!H:H, MATCH($A8, Census_pop_2020_2025!A:A, 0)))))</f>
        <v>3653381.0818312569</v>
      </c>
      <c r="G8">
        <f>(IFERROR(INDEX(Census_pop_2020_2025!H:H, MATCH("."&amp;$A8, Census_pop_2020_2025!A:A, 0)),INDEX(Census_pop_2020_2025!H:H, MATCH($A8, Census_pop_2020_2025!A:A, 0))))+0.8*((INDEX(Cooper_pop_2030_2050!D:D, MATCH($A8, Cooper_pop_2030_2050!B:B, 0)))-(IFERROR(INDEX(Census_pop_2020_2025!H:H, MATCH("."&amp;$A8, Census_pop_2020_2025!A:A, 0)),INDEX(Census_pop_2020_2025!H:H, MATCH($A8, Census_pop_2020_2025!A:A, 0)))))</f>
        <v>3641676.1091083423</v>
      </c>
      <c r="H8">
        <f>INDEX(Cooper_pop_2030_2050!D:D, MATCH($A8, Cooper_pop_2030_2050!B:B, 0))</f>
        <v>3629971.1363854278</v>
      </c>
      <c r="I8">
        <f>(INDEX(Cooper_pop_2030_2050!D:D, MATCH($A8, Cooper_pop_2030_2050!B:B, 0)))+0.1*((INDEX(Cooper_pop_2030_2050!E:E, MATCH($A8, Cooper_pop_2030_2050!B:B, 0)))-(INDEX(Cooper_pop_2030_2050!D:D, MATCH($A8, Cooper_pop_2030_2050!B:B, 0))))</f>
        <v>3619086.9257206195</v>
      </c>
      <c r="J8">
        <f>(INDEX(Cooper_pop_2030_2050!D:D, MATCH($A8, Cooper_pop_2030_2050!B:B, 0)))+0.2*((INDEX(Cooper_pop_2030_2050!E:E, MATCH($A8, Cooper_pop_2030_2050!B:B, 0)))-(INDEX(Cooper_pop_2030_2050!D:D, MATCH($A8, Cooper_pop_2030_2050!B:B, 0))))</f>
        <v>3608202.7150558112</v>
      </c>
      <c r="K8">
        <f>(INDEX(Cooper_pop_2030_2050!D:D, MATCH($A8, Cooper_pop_2030_2050!B:B, 0)))+0.3*((INDEX(Cooper_pop_2030_2050!E:E, MATCH($A8, Cooper_pop_2030_2050!B:B, 0)))-(INDEX(Cooper_pop_2030_2050!D:D, MATCH($A8, Cooper_pop_2030_2050!B:B, 0))))</f>
        <v>3597318.5043910029</v>
      </c>
      <c r="L8">
        <f>(INDEX(Cooper_pop_2030_2050!D:D, MATCH($A8, Cooper_pop_2030_2050!B:B, 0)))+0.4*((INDEX(Cooper_pop_2030_2050!E:E, MATCH($A8, Cooper_pop_2030_2050!B:B, 0)))-(INDEX(Cooper_pop_2030_2050!D:D, MATCH($A8, Cooper_pop_2030_2050!B:B, 0))))</f>
        <v>3586434.2937261946</v>
      </c>
      <c r="M8">
        <f>(INDEX(Cooper_pop_2030_2050!D:D, MATCH($A8, Cooper_pop_2030_2050!B:B, 0)))+0.5*((INDEX(Cooper_pop_2030_2050!E:E, MATCH($A8, Cooper_pop_2030_2050!B:B, 0)))-(INDEX(Cooper_pop_2030_2050!D:D, MATCH($A8, Cooper_pop_2030_2050!B:B, 0))))</f>
        <v>3575550.0830613864</v>
      </c>
      <c r="N8">
        <f>(INDEX(Cooper_pop_2030_2050!D:D, MATCH($A8, Cooper_pop_2030_2050!B:B, 0)))+0.6*((INDEX(Cooper_pop_2030_2050!E:E, MATCH($A8, Cooper_pop_2030_2050!B:B, 0)))-(INDEX(Cooper_pop_2030_2050!D:D, MATCH($A8, Cooper_pop_2030_2050!B:B, 0))))</f>
        <v>3564665.8723965781</v>
      </c>
      <c r="O8">
        <f>(INDEX(Cooper_pop_2030_2050!D:D, MATCH($A8, Cooper_pop_2030_2050!B:B, 0)))+0.7*((INDEX(Cooper_pop_2030_2050!E:E, MATCH($A8, Cooper_pop_2030_2050!B:B, 0)))-(INDEX(Cooper_pop_2030_2050!D:D, MATCH($A8, Cooper_pop_2030_2050!B:B, 0))))</f>
        <v>3553781.6617317698</v>
      </c>
      <c r="P8">
        <f>(INDEX(Cooper_pop_2030_2050!D:D, MATCH($A8, Cooper_pop_2030_2050!B:B, 0)))+0.8*((INDEX(Cooper_pop_2030_2050!E:E, MATCH($A8, Cooper_pop_2030_2050!B:B, 0)))-(INDEX(Cooper_pop_2030_2050!D:D, MATCH($A8, Cooper_pop_2030_2050!B:B, 0))))</f>
        <v>3542897.4510669615</v>
      </c>
      <c r="Q8">
        <f>(INDEX(Cooper_pop_2030_2050!D:D, MATCH($A8, Cooper_pop_2030_2050!B:B, 0)))+0.9*((INDEX(Cooper_pop_2030_2050!E:E, MATCH($A8, Cooper_pop_2030_2050!B:B, 0)))-(INDEX(Cooper_pop_2030_2050!D:D, MATCH($A8, Cooper_pop_2030_2050!B:B, 0))))</f>
        <v>3532013.2404021532</v>
      </c>
      <c r="R8">
        <f>INDEX(Cooper_pop_2030_2050!E:E, MATCH($A8, Cooper_pop_2030_2050!B:B, 0))</f>
        <v>3521129.0297373449</v>
      </c>
      <c r="S8">
        <f>(INDEX(Cooper_pop_2030_2050!E:E, MATCH($A8, Cooper_pop_2030_2050!B:B, 0)))+0.1*((INDEX(Cooper_pop_2030_2050!F:F, MATCH($A8, Cooper_pop_2030_2050!B:B, 0)))-(INDEX(Cooper_pop_2030_2050!E:E, MATCH($A8, Cooper_pop_2030_2050!B:B, 0))))</f>
        <v>3506568.8674779176</v>
      </c>
      <c r="T8">
        <f>(INDEX(Cooper_pop_2030_2050!E:E, MATCH($A8, Cooper_pop_2030_2050!B:B, 0)))+0.2*((INDEX(Cooper_pop_2030_2050!F:F, MATCH($A8, Cooper_pop_2030_2050!B:B, 0)))-(INDEX(Cooper_pop_2030_2050!E:E, MATCH($A8, Cooper_pop_2030_2050!B:B, 0))))</f>
        <v>3492008.7052184902</v>
      </c>
      <c r="U8">
        <f>(INDEX(Cooper_pop_2030_2050!E:E, MATCH($A8, Cooper_pop_2030_2050!B:B, 0)))+0.3*((INDEX(Cooper_pop_2030_2050!F:F, MATCH($A8, Cooper_pop_2030_2050!B:B, 0)))-(INDEX(Cooper_pop_2030_2050!E:E, MATCH($A8, Cooper_pop_2030_2050!B:B, 0))))</f>
        <v>3477448.5429590633</v>
      </c>
      <c r="V8">
        <f>(INDEX(Cooper_pop_2030_2050!E:E, MATCH($A8, Cooper_pop_2030_2050!B:B, 0)))+0.4*((INDEX(Cooper_pop_2030_2050!F:F, MATCH($A8, Cooper_pop_2030_2050!B:B, 0)))-(INDEX(Cooper_pop_2030_2050!E:E, MATCH($A8, Cooper_pop_2030_2050!B:B, 0))))</f>
        <v>3462888.3806996359</v>
      </c>
      <c r="W8">
        <f>(INDEX(Cooper_pop_2030_2050!E:E, MATCH($A8, Cooper_pop_2030_2050!B:B, 0)))+0.5*((INDEX(Cooper_pop_2030_2050!F:F, MATCH($A8, Cooper_pop_2030_2050!B:B, 0)))-(INDEX(Cooper_pop_2030_2050!E:E, MATCH($A8, Cooper_pop_2030_2050!B:B, 0))))</f>
        <v>3448328.2184402086</v>
      </c>
      <c r="X8">
        <f>(INDEX(Cooper_pop_2030_2050!E:E, MATCH($A8, Cooper_pop_2030_2050!B:B, 0)))+0.6*((INDEX(Cooper_pop_2030_2050!F:F, MATCH($A8, Cooper_pop_2030_2050!B:B, 0)))-(INDEX(Cooper_pop_2030_2050!E:E, MATCH($A8, Cooper_pop_2030_2050!B:B, 0))))</f>
        <v>3433768.0561807812</v>
      </c>
      <c r="Y8">
        <f>(INDEX(Cooper_pop_2030_2050!E:E, MATCH($A8, Cooper_pop_2030_2050!B:B, 0)))+0.7*((INDEX(Cooper_pop_2030_2050!F:F, MATCH($A8, Cooper_pop_2030_2050!B:B, 0)))-(INDEX(Cooper_pop_2030_2050!E:E, MATCH($A8, Cooper_pop_2030_2050!B:B, 0))))</f>
        <v>3419207.8939213539</v>
      </c>
      <c r="Z8">
        <f>(INDEX(Cooper_pop_2030_2050!E:E, MATCH($A8, Cooper_pop_2030_2050!B:B, 0)))+0.8*((INDEX(Cooper_pop_2030_2050!F:F, MATCH($A8, Cooper_pop_2030_2050!B:B, 0)))-(INDEX(Cooper_pop_2030_2050!E:E, MATCH($A8, Cooper_pop_2030_2050!B:B, 0))))</f>
        <v>3404647.731661927</v>
      </c>
      <c r="AA8">
        <f>(INDEX(Cooper_pop_2030_2050!E:E, MATCH($A8, Cooper_pop_2030_2050!B:B, 0)))+0.9*((INDEX(Cooper_pop_2030_2050!F:F, MATCH($A8, Cooper_pop_2030_2050!B:B, 0)))-(INDEX(Cooper_pop_2030_2050!E:E, MATCH($A8, Cooper_pop_2030_2050!B:B, 0))))</f>
        <v>3390087.5694024996</v>
      </c>
      <c r="AB8">
        <f>INDEX(Cooper_pop_2030_2050!F:F, MATCH($A8, Cooper_pop_2030_2050!B:B, 0))</f>
        <v>3375527.4071430722</v>
      </c>
    </row>
    <row r="9" spans="1:28">
      <c r="A9" t="s">
        <v>2892</v>
      </c>
      <c r="B9">
        <f>IFERROR(INDEX(Census_pop_2020_2025!G:G, MATCH("."&amp;$A9, Census_pop_2020_2025!A:A, 0)),INDEX(Census_pop_2020_2025!G:G, MATCH($A9, Census_pop_2020_2025!A:A, 0)))</f>
        <v>1050123</v>
      </c>
      <c r="C9">
        <f>IFERROR(INDEX(Census_pop_2020_2025!H:H, MATCH("."&amp;$A9, Census_pop_2020_2025!A:A, 0)),INDEX(Census_pop_2020_2025!H:H, MATCH($A9, Census_pop_2020_2025!A:A, 0)))</f>
        <v>1059952</v>
      </c>
      <c r="D9">
        <f>(IFERROR(INDEX(Census_pop_2020_2025!H:H, MATCH("."&amp;$A9, Census_pop_2020_2025!A:A, 0)),INDEX(Census_pop_2020_2025!H:H, MATCH($A9, Census_pop_2020_2025!A:A, 0))))+0.2*((INDEX(Cooper_pop_2030_2050!D:D, MATCH($A9, Cooper_pop_2030_2050!B:B, 0)))-(IFERROR(INDEX(Census_pop_2020_2025!H:H, MATCH("."&amp;$A9, Census_pop_2020_2025!A:A, 0)),INDEX(Census_pop_2020_2025!H:H, MATCH($A9, Census_pop_2020_2025!A:A, 0)))))</f>
        <v>1060696.1951566597</v>
      </c>
      <c r="E9">
        <f>(IFERROR(INDEX(Census_pop_2020_2025!H:H, MATCH("."&amp;$A9, Census_pop_2020_2025!A:A, 0)),INDEX(Census_pop_2020_2025!H:H, MATCH($A9, Census_pop_2020_2025!A:A, 0))))+0.4*((INDEX(Cooper_pop_2030_2050!D:D, MATCH($A9, Cooper_pop_2030_2050!B:B, 0)))-(IFERROR(INDEX(Census_pop_2020_2025!H:H, MATCH("."&amp;$A9, Census_pop_2020_2025!A:A, 0)),INDEX(Census_pop_2020_2025!H:H, MATCH($A9, Census_pop_2020_2025!A:A, 0)))))</f>
        <v>1061440.3903133192</v>
      </c>
      <c r="F9">
        <f>(IFERROR(INDEX(Census_pop_2020_2025!H:H, MATCH("."&amp;$A9, Census_pop_2020_2025!A:A, 0)),INDEX(Census_pop_2020_2025!H:H, MATCH($A9, Census_pop_2020_2025!A:A, 0))))+0.6*((INDEX(Cooper_pop_2030_2050!D:D, MATCH($A9, Cooper_pop_2030_2050!B:B, 0)))-(IFERROR(INDEX(Census_pop_2020_2025!H:H, MATCH("."&amp;$A9, Census_pop_2020_2025!A:A, 0)),INDEX(Census_pop_2020_2025!H:H, MATCH($A9, Census_pop_2020_2025!A:A, 0)))))</f>
        <v>1062184.5854699789</v>
      </c>
      <c r="G9">
        <f>(IFERROR(INDEX(Census_pop_2020_2025!H:H, MATCH("."&amp;$A9, Census_pop_2020_2025!A:A, 0)),INDEX(Census_pop_2020_2025!H:H, MATCH($A9, Census_pop_2020_2025!A:A, 0))))+0.8*((INDEX(Cooper_pop_2030_2050!D:D, MATCH($A9, Cooper_pop_2030_2050!B:B, 0)))-(IFERROR(INDEX(Census_pop_2020_2025!H:H, MATCH("."&amp;$A9, Census_pop_2020_2025!A:A, 0)),INDEX(Census_pop_2020_2025!H:H, MATCH($A9, Census_pop_2020_2025!A:A, 0)))))</f>
        <v>1062928.7806266383</v>
      </c>
      <c r="H9">
        <f>INDEX(Cooper_pop_2030_2050!D:D, MATCH($A9, Cooper_pop_2030_2050!B:B, 0))</f>
        <v>1063672.975783298</v>
      </c>
      <c r="I9">
        <f>(INDEX(Cooper_pop_2030_2050!D:D, MATCH($A9, Cooper_pop_2030_2050!B:B, 0)))+0.1*((INDEX(Cooper_pop_2030_2050!E:E, MATCH($A9, Cooper_pop_2030_2050!B:B, 0)))-(INDEX(Cooper_pop_2030_2050!D:D, MATCH($A9, Cooper_pop_2030_2050!B:B, 0))))</f>
        <v>1070051.9570111998</v>
      </c>
      <c r="J9">
        <f>(INDEX(Cooper_pop_2030_2050!D:D, MATCH($A9, Cooper_pop_2030_2050!B:B, 0)))+0.2*((INDEX(Cooper_pop_2030_2050!E:E, MATCH($A9, Cooper_pop_2030_2050!B:B, 0)))-(INDEX(Cooper_pop_2030_2050!D:D, MATCH($A9, Cooper_pop_2030_2050!B:B, 0))))</f>
        <v>1076430.9382391016</v>
      </c>
      <c r="K9">
        <f>(INDEX(Cooper_pop_2030_2050!D:D, MATCH($A9, Cooper_pop_2030_2050!B:B, 0)))+0.3*((INDEX(Cooper_pop_2030_2050!E:E, MATCH($A9, Cooper_pop_2030_2050!B:B, 0)))-(INDEX(Cooper_pop_2030_2050!D:D, MATCH($A9, Cooper_pop_2030_2050!B:B, 0))))</f>
        <v>1082809.9194670033</v>
      </c>
      <c r="L9">
        <f>(INDEX(Cooper_pop_2030_2050!D:D, MATCH($A9, Cooper_pop_2030_2050!B:B, 0)))+0.4*((INDEX(Cooper_pop_2030_2050!E:E, MATCH($A9, Cooper_pop_2030_2050!B:B, 0)))-(INDEX(Cooper_pop_2030_2050!D:D, MATCH($A9, Cooper_pop_2030_2050!B:B, 0))))</f>
        <v>1089188.9006949051</v>
      </c>
      <c r="M9">
        <f>(INDEX(Cooper_pop_2030_2050!D:D, MATCH($A9, Cooper_pop_2030_2050!B:B, 0)))+0.5*((INDEX(Cooper_pop_2030_2050!E:E, MATCH($A9, Cooper_pop_2030_2050!B:B, 0)))-(INDEX(Cooper_pop_2030_2050!D:D, MATCH($A9, Cooper_pop_2030_2050!B:B, 0))))</f>
        <v>1095567.8819228071</v>
      </c>
      <c r="N9">
        <f>(INDEX(Cooper_pop_2030_2050!D:D, MATCH($A9, Cooper_pop_2030_2050!B:B, 0)))+0.6*((INDEX(Cooper_pop_2030_2050!E:E, MATCH($A9, Cooper_pop_2030_2050!B:B, 0)))-(INDEX(Cooper_pop_2030_2050!D:D, MATCH($A9, Cooper_pop_2030_2050!B:B, 0))))</f>
        <v>1101946.8631507088</v>
      </c>
      <c r="O9">
        <f>(INDEX(Cooper_pop_2030_2050!D:D, MATCH($A9, Cooper_pop_2030_2050!B:B, 0)))+0.7*((INDEX(Cooper_pop_2030_2050!E:E, MATCH($A9, Cooper_pop_2030_2050!B:B, 0)))-(INDEX(Cooper_pop_2030_2050!D:D, MATCH($A9, Cooper_pop_2030_2050!B:B, 0))))</f>
        <v>1108325.8443786106</v>
      </c>
      <c r="P9">
        <f>(INDEX(Cooper_pop_2030_2050!D:D, MATCH($A9, Cooper_pop_2030_2050!B:B, 0)))+0.8*((INDEX(Cooper_pop_2030_2050!E:E, MATCH($A9, Cooper_pop_2030_2050!B:B, 0)))-(INDEX(Cooper_pop_2030_2050!D:D, MATCH($A9, Cooper_pop_2030_2050!B:B, 0))))</f>
        <v>1114704.8256065124</v>
      </c>
      <c r="Q9">
        <f>(INDEX(Cooper_pop_2030_2050!D:D, MATCH($A9, Cooper_pop_2030_2050!B:B, 0)))+0.9*((INDEX(Cooper_pop_2030_2050!E:E, MATCH($A9, Cooper_pop_2030_2050!B:B, 0)))-(INDEX(Cooper_pop_2030_2050!D:D, MATCH($A9, Cooper_pop_2030_2050!B:B, 0))))</f>
        <v>1121083.8068344141</v>
      </c>
      <c r="R9">
        <f>INDEX(Cooper_pop_2030_2050!E:E, MATCH($A9, Cooper_pop_2030_2050!B:B, 0))</f>
        <v>1127462.7880623159</v>
      </c>
      <c r="S9">
        <f>(INDEX(Cooper_pop_2030_2050!E:E, MATCH($A9, Cooper_pop_2030_2050!B:B, 0)))+0.1*((INDEX(Cooper_pop_2030_2050!F:F, MATCH($A9, Cooper_pop_2030_2050!B:B, 0)))-(INDEX(Cooper_pop_2030_2050!E:E, MATCH($A9, Cooper_pop_2030_2050!B:B, 0))))</f>
        <v>1132823.9445614261</v>
      </c>
      <c r="T9">
        <f>(INDEX(Cooper_pop_2030_2050!E:E, MATCH($A9, Cooper_pop_2030_2050!B:B, 0)))+0.2*((INDEX(Cooper_pop_2030_2050!F:F, MATCH($A9, Cooper_pop_2030_2050!B:B, 0)))-(INDEX(Cooper_pop_2030_2050!E:E, MATCH($A9, Cooper_pop_2030_2050!B:B, 0))))</f>
        <v>1138185.1010605362</v>
      </c>
      <c r="U9">
        <f>(INDEX(Cooper_pop_2030_2050!E:E, MATCH($A9, Cooper_pop_2030_2050!B:B, 0)))+0.3*((INDEX(Cooper_pop_2030_2050!F:F, MATCH($A9, Cooper_pop_2030_2050!B:B, 0)))-(INDEX(Cooper_pop_2030_2050!E:E, MATCH($A9, Cooper_pop_2030_2050!B:B, 0))))</f>
        <v>1143546.2575596462</v>
      </c>
      <c r="V9">
        <f>(INDEX(Cooper_pop_2030_2050!E:E, MATCH($A9, Cooper_pop_2030_2050!B:B, 0)))+0.4*((INDEX(Cooper_pop_2030_2050!F:F, MATCH($A9, Cooper_pop_2030_2050!B:B, 0)))-(INDEX(Cooper_pop_2030_2050!E:E, MATCH($A9, Cooper_pop_2030_2050!B:B, 0))))</f>
        <v>1148907.4140587563</v>
      </c>
      <c r="W9">
        <f>(INDEX(Cooper_pop_2030_2050!E:E, MATCH($A9, Cooper_pop_2030_2050!B:B, 0)))+0.5*((INDEX(Cooper_pop_2030_2050!F:F, MATCH($A9, Cooper_pop_2030_2050!B:B, 0)))-(INDEX(Cooper_pop_2030_2050!E:E, MATCH($A9, Cooper_pop_2030_2050!B:B, 0))))</f>
        <v>1154268.5705578665</v>
      </c>
      <c r="X9">
        <f>(INDEX(Cooper_pop_2030_2050!E:E, MATCH($A9, Cooper_pop_2030_2050!B:B, 0)))+0.6*((INDEX(Cooper_pop_2030_2050!F:F, MATCH($A9, Cooper_pop_2030_2050!B:B, 0)))-(INDEX(Cooper_pop_2030_2050!E:E, MATCH($A9, Cooper_pop_2030_2050!B:B, 0))))</f>
        <v>1159629.7270569766</v>
      </c>
      <c r="Y9">
        <f>(INDEX(Cooper_pop_2030_2050!E:E, MATCH($A9, Cooper_pop_2030_2050!B:B, 0)))+0.7*((INDEX(Cooper_pop_2030_2050!F:F, MATCH($A9, Cooper_pop_2030_2050!B:B, 0)))-(INDEX(Cooper_pop_2030_2050!E:E, MATCH($A9, Cooper_pop_2030_2050!B:B, 0))))</f>
        <v>1164990.8835560868</v>
      </c>
      <c r="Z9">
        <f>(INDEX(Cooper_pop_2030_2050!E:E, MATCH($A9, Cooper_pop_2030_2050!B:B, 0)))+0.8*((INDEX(Cooper_pop_2030_2050!F:F, MATCH($A9, Cooper_pop_2030_2050!B:B, 0)))-(INDEX(Cooper_pop_2030_2050!E:E, MATCH($A9, Cooper_pop_2030_2050!B:B, 0))))</f>
        <v>1170352.0400551967</v>
      </c>
      <c r="AA9">
        <f>(INDEX(Cooper_pop_2030_2050!E:E, MATCH($A9, Cooper_pop_2030_2050!B:B, 0)))+0.9*((INDEX(Cooper_pop_2030_2050!F:F, MATCH($A9, Cooper_pop_2030_2050!B:B, 0)))-(INDEX(Cooper_pop_2030_2050!E:E, MATCH($A9, Cooper_pop_2030_2050!B:B, 0))))</f>
        <v>1175713.1965543069</v>
      </c>
      <c r="AB9">
        <f>INDEX(Cooper_pop_2030_2050!F:F, MATCH($A9, Cooper_pop_2030_2050!B:B, 0))</f>
        <v>1181074.3530534171</v>
      </c>
    </row>
    <row r="10" spans="1:28">
      <c r="A10" t="s">
        <v>2893</v>
      </c>
      <c r="B10">
        <f>IFERROR(INDEX(Census_pop_2020_2025!G:G, MATCH("."&amp;$A10, Census_pop_2020_2025!A:A, 0)),INDEX(Census_pop_2020_2025!G:G, MATCH($A10, Census_pop_2020_2025!A:A, 0)))</f>
        <v>691310</v>
      </c>
      <c r="C10">
        <f>IFERROR(INDEX(Census_pop_2020_2025!H:H, MATCH("."&amp;$A10, Census_pop_2020_2025!A:A, 0)),INDEX(Census_pop_2020_2025!H:H, MATCH($A10, Census_pop_2020_2025!A:A, 0)))</f>
        <v>693645</v>
      </c>
      <c r="D10">
        <f>(IFERROR(INDEX(Census_pop_2020_2025!H:H, MATCH("."&amp;$A10, Census_pop_2020_2025!A:A, 0)),INDEX(Census_pop_2020_2025!H:H, MATCH($A10, Census_pop_2020_2025!A:A, 0))))+0.2*((INDEX(Cooper_pop_2030_2050!D:D, MATCH($A10, Cooper_pop_2030_2050!B:B, 0)))-(IFERROR(INDEX(Census_pop_2020_2025!H:H, MATCH("."&amp;$A10, Census_pop_2020_2025!A:A, 0)),INDEX(Census_pop_2020_2025!H:H, MATCH($A10, Census_pop_2020_2025!A:A, 0)))))</f>
        <v>707280.06979839562</v>
      </c>
      <c r="E10">
        <f>(IFERROR(INDEX(Census_pop_2020_2025!H:H, MATCH("."&amp;$A10, Census_pop_2020_2025!A:A, 0)),INDEX(Census_pop_2020_2025!H:H, MATCH($A10, Census_pop_2020_2025!A:A, 0))))+0.4*((INDEX(Cooper_pop_2030_2050!D:D, MATCH($A10, Cooper_pop_2030_2050!B:B, 0)))-(IFERROR(INDEX(Census_pop_2020_2025!H:H, MATCH("."&amp;$A10, Census_pop_2020_2025!A:A, 0)),INDEX(Census_pop_2020_2025!H:H, MATCH($A10, Census_pop_2020_2025!A:A, 0)))))</f>
        <v>720915.13959679124</v>
      </c>
      <c r="F10">
        <f>(IFERROR(INDEX(Census_pop_2020_2025!H:H, MATCH("."&amp;$A10, Census_pop_2020_2025!A:A, 0)),INDEX(Census_pop_2020_2025!H:H, MATCH($A10, Census_pop_2020_2025!A:A, 0))))+0.6*((INDEX(Cooper_pop_2030_2050!D:D, MATCH($A10, Cooper_pop_2030_2050!B:B, 0)))-(IFERROR(INDEX(Census_pop_2020_2025!H:H, MATCH("."&amp;$A10, Census_pop_2020_2025!A:A, 0)),INDEX(Census_pop_2020_2025!H:H, MATCH($A10, Census_pop_2020_2025!A:A, 0)))))</f>
        <v>734550.20939518674</v>
      </c>
      <c r="G10">
        <f>(IFERROR(INDEX(Census_pop_2020_2025!H:H, MATCH("."&amp;$A10, Census_pop_2020_2025!A:A, 0)),INDEX(Census_pop_2020_2025!H:H, MATCH($A10, Census_pop_2020_2025!A:A, 0))))+0.8*((INDEX(Cooper_pop_2030_2050!D:D, MATCH($A10, Cooper_pop_2030_2050!B:B, 0)))-(IFERROR(INDEX(Census_pop_2020_2025!H:H, MATCH("."&amp;$A10, Census_pop_2020_2025!A:A, 0)),INDEX(Census_pop_2020_2025!H:H, MATCH($A10, Census_pop_2020_2025!A:A, 0)))))</f>
        <v>748185.27919358236</v>
      </c>
      <c r="H10">
        <f>INDEX(Cooper_pop_2030_2050!D:D, MATCH($A10, Cooper_pop_2030_2050!B:B, 0))</f>
        <v>761820.34899197798</v>
      </c>
      <c r="I10">
        <f>(INDEX(Cooper_pop_2030_2050!D:D, MATCH($A10, Cooper_pop_2030_2050!B:B, 0)))+0.1*((INDEX(Cooper_pop_2030_2050!E:E, MATCH($A10, Cooper_pop_2030_2050!B:B, 0)))-(INDEX(Cooper_pop_2030_2050!D:D, MATCH($A10, Cooper_pop_2030_2050!B:B, 0))))</f>
        <v>769573.62349266629</v>
      </c>
      <c r="J10">
        <f>(INDEX(Cooper_pop_2030_2050!D:D, MATCH($A10, Cooper_pop_2030_2050!B:B, 0)))+0.2*((INDEX(Cooper_pop_2030_2050!E:E, MATCH($A10, Cooper_pop_2030_2050!B:B, 0)))-(INDEX(Cooper_pop_2030_2050!D:D, MATCH($A10, Cooper_pop_2030_2050!B:B, 0))))</f>
        <v>777326.89799335459</v>
      </c>
      <c r="K10">
        <f>(INDEX(Cooper_pop_2030_2050!D:D, MATCH($A10, Cooper_pop_2030_2050!B:B, 0)))+0.3*((INDEX(Cooper_pop_2030_2050!E:E, MATCH($A10, Cooper_pop_2030_2050!B:B, 0)))-(INDEX(Cooper_pop_2030_2050!D:D, MATCH($A10, Cooper_pop_2030_2050!B:B, 0))))</f>
        <v>785080.1724940429</v>
      </c>
      <c r="L10">
        <f>(INDEX(Cooper_pop_2030_2050!D:D, MATCH($A10, Cooper_pop_2030_2050!B:B, 0)))+0.4*((INDEX(Cooper_pop_2030_2050!E:E, MATCH($A10, Cooper_pop_2030_2050!B:B, 0)))-(INDEX(Cooper_pop_2030_2050!D:D, MATCH($A10, Cooper_pop_2030_2050!B:B, 0))))</f>
        <v>792833.4469947312</v>
      </c>
      <c r="M10">
        <f>(INDEX(Cooper_pop_2030_2050!D:D, MATCH($A10, Cooper_pop_2030_2050!B:B, 0)))+0.5*((INDEX(Cooper_pop_2030_2050!E:E, MATCH($A10, Cooper_pop_2030_2050!B:B, 0)))-(INDEX(Cooper_pop_2030_2050!D:D, MATCH($A10, Cooper_pop_2030_2050!B:B, 0))))</f>
        <v>800586.72149541951</v>
      </c>
      <c r="N10">
        <f>(INDEX(Cooper_pop_2030_2050!D:D, MATCH($A10, Cooper_pop_2030_2050!B:B, 0)))+0.6*((INDEX(Cooper_pop_2030_2050!E:E, MATCH($A10, Cooper_pop_2030_2050!B:B, 0)))-(INDEX(Cooper_pop_2030_2050!D:D, MATCH($A10, Cooper_pop_2030_2050!B:B, 0))))</f>
        <v>808339.99599610781</v>
      </c>
      <c r="O10">
        <f>(INDEX(Cooper_pop_2030_2050!D:D, MATCH($A10, Cooper_pop_2030_2050!B:B, 0)))+0.7*((INDEX(Cooper_pop_2030_2050!E:E, MATCH($A10, Cooper_pop_2030_2050!B:B, 0)))-(INDEX(Cooper_pop_2030_2050!D:D, MATCH($A10, Cooper_pop_2030_2050!B:B, 0))))</f>
        <v>816093.27049679612</v>
      </c>
      <c r="P10">
        <f>(INDEX(Cooper_pop_2030_2050!D:D, MATCH($A10, Cooper_pop_2030_2050!B:B, 0)))+0.8*((INDEX(Cooper_pop_2030_2050!E:E, MATCH($A10, Cooper_pop_2030_2050!B:B, 0)))-(INDEX(Cooper_pop_2030_2050!D:D, MATCH($A10, Cooper_pop_2030_2050!B:B, 0))))</f>
        <v>823846.54499748442</v>
      </c>
      <c r="Q10">
        <f>(INDEX(Cooper_pop_2030_2050!D:D, MATCH($A10, Cooper_pop_2030_2050!B:B, 0)))+0.9*((INDEX(Cooper_pop_2030_2050!E:E, MATCH($A10, Cooper_pop_2030_2050!B:B, 0)))-(INDEX(Cooper_pop_2030_2050!D:D, MATCH($A10, Cooper_pop_2030_2050!B:B, 0))))</f>
        <v>831599.81949817273</v>
      </c>
      <c r="R10">
        <f>INDEX(Cooper_pop_2030_2050!E:E, MATCH($A10, Cooper_pop_2030_2050!B:B, 0))</f>
        <v>839353.09399886103</v>
      </c>
      <c r="S10">
        <f>(INDEX(Cooper_pop_2030_2050!E:E, MATCH($A10, Cooper_pop_2030_2050!B:B, 0)))+0.1*((INDEX(Cooper_pop_2030_2050!F:F, MATCH($A10, Cooper_pop_2030_2050!B:B, 0)))-(INDEX(Cooper_pop_2030_2050!E:E, MATCH($A10, Cooper_pop_2030_2050!B:B, 0))))</f>
        <v>846811.79884703713</v>
      </c>
      <c r="T10">
        <f>(INDEX(Cooper_pop_2030_2050!E:E, MATCH($A10, Cooper_pop_2030_2050!B:B, 0)))+0.2*((INDEX(Cooper_pop_2030_2050!F:F, MATCH($A10, Cooper_pop_2030_2050!B:B, 0)))-(INDEX(Cooper_pop_2030_2050!E:E, MATCH($A10, Cooper_pop_2030_2050!B:B, 0))))</f>
        <v>854270.50369521335</v>
      </c>
      <c r="U10">
        <f>(INDEX(Cooper_pop_2030_2050!E:E, MATCH($A10, Cooper_pop_2030_2050!B:B, 0)))+0.3*((INDEX(Cooper_pop_2030_2050!F:F, MATCH($A10, Cooper_pop_2030_2050!B:B, 0)))-(INDEX(Cooper_pop_2030_2050!E:E, MATCH($A10, Cooper_pop_2030_2050!B:B, 0))))</f>
        <v>861729.20854338945</v>
      </c>
      <c r="V10">
        <f>(INDEX(Cooper_pop_2030_2050!E:E, MATCH($A10, Cooper_pop_2030_2050!B:B, 0)))+0.4*((INDEX(Cooper_pop_2030_2050!F:F, MATCH($A10, Cooper_pop_2030_2050!B:B, 0)))-(INDEX(Cooper_pop_2030_2050!E:E, MATCH($A10, Cooper_pop_2030_2050!B:B, 0))))</f>
        <v>869187.91339156567</v>
      </c>
      <c r="W10">
        <f>(INDEX(Cooper_pop_2030_2050!E:E, MATCH($A10, Cooper_pop_2030_2050!B:B, 0)))+0.5*((INDEX(Cooper_pop_2030_2050!F:F, MATCH($A10, Cooper_pop_2030_2050!B:B, 0)))-(INDEX(Cooper_pop_2030_2050!E:E, MATCH($A10, Cooper_pop_2030_2050!B:B, 0))))</f>
        <v>876646.61823974177</v>
      </c>
      <c r="X10">
        <f>(INDEX(Cooper_pop_2030_2050!E:E, MATCH($A10, Cooper_pop_2030_2050!B:B, 0)))+0.6*((INDEX(Cooper_pop_2030_2050!F:F, MATCH($A10, Cooper_pop_2030_2050!B:B, 0)))-(INDEX(Cooper_pop_2030_2050!E:E, MATCH($A10, Cooper_pop_2030_2050!B:B, 0))))</f>
        <v>884105.32308791787</v>
      </c>
      <c r="Y10">
        <f>(INDEX(Cooper_pop_2030_2050!E:E, MATCH($A10, Cooper_pop_2030_2050!B:B, 0)))+0.7*((INDEX(Cooper_pop_2030_2050!F:F, MATCH($A10, Cooper_pop_2030_2050!B:B, 0)))-(INDEX(Cooper_pop_2030_2050!E:E, MATCH($A10, Cooper_pop_2030_2050!B:B, 0))))</f>
        <v>891564.02793609409</v>
      </c>
      <c r="Z10">
        <f>(INDEX(Cooper_pop_2030_2050!E:E, MATCH($A10, Cooper_pop_2030_2050!B:B, 0)))+0.8*((INDEX(Cooper_pop_2030_2050!F:F, MATCH($A10, Cooper_pop_2030_2050!B:B, 0)))-(INDEX(Cooper_pop_2030_2050!E:E, MATCH($A10, Cooper_pop_2030_2050!B:B, 0))))</f>
        <v>899022.73278427019</v>
      </c>
      <c r="AA10">
        <f>(INDEX(Cooper_pop_2030_2050!E:E, MATCH($A10, Cooper_pop_2030_2050!B:B, 0)))+0.9*((INDEX(Cooper_pop_2030_2050!F:F, MATCH($A10, Cooper_pop_2030_2050!B:B, 0)))-(INDEX(Cooper_pop_2030_2050!E:E, MATCH($A10, Cooper_pop_2030_2050!B:B, 0))))</f>
        <v>906481.43763244641</v>
      </c>
      <c r="AB10">
        <f>INDEX(Cooper_pop_2030_2050!F:F, MATCH($A10, Cooper_pop_2030_2050!B:B, 0))</f>
        <v>913940.14248062251</v>
      </c>
    </row>
    <row r="11" spans="1:28">
      <c r="A11" t="s">
        <v>2894</v>
      </c>
      <c r="B11">
        <f>IFERROR(INDEX(Census_pop_2020_2025!G:G, MATCH("."&amp;$A11, Census_pop_2020_2025!A:A, 0)),INDEX(Census_pop_2020_2025!G:G, MATCH($A11, Census_pop_2020_2025!A:A, 0)))</f>
        <v>23265838</v>
      </c>
      <c r="C11">
        <f>IFERROR(INDEX(Census_pop_2020_2025!H:H, MATCH("."&amp;$A11, Census_pop_2020_2025!A:A, 0)),INDEX(Census_pop_2020_2025!H:H, MATCH($A11, Census_pop_2020_2025!A:A, 0)))</f>
        <v>23462518</v>
      </c>
      <c r="D11">
        <f>(IFERROR(INDEX(Census_pop_2020_2025!H:H, MATCH("."&amp;$A11, Census_pop_2020_2025!A:A, 0)),INDEX(Census_pop_2020_2025!H:H, MATCH($A11, Census_pop_2020_2025!A:A, 0))))+0.2*((INDEX(Cooper_pop_2030_2050!D:D, MATCH($A11, Cooper_pop_2030_2050!B:B, 0)))-(IFERROR(INDEX(Census_pop_2020_2025!H:H, MATCH("."&amp;$A11, Census_pop_2020_2025!A:A, 0)),INDEX(Census_pop_2020_2025!H:H, MATCH($A11, Census_pop_2020_2025!A:A, 0)))))</f>
        <v>23528023.63619883</v>
      </c>
      <c r="E11">
        <f>(IFERROR(INDEX(Census_pop_2020_2025!H:H, MATCH("."&amp;$A11, Census_pop_2020_2025!A:A, 0)),INDEX(Census_pop_2020_2025!H:H, MATCH($A11, Census_pop_2020_2025!A:A, 0))))+0.4*((INDEX(Cooper_pop_2030_2050!D:D, MATCH($A11, Cooper_pop_2030_2050!B:B, 0)))-(IFERROR(INDEX(Census_pop_2020_2025!H:H, MATCH("."&amp;$A11, Census_pop_2020_2025!A:A, 0)),INDEX(Census_pop_2020_2025!H:H, MATCH($A11, Census_pop_2020_2025!A:A, 0)))))</f>
        <v>23593529.27239766</v>
      </c>
      <c r="F11">
        <f>(IFERROR(INDEX(Census_pop_2020_2025!H:H, MATCH("."&amp;$A11, Census_pop_2020_2025!A:A, 0)),INDEX(Census_pop_2020_2025!H:H, MATCH($A11, Census_pop_2020_2025!A:A, 0))))+0.6*((INDEX(Cooper_pop_2030_2050!D:D, MATCH($A11, Cooper_pop_2030_2050!B:B, 0)))-(IFERROR(INDEX(Census_pop_2020_2025!H:H, MATCH("."&amp;$A11, Census_pop_2020_2025!A:A, 0)),INDEX(Census_pop_2020_2025!H:H, MATCH($A11, Census_pop_2020_2025!A:A, 0)))))</f>
        <v>23659034.90859649</v>
      </c>
      <c r="G11">
        <f>(IFERROR(INDEX(Census_pop_2020_2025!H:H, MATCH("."&amp;$A11, Census_pop_2020_2025!A:A, 0)),INDEX(Census_pop_2020_2025!H:H, MATCH($A11, Census_pop_2020_2025!A:A, 0))))+0.8*((INDEX(Cooper_pop_2030_2050!D:D, MATCH($A11, Cooper_pop_2030_2050!B:B, 0)))-(IFERROR(INDEX(Census_pop_2020_2025!H:H, MATCH("."&amp;$A11, Census_pop_2020_2025!A:A, 0)),INDEX(Census_pop_2020_2025!H:H, MATCH($A11, Census_pop_2020_2025!A:A, 0)))))</f>
        <v>23724540.544795319</v>
      </c>
      <c r="H11">
        <f>INDEX(Cooper_pop_2030_2050!D:D, MATCH($A11, Cooper_pop_2030_2050!B:B, 0))</f>
        <v>23790046.180994149</v>
      </c>
      <c r="I11">
        <f>(INDEX(Cooper_pop_2030_2050!D:D, MATCH($A11, Cooper_pop_2030_2050!B:B, 0)))+0.1*((INDEX(Cooper_pop_2030_2050!E:E, MATCH($A11, Cooper_pop_2030_2050!B:B, 0)))-(INDEX(Cooper_pop_2030_2050!D:D, MATCH($A11, Cooper_pop_2030_2050!B:B, 0))))</f>
        <v>24031289.835240934</v>
      </c>
      <c r="J11">
        <f>(INDEX(Cooper_pop_2030_2050!D:D, MATCH($A11, Cooper_pop_2030_2050!B:B, 0)))+0.2*((INDEX(Cooper_pop_2030_2050!E:E, MATCH($A11, Cooper_pop_2030_2050!B:B, 0)))-(INDEX(Cooper_pop_2030_2050!D:D, MATCH($A11, Cooper_pop_2030_2050!B:B, 0))))</f>
        <v>24272533.489487719</v>
      </c>
      <c r="K11">
        <f>(INDEX(Cooper_pop_2030_2050!D:D, MATCH($A11, Cooper_pop_2030_2050!B:B, 0)))+0.3*((INDEX(Cooper_pop_2030_2050!E:E, MATCH($A11, Cooper_pop_2030_2050!B:B, 0)))-(INDEX(Cooper_pop_2030_2050!D:D, MATCH($A11, Cooper_pop_2030_2050!B:B, 0))))</f>
        <v>24513777.1437345</v>
      </c>
      <c r="L11">
        <f>(INDEX(Cooper_pop_2030_2050!D:D, MATCH($A11, Cooper_pop_2030_2050!B:B, 0)))+0.4*((INDEX(Cooper_pop_2030_2050!E:E, MATCH($A11, Cooper_pop_2030_2050!B:B, 0)))-(INDEX(Cooper_pop_2030_2050!D:D, MATCH($A11, Cooper_pop_2030_2050!B:B, 0))))</f>
        <v>24755020.797981285</v>
      </c>
      <c r="M11">
        <f>(INDEX(Cooper_pop_2030_2050!D:D, MATCH($A11, Cooper_pop_2030_2050!B:B, 0)))+0.5*((INDEX(Cooper_pop_2030_2050!E:E, MATCH($A11, Cooper_pop_2030_2050!B:B, 0)))-(INDEX(Cooper_pop_2030_2050!D:D, MATCH($A11, Cooper_pop_2030_2050!B:B, 0))))</f>
        <v>24996264.452228069</v>
      </c>
      <c r="N11">
        <f>(INDEX(Cooper_pop_2030_2050!D:D, MATCH($A11, Cooper_pop_2030_2050!B:B, 0)))+0.6*((INDEX(Cooper_pop_2030_2050!E:E, MATCH($A11, Cooper_pop_2030_2050!B:B, 0)))-(INDEX(Cooper_pop_2030_2050!D:D, MATCH($A11, Cooper_pop_2030_2050!B:B, 0))))</f>
        <v>25237508.106474854</v>
      </c>
      <c r="O11">
        <f>(INDEX(Cooper_pop_2030_2050!D:D, MATCH($A11, Cooper_pop_2030_2050!B:B, 0)))+0.7*((INDEX(Cooper_pop_2030_2050!E:E, MATCH($A11, Cooper_pop_2030_2050!B:B, 0)))-(INDEX(Cooper_pop_2030_2050!D:D, MATCH($A11, Cooper_pop_2030_2050!B:B, 0))))</f>
        <v>25478751.760721639</v>
      </c>
      <c r="P11">
        <f>(INDEX(Cooper_pop_2030_2050!D:D, MATCH($A11, Cooper_pop_2030_2050!B:B, 0)))+0.8*((INDEX(Cooper_pop_2030_2050!E:E, MATCH($A11, Cooper_pop_2030_2050!B:B, 0)))-(INDEX(Cooper_pop_2030_2050!D:D, MATCH($A11, Cooper_pop_2030_2050!B:B, 0))))</f>
        <v>25719995.41496842</v>
      </c>
      <c r="Q11">
        <f>(INDEX(Cooper_pop_2030_2050!D:D, MATCH($A11, Cooper_pop_2030_2050!B:B, 0)))+0.9*((INDEX(Cooper_pop_2030_2050!E:E, MATCH($A11, Cooper_pop_2030_2050!B:B, 0)))-(INDEX(Cooper_pop_2030_2050!D:D, MATCH($A11, Cooper_pop_2030_2050!B:B, 0))))</f>
        <v>25961239.069215205</v>
      </c>
      <c r="R11">
        <f>INDEX(Cooper_pop_2030_2050!E:E, MATCH($A11, Cooper_pop_2030_2050!B:B, 0))</f>
        <v>26202482.723461989</v>
      </c>
      <c r="S11">
        <f>(INDEX(Cooper_pop_2030_2050!E:E, MATCH($A11, Cooper_pop_2030_2050!B:B, 0)))+0.1*((INDEX(Cooper_pop_2030_2050!F:F, MATCH($A11, Cooper_pop_2030_2050!B:B, 0)))-(INDEX(Cooper_pop_2030_2050!E:E, MATCH($A11, Cooper_pop_2030_2050!B:B, 0))))</f>
        <v>26434372.433016606</v>
      </c>
      <c r="T11">
        <f>(INDEX(Cooper_pop_2030_2050!E:E, MATCH($A11, Cooper_pop_2030_2050!B:B, 0)))+0.2*((INDEX(Cooper_pop_2030_2050!F:F, MATCH($A11, Cooper_pop_2030_2050!B:B, 0)))-(INDEX(Cooper_pop_2030_2050!E:E, MATCH($A11, Cooper_pop_2030_2050!B:B, 0))))</f>
        <v>26666262.142571226</v>
      </c>
      <c r="U11">
        <f>(INDEX(Cooper_pop_2030_2050!E:E, MATCH($A11, Cooper_pop_2030_2050!B:B, 0)))+0.3*((INDEX(Cooper_pop_2030_2050!F:F, MATCH($A11, Cooper_pop_2030_2050!B:B, 0)))-(INDEX(Cooper_pop_2030_2050!E:E, MATCH($A11, Cooper_pop_2030_2050!B:B, 0))))</f>
        <v>26898151.852125846</v>
      </c>
      <c r="V11">
        <f>(INDEX(Cooper_pop_2030_2050!E:E, MATCH($A11, Cooper_pop_2030_2050!B:B, 0)))+0.4*((INDEX(Cooper_pop_2030_2050!F:F, MATCH($A11, Cooper_pop_2030_2050!B:B, 0)))-(INDEX(Cooper_pop_2030_2050!E:E, MATCH($A11, Cooper_pop_2030_2050!B:B, 0))))</f>
        <v>27130041.561680462</v>
      </c>
      <c r="W11">
        <f>(INDEX(Cooper_pop_2030_2050!E:E, MATCH($A11, Cooper_pop_2030_2050!B:B, 0)))+0.5*((INDEX(Cooper_pop_2030_2050!F:F, MATCH($A11, Cooper_pop_2030_2050!B:B, 0)))-(INDEX(Cooper_pop_2030_2050!E:E, MATCH($A11, Cooper_pop_2030_2050!B:B, 0))))</f>
        <v>27361931.271235079</v>
      </c>
      <c r="X11">
        <f>(INDEX(Cooper_pop_2030_2050!E:E, MATCH($A11, Cooper_pop_2030_2050!B:B, 0)))+0.6*((INDEX(Cooper_pop_2030_2050!F:F, MATCH($A11, Cooper_pop_2030_2050!B:B, 0)))-(INDEX(Cooper_pop_2030_2050!E:E, MATCH($A11, Cooper_pop_2030_2050!B:B, 0))))</f>
        <v>27593820.980789699</v>
      </c>
      <c r="Y11">
        <f>(INDEX(Cooper_pop_2030_2050!E:E, MATCH($A11, Cooper_pop_2030_2050!B:B, 0)))+0.7*((INDEX(Cooper_pop_2030_2050!F:F, MATCH($A11, Cooper_pop_2030_2050!B:B, 0)))-(INDEX(Cooper_pop_2030_2050!E:E, MATCH($A11, Cooper_pop_2030_2050!B:B, 0))))</f>
        <v>27825710.690344319</v>
      </c>
      <c r="Z11">
        <f>(INDEX(Cooper_pop_2030_2050!E:E, MATCH($A11, Cooper_pop_2030_2050!B:B, 0)))+0.8*((INDEX(Cooper_pop_2030_2050!F:F, MATCH($A11, Cooper_pop_2030_2050!B:B, 0)))-(INDEX(Cooper_pop_2030_2050!E:E, MATCH($A11, Cooper_pop_2030_2050!B:B, 0))))</f>
        <v>28057600.399898935</v>
      </c>
      <c r="AA11">
        <f>(INDEX(Cooper_pop_2030_2050!E:E, MATCH($A11, Cooper_pop_2030_2050!B:B, 0)))+0.9*((INDEX(Cooper_pop_2030_2050!F:F, MATCH($A11, Cooper_pop_2030_2050!B:B, 0)))-(INDEX(Cooper_pop_2030_2050!E:E, MATCH($A11, Cooper_pop_2030_2050!B:B, 0))))</f>
        <v>28289490.109453551</v>
      </c>
      <c r="AB11">
        <f>INDEX(Cooper_pop_2030_2050!F:F, MATCH($A11, Cooper_pop_2030_2050!B:B, 0))</f>
        <v>28521379.819008172</v>
      </c>
    </row>
    <row r="12" spans="1:28">
      <c r="A12" t="s">
        <v>2895</v>
      </c>
      <c r="B12">
        <f>IFERROR(INDEX(Census_pop_2020_2025!G:G, MATCH("."&amp;$A12, Census_pop_2020_2025!A:A, 0)),INDEX(Census_pop_2020_2025!G:G, MATCH($A12, Census_pop_2020_2025!A:A, 0)))</f>
        <v>11204208</v>
      </c>
      <c r="C12">
        <f>IFERROR(INDEX(Census_pop_2020_2025!H:H, MATCH("."&amp;$A12, Census_pop_2020_2025!A:A, 0)),INDEX(Census_pop_2020_2025!H:H, MATCH($A12, Census_pop_2020_2025!A:A, 0)))</f>
        <v>11302748</v>
      </c>
      <c r="D12">
        <f>(IFERROR(INDEX(Census_pop_2020_2025!H:H, MATCH("."&amp;$A12, Census_pop_2020_2025!A:A, 0)),INDEX(Census_pop_2020_2025!H:H, MATCH($A12, Census_pop_2020_2025!A:A, 0))))+0.2*((INDEX(Cooper_pop_2030_2050!D:D, MATCH($A12, Cooper_pop_2030_2050!B:B, 0)))-(IFERROR(INDEX(Census_pop_2020_2025!H:H, MATCH("."&amp;$A12, Census_pop_2020_2025!A:A, 0)),INDEX(Census_pop_2020_2025!H:H, MATCH($A12, Census_pop_2020_2025!A:A, 0)))))</f>
        <v>11349047.480826342</v>
      </c>
      <c r="E12">
        <f>(IFERROR(INDEX(Census_pop_2020_2025!H:H, MATCH("."&amp;$A12, Census_pop_2020_2025!A:A, 0)),INDEX(Census_pop_2020_2025!H:H, MATCH($A12, Census_pop_2020_2025!A:A, 0))))+0.4*((INDEX(Cooper_pop_2030_2050!D:D, MATCH($A12, Cooper_pop_2030_2050!B:B, 0)))-(IFERROR(INDEX(Census_pop_2020_2025!H:H, MATCH("."&amp;$A12, Census_pop_2020_2025!A:A, 0)),INDEX(Census_pop_2020_2025!H:H, MATCH($A12, Census_pop_2020_2025!A:A, 0)))))</f>
        <v>11395346.961652685</v>
      </c>
      <c r="F12">
        <f>(IFERROR(INDEX(Census_pop_2020_2025!H:H, MATCH("."&amp;$A12, Census_pop_2020_2025!A:A, 0)),INDEX(Census_pop_2020_2025!H:H, MATCH($A12, Census_pop_2020_2025!A:A, 0))))+0.6*((INDEX(Cooper_pop_2030_2050!D:D, MATCH($A12, Cooper_pop_2030_2050!B:B, 0)))-(IFERROR(INDEX(Census_pop_2020_2025!H:H, MATCH("."&amp;$A12, Census_pop_2020_2025!A:A, 0)),INDEX(Census_pop_2020_2025!H:H, MATCH($A12, Census_pop_2020_2025!A:A, 0)))))</f>
        <v>11441646.442479026</v>
      </c>
      <c r="G12">
        <f>(IFERROR(INDEX(Census_pop_2020_2025!H:H, MATCH("."&amp;$A12, Census_pop_2020_2025!A:A, 0)),INDEX(Census_pop_2020_2025!H:H, MATCH($A12, Census_pop_2020_2025!A:A, 0))))+0.8*((INDEX(Cooper_pop_2030_2050!D:D, MATCH($A12, Cooper_pop_2030_2050!B:B, 0)))-(IFERROR(INDEX(Census_pop_2020_2025!H:H, MATCH("."&amp;$A12, Census_pop_2020_2025!A:A, 0)),INDEX(Census_pop_2020_2025!H:H, MATCH($A12, Census_pop_2020_2025!A:A, 0)))))</f>
        <v>11487945.923305368</v>
      </c>
      <c r="H12">
        <f>INDEX(Cooper_pop_2030_2050!D:D, MATCH($A12, Cooper_pop_2030_2050!B:B, 0))</f>
        <v>11534245.404131711</v>
      </c>
      <c r="I12">
        <f>(INDEX(Cooper_pop_2030_2050!D:D, MATCH($A12, Cooper_pop_2030_2050!B:B, 0)))+0.1*((INDEX(Cooper_pop_2030_2050!E:E, MATCH($A12, Cooper_pop_2030_2050!B:B, 0)))-(INDEX(Cooper_pop_2030_2050!D:D, MATCH($A12, Cooper_pop_2030_2050!B:B, 0))))</f>
        <v>11607027.24516366</v>
      </c>
      <c r="J12">
        <f>(INDEX(Cooper_pop_2030_2050!D:D, MATCH($A12, Cooper_pop_2030_2050!B:B, 0)))+0.2*((INDEX(Cooper_pop_2030_2050!E:E, MATCH($A12, Cooper_pop_2030_2050!B:B, 0)))-(INDEX(Cooper_pop_2030_2050!D:D, MATCH($A12, Cooper_pop_2030_2050!B:B, 0))))</f>
        <v>11679809.08619561</v>
      </c>
      <c r="K12">
        <f>(INDEX(Cooper_pop_2030_2050!D:D, MATCH($A12, Cooper_pop_2030_2050!B:B, 0)))+0.3*((INDEX(Cooper_pop_2030_2050!E:E, MATCH($A12, Cooper_pop_2030_2050!B:B, 0)))-(INDEX(Cooper_pop_2030_2050!D:D, MATCH($A12, Cooper_pop_2030_2050!B:B, 0))))</f>
        <v>11752590.92722756</v>
      </c>
      <c r="L12">
        <f>(INDEX(Cooper_pop_2030_2050!D:D, MATCH($A12, Cooper_pop_2030_2050!B:B, 0)))+0.4*((INDEX(Cooper_pop_2030_2050!E:E, MATCH($A12, Cooper_pop_2030_2050!B:B, 0)))-(INDEX(Cooper_pop_2030_2050!D:D, MATCH($A12, Cooper_pop_2030_2050!B:B, 0))))</f>
        <v>11825372.76825951</v>
      </c>
      <c r="M12">
        <f>(INDEX(Cooper_pop_2030_2050!D:D, MATCH($A12, Cooper_pop_2030_2050!B:B, 0)))+0.5*((INDEX(Cooper_pop_2030_2050!E:E, MATCH($A12, Cooper_pop_2030_2050!B:B, 0)))-(INDEX(Cooper_pop_2030_2050!D:D, MATCH($A12, Cooper_pop_2030_2050!B:B, 0))))</f>
        <v>11898154.60929146</v>
      </c>
      <c r="N12">
        <f>(INDEX(Cooper_pop_2030_2050!D:D, MATCH($A12, Cooper_pop_2030_2050!B:B, 0)))+0.6*((INDEX(Cooper_pop_2030_2050!E:E, MATCH($A12, Cooper_pop_2030_2050!B:B, 0)))-(INDEX(Cooper_pop_2030_2050!D:D, MATCH($A12, Cooper_pop_2030_2050!B:B, 0))))</f>
        <v>11970936.45032341</v>
      </c>
      <c r="O12">
        <f>(INDEX(Cooper_pop_2030_2050!D:D, MATCH($A12, Cooper_pop_2030_2050!B:B, 0)))+0.7*((INDEX(Cooper_pop_2030_2050!E:E, MATCH($A12, Cooper_pop_2030_2050!B:B, 0)))-(INDEX(Cooper_pop_2030_2050!D:D, MATCH($A12, Cooper_pop_2030_2050!B:B, 0))))</f>
        <v>12043718.29135536</v>
      </c>
      <c r="P12">
        <f>(INDEX(Cooper_pop_2030_2050!D:D, MATCH($A12, Cooper_pop_2030_2050!B:B, 0)))+0.8*((INDEX(Cooper_pop_2030_2050!E:E, MATCH($A12, Cooper_pop_2030_2050!B:B, 0)))-(INDEX(Cooper_pop_2030_2050!D:D, MATCH($A12, Cooper_pop_2030_2050!B:B, 0))))</f>
        <v>12116500.13238731</v>
      </c>
      <c r="Q12">
        <f>(INDEX(Cooper_pop_2030_2050!D:D, MATCH($A12, Cooper_pop_2030_2050!B:B, 0)))+0.9*((INDEX(Cooper_pop_2030_2050!E:E, MATCH($A12, Cooper_pop_2030_2050!B:B, 0)))-(INDEX(Cooper_pop_2030_2050!D:D, MATCH($A12, Cooper_pop_2030_2050!B:B, 0))))</f>
        <v>12189281.97341926</v>
      </c>
      <c r="R12">
        <f>INDEX(Cooper_pop_2030_2050!E:E, MATCH($A12, Cooper_pop_2030_2050!B:B, 0))</f>
        <v>12262063.81445121</v>
      </c>
      <c r="S12">
        <f>(INDEX(Cooper_pop_2030_2050!E:E, MATCH($A12, Cooper_pop_2030_2050!B:B, 0)))+0.1*((INDEX(Cooper_pop_2030_2050!F:F, MATCH($A12, Cooper_pop_2030_2050!B:B, 0)))-(INDEX(Cooper_pop_2030_2050!E:E, MATCH($A12, Cooper_pop_2030_2050!B:B, 0))))</f>
        <v>12324163.01133823</v>
      </c>
      <c r="T12">
        <f>(INDEX(Cooper_pop_2030_2050!E:E, MATCH($A12, Cooper_pop_2030_2050!B:B, 0)))+0.2*((INDEX(Cooper_pop_2030_2050!F:F, MATCH($A12, Cooper_pop_2030_2050!B:B, 0)))-(INDEX(Cooper_pop_2030_2050!E:E, MATCH($A12, Cooper_pop_2030_2050!B:B, 0))))</f>
        <v>12386262.208225252</v>
      </c>
      <c r="U12">
        <f>(INDEX(Cooper_pop_2030_2050!E:E, MATCH($A12, Cooper_pop_2030_2050!B:B, 0)))+0.3*((INDEX(Cooper_pop_2030_2050!F:F, MATCH($A12, Cooper_pop_2030_2050!B:B, 0)))-(INDEX(Cooper_pop_2030_2050!E:E, MATCH($A12, Cooper_pop_2030_2050!B:B, 0))))</f>
        <v>12448361.405112274</v>
      </c>
      <c r="V12">
        <f>(INDEX(Cooper_pop_2030_2050!E:E, MATCH($A12, Cooper_pop_2030_2050!B:B, 0)))+0.4*((INDEX(Cooper_pop_2030_2050!F:F, MATCH($A12, Cooper_pop_2030_2050!B:B, 0)))-(INDEX(Cooper_pop_2030_2050!E:E, MATCH($A12, Cooper_pop_2030_2050!B:B, 0))))</f>
        <v>12510460.601999294</v>
      </c>
      <c r="W12">
        <f>(INDEX(Cooper_pop_2030_2050!E:E, MATCH($A12, Cooper_pop_2030_2050!B:B, 0)))+0.5*((INDEX(Cooper_pop_2030_2050!F:F, MATCH($A12, Cooper_pop_2030_2050!B:B, 0)))-(INDEX(Cooper_pop_2030_2050!E:E, MATCH($A12, Cooper_pop_2030_2050!B:B, 0))))</f>
        <v>12572559.798886314</v>
      </c>
      <c r="X12">
        <f>(INDEX(Cooper_pop_2030_2050!E:E, MATCH($A12, Cooper_pop_2030_2050!B:B, 0)))+0.6*((INDEX(Cooper_pop_2030_2050!F:F, MATCH($A12, Cooper_pop_2030_2050!B:B, 0)))-(INDEX(Cooper_pop_2030_2050!E:E, MATCH($A12, Cooper_pop_2030_2050!B:B, 0))))</f>
        <v>12634658.995773336</v>
      </c>
      <c r="Y12">
        <f>(INDEX(Cooper_pop_2030_2050!E:E, MATCH($A12, Cooper_pop_2030_2050!B:B, 0)))+0.7*((INDEX(Cooper_pop_2030_2050!F:F, MATCH($A12, Cooper_pop_2030_2050!B:B, 0)))-(INDEX(Cooper_pop_2030_2050!E:E, MATCH($A12, Cooper_pop_2030_2050!B:B, 0))))</f>
        <v>12696758.192660358</v>
      </c>
      <c r="Z12">
        <f>(INDEX(Cooper_pop_2030_2050!E:E, MATCH($A12, Cooper_pop_2030_2050!B:B, 0)))+0.8*((INDEX(Cooper_pop_2030_2050!F:F, MATCH($A12, Cooper_pop_2030_2050!B:B, 0)))-(INDEX(Cooper_pop_2030_2050!E:E, MATCH($A12, Cooper_pop_2030_2050!B:B, 0))))</f>
        <v>12758857.389547378</v>
      </c>
      <c r="AA12">
        <f>(INDEX(Cooper_pop_2030_2050!E:E, MATCH($A12, Cooper_pop_2030_2050!B:B, 0)))+0.9*((INDEX(Cooper_pop_2030_2050!F:F, MATCH($A12, Cooper_pop_2030_2050!B:B, 0)))-(INDEX(Cooper_pop_2030_2050!E:E, MATCH($A12, Cooper_pop_2030_2050!B:B, 0))))</f>
        <v>12820956.586434398</v>
      </c>
      <c r="AB12">
        <f>INDEX(Cooper_pop_2030_2050!F:F, MATCH($A12, Cooper_pop_2030_2050!B:B, 0))</f>
        <v>12883055.78332142</v>
      </c>
    </row>
    <row r="13" spans="1:28">
      <c r="A13" t="s">
        <v>2897</v>
      </c>
      <c r="B13">
        <f>IFERROR(INDEX(Census_pop_2020_2025!G:G, MATCH("."&amp;$A13, Census_pop_2020_2025!A:A, 0)),INDEX(Census_pop_2020_2025!G:G, MATCH($A13, Census_pop_2020_2025!A:A, 0)))</f>
        <v>2000872</v>
      </c>
      <c r="C13">
        <f>IFERROR(INDEX(Census_pop_2020_2025!H:H, MATCH("."&amp;$A13, Census_pop_2020_2025!A:A, 0)),INDEX(Census_pop_2020_2025!H:H, MATCH($A13, Census_pop_2020_2025!A:A, 0)))</f>
        <v>2029733</v>
      </c>
      <c r="D13">
        <f>(IFERROR(INDEX(Census_pop_2020_2025!H:H, MATCH("."&amp;$A13, Census_pop_2020_2025!A:A, 0)),INDEX(Census_pop_2020_2025!H:H, MATCH($A13, Census_pop_2020_2025!A:A, 0))))+0.2*((INDEX(Cooper_pop_2030_2050!D:D, MATCH($A13, Cooper_pop_2030_2050!B:B, 0)))-(IFERROR(INDEX(Census_pop_2020_2025!H:H, MATCH("."&amp;$A13, Census_pop_2020_2025!A:A, 0)),INDEX(Census_pop_2020_2025!H:H, MATCH($A13, Census_pop_2020_2025!A:A, 0)))))</f>
        <v>2037039.321276973</v>
      </c>
      <c r="E13">
        <f>(IFERROR(INDEX(Census_pop_2020_2025!H:H, MATCH("."&amp;$A13, Census_pop_2020_2025!A:A, 0)),INDEX(Census_pop_2020_2025!H:H, MATCH($A13, Census_pop_2020_2025!A:A, 0))))+0.4*((INDEX(Cooper_pop_2030_2050!D:D, MATCH($A13, Cooper_pop_2030_2050!B:B, 0)))-(IFERROR(INDEX(Census_pop_2020_2025!H:H, MATCH("."&amp;$A13, Census_pop_2020_2025!A:A, 0)),INDEX(Census_pop_2020_2025!H:H, MATCH($A13, Census_pop_2020_2025!A:A, 0)))))</f>
        <v>2044345.642553946</v>
      </c>
      <c r="F13">
        <f>(IFERROR(INDEX(Census_pop_2020_2025!H:H, MATCH("."&amp;$A13, Census_pop_2020_2025!A:A, 0)),INDEX(Census_pop_2020_2025!H:H, MATCH($A13, Census_pop_2020_2025!A:A, 0))))+0.6*((INDEX(Cooper_pop_2030_2050!D:D, MATCH($A13, Cooper_pop_2030_2050!B:B, 0)))-(IFERROR(INDEX(Census_pop_2020_2025!H:H, MATCH("."&amp;$A13, Census_pop_2020_2025!A:A, 0)),INDEX(Census_pop_2020_2025!H:H, MATCH($A13, Census_pop_2020_2025!A:A, 0)))))</f>
        <v>2051651.963830919</v>
      </c>
      <c r="G13">
        <f>(IFERROR(INDEX(Census_pop_2020_2025!H:H, MATCH("."&amp;$A13, Census_pop_2020_2025!A:A, 0)),INDEX(Census_pop_2020_2025!H:H, MATCH($A13, Census_pop_2020_2025!A:A, 0))))+0.8*((INDEX(Cooper_pop_2030_2050!D:D, MATCH($A13, Cooper_pop_2030_2050!B:B, 0)))-(IFERROR(INDEX(Census_pop_2020_2025!H:H, MATCH("."&amp;$A13, Census_pop_2020_2025!A:A, 0)),INDEX(Census_pop_2020_2025!H:H, MATCH($A13, Census_pop_2020_2025!A:A, 0)))))</f>
        <v>2058958.285107892</v>
      </c>
      <c r="H13">
        <f>INDEX(Cooper_pop_2030_2050!D:D, MATCH($A13, Cooper_pop_2030_2050!B:B, 0))</f>
        <v>2066264.606384865</v>
      </c>
      <c r="I13">
        <f>(INDEX(Cooper_pop_2030_2050!D:D, MATCH($A13, Cooper_pop_2030_2050!B:B, 0)))+0.1*((INDEX(Cooper_pop_2030_2050!E:E, MATCH($A13, Cooper_pop_2030_2050!B:B, 0)))-(INDEX(Cooper_pop_2030_2050!D:D, MATCH($A13, Cooper_pop_2030_2050!B:B, 0))))</f>
        <v>2092709.3150645306</v>
      </c>
      <c r="J13">
        <f>(INDEX(Cooper_pop_2030_2050!D:D, MATCH($A13, Cooper_pop_2030_2050!B:B, 0)))+0.2*((INDEX(Cooper_pop_2030_2050!E:E, MATCH($A13, Cooper_pop_2030_2050!B:B, 0)))-(INDEX(Cooper_pop_2030_2050!D:D, MATCH($A13, Cooper_pop_2030_2050!B:B, 0))))</f>
        <v>2119154.0237441962</v>
      </c>
      <c r="K13">
        <f>(INDEX(Cooper_pop_2030_2050!D:D, MATCH($A13, Cooper_pop_2030_2050!B:B, 0)))+0.3*((INDEX(Cooper_pop_2030_2050!E:E, MATCH($A13, Cooper_pop_2030_2050!B:B, 0)))-(INDEX(Cooper_pop_2030_2050!D:D, MATCH($A13, Cooper_pop_2030_2050!B:B, 0))))</f>
        <v>2145598.7324238615</v>
      </c>
      <c r="L13">
        <f>(INDEX(Cooper_pop_2030_2050!D:D, MATCH($A13, Cooper_pop_2030_2050!B:B, 0)))+0.4*((INDEX(Cooper_pop_2030_2050!E:E, MATCH($A13, Cooper_pop_2030_2050!B:B, 0)))-(INDEX(Cooper_pop_2030_2050!D:D, MATCH($A13, Cooper_pop_2030_2050!B:B, 0))))</f>
        <v>2172043.4411035273</v>
      </c>
      <c r="M13">
        <f>(INDEX(Cooper_pop_2030_2050!D:D, MATCH($A13, Cooper_pop_2030_2050!B:B, 0)))+0.5*((INDEX(Cooper_pop_2030_2050!E:E, MATCH($A13, Cooper_pop_2030_2050!B:B, 0)))-(INDEX(Cooper_pop_2030_2050!D:D, MATCH($A13, Cooper_pop_2030_2050!B:B, 0))))</f>
        <v>2198488.1497831931</v>
      </c>
      <c r="N13">
        <f>(INDEX(Cooper_pop_2030_2050!D:D, MATCH($A13, Cooper_pop_2030_2050!B:B, 0)))+0.6*((INDEX(Cooper_pop_2030_2050!E:E, MATCH($A13, Cooper_pop_2030_2050!B:B, 0)))-(INDEX(Cooper_pop_2030_2050!D:D, MATCH($A13, Cooper_pop_2030_2050!B:B, 0))))</f>
        <v>2224932.8584628585</v>
      </c>
      <c r="O13">
        <f>(INDEX(Cooper_pop_2030_2050!D:D, MATCH($A13, Cooper_pop_2030_2050!B:B, 0)))+0.7*((INDEX(Cooper_pop_2030_2050!E:E, MATCH($A13, Cooper_pop_2030_2050!B:B, 0)))-(INDEX(Cooper_pop_2030_2050!D:D, MATCH($A13, Cooper_pop_2030_2050!B:B, 0))))</f>
        <v>2251377.5671425238</v>
      </c>
      <c r="P13">
        <f>(INDEX(Cooper_pop_2030_2050!D:D, MATCH($A13, Cooper_pop_2030_2050!B:B, 0)))+0.8*((INDEX(Cooper_pop_2030_2050!E:E, MATCH($A13, Cooper_pop_2030_2050!B:B, 0)))-(INDEX(Cooper_pop_2030_2050!D:D, MATCH($A13, Cooper_pop_2030_2050!B:B, 0))))</f>
        <v>2277822.2758221896</v>
      </c>
      <c r="Q13">
        <f>(INDEX(Cooper_pop_2030_2050!D:D, MATCH($A13, Cooper_pop_2030_2050!B:B, 0)))+0.9*((INDEX(Cooper_pop_2030_2050!E:E, MATCH($A13, Cooper_pop_2030_2050!B:B, 0)))-(INDEX(Cooper_pop_2030_2050!D:D, MATCH($A13, Cooper_pop_2030_2050!B:B, 0))))</f>
        <v>2304266.9845018554</v>
      </c>
      <c r="R13">
        <f>INDEX(Cooper_pop_2030_2050!E:E, MATCH($A13, Cooper_pop_2030_2050!B:B, 0))</f>
        <v>2330711.6931815208</v>
      </c>
      <c r="S13">
        <f>(INDEX(Cooper_pop_2030_2050!E:E, MATCH($A13, Cooper_pop_2030_2050!B:B, 0)))+0.1*((INDEX(Cooper_pop_2030_2050!F:F, MATCH($A13, Cooper_pop_2030_2050!B:B, 0)))-(INDEX(Cooper_pop_2030_2050!E:E, MATCH($A13, Cooper_pop_2030_2050!B:B, 0))))</f>
        <v>2357460.24008166</v>
      </c>
      <c r="T13">
        <f>(INDEX(Cooper_pop_2030_2050!E:E, MATCH($A13, Cooper_pop_2030_2050!B:B, 0)))+0.2*((INDEX(Cooper_pop_2030_2050!F:F, MATCH($A13, Cooper_pop_2030_2050!B:B, 0)))-(INDEX(Cooper_pop_2030_2050!E:E, MATCH($A13, Cooper_pop_2030_2050!B:B, 0))))</f>
        <v>2384208.7869817996</v>
      </c>
      <c r="U13">
        <f>(INDEX(Cooper_pop_2030_2050!E:E, MATCH($A13, Cooper_pop_2030_2050!B:B, 0)))+0.3*((INDEX(Cooper_pop_2030_2050!F:F, MATCH($A13, Cooper_pop_2030_2050!B:B, 0)))-(INDEX(Cooper_pop_2030_2050!E:E, MATCH($A13, Cooper_pop_2030_2050!B:B, 0))))</f>
        <v>2410957.3338819388</v>
      </c>
      <c r="V13">
        <f>(INDEX(Cooper_pop_2030_2050!E:E, MATCH($A13, Cooper_pop_2030_2050!B:B, 0)))+0.4*((INDEX(Cooper_pop_2030_2050!F:F, MATCH($A13, Cooper_pop_2030_2050!B:B, 0)))-(INDEX(Cooper_pop_2030_2050!E:E, MATCH($A13, Cooper_pop_2030_2050!B:B, 0))))</f>
        <v>2437705.880782078</v>
      </c>
      <c r="W13">
        <f>(INDEX(Cooper_pop_2030_2050!E:E, MATCH($A13, Cooper_pop_2030_2050!B:B, 0)))+0.5*((INDEX(Cooper_pop_2030_2050!F:F, MATCH($A13, Cooper_pop_2030_2050!B:B, 0)))-(INDEX(Cooper_pop_2030_2050!E:E, MATCH($A13, Cooper_pop_2030_2050!B:B, 0))))</f>
        <v>2464454.4276822172</v>
      </c>
      <c r="X13">
        <f>(INDEX(Cooper_pop_2030_2050!E:E, MATCH($A13, Cooper_pop_2030_2050!B:B, 0)))+0.6*((INDEX(Cooper_pop_2030_2050!F:F, MATCH($A13, Cooper_pop_2030_2050!B:B, 0)))-(INDEX(Cooper_pop_2030_2050!E:E, MATCH($A13, Cooper_pop_2030_2050!B:B, 0))))</f>
        <v>2491202.9745823569</v>
      </c>
      <c r="Y13">
        <f>(INDEX(Cooper_pop_2030_2050!E:E, MATCH($A13, Cooper_pop_2030_2050!B:B, 0)))+0.7*((INDEX(Cooper_pop_2030_2050!F:F, MATCH($A13, Cooper_pop_2030_2050!B:B, 0)))-(INDEX(Cooper_pop_2030_2050!E:E, MATCH($A13, Cooper_pop_2030_2050!B:B, 0))))</f>
        <v>2517951.5214824961</v>
      </c>
      <c r="Z13">
        <f>(INDEX(Cooper_pop_2030_2050!E:E, MATCH($A13, Cooper_pop_2030_2050!B:B, 0)))+0.8*((INDEX(Cooper_pop_2030_2050!F:F, MATCH($A13, Cooper_pop_2030_2050!B:B, 0)))-(INDEX(Cooper_pop_2030_2050!E:E, MATCH($A13, Cooper_pop_2030_2050!B:B, 0))))</f>
        <v>2544700.0683826352</v>
      </c>
      <c r="AA13">
        <f>(INDEX(Cooper_pop_2030_2050!E:E, MATCH($A13, Cooper_pop_2030_2050!B:B, 0)))+0.9*((INDEX(Cooper_pop_2030_2050!F:F, MATCH($A13, Cooper_pop_2030_2050!B:B, 0)))-(INDEX(Cooper_pop_2030_2050!E:E, MATCH($A13, Cooper_pop_2030_2050!B:B, 0))))</f>
        <v>2571448.6152827749</v>
      </c>
      <c r="AB13">
        <f>INDEX(Cooper_pop_2030_2050!F:F, MATCH($A13, Cooper_pop_2030_2050!B:B, 0))</f>
        <v>2598197.1621829141</v>
      </c>
    </row>
    <row r="14" spans="1:28">
      <c r="A14" t="s">
        <v>2898</v>
      </c>
      <c r="B14">
        <f>IFERROR(INDEX(Census_pop_2020_2025!G:G, MATCH("."&amp;$A14, Census_pop_2020_2025!A:A, 0)),INDEX(Census_pop_2020_2025!G:G, MATCH($A14, Census_pop_2020_2025!A:A, 0)))</f>
        <v>12703033</v>
      </c>
      <c r="C14">
        <f>IFERROR(INDEX(Census_pop_2020_2025!H:H, MATCH("."&amp;$A14, Census_pop_2020_2025!A:A, 0)),INDEX(Census_pop_2020_2025!H:H, MATCH($A14, Census_pop_2020_2025!A:A, 0)))</f>
        <v>12719141</v>
      </c>
      <c r="D14">
        <f>(IFERROR(INDEX(Census_pop_2020_2025!H:H, MATCH("."&amp;$A14, Census_pop_2020_2025!A:A, 0)),INDEX(Census_pop_2020_2025!H:H, MATCH($A14, Census_pop_2020_2025!A:A, 0))))+0.2*((INDEX(Cooper_pop_2030_2050!D:D, MATCH($A14, Cooper_pop_2030_2050!B:B, 0)))-(IFERROR(INDEX(Census_pop_2020_2025!H:H, MATCH("."&amp;$A14, Census_pop_2020_2025!A:A, 0)),INDEX(Census_pop_2020_2025!H:H, MATCH($A14, Census_pop_2020_2025!A:A, 0)))))</f>
        <v>12735098.360118441</v>
      </c>
      <c r="E14">
        <f>(IFERROR(INDEX(Census_pop_2020_2025!H:H, MATCH("."&amp;$A14, Census_pop_2020_2025!A:A, 0)),INDEX(Census_pop_2020_2025!H:H, MATCH($A14, Census_pop_2020_2025!A:A, 0))))+0.4*((INDEX(Cooper_pop_2030_2050!D:D, MATCH($A14, Cooper_pop_2030_2050!B:B, 0)))-(IFERROR(INDEX(Census_pop_2020_2025!H:H, MATCH("."&amp;$A14, Census_pop_2020_2025!A:A, 0)),INDEX(Census_pop_2020_2025!H:H, MATCH($A14, Census_pop_2020_2025!A:A, 0)))))</f>
        <v>12751055.720236884</v>
      </c>
      <c r="F14">
        <f>(IFERROR(INDEX(Census_pop_2020_2025!H:H, MATCH("."&amp;$A14, Census_pop_2020_2025!A:A, 0)),INDEX(Census_pop_2020_2025!H:H, MATCH($A14, Census_pop_2020_2025!A:A, 0))))+0.6*((INDEX(Cooper_pop_2030_2050!D:D, MATCH($A14, Cooper_pop_2030_2050!B:B, 0)))-(IFERROR(INDEX(Census_pop_2020_2025!H:H, MATCH("."&amp;$A14, Census_pop_2020_2025!A:A, 0)),INDEX(Census_pop_2020_2025!H:H, MATCH($A14, Census_pop_2020_2025!A:A, 0)))))</f>
        <v>12767013.080355326</v>
      </c>
      <c r="G14">
        <f>(IFERROR(INDEX(Census_pop_2020_2025!H:H, MATCH("."&amp;$A14, Census_pop_2020_2025!A:A, 0)),INDEX(Census_pop_2020_2025!H:H, MATCH($A14, Census_pop_2020_2025!A:A, 0))))+0.8*((INDEX(Cooper_pop_2030_2050!D:D, MATCH($A14, Cooper_pop_2030_2050!B:B, 0)))-(IFERROR(INDEX(Census_pop_2020_2025!H:H, MATCH("."&amp;$A14, Census_pop_2020_2025!A:A, 0)),INDEX(Census_pop_2020_2025!H:H, MATCH($A14, Census_pop_2020_2025!A:A, 0)))))</f>
        <v>12782970.440473769</v>
      </c>
      <c r="H14">
        <f>INDEX(Cooper_pop_2030_2050!D:D, MATCH($A14, Cooper_pop_2030_2050!B:B, 0))</f>
        <v>12798927.80059221</v>
      </c>
      <c r="I14">
        <f>(INDEX(Cooper_pop_2030_2050!D:D, MATCH($A14, Cooper_pop_2030_2050!B:B, 0)))+0.1*((INDEX(Cooper_pop_2030_2050!E:E, MATCH($A14, Cooper_pop_2030_2050!B:B, 0)))-(INDEX(Cooper_pop_2030_2050!D:D, MATCH($A14, Cooper_pop_2030_2050!B:B, 0))))</f>
        <v>12747848.070494402</v>
      </c>
      <c r="J14">
        <f>(INDEX(Cooper_pop_2030_2050!D:D, MATCH($A14, Cooper_pop_2030_2050!B:B, 0)))+0.2*((INDEX(Cooper_pop_2030_2050!E:E, MATCH($A14, Cooper_pop_2030_2050!B:B, 0)))-(INDEX(Cooper_pop_2030_2050!D:D, MATCH($A14, Cooper_pop_2030_2050!B:B, 0))))</f>
        <v>12696768.340396594</v>
      </c>
      <c r="K14">
        <f>(INDEX(Cooper_pop_2030_2050!D:D, MATCH($A14, Cooper_pop_2030_2050!B:B, 0)))+0.3*((INDEX(Cooper_pop_2030_2050!E:E, MATCH($A14, Cooper_pop_2030_2050!B:B, 0)))-(INDEX(Cooper_pop_2030_2050!D:D, MATCH($A14, Cooper_pop_2030_2050!B:B, 0))))</f>
        <v>12645688.610298786</v>
      </c>
      <c r="L14">
        <f>(INDEX(Cooper_pop_2030_2050!D:D, MATCH($A14, Cooper_pop_2030_2050!B:B, 0)))+0.4*((INDEX(Cooper_pop_2030_2050!E:E, MATCH($A14, Cooper_pop_2030_2050!B:B, 0)))-(INDEX(Cooper_pop_2030_2050!D:D, MATCH($A14, Cooper_pop_2030_2050!B:B, 0))))</f>
        <v>12594608.880200978</v>
      </c>
      <c r="M14">
        <f>(INDEX(Cooper_pop_2030_2050!D:D, MATCH($A14, Cooper_pop_2030_2050!B:B, 0)))+0.5*((INDEX(Cooper_pop_2030_2050!E:E, MATCH($A14, Cooper_pop_2030_2050!B:B, 0)))-(INDEX(Cooper_pop_2030_2050!D:D, MATCH($A14, Cooper_pop_2030_2050!B:B, 0))))</f>
        <v>12543529.15010317</v>
      </c>
      <c r="N14">
        <f>(INDEX(Cooper_pop_2030_2050!D:D, MATCH($A14, Cooper_pop_2030_2050!B:B, 0)))+0.6*((INDEX(Cooper_pop_2030_2050!E:E, MATCH($A14, Cooper_pop_2030_2050!B:B, 0)))-(INDEX(Cooper_pop_2030_2050!D:D, MATCH($A14, Cooper_pop_2030_2050!B:B, 0))))</f>
        <v>12492449.420005362</v>
      </c>
      <c r="O14">
        <f>(INDEX(Cooper_pop_2030_2050!D:D, MATCH($A14, Cooper_pop_2030_2050!B:B, 0)))+0.7*((INDEX(Cooper_pop_2030_2050!E:E, MATCH($A14, Cooper_pop_2030_2050!B:B, 0)))-(INDEX(Cooper_pop_2030_2050!D:D, MATCH($A14, Cooper_pop_2030_2050!B:B, 0))))</f>
        <v>12441369.689907555</v>
      </c>
      <c r="P14">
        <f>(INDEX(Cooper_pop_2030_2050!D:D, MATCH($A14, Cooper_pop_2030_2050!B:B, 0)))+0.8*((INDEX(Cooper_pop_2030_2050!E:E, MATCH($A14, Cooper_pop_2030_2050!B:B, 0)))-(INDEX(Cooper_pop_2030_2050!D:D, MATCH($A14, Cooper_pop_2030_2050!B:B, 0))))</f>
        <v>12390289.959809747</v>
      </c>
      <c r="Q14">
        <f>(INDEX(Cooper_pop_2030_2050!D:D, MATCH($A14, Cooper_pop_2030_2050!B:B, 0)))+0.9*((INDEX(Cooper_pop_2030_2050!E:E, MATCH($A14, Cooper_pop_2030_2050!B:B, 0)))-(INDEX(Cooper_pop_2030_2050!D:D, MATCH($A14, Cooper_pop_2030_2050!B:B, 0))))</f>
        <v>12339210.229711939</v>
      </c>
      <c r="R14">
        <f>INDEX(Cooper_pop_2030_2050!E:E, MATCH($A14, Cooper_pop_2030_2050!B:B, 0))</f>
        <v>12288130.499614131</v>
      </c>
      <c r="S14">
        <f>(INDEX(Cooper_pop_2030_2050!E:E, MATCH($A14, Cooper_pop_2030_2050!B:B, 0)))+0.1*((INDEX(Cooper_pop_2030_2050!F:F, MATCH($A14, Cooper_pop_2030_2050!B:B, 0)))-(INDEX(Cooper_pop_2030_2050!E:E, MATCH($A14, Cooper_pop_2030_2050!B:B, 0))))</f>
        <v>12225264.884422956</v>
      </c>
      <c r="T14">
        <f>(INDEX(Cooper_pop_2030_2050!E:E, MATCH($A14, Cooper_pop_2030_2050!B:B, 0)))+0.2*((INDEX(Cooper_pop_2030_2050!F:F, MATCH($A14, Cooper_pop_2030_2050!B:B, 0)))-(INDEX(Cooper_pop_2030_2050!E:E, MATCH($A14, Cooper_pop_2030_2050!B:B, 0))))</f>
        <v>12162399.269231781</v>
      </c>
      <c r="U14">
        <f>(INDEX(Cooper_pop_2030_2050!E:E, MATCH($A14, Cooper_pop_2030_2050!B:B, 0)))+0.3*((INDEX(Cooper_pop_2030_2050!F:F, MATCH($A14, Cooper_pop_2030_2050!B:B, 0)))-(INDEX(Cooper_pop_2030_2050!E:E, MATCH($A14, Cooper_pop_2030_2050!B:B, 0))))</f>
        <v>12099533.654040605</v>
      </c>
      <c r="V14">
        <f>(INDEX(Cooper_pop_2030_2050!E:E, MATCH($A14, Cooper_pop_2030_2050!B:B, 0)))+0.4*((INDEX(Cooper_pop_2030_2050!F:F, MATCH($A14, Cooper_pop_2030_2050!B:B, 0)))-(INDEX(Cooper_pop_2030_2050!E:E, MATCH($A14, Cooper_pop_2030_2050!B:B, 0))))</f>
        <v>12036668.03884943</v>
      </c>
      <c r="W14">
        <f>(INDEX(Cooper_pop_2030_2050!E:E, MATCH($A14, Cooper_pop_2030_2050!B:B, 0)))+0.5*((INDEX(Cooper_pop_2030_2050!F:F, MATCH($A14, Cooper_pop_2030_2050!B:B, 0)))-(INDEX(Cooper_pop_2030_2050!E:E, MATCH($A14, Cooper_pop_2030_2050!B:B, 0))))</f>
        <v>11973802.423658255</v>
      </c>
      <c r="X14">
        <f>(INDEX(Cooper_pop_2030_2050!E:E, MATCH($A14, Cooper_pop_2030_2050!B:B, 0)))+0.6*((INDEX(Cooper_pop_2030_2050!F:F, MATCH($A14, Cooper_pop_2030_2050!B:B, 0)))-(INDEX(Cooper_pop_2030_2050!E:E, MATCH($A14, Cooper_pop_2030_2050!B:B, 0))))</f>
        <v>11910936.808467081</v>
      </c>
      <c r="Y14">
        <f>(INDEX(Cooper_pop_2030_2050!E:E, MATCH($A14, Cooper_pop_2030_2050!B:B, 0)))+0.7*((INDEX(Cooper_pop_2030_2050!F:F, MATCH($A14, Cooper_pop_2030_2050!B:B, 0)))-(INDEX(Cooper_pop_2030_2050!E:E, MATCH($A14, Cooper_pop_2030_2050!B:B, 0))))</f>
        <v>11848071.193275906</v>
      </c>
      <c r="Z14">
        <f>(INDEX(Cooper_pop_2030_2050!E:E, MATCH($A14, Cooper_pop_2030_2050!B:B, 0)))+0.8*((INDEX(Cooper_pop_2030_2050!F:F, MATCH($A14, Cooper_pop_2030_2050!B:B, 0)))-(INDEX(Cooper_pop_2030_2050!E:E, MATCH($A14, Cooper_pop_2030_2050!B:B, 0))))</f>
        <v>11785205.57808473</v>
      </c>
      <c r="AA14">
        <f>(INDEX(Cooper_pop_2030_2050!E:E, MATCH($A14, Cooper_pop_2030_2050!B:B, 0)))+0.9*((INDEX(Cooper_pop_2030_2050!F:F, MATCH($A14, Cooper_pop_2030_2050!B:B, 0)))-(INDEX(Cooper_pop_2030_2050!E:E, MATCH($A14, Cooper_pop_2030_2050!B:B, 0))))</f>
        <v>11722339.962893555</v>
      </c>
      <c r="AB14">
        <f>INDEX(Cooper_pop_2030_2050!F:F, MATCH($A14, Cooper_pop_2030_2050!B:B, 0))</f>
        <v>11659474.34770238</v>
      </c>
    </row>
    <row r="15" spans="1:28">
      <c r="A15" t="s">
        <v>2899</v>
      </c>
      <c r="B15">
        <f>IFERROR(INDEX(Census_pop_2020_2025!G:G, MATCH("."&amp;$A15, Census_pop_2020_2025!A:A, 0)),INDEX(Census_pop_2020_2025!G:G, MATCH($A15, Census_pop_2020_2025!A:A, 0)))</f>
        <v>6934754</v>
      </c>
      <c r="C15">
        <f>IFERROR(INDEX(Census_pop_2020_2025!H:H, MATCH("."&amp;$A15, Census_pop_2020_2025!A:A, 0)),INDEX(Census_pop_2020_2025!H:H, MATCH($A15, Census_pop_2020_2025!A:A, 0)))</f>
        <v>6973333</v>
      </c>
      <c r="D15">
        <f>(IFERROR(INDEX(Census_pop_2020_2025!H:H, MATCH("."&amp;$A15, Census_pop_2020_2025!A:A, 0)),INDEX(Census_pop_2020_2025!H:H, MATCH($A15, Census_pop_2020_2025!A:A, 0))))+0.2*((INDEX(Cooper_pop_2030_2050!D:D, MATCH($A15, Cooper_pop_2030_2050!B:B, 0)))-(IFERROR(INDEX(Census_pop_2020_2025!H:H, MATCH("."&amp;$A15, Census_pop_2020_2025!A:A, 0)),INDEX(Census_pop_2020_2025!H:H, MATCH($A15, Census_pop_2020_2025!A:A, 0)))))</f>
        <v>6982434.9925228134</v>
      </c>
      <c r="E15">
        <f>(IFERROR(INDEX(Census_pop_2020_2025!H:H, MATCH("."&amp;$A15, Census_pop_2020_2025!A:A, 0)),INDEX(Census_pop_2020_2025!H:H, MATCH($A15, Census_pop_2020_2025!A:A, 0))))+0.4*((INDEX(Cooper_pop_2030_2050!D:D, MATCH($A15, Cooper_pop_2030_2050!B:B, 0)))-(IFERROR(INDEX(Census_pop_2020_2025!H:H, MATCH("."&amp;$A15, Census_pop_2020_2025!A:A, 0)),INDEX(Census_pop_2020_2025!H:H, MATCH($A15, Census_pop_2020_2025!A:A, 0)))))</f>
        <v>6991536.9850456258</v>
      </c>
      <c r="F15">
        <f>(IFERROR(INDEX(Census_pop_2020_2025!H:H, MATCH("."&amp;$A15, Census_pop_2020_2025!A:A, 0)),INDEX(Census_pop_2020_2025!H:H, MATCH($A15, Census_pop_2020_2025!A:A, 0))))+0.6*((INDEX(Cooper_pop_2030_2050!D:D, MATCH($A15, Cooper_pop_2030_2050!B:B, 0)))-(IFERROR(INDEX(Census_pop_2020_2025!H:H, MATCH("."&amp;$A15, Census_pop_2020_2025!A:A, 0)),INDEX(Census_pop_2020_2025!H:H, MATCH($A15, Census_pop_2020_2025!A:A, 0)))))</f>
        <v>7000638.9775684392</v>
      </c>
      <c r="G15">
        <f>(IFERROR(INDEX(Census_pop_2020_2025!H:H, MATCH("."&amp;$A15, Census_pop_2020_2025!A:A, 0)),INDEX(Census_pop_2020_2025!H:H, MATCH($A15, Census_pop_2020_2025!A:A, 0))))+0.8*((INDEX(Cooper_pop_2030_2050!D:D, MATCH($A15, Cooper_pop_2030_2050!B:B, 0)))-(IFERROR(INDEX(Census_pop_2020_2025!H:H, MATCH("."&amp;$A15, Census_pop_2020_2025!A:A, 0)),INDEX(Census_pop_2020_2025!H:H, MATCH($A15, Census_pop_2020_2025!A:A, 0)))))</f>
        <v>7009740.9700912517</v>
      </c>
      <c r="H15">
        <f>INDEX(Cooper_pop_2030_2050!D:D, MATCH($A15, Cooper_pop_2030_2050!B:B, 0))</f>
        <v>7018842.962614065</v>
      </c>
      <c r="I15">
        <f>(INDEX(Cooper_pop_2030_2050!D:D, MATCH($A15, Cooper_pop_2030_2050!B:B, 0)))+0.1*((INDEX(Cooper_pop_2030_2050!E:E, MATCH($A15, Cooper_pop_2030_2050!B:B, 0)))-(INDEX(Cooper_pop_2030_2050!D:D, MATCH($A15, Cooper_pop_2030_2050!B:B, 0))))</f>
        <v>7023187.6771870349</v>
      </c>
      <c r="J15">
        <f>(INDEX(Cooper_pop_2030_2050!D:D, MATCH($A15, Cooper_pop_2030_2050!B:B, 0)))+0.2*((INDEX(Cooper_pop_2030_2050!E:E, MATCH($A15, Cooper_pop_2030_2050!B:B, 0)))-(INDEX(Cooper_pop_2030_2050!D:D, MATCH($A15, Cooper_pop_2030_2050!B:B, 0))))</f>
        <v>7027532.3917600038</v>
      </c>
      <c r="K15">
        <f>(INDEX(Cooper_pop_2030_2050!D:D, MATCH($A15, Cooper_pop_2030_2050!B:B, 0)))+0.3*((INDEX(Cooper_pop_2030_2050!E:E, MATCH($A15, Cooper_pop_2030_2050!B:B, 0)))-(INDEX(Cooper_pop_2030_2050!D:D, MATCH($A15, Cooper_pop_2030_2050!B:B, 0))))</f>
        <v>7031877.1063329726</v>
      </c>
      <c r="L15">
        <f>(INDEX(Cooper_pop_2030_2050!D:D, MATCH($A15, Cooper_pop_2030_2050!B:B, 0)))+0.4*((INDEX(Cooper_pop_2030_2050!E:E, MATCH($A15, Cooper_pop_2030_2050!B:B, 0)))-(INDEX(Cooper_pop_2030_2050!D:D, MATCH($A15, Cooper_pop_2030_2050!B:B, 0))))</f>
        <v>7036221.8209059425</v>
      </c>
      <c r="M15">
        <f>(INDEX(Cooper_pop_2030_2050!D:D, MATCH($A15, Cooper_pop_2030_2050!B:B, 0)))+0.5*((INDEX(Cooper_pop_2030_2050!E:E, MATCH($A15, Cooper_pop_2030_2050!B:B, 0)))-(INDEX(Cooper_pop_2030_2050!D:D, MATCH($A15, Cooper_pop_2030_2050!B:B, 0))))</f>
        <v>7040566.5354789123</v>
      </c>
      <c r="N15">
        <f>(INDEX(Cooper_pop_2030_2050!D:D, MATCH($A15, Cooper_pop_2030_2050!B:B, 0)))+0.6*((INDEX(Cooper_pop_2030_2050!E:E, MATCH($A15, Cooper_pop_2030_2050!B:B, 0)))-(INDEX(Cooper_pop_2030_2050!D:D, MATCH($A15, Cooper_pop_2030_2050!B:B, 0))))</f>
        <v>7044911.2500518812</v>
      </c>
      <c r="O15">
        <f>(INDEX(Cooper_pop_2030_2050!D:D, MATCH($A15, Cooper_pop_2030_2050!B:B, 0)))+0.7*((INDEX(Cooper_pop_2030_2050!E:E, MATCH($A15, Cooper_pop_2030_2050!B:B, 0)))-(INDEX(Cooper_pop_2030_2050!D:D, MATCH($A15, Cooper_pop_2030_2050!B:B, 0))))</f>
        <v>7049255.9646248501</v>
      </c>
      <c r="P15">
        <f>(INDEX(Cooper_pop_2030_2050!D:D, MATCH($A15, Cooper_pop_2030_2050!B:B, 0)))+0.8*((INDEX(Cooper_pop_2030_2050!E:E, MATCH($A15, Cooper_pop_2030_2050!B:B, 0)))-(INDEX(Cooper_pop_2030_2050!D:D, MATCH($A15, Cooper_pop_2030_2050!B:B, 0))))</f>
        <v>7053600.6791978199</v>
      </c>
      <c r="Q15">
        <f>(INDEX(Cooper_pop_2030_2050!D:D, MATCH($A15, Cooper_pop_2030_2050!B:B, 0)))+0.9*((INDEX(Cooper_pop_2030_2050!E:E, MATCH($A15, Cooper_pop_2030_2050!B:B, 0)))-(INDEX(Cooper_pop_2030_2050!D:D, MATCH($A15, Cooper_pop_2030_2050!B:B, 0))))</f>
        <v>7057945.3937707897</v>
      </c>
      <c r="R15">
        <f>INDEX(Cooper_pop_2030_2050!E:E, MATCH($A15, Cooper_pop_2030_2050!B:B, 0))</f>
        <v>7062290.1083437586</v>
      </c>
      <c r="S15">
        <f>(INDEX(Cooper_pop_2030_2050!E:E, MATCH($A15, Cooper_pop_2030_2050!B:B, 0)))+0.1*((INDEX(Cooper_pop_2030_2050!F:F, MATCH($A15, Cooper_pop_2030_2050!B:B, 0)))-(INDEX(Cooper_pop_2030_2050!E:E, MATCH($A15, Cooper_pop_2030_2050!B:B, 0))))</f>
        <v>7058334.9720348502</v>
      </c>
      <c r="T15">
        <f>(INDEX(Cooper_pop_2030_2050!E:E, MATCH($A15, Cooper_pop_2030_2050!B:B, 0)))+0.2*((INDEX(Cooper_pop_2030_2050!F:F, MATCH($A15, Cooper_pop_2030_2050!B:B, 0)))-(INDEX(Cooper_pop_2030_2050!E:E, MATCH($A15, Cooper_pop_2030_2050!B:B, 0))))</f>
        <v>7054379.8357259408</v>
      </c>
      <c r="U15">
        <f>(INDEX(Cooper_pop_2030_2050!E:E, MATCH($A15, Cooper_pop_2030_2050!B:B, 0)))+0.3*((INDEX(Cooper_pop_2030_2050!F:F, MATCH($A15, Cooper_pop_2030_2050!B:B, 0)))-(INDEX(Cooper_pop_2030_2050!E:E, MATCH($A15, Cooper_pop_2030_2050!B:B, 0))))</f>
        <v>7050424.6994170323</v>
      </c>
      <c r="V15">
        <f>(INDEX(Cooper_pop_2030_2050!E:E, MATCH($A15, Cooper_pop_2030_2050!B:B, 0)))+0.4*((INDEX(Cooper_pop_2030_2050!F:F, MATCH($A15, Cooper_pop_2030_2050!B:B, 0)))-(INDEX(Cooper_pop_2030_2050!E:E, MATCH($A15, Cooper_pop_2030_2050!B:B, 0))))</f>
        <v>7046469.5631081229</v>
      </c>
      <c r="W15">
        <f>(INDEX(Cooper_pop_2030_2050!E:E, MATCH($A15, Cooper_pop_2030_2050!B:B, 0)))+0.5*((INDEX(Cooper_pop_2030_2050!F:F, MATCH($A15, Cooper_pop_2030_2050!B:B, 0)))-(INDEX(Cooper_pop_2030_2050!E:E, MATCH($A15, Cooper_pop_2030_2050!B:B, 0))))</f>
        <v>7042514.4267992144</v>
      </c>
      <c r="X15">
        <f>(INDEX(Cooper_pop_2030_2050!E:E, MATCH($A15, Cooper_pop_2030_2050!B:B, 0)))+0.6*((INDEX(Cooper_pop_2030_2050!F:F, MATCH($A15, Cooper_pop_2030_2050!B:B, 0)))-(INDEX(Cooper_pop_2030_2050!E:E, MATCH($A15, Cooper_pop_2030_2050!B:B, 0))))</f>
        <v>7038559.290490306</v>
      </c>
      <c r="Y15">
        <f>(INDEX(Cooper_pop_2030_2050!E:E, MATCH($A15, Cooper_pop_2030_2050!B:B, 0)))+0.7*((INDEX(Cooper_pop_2030_2050!F:F, MATCH($A15, Cooper_pop_2030_2050!B:B, 0)))-(INDEX(Cooper_pop_2030_2050!E:E, MATCH($A15, Cooper_pop_2030_2050!B:B, 0))))</f>
        <v>7034604.1541813966</v>
      </c>
      <c r="Z15">
        <f>(INDEX(Cooper_pop_2030_2050!E:E, MATCH($A15, Cooper_pop_2030_2050!B:B, 0)))+0.8*((INDEX(Cooper_pop_2030_2050!F:F, MATCH($A15, Cooper_pop_2030_2050!B:B, 0)))-(INDEX(Cooper_pop_2030_2050!E:E, MATCH($A15, Cooper_pop_2030_2050!B:B, 0))))</f>
        <v>7030649.0178724881</v>
      </c>
      <c r="AA15">
        <f>(INDEX(Cooper_pop_2030_2050!E:E, MATCH($A15, Cooper_pop_2030_2050!B:B, 0)))+0.9*((INDEX(Cooper_pop_2030_2050!F:F, MATCH($A15, Cooper_pop_2030_2050!B:B, 0)))-(INDEX(Cooper_pop_2030_2050!E:E, MATCH($A15, Cooper_pop_2030_2050!B:B, 0))))</f>
        <v>7026693.8815635787</v>
      </c>
      <c r="AB15">
        <f>INDEX(Cooper_pop_2030_2050!F:F, MATCH($A15, Cooper_pop_2030_2050!B:B, 0))</f>
        <v>7022738.7452546703</v>
      </c>
    </row>
    <row r="16" spans="1:28">
      <c r="A16" t="s">
        <v>2900</v>
      </c>
      <c r="B16">
        <f>IFERROR(INDEX(Census_pop_2020_2025!G:G, MATCH("."&amp;$A16, Census_pop_2020_2025!A:A, 0)),INDEX(Census_pop_2020_2025!G:G, MATCH($A16, Census_pop_2020_2025!A:A, 0)))</f>
        <v>3230454</v>
      </c>
      <c r="C16">
        <f>IFERROR(INDEX(Census_pop_2020_2025!H:H, MATCH("."&amp;$A16, Census_pop_2020_2025!A:A, 0)),INDEX(Census_pop_2020_2025!H:H, MATCH($A16, Census_pop_2020_2025!A:A, 0)))</f>
        <v>3238387</v>
      </c>
      <c r="D16">
        <f>(IFERROR(INDEX(Census_pop_2020_2025!H:H, MATCH("."&amp;$A16, Census_pop_2020_2025!A:A, 0)),INDEX(Census_pop_2020_2025!H:H, MATCH($A16, Census_pop_2020_2025!A:A, 0))))+0.2*((INDEX(Cooper_pop_2030_2050!D:D, MATCH($A16, Cooper_pop_2030_2050!B:B, 0)))-(IFERROR(INDEX(Census_pop_2020_2025!H:H, MATCH("."&amp;$A16, Census_pop_2020_2025!A:A, 0)),INDEX(Census_pop_2020_2025!H:H, MATCH($A16, Census_pop_2020_2025!A:A, 0)))))</f>
        <v>3251066.3146849596</v>
      </c>
      <c r="E16">
        <f>(IFERROR(INDEX(Census_pop_2020_2025!H:H, MATCH("."&amp;$A16, Census_pop_2020_2025!A:A, 0)),INDEX(Census_pop_2020_2025!H:H, MATCH($A16, Census_pop_2020_2025!A:A, 0))))+0.4*((INDEX(Cooper_pop_2030_2050!D:D, MATCH($A16, Cooper_pop_2030_2050!B:B, 0)))-(IFERROR(INDEX(Census_pop_2020_2025!H:H, MATCH("."&amp;$A16, Census_pop_2020_2025!A:A, 0)),INDEX(Census_pop_2020_2025!H:H, MATCH($A16, Census_pop_2020_2025!A:A, 0)))))</f>
        <v>3263745.6293699192</v>
      </c>
      <c r="F16">
        <f>(IFERROR(INDEX(Census_pop_2020_2025!H:H, MATCH("."&amp;$A16, Census_pop_2020_2025!A:A, 0)),INDEX(Census_pop_2020_2025!H:H, MATCH($A16, Census_pop_2020_2025!A:A, 0))))+0.6*((INDEX(Cooper_pop_2030_2050!D:D, MATCH($A16, Cooper_pop_2030_2050!B:B, 0)))-(IFERROR(INDEX(Census_pop_2020_2025!H:H, MATCH("."&amp;$A16, Census_pop_2020_2025!A:A, 0)),INDEX(Census_pop_2020_2025!H:H, MATCH($A16, Census_pop_2020_2025!A:A, 0)))))</f>
        <v>3276424.9440548788</v>
      </c>
      <c r="G16">
        <f>(IFERROR(INDEX(Census_pop_2020_2025!H:H, MATCH("."&amp;$A16, Census_pop_2020_2025!A:A, 0)),INDEX(Census_pop_2020_2025!H:H, MATCH($A16, Census_pop_2020_2025!A:A, 0))))+0.8*((INDEX(Cooper_pop_2030_2050!D:D, MATCH($A16, Cooper_pop_2030_2050!B:B, 0)))-(IFERROR(INDEX(Census_pop_2020_2025!H:H, MATCH("."&amp;$A16, Census_pop_2020_2025!A:A, 0)),INDEX(Census_pop_2020_2025!H:H, MATCH($A16, Census_pop_2020_2025!A:A, 0)))))</f>
        <v>3289104.2587398384</v>
      </c>
      <c r="H16">
        <f>INDEX(Cooper_pop_2030_2050!D:D, MATCH($A16, Cooper_pop_2030_2050!B:B, 0))</f>
        <v>3301783.573424798</v>
      </c>
      <c r="I16">
        <f>(INDEX(Cooper_pop_2030_2050!D:D, MATCH($A16, Cooper_pop_2030_2050!B:B, 0)))+0.1*((INDEX(Cooper_pop_2030_2050!E:E, MATCH($A16, Cooper_pop_2030_2050!B:B, 0)))-(INDEX(Cooper_pop_2030_2050!D:D, MATCH($A16, Cooper_pop_2030_2050!B:B, 0))))</f>
        <v>3304061.9491900378</v>
      </c>
      <c r="J16">
        <f>(INDEX(Cooper_pop_2030_2050!D:D, MATCH($A16, Cooper_pop_2030_2050!B:B, 0)))+0.2*((INDEX(Cooper_pop_2030_2050!E:E, MATCH($A16, Cooper_pop_2030_2050!B:B, 0)))-(INDEX(Cooper_pop_2030_2050!D:D, MATCH($A16, Cooper_pop_2030_2050!B:B, 0))))</f>
        <v>3306340.3249552771</v>
      </c>
      <c r="K16">
        <f>(INDEX(Cooper_pop_2030_2050!D:D, MATCH($A16, Cooper_pop_2030_2050!B:B, 0)))+0.3*((INDEX(Cooper_pop_2030_2050!E:E, MATCH($A16, Cooper_pop_2030_2050!B:B, 0)))-(INDEX(Cooper_pop_2030_2050!D:D, MATCH($A16, Cooper_pop_2030_2050!B:B, 0))))</f>
        <v>3308618.700720517</v>
      </c>
      <c r="L16">
        <f>(INDEX(Cooper_pop_2030_2050!D:D, MATCH($A16, Cooper_pop_2030_2050!B:B, 0)))+0.4*((INDEX(Cooper_pop_2030_2050!E:E, MATCH($A16, Cooper_pop_2030_2050!B:B, 0)))-(INDEX(Cooper_pop_2030_2050!D:D, MATCH($A16, Cooper_pop_2030_2050!B:B, 0))))</f>
        <v>3310897.0764857568</v>
      </c>
      <c r="M16">
        <f>(INDEX(Cooper_pop_2030_2050!D:D, MATCH($A16, Cooper_pop_2030_2050!B:B, 0)))+0.5*((INDEX(Cooper_pop_2030_2050!E:E, MATCH($A16, Cooper_pop_2030_2050!B:B, 0)))-(INDEX(Cooper_pop_2030_2050!D:D, MATCH($A16, Cooper_pop_2030_2050!B:B, 0))))</f>
        <v>3313175.4522509966</v>
      </c>
      <c r="N16">
        <f>(INDEX(Cooper_pop_2030_2050!D:D, MATCH($A16, Cooper_pop_2030_2050!B:B, 0)))+0.6*((INDEX(Cooper_pop_2030_2050!E:E, MATCH($A16, Cooper_pop_2030_2050!B:B, 0)))-(INDEX(Cooper_pop_2030_2050!D:D, MATCH($A16, Cooper_pop_2030_2050!B:B, 0))))</f>
        <v>3315453.828016236</v>
      </c>
      <c r="O16">
        <f>(INDEX(Cooper_pop_2030_2050!D:D, MATCH($A16, Cooper_pop_2030_2050!B:B, 0)))+0.7*((INDEX(Cooper_pop_2030_2050!E:E, MATCH($A16, Cooper_pop_2030_2050!B:B, 0)))-(INDEX(Cooper_pop_2030_2050!D:D, MATCH($A16, Cooper_pop_2030_2050!B:B, 0))))</f>
        <v>3317732.2037814758</v>
      </c>
      <c r="P16">
        <f>(INDEX(Cooper_pop_2030_2050!D:D, MATCH($A16, Cooper_pop_2030_2050!B:B, 0)))+0.8*((INDEX(Cooper_pop_2030_2050!E:E, MATCH($A16, Cooper_pop_2030_2050!B:B, 0)))-(INDEX(Cooper_pop_2030_2050!D:D, MATCH($A16, Cooper_pop_2030_2050!B:B, 0))))</f>
        <v>3320010.5795467156</v>
      </c>
      <c r="Q16">
        <f>(INDEX(Cooper_pop_2030_2050!D:D, MATCH($A16, Cooper_pop_2030_2050!B:B, 0)))+0.9*((INDEX(Cooper_pop_2030_2050!E:E, MATCH($A16, Cooper_pop_2030_2050!B:B, 0)))-(INDEX(Cooper_pop_2030_2050!D:D, MATCH($A16, Cooper_pop_2030_2050!B:B, 0))))</f>
        <v>3322288.955311955</v>
      </c>
      <c r="R16">
        <f>INDEX(Cooper_pop_2030_2050!E:E, MATCH($A16, Cooper_pop_2030_2050!B:B, 0))</f>
        <v>3324567.3310771948</v>
      </c>
      <c r="S16">
        <f>(INDEX(Cooper_pop_2030_2050!E:E, MATCH($A16, Cooper_pop_2030_2050!B:B, 0)))+0.1*((INDEX(Cooper_pop_2030_2050!F:F, MATCH($A16, Cooper_pop_2030_2050!B:B, 0)))-(INDEX(Cooper_pop_2030_2050!E:E, MATCH($A16, Cooper_pop_2030_2050!B:B, 0))))</f>
        <v>3322938.8528293232</v>
      </c>
      <c r="T16">
        <f>(INDEX(Cooper_pop_2030_2050!E:E, MATCH($A16, Cooper_pop_2030_2050!B:B, 0)))+0.2*((INDEX(Cooper_pop_2030_2050!F:F, MATCH($A16, Cooper_pop_2030_2050!B:B, 0)))-(INDEX(Cooper_pop_2030_2050!E:E, MATCH($A16, Cooper_pop_2030_2050!B:B, 0))))</f>
        <v>3321310.374581452</v>
      </c>
      <c r="U16">
        <f>(INDEX(Cooper_pop_2030_2050!E:E, MATCH($A16, Cooper_pop_2030_2050!B:B, 0)))+0.3*((INDEX(Cooper_pop_2030_2050!F:F, MATCH($A16, Cooper_pop_2030_2050!B:B, 0)))-(INDEX(Cooper_pop_2030_2050!E:E, MATCH($A16, Cooper_pop_2030_2050!B:B, 0))))</f>
        <v>3319681.8963335804</v>
      </c>
      <c r="V16">
        <f>(INDEX(Cooper_pop_2030_2050!E:E, MATCH($A16, Cooper_pop_2030_2050!B:B, 0)))+0.4*((INDEX(Cooper_pop_2030_2050!F:F, MATCH($A16, Cooper_pop_2030_2050!B:B, 0)))-(INDEX(Cooper_pop_2030_2050!E:E, MATCH($A16, Cooper_pop_2030_2050!B:B, 0))))</f>
        <v>3318053.4180857087</v>
      </c>
      <c r="W16">
        <f>(INDEX(Cooper_pop_2030_2050!E:E, MATCH($A16, Cooper_pop_2030_2050!B:B, 0)))+0.5*((INDEX(Cooper_pop_2030_2050!F:F, MATCH($A16, Cooper_pop_2030_2050!B:B, 0)))-(INDEX(Cooper_pop_2030_2050!E:E, MATCH($A16, Cooper_pop_2030_2050!B:B, 0))))</f>
        <v>3316424.9398378376</v>
      </c>
      <c r="X16">
        <f>(INDEX(Cooper_pop_2030_2050!E:E, MATCH($A16, Cooper_pop_2030_2050!B:B, 0)))+0.6*((INDEX(Cooper_pop_2030_2050!F:F, MATCH($A16, Cooper_pop_2030_2050!B:B, 0)))-(INDEX(Cooper_pop_2030_2050!E:E, MATCH($A16, Cooper_pop_2030_2050!B:B, 0))))</f>
        <v>3314796.461589966</v>
      </c>
      <c r="Y16">
        <f>(INDEX(Cooper_pop_2030_2050!E:E, MATCH($A16, Cooper_pop_2030_2050!B:B, 0)))+0.7*((INDEX(Cooper_pop_2030_2050!F:F, MATCH($A16, Cooper_pop_2030_2050!B:B, 0)))-(INDEX(Cooper_pop_2030_2050!E:E, MATCH($A16, Cooper_pop_2030_2050!B:B, 0))))</f>
        <v>3313167.9833420943</v>
      </c>
      <c r="Z16">
        <f>(INDEX(Cooper_pop_2030_2050!E:E, MATCH($A16, Cooper_pop_2030_2050!B:B, 0)))+0.8*((INDEX(Cooper_pop_2030_2050!F:F, MATCH($A16, Cooper_pop_2030_2050!B:B, 0)))-(INDEX(Cooper_pop_2030_2050!E:E, MATCH($A16, Cooper_pop_2030_2050!B:B, 0))))</f>
        <v>3311539.5050942227</v>
      </c>
      <c r="AA16">
        <f>(INDEX(Cooper_pop_2030_2050!E:E, MATCH($A16, Cooper_pop_2030_2050!B:B, 0)))+0.9*((INDEX(Cooper_pop_2030_2050!F:F, MATCH($A16, Cooper_pop_2030_2050!B:B, 0)))-(INDEX(Cooper_pop_2030_2050!E:E, MATCH($A16, Cooper_pop_2030_2050!B:B, 0))))</f>
        <v>3309911.0268463516</v>
      </c>
      <c r="AB16">
        <f>INDEX(Cooper_pop_2030_2050!F:F, MATCH($A16, Cooper_pop_2030_2050!B:B, 0))</f>
        <v>3308282.5485984799</v>
      </c>
    </row>
    <row r="17" spans="1:28">
      <c r="A17" t="s">
        <v>2901</v>
      </c>
      <c r="B17">
        <f>IFERROR(INDEX(Census_pop_2020_2025!G:G, MATCH("."&amp;$A17, Census_pop_2020_2025!A:A, 0)),INDEX(Census_pop_2020_2025!G:G, MATCH($A17, Census_pop_2020_2025!A:A, 0)))</f>
        <v>2965252</v>
      </c>
      <c r="C17">
        <f>IFERROR(INDEX(Census_pop_2020_2025!H:H, MATCH("."&amp;$A17, Census_pop_2020_2025!A:A, 0)),INDEX(Census_pop_2020_2025!H:H, MATCH($A17, Census_pop_2020_2025!A:A, 0)))</f>
        <v>2977220</v>
      </c>
      <c r="D17">
        <f>(IFERROR(INDEX(Census_pop_2020_2025!H:H, MATCH("."&amp;$A17, Census_pop_2020_2025!A:A, 0)),INDEX(Census_pop_2020_2025!H:H, MATCH($A17, Census_pop_2020_2025!A:A, 0))))+0.2*((INDEX(Cooper_pop_2030_2050!D:D, MATCH($A17, Cooper_pop_2030_2050!B:B, 0)))-(IFERROR(INDEX(Census_pop_2020_2025!H:H, MATCH("."&amp;$A17, Census_pop_2020_2025!A:A, 0)),INDEX(Census_pop_2020_2025!H:H, MATCH($A17, Census_pop_2020_2025!A:A, 0)))))</f>
        <v>2982318.115615197</v>
      </c>
      <c r="E17">
        <f>(IFERROR(INDEX(Census_pop_2020_2025!H:H, MATCH("."&amp;$A17, Census_pop_2020_2025!A:A, 0)),INDEX(Census_pop_2020_2025!H:H, MATCH($A17, Census_pop_2020_2025!A:A, 0))))+0.4*((INDEX(Cooper_pop_2030_2050!D:D, MATCH($A17, Cooper_pop_2030_2050!B:B, 0)))-(IFERROR(INDEX(Census_pop_2020_2025!H:H, MATCH("."&amp;$A17, Census_pop_2020_2025!A:A, 0)),INDEX(Census_pop_2020_2025!H:H, MATCH($A17, Census_pop_2020_2025!A:A, 0)))))</f>
        <v>2987416.231230394</v>
      </c>
      <c r="F17">
        <f>(IFERROR(INDEX(Census_pop_2020_2025!H:H, MATCH("."&amp;$A17, Census_pop_2020_2025!A:A, 0)),INDEX(Census_pop_2020_2025!H:H, MATCH($A17, Census_pop_2020_2025!A:A, 0))))+0.6*((INDEX(Cooper_pop_2030_2050!D:D, MATCH($A17, Cooper_pop_2030_2050!B:B, 0)))-(IFERROR(INDEX(Census_pop_2020_2025!H:H, MATCH("."&amp;$A17, Census_pop_2020_2025!A:A, 0)),INDEX(Census_pop_2020_2025!H:H, MATCH($A17, Census_pop_2020_2025!A:A, 0)))))</f>
        <v>2992514.346845591</v>
      </c>
      <c r="G17">
        <f>(IFERROR(INDEX(Census_pop_2020_2025!H:H, MATCH("."&amp;$A17, Census_pop_2020_2025!A:A, 0)),INDEX(Census_pop_2020_2025!H:H, MATCH($A17, Census_pop_2020_2025!A:A, 0))))+0.8*((INDEX(Cooper_pop_2030_2050!D:D, MATCH($A17, Cooper_pop_2030_2050!B:B, 0)))-(IFERROR(INDEX(Census_pop_2020_2025!H:H, MATCH("."&amp;$A17, Census_pop_2020_2025!A:A, 0)),INDEX(Census_pop_2020_2025!H:H, MATCH($A17, Census_pop_2020_2025!A:A, 0)))))</f>
        <v>2997612.462460788</v>
      </c>
      <c r="H17">
        <f>INDEX(Cooper_pop_2030_2050!D:D, MATCH($A17, Cooper_pop_2030_2050!B:B, 0))</f>
        <v>3002710.578075985</v>
      </c>
      <c r="I17">
        <f>(INDEX(Cooper_pop_2030_2050!D:D, MATCH($A17, Cooper_pop_2030_2050!B:B, 0)))+0.1*((INDEX(Cooper_pop_2030_2050!E:E, MATCH($A17, Cooper_pop_2030_2050!B:B, 0)))-(INDEX(Cooper_pop_2030_2050!D:D, MATCH($A17, Cooper_pop_2030_2050!B:B, 0))))</f>
        <v>2999711.4607749633</v>
      </c>
      <c r="J17">
        <f>(INDEX(Cooper_pop_2030_2050!D:D, MATCH($A17, Cooper_pop_2030_2050!B:B, 0)))+0.2*((INDEX(Cooper_pop_2030_2050!E:E, MATCH($A17, Cooper_pop_2030_2050!B:B, 0)))-(INDEX(Cooper_pop_2030_2050!D:D, MATCH($A17, Cooper_pop_2030_2050!B:B, 0))))</f>
        <v>2996712.343473942</v>
      </c>
      <c r="K17">
        <f>(INDEX(Cooper_pop_2030_2050!D:D, MATCH($A17, Cooper_pop_2030_2050!B:B, 0)))+0.3*((INDEX(Cooper_pop_2030_2050!E:E, MATCH($A17, Cooper_pop_2030_2050!B:B, 0)))-(INDEX(Cooper_pop_2030_2050!D:D, MATCH($A17, Cooper_pop_2030_2050!B:B, 0))))</f>
        <v>2993713.2261729203</v>
      </c>
      <c r="L17">
        <f>(INDEX(Cooper_pop_2030_2050!D:D, MATCH($A17, Cooper_pop_2030_2050!B:B, 0)))+0.4*((INDEX(Cooper_pop_2030_2050!E:E, MATCH($A17, Cooper_pop_2030_2050!B:B, 0)))-(INDEX(Cooper_pop_2030_2050!D:D, MATCH($A17, Cooper_pop_2030_2050!B:B, 0))))</f>
        <v>2990714.1088718991</v>
      </c>
      <c r="M17">
        <f>(INDEX(Cooper_pop_2030_2050!D:D, MATCH($A17, Cooper_pop_2030_2050!B:B, 0)))+0.5*((INDEX(Cooper_pop_2030_2050!E:E, MATCH($A17, Cooper_pop_2030_2050!B:B, 0)))-(INDEX(Cooper_pop_2030_2050!D:D, MATCH($A17, Cooper_pop_2030_2050!B:B, 0))))</f>
        <v>2987714.9915708774</v>
      </c>
      <c r="N17">
        <f>(INDEX(Cooper_pop_2030_2050!D:D, MATCH($A17, Cooper_pop_2030_2050!B:B, 0)))+0.6*((INDEX(Cooper_pop_2030_2050!E:E, MATCH($A17, Cooper_pop_2030_2050!B:B, 0)))-(INDEX(Cooper_pop_2030_2050!D:D, MATCH($A17, Cooper_pop_2030_2050!B:B, 0))))</f>
        <v>2984715.8742698557</v>
      </c>
      <c r="O17">
        <f>(INDEX(Cooper_pop_2030_2050!D:D, MATCH($A17, Cooper_pop_2030_2050!B:B, 0)))+0.7*((INDEX(Cooper_pop_2030_2050!E:E, MATCH($A17, Cooper_pop_2030_2050!B:B, 0)))-(INDEX(Cooper_pop_2030_2050!D:D, MATCH($A17, Cooper_pop_2030_2050!B:B, 0))))</f>
        <v>2981716.7569688344</v>
      </c>
      <c r="P17">
        <f>(INDEX(Cooper_pop_2030_2050!D:D, MATCH($A17, Cooper_pop_2030_2050!B:B, 0)))+0.8*((INDEX(Cooper_pop_2030_2050!E:E, MATCH($A17, Cooper_pop_2030_2050!B:B, 0)))-(INDEX(Cooper_pop_2030_2050!D:D, MATCH($A17, Cooper_pop_2030_2050!B:B, 0))))</f>
        <v>2978717.6396678127</v>
      </c>
      <c r="Q17">
        <f>(INDEX(Cooper_pop_2030_2050!D:D, MATCH($A17, Cooper_pop_2030_2050!B:B, 0)))+0.9*((INDEX(Cooper_pop_2030_2050!E:E, MATCH($A17, Cooper_pop_2030_2050!B:B, 0)))-(INDEX(Cooper_pop_2030_2050!D:D, MATCH($A17, Cooper_pop_2030_2050!B:B, 0))))</f>
        <v>2975718.5223667915</v>
      </c>
      <c r="R17">
        <f>INDEX(Cooper_pop_2030_2050!E:E, MATCH($A17, Cooper_pop_2030_2050!B:B, 0))</f>
        <v>2972719.4050657698</v>
      </c>
      <c r="S17">
        <f>(INDEX(Cooper_pop_2030_2050!E:E, MATCH($A17, Cooper_pop_2030_2050!B:B, 0)))+0.1*((INDEX(Cooper_pop_2030_2050!F:F, MATCH($A17, Cooper_pop_2030_2050!B:B, 0)))-(INDEX(Cooper_pop_2030_2050!E:E, MATCH($A17, Cooper_pop_2030_2050!B:B, 0))))</f>
        <v>2966301.6333564911</v>
      </c>
      <c r="T17">
        <f>(INDEX(Cooper_pop_2030_2050!E:E, MATCH($A17, Cooper_pop_2030_2050!B:B, 0)))+0.2*((INDEX(Cooper_pop_2030_2050!F:F, MATCH($A17, Cooper_pop_2030_2050!B:B, 0)))-(INDEX(Cooper_pop_2030_2050!E:E, MATCH($A17, Cooper_pop_2030_2050!B:B, 0))))</f>
        <v>2959883.8616472119</v>
      </c>
      <c r="U17">
        <f>(INDEX(Cooper_pop_2030_2050!E:E, MATCH($A17, Cooper_pop_2030_2050!B:B, 0)))+0.3*((INDEX(Cooper_pop_2030_2050!F:F, MATCH($A17, Cooper_pop_2030_2050!B:B, 0)))-(INDEX(Cooper_pop_2030_2050!E:E, MATCH($A17, Cooper_pop_2030_2050!B:B, 0))))</f>
        <v>2953466.0899379333</v>
      </c>
      <c r="V17">
        <f>(INDEX(Cooper_pop_2030_2050!E:E, MATCH($A17, Cooper_pop_2030_2050!B:B, 0)))+0.4*((INDEX(Cooper_pop_2030_2050!F:F, MATCH($A17, Cooper_pop_2030_2050!B:B, 0)))-(INDEX(Cooper_pop_2030_2050!E:E, MATCH($A17, Cooper_pop_2030_2050!B:B, 0))))</f>
        <v>2947048.3182286541</v>
      </c>
      <c r="W17">
        <f>(INDEX(Cooper_pop_2030_2050!E:E, MATCH($A17, Cooper_pop_2030_2050!B:B, 0)))+0.5*((INDEX(Cooper_pop_2030_2050!F:F, MATCH($A17, Cooper_pop_2030_2050!B:B, 0)))-(INDEX(Cooper_pop_2030_2050!E:E, MATCH($A17, Cooper_pop_2030_2050!B:B, 0))))</f>
        <v>2940630.5465193754</v>
      </c>
      <c r="X17">
        <f>(INDEX(Cooper_pop_2030_2050!E:E, MATCH($A17, Cooper_pop_2030_2050!B:B, 0)))+0.6*((INDEX(Cooper_pop_2030_2050!F:F, MATCH($A17, Cooper_pop_2030_2050!B:B, 0)))-(INDEX(Cooper_pop_2030_2050!E:E, MATCH($A17, Cooper_pop_2030_2050!B:B, 0))))</f>
        <v>2934212.7748100967</v>
      </c>
      <c r="Y17">
        <f>(INDEX(Cooper_pop_2030_2050!E:E, MATCH($A17, Cooper_pop_2030_2050!B:B, 0)))+0.7*((INDEX(Cooper_pop_2030_2050!F:F, MATCH($A17, Cooper_pop_2030_2050!B:B, 0)))-(INDEX(Cooper_pop_2030_2050!E:E, MATCH($A17, Cooper_pop_2030_2050!B:B, 0))))</f>
        <v>2927795.0031008176</v>
      </c>
      <c r="Z17">
        <f>(INDEX(Cooper_pop_2030_2050!E:E, MATCH($A17, Cooper_pop_2030_2050!B:B, 0)))+0.8*((INDEX(Cooper_pop_2030_2050!F:F, MATCH($A17, Cooper_pop_2030_2050!B:B, 0)))-(INDEX(Cooper_pop_2030_2050!E:E, MATCH($A17, Cooper_pop_2030_2050!B:B, 0))))</f>
        <v>2921377.2313915389</v>
      </c>
      <c r="AA17">
        <f>(INDEX(Cooper_pop_2030_2050!E:E, MATCH($A17, Cooper_pop_2030_2050!B:B, 0)))+0.9*((INDEX(Cooper_pop_2030_2050!F:F, MATCH($A17, Cooper_pop_2030_2050!B:B, 0)))-(INDEX(Cooper_pop_2030_2050!E:E, MATCH($A17, Cooper_pop_2030_2050!B:B, 0))))</f>
        <v>2914959.4596822597</v>
      </c>
      <c r="AB17">
        <f>INDEX(Cooper_pop_2030_2050!F:F, MATCH($A17, Cooper_pop_2030_2050!B:B, 0))</f>
        <v>2908541.687972981</v>
      </c>
    </row>
    <row r="18" spans="1:28">
      <c r="A18" t="s">
        <v>2902</v>
      </c>
      <c r="B18">
        <f>IFERROR(INDEX(Census_pop_2020_2025!G:G, MATCH("."&amp;$A18, Census_pop_2020_2025!A:A, 0)),INDEX(Census_pop_2020_2025!G:G, MATCH($A18, Census_pop_2020_2025!A:A, 0)))</f>
        <v>4584046</v>
      </c>
      <c r="C18">
        <f>IFERROR(INDEX(Census_pop_2020_2025!H:H, MATCH("."&amp;$A18, Census_pop_2020_2025!A:A, 0)),INDEX(Census_pop_2020_2025!H:H, MATCH($A18, Census_pop_2020_2025!A:A, 0)))</f>
        <v>4606864</v>
      </c>
      <c r="D18">
        <f>(IFERROR(INDEX(Census_pop_2020_2025!H:H, MATCH("."&amp;$A18, Census_pop_2020_2025!A:A, 0)),INDEX(Census_pop_2020_2025!H:H, MATCH($A18, Census_pop_2020_2025!A:A, 0))))+0.2*((INDEX(Cooper_pop_2030_2050!D:D, MATCH($A18, Cooper_pop_2030_2050!B:B, 0)))-(IFERROR(INDEX(Census_pop_2020_2025!H:H, MATCH("."&amp;$A18, Census_pop_2020_2025!A:A, 0)),INDEX(Census_pop_2020_2025!H:H, MATCH($A18, Census_pop_2020_2025!A:A, 0)))))</f>
        <v>4612267.3668296207</v>
      </c>
      <c r="E18">
        <f>(IFERROR(INDEX(Census_pop_2020_2025!H:H, MATCH("."&amp;$A18, Census_pop_2020_2025!A:A, 0)),INDEX(Census_pop_2020_2025!H:H, MATCH($A18, Census_pop_2020_2025!A:A, 0))))+0.4*((INDEX(Cooper_pop_2030_2050!D:D, MATCH($A18, Cooper_pop_2030_2050!B:B, 0)))-(IFERROR(INDEX(Census_pop_2020_2025!H:H, MATCH("."&amp;$A18, Census_pop_2020_2025!A:A, 0)),INDEX(Census_pop_2020_2025!H:H, MATCH($A18, Census_pop_2020_2025!A:A, 0)))))</f>
        <v>4617670.7336592413</v>
      </c>
      <c r="F18">
        <f>(IFERROR(INDEX(Census_pop_2020_2025!H:H, MATCH("."&amp;$A18, Census_pop_2020_2025!A:A, 0)),INDEX(Census_pop_2020_2025!H:H, MATCH($A18, Census_pop_2020_2025!A:A, 0))))+0.6*((INDEX(Cooper_pop_2030_2050!D:D, MATCH($A18, Cooper_pop_2030_2050!B:B, 0)))-(IFERROR(INDEX(Census_pop_2020_2025!H:H, MATCH("."&amp;$A18, Census_pop_2020_2025!A:A, 0)),INDEX(Census_pop_2020_2025!H:H, MATCH($A18, Census_pop_2020_2025!A:A, 0)))))</f>
        <v>4623074.100488862</v>
      </c>
      <c r="G18">
        <f>(IFERROR(INDEX(Census_pop_2020_2025!H:H, MATCH("."&amp;$A18, Census_pop_2020_2025!A:A, 0)),INDEX(Census_pop_2020_2025!H:H, MATCH($A18, Census_pop_2020_2025!A:A, 0))))+0.8*((INDEX(Cooper_pop_2030_2050!D:D, MATCH($A18, Cooper_pop_2030_2050!B:B, 0)))-(IFERROR(INDEX(Census_pop_2020_2025!H:H, MATCH("."&amp;$A18, Census_pop_2020_2025!A:A, 0)),INDEX(Census_pop_2020_2025!H:H, MATCH($A18, Census_pop_2020_2025!A:A, 0)))))</f>
        <v>4628477.4673184827</v>
      </c>
      <c r="H18">
        <f>INDEX(Cooper_pop_2030_2050!D:D, MATCH($A18, Cooper_pop_2030_2050!B:B, 0))</f>
        <v>4633880.8341481034</v>
      </c>
      <c r="I18">
        <f>(INDEX(Cooper_pop_2030_2050!D:D, MATCH($A18, Cooper_pop_2030_2050!B:B, 0)))+0.1*((INDEX(Cooper_pop_2030_2050!E:E, MATCH($A18, Cooper_pop_2030_2050!B:B, 0)))-(INDEX(Cooper_pop_2030_2050!D:D, MATCH($A18, Cooper_pop_2030_2050!B:B, 0))))</f>
        <v>4633108.0431924937</v>
      </c>
      <c r="J18">
        <f>(INDEX(Cooper_pop_2030_2050!D:D, MATCH($A18, Cooper_pop_2030_2050!B:B, 0)))+0.2*((INDEX(Cooper_pop_2030_2050!E:E, MATCH($A18, Cooper_pop_2030_2050!B:B, 0)))-(INDEX(Cooper_pop_2030_2050!D:D, MATCH($A18, Cooper_pop_2030_2050!B:B, 0))))</f>
        <v>4632335.2522368841</v>
      </c>
      <c r="K18">
        <f>(INDEX(Cooper_pop_2030_2050!D:D, MATCH($A18, Cooper_pop_2030_2050!B:B, 0)))+0.3*((INDEX(Cooper_pop_2030_2050!E:E, MATCH($A18, Cooper_pop_2030_2050!B:B, 0)))-(INDEX(Cooper_pop_2030_2050!D:D, MATCH($A18, Cooper_pop_2030_2050!B:B, 0))))</f>
        <v>4631562.4612812744</v>
      </c>
      <c r="L18">
        <f>(INDEX(Cooper_pop_2030_2050!D:D, MATCH($A18, Cooper_pop_2030_2050!B:B, 0)))+0.4*((INDEX(Cooper_pop_2030_2050!E:E, MATCH($A18, Cooper_pop_2030_2050!B:B, 0)))-(INDEX(Cooper_pop_2030_2050!D:D, MATCH($A18, Cooper_pop_2030_2050!B:B, 0))))</f>
        <v>4630789.6703256648</v>
      </c>
      <c r="M18">
        <f>(INDEX(Cooper_pop_2030_2050!D:D, MATCH($A18, Cooper_pop_2030_2050!B:B, 0)))+0.5*((INDEX(Cooper_pop_2030_2050!E:E, MATCH($A18, Cooper_pop_2030_2050!B:B, 0)))-(INDEX(Cooper_pop_2030_2050!D:D, MATCH($A18, Cooper_pop_2030_2050!B:B, 0))))</f>
        <v>4630016.8793700542</v>
      </c>
      <c r="N18">
        <f>(INDEX(Cooper_pop_2030_2050!D:D, MATCH($A18, Cooper_pop_2030_2050!B:B, 0)))+0.6*((INDEX(Cooper_pop_2030_2050!E:E, MATCH($A18, Cooper_pop_2030_2050!B:B, 0)))-(INDEX(Cooper_pop_2030_2050!D:D, MATCH($A18, Cooper_pop_2030_2050!B:B, 0))))</f>
        <v>4629244.0884144446</v>
      </c>
      <c r="O18">
        <f>(INDEX(Cooper_pop_2030_2050!D:D, MATCH($A18, Cooper_pop_2030_2050!B:B, 0)))+0.7*((INDEX(Cooper_pop_2030_2050!E:E, MATCH($A18, Cooper_pop_2030_2050!B:B, 0)))-(INDEX(Cooper_pop_2030_2050!D:D, MATCH($A18, Cooper_pop_2030_2050!B:B, 0))))</f>
        <v>4628471.2974588349</v>
      </c>
      <c r="P18">
        <f>(INDEX(Cooper_pop_2030_2050!D:D, MATCH($A18, Cooper_pop_2030_2050!B:B, 0)))+0.8*((INDEX(Cooper_pop_2030_2050!E:E, MATCH($A18, Cooper_pop_2030_2050!B:B, 0)))-(INDEX(Cooper_pop_2030_2050!D:D, MATCH($A18, Cooper_pop_2030_2050!B:B, 0))))</f>
        <v>4627698.5065032253</v>
      </c>
      <c r="Q18">
        <f>(INDEX(Cooper_pop_2030_2050!D:D, MATCH($A18, Cooper_pop_2030_2050!B:B, 0)))+0.9*((INDEX(Cooper_pop_2030_2050!E:E, MATCH($A18, Cooper_pop_2030_2050!B:B, 0)))-(INDEX(Cooper_pop_2030_2050!D:D, MATCH($A18, Cooper_pop_2030_2050!B:B, 0))))</f>
        <v>4626925.7155476157</v>
      </c>
      <c r="R18">
        <f>INDEX(Cooper_pop_2030_2050!E:E, MATCH($A18, Cooper_pop_2030_2050!B:B, 0))</f>
        <v>4626152.924592006</v>
      </c>
      <c r="S18">
        <f>(INDEX(Cooper_pop_2030_2050!E:E, MATCH($A18, Cooper_pop_2030_2050!B:B, 0)))+0.1*((INDEX(Cooper_pop_2030_2050!F:F, MATCH($A18, Cooper_pop_2030_2050!B:B, 0)))-(INDEX(Cooper_pop_2030_2050!E:E, MATCH($A18, Cooper_pop_2030_2050!B:B, 0))))</f>
        <v>4619969.5843802337</v>
      </c>
      <c r="T18">
        <f>(INDEX(Cooper_pop_2030_2050!E:E, MATCH($A18, Cooper_pop_2030_2050!B:B, 0)))+0.2*((INDEX(Cooper_pop_2030_2050!F:F, MATCH($A18, Cooper_pop_2030_2050!B:B, 0)))-(INDEX(Cooper_pop_2030_2050!E:E, MATCH($A18, Cooper_pop_2030_2050!B:B, 0))))</f>
        <v>4613786.2441684622</v>
      </c>
      <c r="U18">
        <f>(INDEX(Cooper_pop_2030_2050!E:E, MATCH($A18, Cooper_pop_2030_2050!B:B, 0)))+0.3*((INDEX(Cooper_pop_2030_2050!F:F, MATCH($A18, Cooper_pop_2030_2050!B:B, 0)))-(INDEX(Cooper_pop_2030_2050!E:E, MATCH($A18, Cooper_pop_2030_2050!B:B, 0))))</f>
        <v>4607602.9039566899</v>
      </c>
      <c r="V18">
        <f>(INDEX(Cooper_pop_2030_2050!E:E, MATCH($A18, Cooper_pop_2030_2050!B:B, 0)))+0.4*((INDEX(Cooper_pop_2030_2050!F:F, MATCH($A18, Cooper_pop_2030_2050!B:B, 0)))-(INDEX(Cooper_pop_2030_2050!E:E, MATCH($A18, Cooper_pop_2030_2050!B:B, 0))))</f>
        <v>4601419.5637449184</v>
      </c>
      <c r="W18">
        <f>(INDEX(Cooper_pop_2030_2050!E:E, MATCH($A18, Cooper_pop_2030_2050!B:B, 0)))+0.5*((INDEX(Cooper_pop_2030_2050!F:F, MATCH($A18, Cooper_pop_2030_2050!B:B, 0)))-(INDEX(Cooper_pop_2030_2050!E:E, MATCH($A18, Cooper_pop_2030_2050!B:B, 0))))</f>
        <v>4595236.2235331461</v>
      </c>
      <c r="X18">
        <f>(INDEX(Cooper_pop_2030_2050!E:E, MATCH($A18, Cooper_pop_2030_2050!B:B, 0)))+0.6*((INDEX(Cooper_pop_2030_2050!F:F, MATCH($A18, Cooper_pop_2030_2050!B:B, 0)))-(INDEX(Cooper_pop_2030_2050!E:E, MATCH($A18, Cooper_pop_2030_2050!B:B, 0))))</f>
        <v>4589052.8833213737</v>
      </c>
      <c r="Y18">
        <f>(INDEX(Cooper_pop_2030_2050!E:E, MATCH($A18, Cooper_pop_2030_2050!B:B, 0)))+0.7*((INDEX(Cooper_pop_2030_2050!F:F, MATCH($A18, Cooper_pop_2030_2050!B:B, 0)))-(INDEX(Cooper_pop_2030_2050!E:E, MATCH($A18, Cooper_pop_2030_2050!B:B, 0))))</f>
        <v>4582869.5431096023</v>
      </c>
      <c r="Z18">
        <f>(INDEX(Cooper_pop_2030_2050!E:E, MATCH($A18, Cooper_pop_2030_2050!B:B, 0)))+0.8*((INDEX(Cooper_pop_2030_2050!F:F, MATCH($A18, Cooper_pop_2030_2050!B:B, 0)))-(INDEX(Cooper_pop_2030_2050!E:E, MATCH($A18, Cooper_pop_2030_2050!B:B, 0))))</f>
        <v>4576686.2028978299</v>
      </c>
      <c r="AA18">
        <f>(INDEX(Cooper_pop_2030_2050!E:E, MATCH($A18, Cooper_pop_2030_2050!B:B, 0)))+0.9*((INDEX(Cooper_pop_2030_2050!F:F, MATCH($A18, Cooper_pop_2030_2050!B:B, 0)))-(INDEX(Cooper_pop_2030_2050!E:E, MATCH($A18, Cooper_pop_2030_2050!B:B, 0))))</f>
        <v>4570502.8626860585</v>
      </c>
      <c r="AB18">
        <f>INDEX(Cooper_pop_2030_2050!F:F, MATCH($A18, Cooper_pop_2030_2050!B:B, 0))</f>
        <v>4564319.5224742861</v>
      </c>
    </row>
    <row r="19" spans="1:28">
      <c r="A19" t="s">
        <v>2903</v>
      </c>
      <c r="B19">
        <f>IFERROR(INDEX(Census_pop_2020_2025!G:G, MATCH("."&amp;$A19, Census_pop_2020_2025!A:A, 0)),INDEX(Census_pop_2020_2025!G:G, MATCH($A19, Census_pop_2020_2025!A:A, 0)))</f>
        <v>4614878</v>
      </c>
      <c r="C19">
        <f>IFERROR(INDEX(Census_pop_2020_2025!H:H, MATCH("."&amp;$A19, Census_pop_2020_2025!A:A, 0)),INDEX(Census_pop_2020_2025!H:H, MATCH($A19, Census_pop_2020_2025!A:A, 0)))</f>
        <v>4618189</v>
      </c>
      <c r="D19">
        <f>(IFERROR(INDEX(Census_pop_2020_2025!H:H, MATCH("."&amp;$A19, Census_pop_2020_2025!A:A, 0)),INDEX(Census_pop_2020_2025!H:H, MATCH($A19, Census_pop_2020_2025!A:A, 0))))+0.2*((INDEX(Cooper_pop_2030_2050!D:D, MATCH($A19, Cooper_pop_2030_2050!B:B, 0)))-(IFERROR(INDEX(Census_pop_2020_2025!H:H, MATCH("."&amp;$A19, Census_pop_2020_2025!A:A, 0)),INDEX(Census_pop_2020_2025!H:H, MATCH($A19, Census_pop_2020_2025!A:A, 0)))))</f>
        <v>4645101.6330057848</v>
      </c>
      <c r="E19">
        <f>(IFERROR(INDEX(Census_pop_2020_2025!H:H, MATCH("."&amp;$A19, Census_pop_2020_2025!A:A, 0)),INDEX(Census_pop_2020_2025!H:H, MATCH($A19, Census_pop_2020_2025!A:A, 0))))+0.4*((INDEX(Cooper_pop_2030_2050!D:D, MATCH($A19, Cooper_pop_2030_2050!B:B, 0)))-(IFERROR(INDEX(Census_pop_2020_2025!H:H, MATCH("."&amp;$A19, Census_pop_2020_2025!A:A, 0)),INDEX(Census_pop_2020_2025!H:H, MATCH($A19, Census_pop_2020_2025!A:A, 0)))))</f>
        <v>4672014.2660115696</v>
      </c>
      <c r="F19">
        <f>(IFERROR(INDEX(Census_pop_2020_2025!H:H, MATCH("."&amp;$A19, Census_pop_2020_2025!A:A, 0)),INDEX(Census_pop_2020_2025!H:H, MATCH($A19, Census_pop_2020_2025!A:A, 0))))+0.6*((INDEX(Cooper_pop_2030_2050!D:D, MATCH($A19, Cooper_pop_2030_2050!B:B, 0)))-(IFERROR(INDEX(Census_pop_2020_2025!H:H, MATCH("."&amp;$A19, Census_pop_2020_2025!A:A, 0)),INDEX(Census_pop_2020_2025!H:H, MATCH($A19, Census_pop_2020_2025!A:A, 0)))))</f>
        <v>4698926.8990173535</v>
      </c>
      <c r="G19">
        <f>(IFERROR(INDEX(Census_pop_2020_2025!H:H, MATCH("."&amp;$A19, Census_pop_2020_2025!A:A, 0)),INDEX(Census_pop_2020_2025!H:H, MATCH($A19, Census_pop_2020_2025!A:A, 0))))+0.8*((INDEX(Cooper_pop_2030_2050!D:D, MATCH($A19, Cooper_pop_2030_2050!B:B, 0)))-(IFERROR(INDEX(Census_pop_2020_2025!H:H, MATCH("."&amp;$A19, Census_pop_2020_2025!A:A, 0)),INDEX(Census_pop_2020_2025!H:H, MATCH($A19, Census_pop_2020_2025!A:A, 0)))))</f>
        <v>4725839.5320231384</v>
      </c>
      <c r="H19">
        <f>INDEX(Cooper_pop_2030_2050!D:D, MATCH($A19, Cooper_pop_2030_2050!B:B, 0))</f>
        <v>4752752.1650289232</v>
      </c>
      <c r="I19">
        <f>(INDEX(Cooper_pop_2030_2050!D:D, MATCH($A19, Cooper_pop_2030_2050!B:B, 0)))+0.1*((INDEX(Cooper_pop_2030_2050!E:E, MATCH($A19, Cooper_pop_2030_2050!B:B, 0)))-(INDEX(Cooper_pop_2030_2050!D:D, MATCH($A19, Cooper_pop_2030_2050!B:B, 0))))</f>
        <v>4746967.398697637</v>
      </c>
      <c r="J19">
        <f>(INDEX(Cooper_pop_2030_2050!D:D, MATCH($A19, Cooper_pop_2030_2050!B:B, 0)))+0.2*((INDEX(Cooper_pop_2030_2050!E:E, MATCH($A19, Cooper_pop_2030_2050!B:B, 0)))-(INDEX(Cooper_pop_2030_2050!D:D, MATCH($A19, Cooper_pop_2030_2050!B:B, 0))))</f>
        <v>4741182.6323663509</v>
      </c>
      <c r="K19">
        <f>(INDEX(Cooper_pop_2030_2050!D:D, MATCH($A19, Cooper_pop_2030_2050!B:B, 0)))+0.3*((INDEX(Cooper_pop_2030_2050!E:E, MATCH($A19, Cooper_pop_2030_2050!B:B, 0)))-(INDEX(Cooper_pop_2030_2050!D:D, MATCH($A19, Cooper_pop_2030_2050!B:B, 0))))</f>
        <v>4735397.8660350647</v>
      </c>
      <c r="L19">
        <f>(INDEX(Cooper_pop_2030_2050!D:D, MATCH($A19, Cooper_pop_2030_2050!B:B, 0)))+0.4*((INDEX(Cooper_pop_2030_2050!E:E, MATCH($A19, Cooper_pop_2030_2050!B:B, 0)))-(INDEX(Cooper_pop_2030_2050!D:D, MATCH($A19, Cooper_pop_2030_2050!B:B, 0))))</f>
        <v>4729613.0997037785</v>
      </c>
      <c r="M19">
        <f>(INDEX(Cooper_pop_2030_2050!D:D, MATCH($A19, Cooper_pop_2030_2050!B:B, 0)))+0.5*((INDEX(Cooper_pop_2030_2050!E:E, MATCH($A19, Cooper_pop_2030_2050!B:B, 0)))-(INDEX(Cooper_pop_2030_2050!D:D, MATCH($A19, Cooper_pop_2030_2050!B:B, 0))))</f>
        <v>4723828.3333724923</v>
      </c>
      <c r="N19">
        <f>(INDEX(Cooper_pop_2030_2050!D:D, MATCH($A19, Cooper_pop_2030_2050!B:B, 0)))+0.6*((INDEX(Cooper_pop_2030_2050!E:E, MATCH($A19, Cooper_pop_2030_2050!B:B, 0)))-(INDEX(Cooper_pop_2030_2050!D:D, MATCH($A19, Cooper_pop_2030_2050!B:B, 0))))</f>
        <v>4718043.5670412052</v>
      </c>
      <c r="O19">
        <f>(INDEX(Cooper_pop_2030_2050!D:D, MATCH($A19, Cooper_pop_2030_2050!B:B, 0)))+0.7*((INDEX(Cooper_pop_2030_2050!E:E, MATCH($A19, Cooper_pop_2030_2050!B:B, 0)))-(INDEX(Cooper_pop_2030_2050!D:D, MATCH($A19, Cooper_pop_2030_2050!B:B, 0))))</f>
        <v>4712258.8007099191</v>
      </c>
      <c r="P19">
        <f>(INDEX(Cooper_pop_2030_2050!D:D, MATCH($A19, Cooper_pop_2030_2050!B:B, 0)))+0.8*((INDEX(Cooper_pop_2030_2050!E:E, MATCH($A19, Cooper_pop_2030_2050!B:B, 0)))-(INDEX(Cooper_pop_2030_2050!D:D, MATCH($A19, Cooper_pop_2030_2050!B:B, 0))))</f>
        <v>4706474.0343786329</v>
      </c>
      <c r="Q19">
        <f>(INDEX(Cooper_pop_2030_2050!D:D, MATCH($A19, Cooper_pop_2030_2050!B:B, 0)))+0.9*((INDEX(Cooper_pop_2030_2050!E:E, MATCH($A19, Cooper_pop_2030_2050!B:B, 0)))-(INDEX(Cooper_pop_2030_2050!D:D, MATCH($A19, Cooper_pop_2030_2050!B:B, 0))))</f>
        <v>4700689.2680473467</v>
      </c>
      <c r="R19">
        <f>INDEX(Cooper_pop_2030_2050!E:E, MATCH($A19, Cooper_pop_2030_2050!B:B, 0))</f>
        <v>4694904.5017160606</v>
      </c>
      <c r="S19">
        <f>(INDEX(Cooper_pop_2030_2050!E:E, MATCH($A19, Cooper_pop_2030_2050!B:B, 0)))+0.1*((INDEX(Cooper_pop_2030_2050!F:F, MATCH($A19, Cooper_pop_2030_2050!B:B, 0)))-(INDEX(Cooper_pop_2030_2050!E:E, MATCH($A19, Cooper_pop_2030_2050!B:B, 0))))</f>
        <v>4683755.6635519266</v>
      </c>
      <c r="T19">
        <f>(INDEX(Cooper_pop_2030_2050!E:E, MATCH($A19, Cooper_pop_2030_2050!B:B, 0)))+0.2*((INDEX(Cooper_pop_2030_2050!F:F, MATCH($A19, Cooper_pop_2030_2050!B:B, 0)))-(INDEX(Cooper_pop_2030_2050!E:E, MATCH($A19, Cooper_pop_2030_2050!B:B, 0))))</f>
        <v>4672606.8253877936</v>
      </c>
      <c r="U19">
        <f>(INDEX(Cooper_pop_2030_2050!E:E, MATCH($A19, Cooper_pop_2030_2050!B:B, 0)))+0.3*((INDEX(Cooper_pop_2030_2050!F:F, MATCH($A19, Cooper_pop_2030_2050!B:B, 0)))-(INDEX(Cooper_pop_2030_2050!E:E, MATCH($A19, Cooper_pop_2030_2050!B:B, 0))))</f>
        <v>4661457.9872236596</v>
      </c>
      <c r="V19">
        <f>(INDEX(Cooper_pop_2030_2050!E:E, MATCH($A19, Cooper_pop_2030_2050!B:B, 0)))+0.4*((INDEX(Cooper_pop_2030_2050!F:F, MATCH($A19, Cooper_pop_2030_2050!B:B, 0)))-(INDEX(Cooper_pop_2030_2050!E:E, MATCH($A19, Cooper_pop_2030_2050!B:B, 0))))</f>
        <v>4650309.1490595266</v>
      </c>
      <c r="W19">
        <f>(INDEX(Cooper_pop_2030_2050!E:E, MATCH($A19, Cooper_pop_2030_2050!B:B, 0)))+0.5*((INDEX(Cooper_pop_2030_2050!F:F, MATCH($A19, Cooper_pop_2030_2050!B:B, 0)))-(INDEX(Cooper_pop_2030_2050!E:E, MATCH($A19, Cooper_pop_2030_2050!B:B, 0))))</f>
        <v>4639160.3108953927</v>
      </c>
      <c r="X19">
        <f>(INDEX(Cooper_pop_2030_2050!E:E, MATCH($A19, Cooper_pop_2030_2050!B:B, 0)))+0.6*((INDEX(Cooper_pop_2030_2050!F:F, MATCH($A19, Cooper_pop_2030_2050!B:B, 0)))-(INDEX(Cooper_pop_2030_2050!E:E, MATCH($A19, Cooper_pop_2030_2050!B:B, 0))))</f>
        <v>4628011.4727312587</v>
      </c>
      <c r="Y19">
        <f>(INDEX(Cooper_pop_2030_2050!E:E, MATCH($A19, Cooper_pop_2030_2050!B:B, 0)))+0.7*((INDEX(Cooper_pop_2030_2050!F:F, MATCH($A19, Cooper_pop_2030_2050!B:B, 0)))-(INDEX(Cooper_pop_2030_2050!E:E, MATCH($A19, Cooper_pop_2030_2050!B:B, 0))))</f>
        <v>4616862.6345671257</v>
      </c>
      <c r="Z19">
        <f>(INDEX(Cooper_pop_2030_2050!E:E, MATCH($A19, Cooper_pop_2030_2050!B:B, 0)))+0.8*((INDEX(Cooper_pop_2030_2050!F:F, MATCH($A19, Cooper_pop_2030_2050!B:B, 0)))-(INDEX(Cooper_pop_2030_2050!E:E, MATCH($A19, Cooper_pop_2030_2050!B:B, 0))))</f>
        <v>4605713.7964029917</v>
      </c>
      <c r="AA19">
        <f>(INDEX(Cooper_pop_2030_2050!E:E, MATCH($A19, Cooper_pop_2030_2050!B:B, 0)))+0.9*((INDEX(Cooper_pop_2030_2050!F:F, MATCH($A19, Cooper_pop_2030_2050!B:B, 0)))-(INDEX(Cooper_pop_2030_2050!E:E, MATCH($A19, Cooper_pop_2030_2050!B:B, 0))))</f>
        <v>4594564.9582388587</v>
      </c>
      <c r="AB19">
        <f>INDEX(Cooper_pop_2030_2050!F:F, MATCH($A19, Cooper_pop_2030_2050!B:B, 0))</f>
        <v>4583416.1200747248</v>
      </c>
    </row>
    <row r="20" spans="1:28">
      <c r="A20" t="s">
        <v>2904</v>
      </c>
      <c r="B20">
        <f>IFERROR(INDEX(Census_pop_2020_2025!G:G, MATCH("."&amp;$A20, Census_pop_2020_2025!A:A, 0)),INDEX(Census_pop_2020_2025!G:G, MATCH($A20, Census_pop_2020_2025!A:A, 0)))</f>
        <v>1408438</v>
      </c>
      <c r="C20">
        <f>IFERROR(INDEX(Census_pop_2020_2025!H:H, MATCH("."&amp;$A20, Census_pop_2020_2025!A:A, 0)),INDEX(Census_pop_2020_2025!H:H, MATCH($A20, Census_pop_2020_2025!A:A, 0)))</f>
        <v>1414874</v>
      </c>
      <c r="D20">
        <f>(IFERROR(INDEX(Census_pop_2020_2025!H:H, MATCH("."&amp;$A20, Census_pop_2020_2025!A:A, 0)),INDEX(Census_pop_2020_2025!H:H, MATCH($A20, Census_pop_2020_2025!A:A, 0))))+0.2*((INDEX(Cooper_pop_2030_2050!D:D, MATCH($A20, Cooper_pop_2030_2050!B:B, 0)))-(IFERROR(INDEX(Census_pop_2020_2025!H:H, MATCH("."&amp;$A20, Census_pop_2020_2025!A:A, 0)),INDEX(Census_pop_2020_2025!H:H, MATCH($A20, Census_pop_2020_2025!A:A, 0)))))</f>
        <v>1409557.7142983722</v>
      </c>
      <c r="E20">
        <f>(IFERROR(INDEX(Census_pop_2020_2025!H:H, MATCH("."&amp;$A20, Census_pop_2020_2025!A:A, 0)),INDEX(Census_pop_2020_2025!H:H, MATCH($A20, Census_pop_2020_2025!A:A, 0))))+0.4*((INDEX(Cooper_pop_2030_2050!D:D, MATCH($A20, Cooper_pop_2030_2050!B:B, 0)))-(IFERROR(INDEX(Census_pop_2020_2025!H:H, MATCH("."&amp;$A20, Census_pop_2020_2025!A:A, 0)),INDEX(Census_pop_2020_2025!H:H, MATCH($A20, Census_pop_2020_2025!A:A, 0)))))</f>
        <v>1404241.4285967443</v>
      </c>
      <c r="F20">
        <f>(IFERROR(INDEX(Census_pop_2020_2025!H:H, MATCH("."&amp;$A20, Census_pop_2020_2025!A:A, 0)),INDEX(Census_pop_2020_2025!H:H, MATCH($A20, Census_pop_2020_2025!A:A, 0))))+0.6*((INDEX(Cooper_pop_2030_2050!D:D, MATCH($A20, Cooper_pop_2030_2050!B:B, 0)))-(IFERROR(INDEX(Census_pop_2020_2025!H:H, MATCH("."&amp;$A20, Census_pop_2020_2025!A:A, 0)),INDEX(Census_pop_2020_2025!H:H, MATCH($A20, Census_pop_2020_2025!A:A, 0)))))</f>
        <v>1398925.1428951167</v>
      </c>
      <c r="G20">
        <f>(IFERROR(INDEX(Census_pop_2020_2025!H:H, MATCH("."&amp;$A20, Census_pop_2020_2025!A:A, 0)),INDEX(Census_pop_2020_2025!H:H, MATCH($A20, Census_pop_2020_2025!A:A, 0))))+0.8*((INDEX(Cooper_pop_2030_2050!D:D, MATCH($A20, Cooper_pop_2030_2050!B:B, 0)))-(IFERROR(INDEX(Census_pop_2020_2025!H:H, MATCH("."&amp;$A20, Census_pop_2020_2025!A:A, 0)),INDEX(Census_pop_2020_2025!H:H, MATCH($A20, Census_pop_2020_2025!A:A, 0)))))</f>
        <v>1393608.8571934889</v>
      </c>
      <c r="H20">
        <f>INDEX(Cooper_pop_2030_2050!D:D, MATCH($A20, Cooper_pop_2030_2050!B:B, 0))</f>
        <v>1388292.571491861</v>
      </c>
      <c r="I20">
        <f>(INDEX(Cooper_pop_2030_2050!D:D, MATCH($A20, Cooper_pop_2030_2050!B:B, 0)))+0.1*((INDEX(Cooper_pop_2030_2050!E:E, MATCH($A20, Cooper_pop_2030_2050!B:B, 0)))-(INDEX(Cooper_pop_2030_2050!D:D, MATCH($A20, Cooper_pop_2030_2050!B:B, 0))))</f>
        <v>1386356.7343629501</v>
      </c>
      <c r="J20">
        <f>(INDEX(Cooper_pop_2030_2050!D:D, MATCH($A20, Cooper_pop_2030_2050!B:B, 0)))+0.2*((INDEX(Cooper_pop_2030_2050!E:E, MATCH($A20, Cooper_pop_2030_2050!B:B, 0)))-(INDEX(Cooper_pop_2030_2050!D:D, MATCH($A20, Cooper_pop_2030_2050!B:B, 0))))</f>
        <v>1384420.8972340389</v>
      </c>
      <c r="K20">
        <f>(INDEX(Cooper_pop_2030_2050!D:D, MATCH($A20, Cooper_pop_2030_2050!B:B, 0)))+0.3*((INDEX(Cooper_pop_2030_2050!E:E, MATCH($A20, Cooper_pop_2030_2050!B:B, 0)))-(INDEX(Cooper_pop_2030_2050!D:D, MATCH($A20, Cooper_pop_2030_2050!B:B, 0))))</f>
        <v>1382485.060105128</v>
      </c>
      <c r="L20">
        <f>(INDEX(Cooper_pop_2030_2050!D:D, MATCH($A20, Cooper_pop_2030_2050!B:B, 0)))+0.4*((INDEX(Cooper_pop_2030_2050!E:E, MATCH($A20, Cooper_pop_2030_2050!B:B, 0)))-(INDEX(Cooper_pop_2030_2050!D:D, MATCH($A20, Cooper_pop_2030_2050!B:B, 0))))</f>
        <v>1380549.222976217</v>
      </c>
      <c r="M20">
        <f>(INDEX(Cooper_pop_2030_2050!D:D, MATCH($A20, Cooper_pop_2030_2050!B:B, 0)))+0.5*((INDEX(Cooper_pop_2030_2050!E:E, MATCH($A20, Cooper_pop_2030_2050!B:B, 0)))-(INDEX(Cooper_pop_2030_2050!D:D, MATCH($A20, Cooper_pop_2030_2050!B:B, 0))))</f>
        <v>1378613.3858473059</v>
      </c>
      <c r="N20">
        <f>(INDEX(Cooper_pop_2030_2050!D:D, MATCH($A20, Cooper_pop_2030_2050!B:B, 0)))+0.6*((INDEX(Cooper_pop_2030_2050!E:E, MATCH($A20, Cooper_pop_2030_2050!B:B, 0)))-(INDEX(Cooper_pop_2030_2050!D:D, MATCH($A20, Cooper_pop_2030_2050!B:B, 0))))</f>
        <v>1376677.5487183949</v>
      </c>
      <c r="O20">
        <f>(INDEX(Cooper_pop_2030_2050!D:D, MATCH($A20, Cooper_pop_2030_2050!B:B, 0)))+0.7*((INDEX(Cooper_pop_2030_2050!E:E, MATCH($A20, Cooper_pop_2030_2050!B:B, 0)))-(INDEX(Cooper_pop_2030_2050!D:D, MATCH($A20, Cooper_pop_2030_2050!B:B, 0))))</f>
        <v>1374741.711589484</v>
      </c>
      <c r="P20">
        <f>(INDEX(Cooper_pop_2030_2050!D:D, MATCH($A20, Cooper_pop_2030_2050!B:B, 0)))+0.8*((INDEX(Cooper_pop_2030_2050!E:E, MATCH($A20, Cooper_pop_2030_2050!B:B, 0)))-(INDEX(Cooper_pop_2030_2050!D:D, MATCH($A20, Cooper_pop_2030_2050!B:B, 0))))</f>
        <v>1372805.8744605731</v>
      </c>
      <c r="Q20">
        <f>(INDEX(Cooper_pop_2030_2050!D:D, MATCH($A20, Cooper_pop_2030_2050!B:B, 0)))+0.9*((INDEX(Cooper_pop_2030_2050!E:E, MATCH($A20, Cooper_pop_2030_2050!B:B, 0)))-(INDEX(Cooper_pop_2030_2050!D:D, MATCH($A20, Cooper_pop_2030_2050!B:B, 0))))</f>
        <v>1370870.0373316619</v>
      </c>
      <c r="R20">
        <f>INDEX(Cooper_pop_2030_2050!E:E, MATCH($A20, Cooper_pop_2030_2050!B:B, 0))</f>
        <v>1368934.200202751</v>
      </c>
      <c r="S20">
        <f>(INDEX(Cooper_pop_2030_2050!E:E, MATCH($A20, Cooper_pop_2030_2050!B:B, 0)))+0.1*((INDEX(Cooper_pop_2030_2050!F:F, MATCH($A20, Cooper_pop_2030_2050!B:B, 0)))-(INDEX(Cooper_pop_2030_2050!E:E, MATCH($A20, Cooper_pop_2030_2050!B:B, 0))))</f>
        <v>1365443.621032065</v>
      </c>
      <c r="T20">
        <f>(INDEX(Cooper_pop_2030_2050!E:E, MATCH($A20, Cooper_pop_2030_2050!B:B, 0)))+0.2*((INDEX(Cooper_pop_2030_2050!F:F, MATCH($A20, Cooper_pop_2030_2050!B:B, 0)))-(INDEX(Cooper_pop_2030_2050!E:E, MATCH($A20, Cooper_pop_2030_2050!B:B, 0))))</f>
        <v>1361953.0418613793</v>
      </c>
      <c r="U20">
        <f>(INDEX(Cooper_pop_2030_2050!E:E, MATCH($A20, Cooper_pop_2030_2050!B:B, 0)))+0.3*((INDEX(Cooper_pop_2030_2050!F:F, MATCH($A20, Cooper_pop_2030_2050!B:B, 0)))-(INDEX(Cooper_pop_2030_2050!E:E, MATCH($A20, Cooper_pop_2030_2050!B:B, 0))))</f>
        <v>1358462.4626906933</v>
      </c>
      <c r="V20">
        <f>(INDEX(Cooper_pop_2030_2050!E:E, MATCH($A20, Cooper_pop_2030_2050!B:B, 0)))+0.4*((INDEX(Cooper_pop_2030_2050!F:F, MATCH($A20, Cooper_pop_2030_2050!B:B, 0)))-(INDEX(Cooper_pop_2030_2050!E:E, MATCH($A20, Cooper_pop_2030_2050!B:B, 0))))</f>
        <v>1354971.8835200074</v>
      </c>
      <c r="W20">
        <f>(INDEX(Cooper_pop_2030_2050!E:E, MATCH($A20, Cooper_pop_2030_2050!B:B, 0)))+0.5*((INDEX(Cooper_pop_2030_2050!F:F, MATCH($A20, Cooper_pop_2030_2050!B:B, 0)))-(INDEX(Cooper_pop_2030_2050!E:E, MATCH($A20, Cooper_pop_2030_2050!B:B, 0))))</f>
        <v>1351481.3043493214</v>
      </c>
      <c r="X20">
        <f>(INDEX(Cooper_pop_2030_2050!E:E, MATCH($A20, Cooper_pop_2030_2050!B:B, 0)))+0.6*((INDEX(Cooper_pop_2030_2050!F:F, MATCH($A20, Cooper_pop_2030_2050!B:B, 0)))-(INDEX(Cooper_pop_2030_2050!E:E, MATCH($A20, Cooper_pop_2030_2050!B:B, 0))))</f>
        <v>1347990.7251786357</v>
      </c>
      <c r="Y20">
        <f>(INDEX(Cooper_pop_2030_2050!E:E, MATCH($A20, Cooper_pop_2030_2050!B:B, 0)))+0.7*((INDEX(Cooper_pop_2030_2050!F:F, MATCH($A20, Cooper_pop_2030_2050!B:B, 0)))-(INDEX(Cooper_pop_2030_2050!E:E, MATCH($A20, Cooper_pop_2030_2050!B:B, 0))))</f>
        <v>1344500.1460079497</v>
      </c>
      <c r="Z20">
        <f>(INDEX(Cooper_pop_2030_2050!E:E, MATCH($A20, Cooper_pop_2030_2050!B:B, 0)))+0.8*((INDEX(Cooper_pop_2030_2050!F:F, MATCH($A20, Cooper_pop_2030_2050!B:B, 0)))-(INDEX(Cooper_pop_2030_2050!E:E, MATCH($A20, Cooper_pop_2030_2050!B:B, 0))))</f>
        <v>1341009.5668372638</v>
      </c>
      <c r="AA20">
        <f>(INDEX(Cooper_pop_2030_2050!E:E, MATCH($A20, Cooper_pop_2030_2050!B:B, 0)))+0.9*((INDEX(Cooper_pop_2030_2050!F:F, MATCH($A20, Cooper_pop_2030_2050!B:B, 0)))-(INDEX(Cooper_pop_2030_2050!E:E, MATCH($A20, Cooper_pop_2030_2050!B:B, 0))))</f>
        <v>1337518.987666578</v>
      </c>
      <c r="AB20">
        <f>INDEX(Cooper_pop_2030_2050!F:F, MATCH($A20, Cooper_pop_2030_2050!B:B, 0))</f>
        <v>1334028.4084958921</v>
      </c>
    </row>
    <row r="21" spans="1:28">
      <c r="A21" t="s">
        <v>2905</v>
      </c>
      <c r="B21">
        <f>IFERROR(INDEX(Census_pop_2020_2025!G:G, MATCH("."&amp;$A21, Census_pop_2020_2025!A:A, 0)),INDEX(Census_pop_2020_2025!G:G, MATCH($A21, Census_pop_2020_2025!A:A, 0)))</f>
        <v>6245314</v>
      </c>
      <c r="C21">
        <f>IFERROR(INDEX(Census_pop_2020_2025!H:H, MATCH("."&amp;$A21, Census_pop_2020_2025!A:A, 0)),INDEX(Census_pop_2020_2025!H:H, MATCH($A21, Census_pop_2020_2025!A:A, 0)))</f>
        <v>6265347</v>
      </c>
      <c r="D21">
        <f>(IFERROR(INDEX(Census_pop_2020_2025!H:H, MATCH("."&amp;$A21, Census_pop_2020_2025!A:A, 0)),INDEX(Census_pop_2020_2025!H:H, MATCH($A21, Census_pop_2020_2025!A:A, 0))))+0.2*((INDEX(Cooper_pop_2030_2050!D:D, MATCH($A21, Cooper_pop_2030_2050!B:B, 0)))-(IFERROR(INDEX(Census_pop_2020_2025!H:H, MATCH("."&amp;$A21, Census_pop_2020_2025!A:A, 0)),INDEX(Census_pop_2020_2025!H:H, MATCH($A21, Census_pop_2020_2025!A:A, 0)))))</f>
        <v>6311095.5714549385</v>
      </c>
      <c r="E21">
        <f>(IFERROR(INDEX(Census_pop_2020_2025!H:H, MATCH("."&amp;$A21, Census_pop_2020_2025!A:A, 0)),INDEX(Census_pop_2020_2025!H:H, MATCH($A21, Census_pop_2020_2025!A:A, 0))))+0.4*((INDEX(Cooper_pop_2030_2050!D:D, MATCH($A21, Cooper_pop_2030_2050!B:B, 0)))-(IFERROR(INDEX(Census_pop_2020_2025!H:H, MATCH("."&amp;$A21, Census_pop_2020_2025!A:A, 0)),INDEX(Census_pop_2020_2025!H:H, MATCH($A21, Census_pop_2020_2025!A:A, 0)))))</f>
        <v>6356844.1429098761</v>
      </c>
      <c r="F21">
        <f>(IFERROR(INDEX(Census_pop_2020_2025!H:H, MATCH("."&amp;$A21, Census_pop_2020_2025!A:A, 0)),INDEX(Census_pop_2020_2025!H:H, MATCH($A21, Census_pop_2020_2025!A:A, 0))))+0.6*((INDEX(Cooper_pop_2030_2050!D:D, MATCH($A21, Cooper_pop_2030_2050!B:B, 0)))-(IFERROR(INDEX(Census_pop_2020_2025!H:H, MATCH("."&amp;$A21, Census_pop_2020_2025!A:A, 0)),INDEX(Census_pop_2020_2025!H:H, MATCH($A21, Census_pop_2020_2025!A:A, 0)))))</f>
        <v>6402592.7143648146</v>
      </c>
      <c r="G21">
        <f>(IFERROR(INDEX(Census_pop_2020_2025!H:H, MATCH("."&amp;$A21, Census_pop_2020_2025!A:A, 0)),INDEX(Census_pop_2020_2025!H:H, MATCH($A21, Census_pop_2020_2025!A:A, 0))))+0.8*((INDEX(Cooper_pop_2030_2050!D:D, MATCH($A21, Cooper_pop_2030_2050!B:B, 0)))-(IFERROR(INDEX(Census_pop_2020_2025!H:H, MATCH("."&amp;$A21, Census_pop_2020_2025!A:A, 0)),INDEX(Census_pop_2020_2025!H:H, MATCH($A21, Census_pop_2020_2025!A:A, 0)))))</f>
        <v>6448341.2858197521</v>
      </c>
      <c r="H21">
        <f>INDEX(Cooper_pop_2030_2050!D:D, MATCH($A21, Cooper_pop_2030_2050!B:B, 0))</f>
        <v>6494089.8572746906</v>
      </c>
      <c r="I21">
        <f>(INDEX(Cooper_pop_2030_2050!D:D, MATCH($A21, Cooper_pop_2030_2050!B:B, 0)))+0.1*((INDEX(Cooper_pop_2030_2050!E:E, MATCH($A21, Cooper_pop_2030_2050!B:B, 0)))-(INDEX(Cooper_pop_2030_2050!D:D, MATCH($A21, Cooper_pop_2030_2050!B:B, 0))))</f>
        <v>6512708.903988569</v>
      </c>
      <c r="J21">
        <f>(INDEX(Cooper_pop_2030_2050!D:D, MATCH($A21, Cooper_pop_2030_2050!B:B, 0)))+0.2*((INDEX(Cooper_pop_2030_2050!E:E, MATCH($A21, Cooper_pop_2030_2050!B:B, 0)))-(INDEX(Cooper_pop_2030_2050!D:D, MATCH($A21, Cooper_pop_2030_2050!B:B, 0))))</f>
        <v>6531327.9507024484</v>
      </c>
      <c r="K21">
        <f>(INDEX(Cooper_pop_2030_2050!D:D, MATCH($A21, Cooper_pop_2030_2050!B:B, 0)))+0.3*((INDEX(Cooper_pop_2030_2050!E:E, MATCH($A21, Cooper_pop_2030_2050!B:B, 0)))-(INDEX(Cooper_pop_2030_2050!D:D, MATCH($A21, Cooper_pop_2030_2050!B:B, 0))))</f>
        <v>6549946.9974163268</v>
      </c>
      <c r="L21">
        <f>(INDEX(Cooper_pop_2030_2050!D:D, MATCH($A21, Cooper_pop_2030_2050!B:B, 0)))+0.4*((INDEX(Cooper_pop_2030_2050!E:E, MATCH($A21, Cooper_pop_2030_2050!B:B, 0)))-(INDEX(Cooper_pop_2030_2050!D:D, MATCH($A21, Cooper_pop_2030_2050!B:B, 0))))</f>
        <v>6568566.0441302061</v>
      </c>
      <c r="M21">
        <f>(INDEX(Cooper_pop_2030_2050!D:D, MATCH($A21, Cooper_pop_2030_2050!B:B, 0)))+0.5*((INDEX(Cooper_pop_2030_2050!E:E, MATCH($A21, Cooper_pop_2030_2050!B:B, 0)))-(INDEX(Cooper_pop_2030_2050!D:D, MATCH($A21, Cooper_pop_2030_2050!B:B, 0))))</f>
        <v>6587185.0908440845</v>
      </c>
      <c r="N21">
        <f>(INDEX(Cooper_pop_2030_2050!D:D, MATCH($A21, Cooper_pop_2030_2050!B:B, 0)))+0.6*((INDEX(Cooper_pop_2030_2050!E:E, MATCH($A21, Cooper_pop_2030_2050!B:B, 0)))-(INDEX(Cooper_pop_2030_2050!D:D, MATCH($A21, Cooper_pop_2030_2050!B:B, 0))))</f>
        <v>6605804.1375579629</v>
      </c>
      <c r="O21">
        <f>(INDEX(Cooper_pop_2030_2050!D:D, MATCH($A21, Cooper_pop_2030_2050!B:B, 0)))+0.7*((INDEX(Cooper_pop_2030_2050!E:E, MATCH($A21, Cooper_pop_2030_2050!B:B, 0)))-(INDEX(Cooper_pop_2030_2050!D:D, MATCH($A21, Cooper_pop_2030_2050!B:B, 0))))</f>
        <v>6624423.1842718422</v>
      </c>
      <c r="P21">
        <f>(INDEX(Cooper_pop_2030_2050!D:D, MATCH($A21, Cooper_pop_2030_2050!B:B, 0)))+0.8*((INDEX(Cooper_pop_2030_2050!E:E, MATCH($A21, Cooper_pop_2030_2050!B:B, 0)))-(INDEX(Cooper_pop_2030_2050!D:D, MATCH($A21, Cooper_pop_2030_2050!B:B, 0))))</f>
        <v>6643042.2309857206</v>
      </c>
      <c r="Q21">
        <f>(INDEX(Cooper_pop_2030_2050!D:D, MATCH($A21, Cooper_pop_2030_2050!B:B, 0)))+0.9*((INDEX(Cooper_pop_2030_2050!E:E, MATCH($A21, Cooper_pop_2030_2050!B:B, 0)))-(INDEX(Cooper_pop_2030_2050!D:D, MATCH($A21, Cooper_pop_2030_2050!B:B, 0))))</f>
        <v>6661661.2776996</v>
      </c>
      <c r="R21">
        <f>INDEX(Cooper_pop_2030_2050!E:E, MATCH($A21, Cooper_pop_2030_2050!B:B, 0))</f>
        <v>6680280.3244134784</v>
      </c>
      <c r="S21">
        <f>(INDEX(Cooper_pop_2030_2050!E:E, MATCH($A21, Cooper_pop_2030_2050!B:B, 0)))+0.1*((INDEX(Cooper_pop_2030_2050!F:F, MATCH($A21, Cooper_pop_2030_2050!B:B, 0)))-(INDEX(Cooper_pop_2030_2050!E:E, MATCH($A21, Cooper_pop_2030_2050!B:B, 0))))</f>
        <v>6691380.878146572</v>
      </c>
      <c r="T21">
        <f>(INDEX(Cooper_pop_2030_2050!E:E, MATCH($A21, Cooper_pop_2030_2050!B:B, 0)))+0.2*((INDEX(Cooper_pop_2030_2050!F:F, MATCH($A21, Cooper_pop_2030_2050!B:B, 0)))-(INDEX(Cooper_pop_2030_2050!E:E, MATCH($A21, Cooper_pop_2030_2050!B:B, 0))))</f>
        <v>6702481.4318796648</v>
      </c>
      <c r="U21">
        <f>(INDEX(Cooper_pop_2030_2050!E:E, MATCH($A21, Cooper_pop_2030_2050!B:B, 0)))+0.3*((INDEX(Cooper_pop_2030_2050!F:F, MATCH($A21, Cooper_pop_2030_2050!B:B, 0)))-(INDEX(Cooper_pop_2030_2050!E:E, MATCH($A21, Cooper_pop_2030_2050!B:B, 0))))</f>
        <v>6713581.9856127584</v>
      </c>
      <c r="V21">
        <f>(INDEX(Cooper_pop_2030_2050!E:E, MATCH($A21, Cooper_pop_2030_2050!B:B, 0)))+0.4*((INDEX(Cooper_pop_2030_2050!F:F, MATCH($A21, Cooper_pop_2030_2050!B:B, 0)))-(INDEX(Cooper_pop_2030_2050!E:E, MATCH($A21, Cooper_pop_2030_2050!B:B, 0))))</f>
        <v>6724682.5393458521</v>
      </c>
      <c r="W21">
        <f>(INDEX(Cooper_pop_2030_2050!E:E, MATCH($A21, Cooper_pop_2030_2050!B:B, 0)))+0.5*((INDEX(Cooper_pop_2030_2050!F:F, MATCH($A21, Cooper_pop_2030_2050!B:B, 0)))-(INDEX(Cooper_pop_2030_2050!E:E, MATCH($A21, Cooper_pop_2030_2050!B:B, 0))))</f>
        <v>6735783.0930789448</v>
      </c>
      <c r="X21">
        <f>(INDEX(Cooper_pop_2030_2050!E:E, MATCH($A21, Cooper_pop_2030_2050!B:B, 0)))+0.6*((INDEX(Cooper_pop_2030_2050!F:F, MATCH($A21, Cooper_pop_2030_2050!B:B, 0)))-(INDEX(Cooper_pop_2030_2050!E:E, MATCH($A21, Cooper_pop_2030_2050!B:B, 0))))</f>
        <v>6746883.6468120385</v>
      </c>
      <c r="Y21">
        <f>(INDEX(Cooper_pop_2030_2050!E:E, MATCH($A21, Cooper_pop_2030_2050!B:B, 0)))+0.7*((INDEX(Cooper_pop_2030_2050!F:F, MATCH($A21, Cooper_pop_2030_2050!B:B, 0)))-(INDEX(Cooper_pop_2030_2050!E:E, MATCH($A21, Cooper_pop_2030_2050!B:B, 0))))</f>
        <v>6757984.2005451322</v>
      </c>
      <c r="Z21">
        <f>(INDEX(Cooper_pop_2030_2050!E:E, MATCH($A21, Cooper_pop_2030_2050!B:B, 0)))+0.8*((INDEX(Cooper_pop_2030_2050!F:F, MATCH($A21, Cooper_pop_2030_2050!B:B, 0)))-(INDEX(Cooper_pop_2030_2050!E:E, MATCH($A21, Cooper_pop_2030_2050!B:B, 0))))</f>
        <v>6769084.7542782258</v>
      </c>
      <c r="AA21">
        <f>(INDEX(Cooper_pop_2030_2050!E:E, MATCH($A21, Cooper_pop_2030_2050!B:B, 0)))+0.9*((INDEX(Cooper_pop_2030_2050!F:F, MATCH($A21, Cooper_pop_2030_2050!B:B, 0)))-(INDEX(Cooper_pop_2030_2050!E:E, MATCH($A21, Cooper_pop_2030_2050!B:B, 0))))</f>
        <v>6780185.3080113186</v>
      </c>
      <c r="AB21">
        <f>INDEX(Cooper_pop_2030_2050!F:F, MATCH($A21, Cooper_pop_2030_2050!B:B, 0))</f>
        <v>6791285.8617444122</v>
      </c>
    </row>
    <row r="22" spans="1:28">
      <c r="A22" t="s">
        <v>2906</v>
      </c>
      <c r="B22">
        <f>IFERROR(INDEX(Census_pop_2020_2025!G:G, MATCH("."&amp;$A22, Census_pop_2020_2025!A:A, 0)),INDEX(Census_pop_2020_2025!G:G, MATCH($A22, Census_pop_2020_2025!A:A, 0)))</f>
        <v>7138560</v>
      </c>
      <c r="C22">
        <f>IFERROR(INDEX(Census_pop_2020_2025!H:H, MATCH("."&amp;$A22, Census_pop_2020_2025!A:A, 0)),INDEX(Census_pop_2020_2025!H:H, MATCH($A22, Census_pop_2020_2025!A:A, 0)))</f>
        <v>7154084</v>
      </c>
      <c r="D22">
        <f>(IFERROR(INDEX(Census_pop_2020_2025!H:H, MATCH("."&amp;$A22, Census_pop_2020_2025!A:A, 0)),INDEX(Census_pop_2020_2025!H:H, MATCH($A22, Census_pop_2020_2025!A:A, 0))))+0.2*((INDEX(Cooper_pop_2030_2050!D:D, MATCH($A22, Cooper_pop_2030_2050!B:B, 0)))-(IFERROR(INDEX(Census_pop_2020_2025!H:H, MATCH("."&amp;$A22, Census_pop_2020_2025!A:A, 0)),INDEX(Census_pop_2020_2025!H:H, MATCH($A22, Census_pop_2020_2025!A:A, 0)))))</f>
        <v>7205146.2571557732</v>
      </c>
      <c r="E22">
        <f>(IFERROR(INDEX(Census_pop_2020_2025!H:H, MATCH("."&amp;$A22, Census_pop_2020_2025!A:A, 0)),INDEX(Census_pop_2020_2025!H:H, MATCH($A22, Census_pop_2020_2025!A:A, 0))))+0.4*((INDEX(Cooper_pop_2030_2050!D:D, MATCH($A22, Cooper_pop_2030_2050!B:B, 0)))-(IFERROR(INDEX(Census_pop_2020_2025!H:H, MATCH("."&amp;$A22, Census_pop_2020_2025!A:A, 0)),INDEX(Census_pop_2020_2025!H:H, MATCH($A22, Census_pop_2020_2025!A:A, 0)))))</f>
        <v>7256208.5143115465</v>
      </c>
      <c r="F22">
        <f>(IFERROR(INDEX(Census_pop_2020_2025!H:H, MATCH("."&amp;$A22, Census_pop_2020_2025!A:A, 0)),INDEX(Census_pop_2020_2025!H:H, MATCH($A22, Census_pop_2020_2025!A:A, 0))))+0.6*((INDEX(Cooper_pop_2030_2050!D:D, MATCH($A22, Cooper_pop_2030_2050!B:B, 0)))-(IFERROR(INDEX(Census_pop_2020_2025!H:H, MATCH("."&amp;$A22, Census_pop_2020_2025!A:A, 0)),INDEX(Census_pop_2020_2025!H:H, MATCH($A22, Census_pop_2020_2025!A:A, 0)))))</f>
        <v>7307270.7714673206</v>
      </c>
      <c r="G22">
        <f>(IFERROR(INDEX(Census_pop_2020_2025!H:H, MATCH("."&amp;$A22, Census_pop_2020_2025!A:A, 0)),INDEX(Census_pop_2020_2025!H:H, MATCH($A22, Census_pop_2020_2025!A:A, 0))))+0.8*((INDEX(Cooper_pop_2030_2050!D:D, MATCH($A22, Cooper_pop_2030_2050!B:B, 0)))-(IFERROR(INDEX(Census_pop_2020_2025!H:H, MATCH("."&amp;$A22, Census_pop_2020_2025!A:A, 0)),INDEX(Census_pop_2020_2025!H:H, MATCH($A22, Census_pop_2020_2025!A:A, 0)))))</f>
        <v>7358333.0286230939</v>
      </c>
      <c r="H22">
        <f>INDEX(Cooper_pop_2030_2050!D:D, MATCH($A22, Cooper_pop_2030_2050!B:B, 0))</f>
        <v>7409395.2857788671</v>
      </c>
      <c r="I22">
        <f>(INDEX(Cooper_pop_2030_2050!D:D, MATCH($A22, Cooper_pop_2030_2050!B:B, 0)))+0.1*((INDEX(Cooper_pop_2030_2050!E:E, MATCH($A22, Cooper_pop_2030_2050!B:B, 0)))-(INDEX(Cooper_pop_2030_2050!D:D, MATCH($A22, Cooper_pop_2030_2050!B:B, 0))))</f>
        <v>7433303.5605832683</v>
      </c>
      <c r="J22">
        <f>(INDEX(Cooper_pop_2030_2050!D:D, MATCH($A22, Cooper_pop_2030_2050!B:B, 0)))+0.2*((INDEX(Cooper_pop_2030_2050!E:E, MATCH($A22, Cooper_pop_2030_2050!B:B, 0)))-(INDEX(Cooper_pop_2030_2050!D:D, MATCH($A22, Cooper_pop_2030_2050!B:B, 0))))</f>
        <v>7457211.8353876686</v>
      </c>
      <c r="K22">
        <f>(INDEX(Cooper_pop_2030_2050!D:D, MATCH($A22, Cooper_pop_2030_2050!B:B, 0)))+0.3*((INDEX(Cooper_pop_2030_2050!E:E, MATCH($A22, Cooper_pop_2030_2050!B:B, 0)))-(INDEX(Cooper_pop_2030_2050!D:D, MATCH($A22, Cooper_pop_2030_2050!B:B, 0))))</f>
        <v>7481120.1101920698</v>
      </c>
      <c r="L22">
        <f>(INDEX(Cooper_pop_2030_2050!D:D, MATCH($A22, Cooper_pop_2030_2050!B:B, 0)))+0.4*((INDEX(Cooper_pop_2030_2050!E:E, MATCH($A22, Cooper_pop_2030_2050!B:B, 0)))-(INDEX(Cooper_pop_2030_2050!D:D, MATCH($A22, Cooper_pop_2030_2050!B:B, 0))))</f>
        <v>7505028.384996471</v>
      </c>
      <c r="M22">
        <f>(INDEX(Cooper_pop_2030_2050!D:D, MATCH($A22, Cooper_pop_2030_2050!B:B, 0)))+0.5*((INDEX(Cooper_pop_2030_2050!E:E, MATCH($A22, Cooper_pop_2030_2050!B:B, 0)))-(INDEX(Cooper_pop_2030_2050!D:D, MATCH($A22, Cooper_pop_2030_2050!B:B, 0))))</f>
        <v>7528936.6598008722</v>
      </c>
      <c r="N22">
        <f>(INDEX(Cooper_pop_2030_2050!D:D, MATCH($A22, Cooper_pop_2030_2050!B:B, 0)))+0.6*((INDEX(Cooper_pop_2030_2050!E:E, MATCH($A22, Cooper_pop_2030_2050!B:B, 0)))-(INDEX(Cooper_pop_2030_2050!D:D, MATCH($A22, Cooper_pop_2030_2050!B:B, 0))))</f>
        <v>7552844.9346052725</v>
      </c>
      <c r="O22">
        <f>(INDEX(Cooper_pop_2030_2050!D:D, MATCH($A22, Cooper_pop_2030_2050!B:B, 0)))+0.7*((INDEX(Cooper_pop_2030_2050!E:E, MATCH($A22, Cooper_pop_2030_2050!B:B, 0)))-(INDEX(Cooper_pop_2030_2050!D:D, MATCH($A22, Cooper_pop_2030_2050!B:B, 0))))</f>
        <v>7576753.2094096737</v>
      </c>
      <c r="P22">
        <f>(INDEX(Cooper_pop_2030_2050!D:D, MATCH($A22, Cooper_pop_2030_2050!B:B, 0)))+0.8*((INDEX(Cooper_pop_2030_2050!E:E, MATCH($A22, Cooper_pop_2030_2050!B:B, 0)))-(INDEX(Cooper_pop_2030_2050!D:D, MATCH($A22, Cooper_pop_2030_2050!B:B, 0))))</f>
        <v>7600661.4842140749</v>
      </c>
      <c r="Q22">
        <f>(INDEX(Cooper_pop_2030_2050!D:D, MATCH($A22, Cooper_pop_2030_2050!B:B, 0)))+0.9*((INDEX(Cooper_pop_2030_2050!E:E, MATCH($A22, Cooper_pop_2030_2050!B:B, 0)))-(INDEX(Cooper_pop_2030_2050!D:D, MATCH($A22, Cooper_pop_2030_2050!B:B, 0))))</f>
        <v>7624569.7590184752</v>
      </c>
      <c r="R22">
        <f>INDEX(Cooper_pop_2030_2050!E:E, MATCH($A22, Cooper_pop_2030_2050!B:B, 0))</f>
        <v>7648478.0338228764</v>
      </c>
      <c r="S22">
        <f>(INDEX(Cooper_pop_2030_2050!E:E, MATCH($A22, Cooper_pop_2030_2050!B:B, 0)))+0.1*((INDEX(Cooper_pop_2030_2050!F:F, MATCH($A22, Cooper_pop_2030_2050!B:B, 0)))-(INDEX(Cooper_pop_2030_2050!E:E, MATCH($A22, Cooper_pop_2030_2050!B:B, 0))))</f>
        <v>7663906.1666591959</v>
      </c>
      <c r="T22">
        <f>(INDEX(Cooper_pop_2030_2050!E:E, MATCH($A22, Cooper_pop_2030_2050!B:B, 0)))+0.2*((INDEX(Cooper_pop_2030_2050!F:F, MATCH($A22, Cooper_pop_2030_2050!B:B, 0)))-(INDEX(Cooper_pop_2030_2050!E:E, MATCH($A22, Cooper_pop_2030_2050!B:B, 0))))</f>
        <v>7679334.2994955163</v>
      </c>
      <c r="U22">
        <f>(INDEX(Cooper_pop_2030_2050!E:E, MATCH($A22, Cooper_pop_2030_2050!B:B, 0)))+0.3*((INDEX(Cooper_pop_2030_2050!F:F, MATCH($A22, Cooper_pop_2030_2050!B:B, 0)))-(INDEX(Cooper_pop_2030_2050!E:E, MATCH($A22, Cooper_pop_2030_2050!B:B, 0))))</f>
        <v>7694762.4323318359</v>
      </c>
      <c r="V22">
        <f>(INDEX(Cooper_pop_2030_2050!E:E, MATCH($A22, Cooper_pop_2030_2050!B:B, 0)))+0.4*((INDEX(Cooper_pop_2030_2050!F:F, MATCH($A22, Cooper_pop_2030_2050!B:B, 0)))-(INDEX(Cooper_pop_2030_2050!E:E, MATCH($A22, Cooper_pop_2030_2050!B:B, 0))))</f>
        <v>7710190.5651681563</v>
      </c>
      <c r="W22">
        <f>(INDEX(Cooper_pop_2030_2050!E:E, MATCH($A22, Cooper_pop_2030_2050!B:B, 0)))+0.5*((INDEX(Cooper_pop_2030_2050!F:F, MATCH($A22, Cooper_pop_2030_2050!B:B, 0)))-(INDEX(Cooper_pop_2030_2050!E:E, MATCH($A22, Cooper_pop_2030_2050!B:B, 0))))</f>
        <v>7725618.6980044758</v>
      </c>
      <c r="X22">
        <f>(INDEX(Cooper_pop_2030_2050!E:E, MATCH($A22, Cooper_pop_2030_2050!B:B, 0)))+0.6*((INDEX(Cooper_pop_2030_2050!F:F, MATCH($A22, Cooper_pop_2030_2050!B:B, 0)))-(INDEX(Cooper_pop_2030_2050!E:E, MATCH($A22, Cooper_pop_2030_2050!B:B, 0))))</f>
        <v>7741046.8308407953</v>
      </c>
      <c r="Y22">
        <f>(INDEX(Cooper_pop_2030_2050!E:E, MATCH($A22, Cooper_pop_2030_2050!B:B, 0)))+0.7*((INDEX(Cooper_pop_2030_2050!F:F, MATCH($A22, Cooper_pop_2030_2050!B:B, 0)))-(INDEX(Cooper_pop_2030_2050!E:E, MATCH($A22, Cooper_pop_2030_2050!B:B, 0))))</f>
        <v>7756474.9636771157</v>
      </c>
      <c r="Z22">
        <f>(INDEX(Cooper_pop_2030_2050!E:E, MATCH($A22, Cooper_pop_2030_2050!B:B, 0)))+0.8*((INDEX(Cooper_pop_2030_2050!F:F, MATCH($A22, Cooper_pop_2030_2050!B:B, 0)))-(INDEX(Cooper_pop_2030_2050!E:E, MATCH($A22, Cooper_pop_2030_2050!B:B, 0))))</f>
        <v>7771903.0965134352</v>
      </c>
      <c r="AA22">
        <f>(INDEX(Cooper_pop_2030_2050!E:E, MATCH($A22, Cooper_pop_2030_2050!B:B, 0)))+0.9*((INDEX(Cooper_pop_2030_2050!F:F, MATCH($A22, Cooper_pop_2030_2050!B:B, 0)))-(INDEX(Cooper_pop_2030_2050!E:E, MATCH($A22, Cooper_pop_2030_2050!B:B, 0))))</f>
        <v>7787331.2293497557</v>
      </c>
      <c r="AB22">
        <f>INDEX(Cooper_pop_2030_2050!F:F, MATCH($A22, Cooper_pop_2030_2050!B:B, 0))</f>
        <v>7802759.3621860752</v>
      </c>
    </row>
    <row r="23" spans="1:28">
      <c r="A23" t="s">
        <v>2907</v>
      </c>
      <c r="B23">
        <f>IFERROR(INDEX(Census_pop_2020_2025!G:G, MATCH("."&amp;$A23, Census_pop_2020_2025!A:A, 0)),INDEX(Census_pop_2020_2025!G:G, MATCH($A23, Census_pop_2020_2025!A:A, 0)))</f>
        <v>10099962</v>
      </c>
      <c r="C23">
        <f>IFERROR(INDEX(Census_pop_2020_2025!H:H, MATCH("."&amp;$A23, Census_pop_2020_2025!A:A, 0)),INDEX(Census_pop_2020_2025!H:H, MATCH($A23, Census_pop_2020_2025!A:A, 0)))</f>
        <v>10127884</v>
      </c>
      <c r="D23">
        <f>(IFERROR(INDEX(Census_pop_2020_2025!H:H, MATCH("."&amp;$A23, Census_pop_2020_2025!A:A, 0)),INDEX(Census_pop_2020_2025!H:H, MATCH($A23, Census_pop_2020_2025!A:A, 0))))+0.2*((INDEX(Cooper_pop_2030_2050!D:D, MATCH($A23, Cooper_pop_2030_2050!B:B, 0)))-(IFERROR(INDEX(Census_pop_2020_2025!H:H, MATCH("."&amp;$A23, Census_pop_2020_2025!A:A, 0)),INDEX(Census_pop_2020_2025!H:H, MATCH($A23, Census_pop_2020_2025!A:A, 0)))))</f>
        <v>10147206.628813889</v>
      </c>
      <c r="E23">
        <f>(IFERROR(INDEX(Census_pop_2020_2025!H:H, MATCH("."&amp;$A23, Census_pop_2020_2025!A:A, 0)),INDEX(Census_pop_2020_2025!H:H, MATCH($A23, Census_pop_2020_2025!A:A, 0))))+0.4*((INDEX(Cooper_pop_2030_2050!D:D, MATCH($A23, Cooper_pop_2030_2050!B:B, 0)))-(IFERROR(INDEX(Census_pop_2020_2025!H:H, MATCH("."&amp;$A23, Census_pop_2020_2025!A:A, 0)),INDEX(Census_pop_2020_2025!H:H, MATCH($A23, Census_pop_2020_2025!A:A, 0)))))</f>
        <v>10166529.257627776</v>
      </c>
      <c r="F23">
        <f>(IFERROR(INDEX(Census_pop_2020_2025!H:H, MATCH("."&amp;$A23, Census_pop_2020_2025!A:A, 0)),INDEX(Census_pop_2020_2025!H:H, MATCH($A23, Census_pop_2020_2025!A:A, 0))))+0.6*((INDEX(Cooper_pop_2030_2050!D:D, MATCH($A23, Cooper_pop_2030_2050!B:B, 0)))-(IFERROR(INDEX(Census_pop_2020_2025!H:H, MATCH("."&amp;$A23, Census_pop_2020_2025!A:A, 0)),INDEX(Census_pop_2020_2025!H:H, MATCH($A23, Census_pop_2020_2025!A:A, 0)))))</f>
        <v>10185851.886441665</v>
      </c>
      <c r="G23">
        <f>(IFERROR(INDEX(Census_pop_2020_2025!H:H, MATCH("."&amp;$A23, Census_pop_2020_2025!A:A, 0)),INDEX(Census_pop_2020_2025!H:H, MATCH($A23, Census_pop_2020_2025!A:A, 0))))+0.8*((INDEX(Cooper_pop_2030_2050!D:D, MATCH($A23, Cooper_pop_2030_2050!B:B, 0)))-(IFERROR(INDEX(Census_pop_2020_2025!H:H, MATCH("."&amp;$A23, Census_pop_2020_2025!A:A, 0)),INDEX(Census_pop_2020_2025!H:H, MATCH($A23, Census_pop_2020_2025!A:A, 0)))))</f>
        <v>10205174.515255552</v>
      </c>
      <c r="H23">
        <f>INDEX(Cooper_pop_2030_2050!D:D, MATCH($A23, Cooper_pop_2030_2050!B:B, 0))</f>
        <v>10224497.144069441</v>
      </c>
      <c r="I23">
        <f>(INDEX(Cooper_pop_2030_2050!D:D, MATCH($A23, Cooper_pop_2030_2050!B:B, 0)))+0.1*((INDEX(Cooper_pop_2030_2050!E:E, MATCH($A23, Cooper_pop_2030_2050!B:B, 0)))-(INDEX(Cooper_pop_2030_2050!D:D, MATCH($A23, Cooper_pop_2030_2050!B:B, 0))))</f>
        <v>10204345.024904089</v>
      </c>
      <c r="J23">
        <f>(INDEX(Cooper_pop_2030_2050!D:D, MATCH($A23, Cooper_pop_2030_2050!B:B, 0)))+0.2*((INDEX(Cooper_pop_2030_2050!E:E, MATCH($A23, Cooper_pop_2030_2050!B:B, 0)))-(INDEX(Cooper_pop_2030_2050!D:D, MATCH($A23, Cooper_pop_2030_2050!B:B, 0))))</f>
        <v>10184192.905738737</v>
      </c>
      <c r="K23">
        <f>(INDEX(Cooper_pop_2030_2050!D:D, MATCH($A23, Cooper_pop_2030_2050!B:B, 0)))+0.3*((INDEX(Cooper_pop_2030_2050!E:E, MATCH($A23, Cooper_pop_2030_2050!B:B, 0)))-(INDEX(Cooper_pop_2030_2050!D:D, MATCH($A23, Cooper_pop_2030_2050!B:B, 0))))</f>
        <v>10164040.786573384</v>
      </c>
      <c r="L23">
        <f>(INDEX(Cooper_pop_2030_2050!D:D, MATCH($A23, Cooper_pop_2030_2050!B:B, 0)))+0.4*((INDEX(Cooper_pop_2030_2050!E:E, MATCH($A23, Cooper_pop_2030_2050!B:B, 0)))-(INDEX(Cooper_pop_2030_2050!D:D, MATCH($A23, Cooper_pop_2030_2050!B:B, 0))))</f>
        <v>10143888.667408032</v>
      </c>
      <c r="M23">
        <f>(INDEX(Cooper_pop_2030_2050!D:D, MATCH($A23, Cooper_pop_2030_2050!B:B, 0)))+0.5*((INDEX(Cooper_pop_2030_2050!E:E, MATCH($A23, Cooper_pop_2030_2050!B:B, 0)))-(INDEX(Cooper_pop_2030_2050!D:D, MATCH($A23, Cooper_pop_2030_2050!B:B, 0))))</f>
        <v>10123736.548242681</v>
      </c>
      <c r="N23">
        <f>(INDEX(Cooper_pop_2030_2050!D:D, MATCH($A23, Cooper_pop_2030_2050!B:B, 0)))+0.6*((INDEX(Cooper_pop_2030_2050!E:E, MATCH($A23, Cooper_pop_2030_2050!B:B, 0)))-(INDEX(Cooper_pop_2030_2050!D:D, MATCH($A23, Cooper_pop_2030_2050!B:B, 0))))</f>
        <v>10103584.429077329</v>
      </c>
      <c r="O23">
        <f>(INDEX(Cooper_pop_2030_2050!D:D, MATCH($A23, Cooper_pop_2030_2050!B:B, 0)))+0.7*((INDEX(Cooper_pop_2030_2050!E:E, MATCH($A23, Cooper_pop_2030_2050!B:B, 0)))-(INDEX(Cooper_pop_2030_2050!D:D, MATCH($A23, Cooper_pop_2030_2050!B:B, 0))))</f>
        <v>10083432.309911977</v>
      </c>
      <c r="P23">
        <f>(INDEX(Cooper_pop_2030_2050!D:D, MATCH($A23, Cooper_pop_2030_2050!B:B, 0)))+0.8*((INDEX(Cooper_pop_2030_2050!E:E, MATCH($A23, Cooper_pop_2030_2050!B:B, 0)))-(INDEX(Cooper_pop_2030_2050!D:D, MATCH($A23, Cooper_pop_2030_2050!B:B, 0))))</f>
        <v>10063280.190746624</v>
      </c>
      <c r="Q23">
        <f>(INDEX(Cooper_pop_2030_2050!D:D, MATCH($A23, Cooper_pop_2030_2050!B:B, 0)))+0.9*((INDEX(Cooper_pop_2030_2050!E:E, MATCH($A23, Cooper_pop_2030_2050!B:B, 0)))-(INDEX(Cooper_pop_2030_2050!D:D, MATCH($A23, Cooper_pop_2030_2050!B:B, 0))))</f>
        <v>10043128.071581272</v>
      </c>
      <c r="R23">
        <f>INDEX(Cooper_pop_2030_2050!E:E, MATCH($A23, Cooper_pop_2030_2050!B:B, 0))</f>
        <v>10022975.952415921</v>
      </c>
      <c r="S23">
        <f>(INDEX(Cooper_pop_2030_2050!E:E, MATCH($A23, Cooper_pop_2030_2050!B:B, 0)))+0.1*((INDEX(Cooper_pop_2030_2050!F:F, MATCH($A23, Cooper_pop_2030_2050!B:B, 0)))-(INDEX(Cooper_pop_2030_2050!E:E, MATCH($A23, Cooper_pop_2030_2050!B:B, 0))))</f>
        <v>9991707.6904045064</v>
      </c>
      <c r="T23">
        <f>(INDEX(Cooper_pop_2030_2050!E:E, MATCH($A23, Cooper_pop_2030_2050!B:B, 0)))+0.2*((INDEX(Cooper_pop_2030_2050!F:F, MATCH($A23, Cooper_pop_2030_2050!B:B, 0)))-(INDEX(Cooper_pop_2030_2050!E:E, MATCH($A23, Cooper_pop_2030_2050!B:B, 0))))</f>
        <v>9960439.4283930901</v>
      </c>
      <c r="U23">
        <f>(INDEX(Cooper_pop_2030_2050!E:E, MATCH($A23, Cooper_pop_2030_2050!B:B, 0)))+0.3*((INDEX(Cooper_pop_2030_2050!F:F, MATCH($A23, Cooper_pop_2030_2050!B:B, 0)))-(INDEX(Cooper_pop_2030_2050!E:E, MATCH($A23, Cooper_pop_2030_2050!B:B, 0))))</f>
        <v>9929171.1663816758</v>
      </c>
      <c r="V23">
        <f>(INDEX(Cooper_pop_2030_2050!E:E, MATCH($A23, Cooper_pop_2030_2050!B:B, 0)))+0.4*((INDEX(Cooper_pop_2030_2050!F:F, MATCH($A23, Cooper_pop_2030_2050!B:B, 0)))-(INDEX(Cooper_pop_2030_2050!E:E, MATCH($A23, Cooper_pop_2030_2050!B:B, 0))))</f>
        <v>9897902.9043702614</v>
      </c>
      <c r="W23">
        <f>(INDEX(Cooper_pop_2030_2050!E:E, MATCH($A23, Cooper_pop_2030_2050!B:B, 0)))+0.5*((INDEX(Cooper_pop_2030_2050!F:F, MATCH($A23, Cooper_pop_2030_2050!B:B, 0)))-(INDEX(Cooper_pop_2030_2050!E:E, MATCH($A23, Cooper_pop_2030_2050!B:B, 0))))</f>
        <v>9866634.642358847</v>
      </c>
      <c r="X23">
        <f>(INDEX(Cooper_pop_2030_2050!E:E, MATCH($A23, Cooper_pop_2030_2050!B:B, 0)))+0.6*((INDEX(Cooper_pop_2030_2050!F:F, MATCH($A23, Cooper_pop_2030_2050!B:B, 0)))-(INDEX(Cooper_pop_2030_2050!E:E, MATCH($A23, Cooper_pop_2030_2050!B:B, 0))))</f>
        <v>9835366.3803474307</v>
      </c>
      <c r="Y23">
        <f>(INDEX(Cooper_pop_2030_2050!E:E, MATCH($A23, Cooper_pop_2030_2050!B:B, 0)))+0.7*((INDEX(Cooper_pop_2030_2050!F:F, MATCH($A23, Cooper_pop_2030_2050!B:B, 0)))-(INDEX(Cooper_pop_2030_2050!E:E, MATCH($A23, Cooper_pop_2030_2050!B:B, 0))))</f>
        <v>9804098.1183360163</v>
      </c>
      <c r="Z23">
        <f>(INDEX(Cooper_pop_2030_2050!E:E, MATCH($A23, Cooper_pop_2030_2050!B:B, 0)))+0.8*((INDEX(Cooper_pop_2030_2050!F:F, MATCH($A23, Cooper_pop_2030_2050!B:B, 0)))-(INDEX(Cooper_pop_2030_2050!E:E, MATCH($A23, Cooper_pop_2030_2050!B:B, 0))))</f>
        <v>9772829.8563246019</v>
      </c>
      <c r="AA23">
        <f>(INDEX(Cooper_pop_2030_2050!E:E, MATCH($A23, Cooper_pop_2030_2050!B:B, 0)))+0.9*((INDEX(Cooper_pop_2030_2050!F:F, MATCH($A23, Cooper_pop_2030_2050!B:B, 0)))-(INDEX(Cooper_pop_2030_2050!E:E, MATCH($A23, Cooper_pop_2030_2050!B:B, 0))))</f>
        <v>9741561.5943131857</v>
      </c>
      <c r="AB23">
        <f>INDEX(Cooper_pop_2030_2050!F:F, MATCH($A23, Cooper_pop_2030_2050!B:B, 0))</f>
        <v>9710293.3323017713</v>
      </c>
    </row>
    <row r="24" spans="1:28">
      <c r="A24" t="s">
        <v>2908</v>
      </c>
      <c r="B24">
        <f>IFERROR(INDEX(Census_pop_2020_2025!G:G, MATCH("."&amp;$A24, Census_pop_2020_2025!A:A, 0)),INDEX(Census_pop_2020_2025!G:G, MATCH($A24, Census_pop_2020_2025!A:A, 0)))</f>
        <v>5797405</v>
      </c>
      <c r="C24">
        <f>IFERROR(INDEX(Census_pop_2020_2025!H:H, MATCH("."&amp;$A24, Census_pop_2020_2025!A:A, 0)),INDEX(Census_pop_2020_2025!H:H, MATCH($A24, Census_pop_2020_2025!A:A, 0)))</f>
        <v>5830405</v>
      </c>
      <c r="D24">
        <f>(IFERROR(INDEX(Census_pop_2020_2025!H:H, MATCH("."&amp;$A24, Census_pop_2020_2025!A:A, 0)),INDEX(Census_pop_2020_2025!H:H, MATCH($A24, Census_pop_2020_2025!A:A, 0))))+0.2*((INDEX(Cooper_pop_2030_2050!D:D, MATCH($A24, Cooper_pop_2030_2050!B:B, 0)))-(IFERROR(INDEX(Census_pop_2020_2025!H:H, MATCH("."&amp;$A24, Census_pop_2020_2025!A:A, 0)),INDEX(Census_pop_2020_2025!H:H, MATCH($A24, Census_pop_2020_2025!A:A, 0)))))</f>
        <v>5869063.657002097</v>
      </c>
      <c r="E24">
        <f>(IFERROR(INDEX(Census_pop_2020_2025!H:H, MATCH("."&amp;$A24, Census_pop_2020_2025!A:A, 0)),INDEX(Census_pop_2020_2025!H:H, MATCH($A24, Census_pop_2020_2025!A:A, 0))))+0.4*((INDEX(Cooper_pop_2030_2050!D:D, MATCH($A24, Cooper_pop_2030_2050!B:B, 0)))-(IFERROR(INDEX(Census_pop_2020_2025!H:H, MATCH("."&amp;$A24, Census_pop_2020_2025!A:A, 0)),INDEX(Census_pop_2020_2025!H:H, MATCH($A24, Census_pop_2020_2025!A:A, 0)))))</f>
        <v>5907722.3140041949</v>
      </c>
      <c r="F24">
        <f>(IFERROR(INDEX(Census_pop_2020_2025!H:H, MATCH("."&amp;$A24, Census_pop_2020_2025!A:A, 0)),INDEX(Census_pop_2020_2025!H:H, MATCH($A24, Census_pop_2020_2025!A:A, 0))))+0.6*((INDEX(Cooper_pop_2030_2050!D:D, MATCH($A24, Cooper_pop_2030_2050!B:B, 0)))-(IFERROR(INDEX(Census_pop_2020_2025!H:H, MATCH("."&amp;$A24, Census_pop_2020_2025!A:A, 0)),INDEX(Census_pop_2020_2025!H:H, MATCH($A24, Census_pop_2020_2025!A:A, 0)))))</f>
        <v>5946380.9710062919</v>
      </c>
      <c r="G24">
        <f>(IFERROR(INDEX(Census_pop_2020_2025!H:H, MATCH("."&amp;$A24, Census_pop_2020_2025!A:A, 0)),INDEX(Census_pop_2020_2025!H:H, MATCH($A24, Census_pop_2020_2025!A:A, 0))))+0.8*((INDEX(Cooper_pop_2030_2050!D:D, MATCH($A24, Cooper_pop_2030_2050!B:B, 0)))-(IFERROR(INDEX(Census_pop_2020_2025!H:H, MATCH("."&amp;$A24, Census_pop_2020_2025!A:A, 0)),INDEX(Census_pop_2020_2025!H:H, MATCH($A24, Census_pop_2020_2025!A:A, 0)))))</f>
        <v>5985039.6280083898</v>
      </c>
      <c r="H24">
        <f>INDEX(Cooper_pop_2030_2050!D:D, MATCH($A24, Cooper_pop_2030_2050!B:B, 0))</f>
        <v>6023698.2850104868</v>
      </c>
      <c r="I24">
        <f>(INDEX(Cooper_pop_2030_2050!D:D, MATCH($A24, Cooper_pop_2030_2050!B:B, 0)))+0.1*((INDEX(Cooper_pop_2030_2050!E:E, MATCH($A24, Cooper_pop_2030_2050!B:B, 0)))-(INDEX(Cooper_pop_2030_2050!D:D, MATCH($A24, Cooper_pop_2030_2050!B:B, 0))))</f>
        <v>6044433.586218656</v>
      </c>
      <c r="J24">
        <f>(INDEX(Cooper_pop_2030_2050!D:D, MATCH($A24, Cooper_pop_2030_2050!B:B, 0)))+0.2*((INDEX(Cooper_pop_2030_2050!E:E, MATCH($A24, Cooper_pop_2030_2050!B:B, 0)))-(INDEX(Cooper_pop_2030_2050!D:D, MATCH($A24, Cooper_pop_2030_2050!B:B, 0))))</f>
        <v>6065168.8874268262</v>
      </c>
      <c r="K24">
        <f>(INDEX(Cooper_pop_2030_2050!D:D, MATCH($A24, Cooper_pop_2030_2050!B:B, 0)))+0.3*((INDEX(Cooper_pop_2030_2050!E:E, MATCH($A24, Cooper_pop_2030_2050!B:B, 0)))-(INDEX(Cooper_pop_2030_2050!D:D, MATCH($A24, Cooper_pop_2030_2050!B:B, 0))))</f>
        <v>6085904.1886349954</v>
      </c>
      <c r="L24">
        <f>(INDEX(Cooper_pop_2030_2050!D:D, MATCH($A24, Cooper_pop_2030_2050!B:B, 0)))+0.4*((INDEX(Cooper_pop_2030_2050!E:E, MATCH($A24, Cooper_pop_2030_2050!B:B, 0)))-(INDEX(Cooper_pop_2030_2050!D:D, MATCH($A24, Cooper_pop_2030_2050!B:B, 0))))</f>
        <v>6106639.4898431655</v>
      </c>
      <c r="M24">
        <f>(INDEX(Cooper_pop_2030_2050!D:D, MATCH($A24, Cooper_pop_2030_2050!B:B, 0)))+0.5*((INDEX(Cooper_pop_2030_2050!E:E, MATCH($A24, Cooper_pop_2030_2050!B:B, 0)))-(INDEX(Cooper_pop_2030_2050!D:D, MATCH($A24, Cooper_pop_2030_2050!B:B, 0))))</f>
        <v>6127374.7910513347</v>
      </c>
      <c r="N24">
        <f>(INDEX(Cooper_pop_2030_2050!D:D, MATCH($A24, Cooper_pop_2030_2050!B:B, 0)))+0.6*((INDEX(Cooper_pop_2030_2050!E:E, MATCH($A24, Cooper_pop_2030_2050!B:B, 0)))-(INDEX(Cooper_pop_2030_2050!D:D, MATCH($A24, Cooper_pop_2030_2050!B:B, 0))))</f>
        <v>6148110.0922595039</v>
      </c>
      <c r="O24">
        <f>(INDEX(Cooper_pop_2030_2050!D:D, MATCH($A24, Cooper_pop_2030_2050!B:B, 0)))+0.7*((INDEX(Cooper_pop_2030_2050!E:E, MATCH($A24, Cooper_pop_2030_2050!B:B, 0)))-(INDEX(Cooper_pop_2030_2050!D:D, MATCH($A24, Cooper_pop_2030_2050!B:B, 0))))</f>
        <v>6168845.393467674</v>
      </c>
      <c r="P24">
        <f>(INDEX(Cooper_pop_2030_2050!D:D, MATCH($A24, Cooper_pop_2030_2050!B:B, 0)))+0.8*((INDEX(Cooper_pop_2030_2050!E:E, MATCH($A24, Cooper_pop_2030_2050!B:B, 0)))-(INDEX(Cooper_pop_2030_2050!D:D, MATCH($A24, Cooper_pop_2030_2050!B:B, 0))))</f>
        <v>6189580.6946758432</v>
      </c>
      <c r="Q24">
        <f>(INDEX(Cooper_pop_2030_2050!D:D, MATCH($A24, Cooper_pop_2030_2050!B:B, 0)))+0.9*((INDEX(Cooper_pop_2030_2050!E:E, MATCH($A24, Cooper_pop_2030_2050!B:B, 0)))-(INDEX(Cooper_pop_2030_2050!D:D, MATCH($A24, Cooper_pop_2030_2050!B:B, 0))))</f>
        <v>6210315.9958840134</v>
      </c>
      <c r="R24">
        <f>INDEX(Cooper_pop_2030_2050!E:E, MATCH($A24, Cooper_pop_2030_2050!B:B, 0))</f>
        <v>6231051.2970921826</v>
      </c>
      <c r="S24">
        <f>(INDEX(Cooper_pop_2030_2050!E:E, MATCH($A24, Cooper_pop_2030_2050!B:B, 0)))+0.1*((INDEX(Cooper_pop_2030_2050!F:F, MATCH($A24, Cooper_pop_2030_2050!B:B, 0)))-(INDEX(Cooper_pop_2030_2050!E:E, MATCH($A24, Cooper_pop_2030_2050!B:B, 0))))</f>
        <v>6244947.5471551223</v>
      </c>
      <c r="T24">
        <f>(INDEX(Cooper_pop_2030_2050!E:E, MATCH($A24, Cooper_pop_2030_2050!B:B, 0)))+0.2*((INDEX(Cooper_pop_2030_2050!F:F, MATCH($A24, Cooper_pop_2030_2050!B:B, 0)))-(INDEX(Cooper_pop_2030_2050!E:E, MATCH($A24, Cooper_pop_2030_2050!B:B, 0))))</f>
        <v>6258843.797218062</v>
      </c>
      <c r="U24">
        <f>(INDEX(Cooper_pop_2030_2050!E:E, MATCH($A24, Cooper_pop_2030_2050!B:B, 0)))+0.3*((INDEX(Cooper_pop_2030_2050!F:F, MATCH($A24, Cooper_pop_2030_2050!B:B, 0)))-(INDEX(Cooper_pop_2030_2050!E:E, MATCH($A24, Cooper_pop_2030_2050!B:B, 0))))</f>
        <v>6272740.0472810017</v>
      </c>
      <c r="V24">
        <f>(INDEX(Cooper_pop_2030_2050!E:E, MATCH($A24, Cooper_pop_2030_2050!B:B, 0)))+0.4*((INDEX(Cooper_pop_2030_2050!F:F, MATCH($A24, Cooper_pop_2030_2050!B:B, 0)))-(INDEX(Cooper_pop_2030_2050!E:E, MATCH($A24, Cooper_pop_2030_2050!B:B, 0))))</f>
        <v>6286636.2973439414</v>
      </c>
      <c r="W24">
        <f>(INDEX(Cooper_pop_2030_2050!E:E, MATCH($A24, Cooper_pop_2030_2050!B:B, 0)))+0.5*((INDEX(Cooper_pop_2030_2050!F:F, MATCH($A24, Cooper_pop_2030_2050!B:B, 0)))-(INDEX(Cooper_pop_2030_2050!E:E, MATCH($A24, Cooper_pop_2030_2050!B:B, 0))))</f>
        <v>6300532.5474068811</v>
      </c>
      <c r="X24">
        <f>(INDEX(Cooper_pop_2030_2050!E:E, MATCH($A24, Cooper_pop_2030_2050!B:B, 0)))+0.6*((INDEX(Cooper_pop_2030_2050!F:F, MATCH($A24, Cooper_pop_2030_2050!B:B, 0)))-(INDEX(Cooper_pop_2030_2050!E:E, MATCH($A24, Cooper_pop_2030_2050!B:B, 0))))</f>
        <v>6314428.7974698208</v>
      </c>
      <c r="Y24">
        <f>(INDEX(Cooper_pop_2030_2050!E:E, MATCH($A24, Cooper_pop_2030_2050!B:B, 0)))+0.7*((INDEX(Cooper_pop_2030_2050!F:F, MATCH($A24, Cooper_pop_2030_2050!B:B, 0)))-(INDEX(Cooper_pop_2030_2050!E:E, MATCH($A24, Cooper_pop_2030_2050!B:B, 0))))</f>
        <v>6328325.0475327605</v>
      </c>
      <c r="Z24">
        <f>(INDEX(Cooper_pop_2030_2050!E:E, MATCH($A24, Cooper_pop_2030_2050!B:B, 0)))+0.8*((INDEX(Cooper_pop_2030_2050!F:F, MATCH($A24, Cooper_pop_2030_2050!B:B, 0)))-(INDEX(Cooper_pop_2030_2050!E:E, MATCH($A24, Cooper_pop_2030_2050!B:B, 0))))</f>
        <v>6342221.2975957002</v>
      </c>
      <c r="AA24">
        <f>(INDEX(Cooper_pop_2030_2050!E:E, MATCH($A24, Cooper_pop_2030_2050!B:B, 0)))+0.9*((INDEX(Cooper_pop_2030_2050!F:F, MATCH($A24, Cooper_pop_2030_2050!B:B, 0)))-(INDEX(Cooper_pop_2030_2050!E:E, MATCH($A24, Cooper_pop_2030_2050!B:B, 0))))</f>
        <v>6356117.54765864</v>
      </c>
      <c r="AB24">
        <f>INDEX(Cooper_pop_2030_2050!F:F, MATCH($A24, Cooper_pop_2030_2050!B:B, 0))</f>
        <v>6370013.7977215797</v>
      </c>
    </row>
    <row r="25" spans="1:28">
      <c r="A25" t="s">
        <v>2909</v>
      </c>
      <c r="B25">
        <f>IFERROR(INDEX(Census_pop_2020_2025!G:G, MATCH("."&amp;$A25, Census_pop_2020_2025!A:A, 0)),INDEX(Census_pop_2020_2025!G:G, MATCH($A25, Census_pop_2020_2025!A:A, 0)))</f>
        <v>2950172</v>
      </c>
      <c r="C25">
        <f>IFERROR(INDEX(Census_pop_2020_2025!H:H, MATCH("."&amp;$A25, Census_pop_2020_2025!A:A, 0)),INDEX(Census_pop_2020_2025!H:H, MATCH($A25, Census_pop_2020_2025!A:A, 0)))</f>
        <v>2954160</v>
      </c>
      <c r="D25">
        <f>(IFERROR(INDEX(Census_pop_2020_2025!H:H, MATCH("."&amp;$A25, Census_pop_2020_2025!A:A, 0)),INDEX(Census_pop_2020_2025!H:H, MATCH($A25, Census_pop_2020_2025!A:A, 0))))+0.2*((INDEX(Cooper_pop_2030_2050!D:D, MATCH($A25, Cooper_pop_2030_2050!B:B, 0)))-(IFERROR(INDEX(Census_pop_2020_2025!H:H, MATCH("."&amp;$A25, Census_pop_2020_2025!A:A, 0)),INDEX(Census_pop_2020_2025!H:H, MATCH($A25, Census_pop_2020_2025!A:A, 0)))))</f>
        <v>2954682.320515641</v>
      </c>
      <c r="E25">
        <f>(IFERROR(INDEX(Census_pop_2020_2025!H:H, MATCH("."&amp;$A25, Census_pop_2020_2025!A:A, 0)),INDEX(Census_pop_2020_2025!H:H, MATCH($A25, Census_pop_2020_2025!A:A, 0))))+0.4*((INDEX(Cooper_pop_2030_2050!D:D, MATCH($A25, Cooper_pop_2030_2050!B:B, 0)))-(IFERROR(INDEX(Census_pop_2020_2025!H:H, MATCH("."&amp;$A25, Census_pop_2020_2025!A:A, 0)),INDEX(Census_pop_2020_2025!H:H, MATCH($A25, Census_pop_2020_2025!A:A, 0)))))</f>
        <v>2955204.641031282</v>
      </c>
      <c r="F25">
        <f>(IFERROR(INDEX(Census_pop_2020_2025!H:H, MATCH("."&amp;$A25, Census_pop_2020_2025!A:A, 0)),INDEX(Census_pop_2020_2025!H:H, MATCH($A25, Census_pop_2020_2025!A:A, 0))))+0.6*((INDEX(Cooper_pop_2030_2050!D:D, MATCH($A25, Cooper_pop_2030_2050!B:B, 0)))-(IFERROR(INDEX(Census_pop_2020_2025!H:H, MATCH("."&amp;$A25, Census_pop_2020_2025!A:A, 0)),INDEX(Census_pop_2020_2025!H:H, MATCH($A25, Census_pop_2020_2025!A:A, 0)))))</f>
        <v>2955726.961546923</v>
      </c>
      <c r="G25">
        <f>(IFERROR(INDEX(Census_pop_2020_2025!H:H, MATCH("."&amp;$A25, Census_pop_2020_2025!A:A, 0)),INDEX(Census_pop_2020_2025!H:H, MATCH($A25, Census_pop_2020_2025!A:A, 0))))+0.8*((INDEX(Cooper_pop_2030_2050!D:D, MATCH($A25, Cooper_pop_2030_2050!B:B, 0)))-(IFERROR(INDEX(Census_pop_2020_2025!H:H, MATCH("."&amp;$A25, Census_pop_2020_2025!A:A, 0)),INDEX(Census_pop_2020_2025!H:H, MATCH($A25, Census_pop_2020_2025!A:A, 0)))))</f>
        <v>2956249.282062564</v>
      </c>
      <c r="H25">
        <f>INDEX(Cooper_pop_2030_2050!D:D, MATCH($A25, Cooper_pop_2030_2050!B:B, 0))</f>
        <v>2956771.6025782051</v>
      </c>
      <c r="I25">
        <f>(INDEX(Cooper_pop_2030_2050!D:D, MATCH($A25, Cooper_pop_2030_2050!B:B, 0)))+0.1*((INDEX(Cooper_pop_2030_2050!E:E, MATCH($A25, Cooper_pop_2030_2050!B:B, 0)))-(INDEX(Cooper_pop_2030_2050!D:D, MATCH($A25, Cooper_pop_2030_2050!B:B, 0))))</f>
        <v>2944796.3218247639</v>
      </c>
      <c r="J25">
        <f>(INDEX(Cooper_pop_2030_2050!D:D, MATCH($A25, Cooper_pop_2030_2050!B:B, 0)))+0.2*((INDEX(Cooper_pop_2030_2050!E:E, MATCH($A25, Cooper_pop_2030_2050!B:B, 0)))-(INDEX(Cooper_pop_2030_2050!D:D, MATCH($A25, Cooper_pop_2030_2050!B:B, 0))))</f>
        <v>2932821.0410713232</v>
      </c>
      <c r="K25">
        <f>(INDEX(Cooper_pop_2030_2050!D:D, MATCH($A25, Cooper_pop_2030_2050!B:B, 0)))+0.3*((INDEX(Cooper_pop_2030_2050!E:E, MATCH($A25, Cooper_pop_2030_2050!B:B, 0)))-(INDEX(Cooper_pop_2030_2050!D:D, MATCH($A25, Cooper_pop_2030_2050!B:B, 0))))</f>
        <v>2920845.7603178821</v>
      </c>
      <c r="L25">
        <f>(INDEX(Cooper_pop_2030_2050!D:D, MATCH($A25, Cooper_pop_2030_2050!B:B, 0)))+0.4*((INDEX(Cooper_pop_2030_2050!E:E, MATCH($A25, Cooper_pop_2030_2050!B:B, 0)))-(INDEX(Cooper_pop_2030_2050!D:D, MATCH($A25, Cooper_pop_2030_2050!B:B, 0))))</f>
        <v>2908870.4795644409</v>
      </c>
      <c r="M25">
        <f>(INDEX(Cooper_pop_2030_2050!D:D, MATCH($A25, Cooper_pop_2030_2050!B:B, 0)))+0.5*((INDEX(Cooper_pop_2030_2050!E:E, MATCH($A25, Cooper_pop_2030_2050!B:B, 0)))-(INDEX(Cooper_pop_2030_2050!D:D, MATCH($A25, Cooper_pop_2030_2050!B:B, 0))))</f>
        <v>2896895.1988110002</v>
      </c>
      <c r="N25">
        <f>(INDEX(Cooper_pop_2030_2050!D:D, MATCH($A25, Cooper_pop_2030_2050!B:B, 0)))+0.6*((INDEX(Cooper_pop_2030_2050!E:E, MATCH($A25, Cooper_pop_2030_2050!B:B, 0)))-(INDEX(Cooper_pop_2030_2050!D:D, MATCH($A25, Cooper_pop_2030_2050!B:B, 0))))</f>
        <v>2884919.9180575591</v>
      </c>
      <c r="O25">
        <f>(INDEX(Cooper_pop_2030_2050!D:D, MATCH($A25, Cooper_pop_2030_2050!B:B, 0)))+0.7*((INDEX(Cooper_pop_2030_2050!E:E, MATCH($A25, Cooper_pop_2030_2050!B:B, 0)))-(INDEX(Cooper_pop_2030_2050!D:D, MATCH($A25, Cooper_pop_2030_2050!B:B, 0))))</f>
        <v>2872944.6373041179</v>
      </c>
      <c r="P25">
        <f>(INDEX(Cooper_pop_2030_2050!D:D, MATCH($A25, Cooper_pop_2030_2050!B:B, 0)))+0.8*((INDEX(Cooper_pop_2030_2050!E:E, MATCH($A25, Cooper_pop_2030_2050!B:B, 0)))-(INDEX(Cooper_pop_2030_2050!D:D, MATCH($A25, Cooper_pop_2030_2050!B:B, 0))))</f>
        <v>2860969.3565506767</v>
      </c>
      <c r="Q25">
        <f>(INDEX(Cooper_pop_2030_2050!D:D, MATCH($A25, Cooper_pop_2030_2050!B:B, 0)))+0.9*((INDEX(Cooper_pop_2030_2050!E:E, MATCH($A25, Cooper_pop_2030_2050!B:B, 0)))-(INDEX(Cooper_pop_2030_2050!D:D, MATCH($A25, Cooper_pop_2030_2050!B:B, 0))))</f>
        <v>2848994.0757972361</v>
      </c>
      <c r="R25">
        <f>INDEX(Cooper_pop_2030_2050!E:E, MATCH($A25, Cooper_pop_2030_2050!B:B, 0))</f>
        <v>2837018.7950437949</v>
      </c>
      <c r="S25">
        <f>(INDEX(Cooper_pop_2030_2050!E:E, MATCH($A25, Cooper_pop_2030_2050!B:B, 0)))+0.1*((INDEX(Cooper_pop_2030_2050!F:F, MATCH($A25, Cooper_pop_2030_2050!B:B, 0)))-(INDEX(Cooper_pop_2030_2050!E:E, MATCH($A25, Cooper_pop_2030_2050!B:B, 0))))</f>
        <v>2822338.7798948507</v>
      </c>
      <c r="T25">
        <f>(INDEX(Cooper_pop_2030_2050!E:E, MATCH($A25, Cooper_pop_2030_2050!B:B, 0)))+0.2*((INDEX(Cooper_pop_2030_2050!F:F, MATCH($A25, Cooper_pop_2030_2050!B:B, 0)))-(INDEX(Cooper_pop_2030_2050!E:E, MATCH($A25, Cooper_pop_2030_2050!B:B, 0))))</f>
        <v>2807658.7647459065</v>
      </c>
      <c r="U25">
        <f>(INDEX(Cooper_pop_2030_2050!E:E, MATCH($A25, Cooper_pop_2030_2050!B:B, 0)))+0.3*((INDEX(Cooper_pop_2030_2050!F:F, MATCH($A25, Cooper_pop_2030_2050!B:B, 0)))-(INDEX(Cooper_pop_2030_2050!E:E, MATCH($A25, Cooper_pop_2030_2050!B:B, 0))))</f>
        <v>2792978.7495969622</v>
      </c>
      <c r="V25">
        <f>(INDEX(Cooper_pop_2030_2050!E:E, MATCH($A25, Cooper_pop_2030_2050!B:B, 0)))+0.4*((INDEX(Cooper_pop_2030_2050!F:F, MATCH($A25, Cooper_pop_2030_2050!B:B, 0)))-(INDEX(Cooper_pop_2030_2050!E:E, MATCH($A25, Cooper_pop_2030_2050!B:B, 0))))</f>
        <v>2778298.734448018</v>
      </c>
      <c r="W25">
        <f>(INDEX(Cooper_pop_2030_2050!E:E, MATCH($A25, Cooper_pop_2030_2050!B:B, 0)))+0.5*((INDEX(Cooper_pop_2030_2050!F:F, MATCH($A25, Cooper_pop_2030_2050!B:B, 0)))-(INDEX(Cooper_pop_2030_2050!E:E, MATCH($A25, Cooper_pop_2030_2050!B:B, 0))))</f>
        <v>2763618.7192990743</v>
      </c>
      <c r="X25">
        <f>(INDEX(Cooper_pop_2030_2050!E:E, MATCH($A25, Cooper_pop_2030_2050!B:B, 0)))+0.6*((INDEX(Cooper_pop_2030_2050!F:F, MATCH($A25, Cooper_pop_2030_2050!B:B, 0)))-(INDEX(Cooper_pop_2030_2050!E:E, MATCH($A25, Cooper_pop_2030_2050!B:B, 0))))</f>
        <v>2748938.70415013</v>
      </c>
      <c r="Y25">
        <f>(INDEX(Cooper_pop_2030_2050!E:E, MATCH($A25, Cooper_pop_2030_2050!B:B, 0)))+0.7*((INDEX(Cooper_pop_2030_2050!F:F, MATCH($A25, Cooper_pop_2030_2050!B:B, 0)))-(INDEX(Cooper_pop_2030_2050!E:E, MATCH($A25, Cooper_pop_2030_2050!B:B, 0))))</f>
        <v>2734258.6890011858</v>
      </c>
      <c r="Z25">
        <f>(INDEX(Cooper_pop_2030_2050!E:E, MATCH($A25, Cooper_pop_2030_2050!B:B, 0)))+0.8*((INDEX(Cooper_pop_2030_2050!F:F, MATCH($A25, Cooper_pop_2030_2050!B:B, 0)))-(INDEX(Cooper_pop_2030_2050!E:E, MATCH($A25, Cooper_pop_2030_2050!B:B, 0))))</f>
        <v>2719578.6738522416</v>
      </c>
      <c r="AA25">
        <f>(INDEX(Cooper_pop_2030_2050!E:E, MATCH($A25, Cooper_pop_2030_2050!B:B, 0)))+0.9*((INDEX(Cooper_pop_2030_2050!F:F, MATCH($A25, Cooper_pop_2030_2050!B:B, 0)))-(INDEX(Cooper_pop_2030_2050!E:E, MATCH($A25, Cooper_pop_2030_2050!B:B, 0))))</f>
        <v>2704898.6587032974</v>
      </c>
      <c r="AB25">
        <f>INDEX(Cooper_pop_2030_2050!F:F, MATCH($A25, Cooper_pop_2030_2050!B:B, 0))</f>
        <v>2690218.6435543532</v>
      </c>
    </row>
    <row r="26" spans="1:28">
      <c r="A26" t="s">
        <v>2910</v>
      </c>
      <c r="B26">
        <f>IFERROR(INDEX(Census_pop_2020_2025!G:G, MATCH("."&amp;$A26, Census_pop_2020_2025!A:A, 0)),INDEX(Census_pop_2020_2025!G:G, MATCH($A26, Census_pop_2020_2025!A:A, 0)))</f>
        <v>6243544</v>
      </c>
      <c r="C26">
        <f>IFERROR(INDEX(Census_pop_2020_2025!H:H, MATCH("."&amp;$A26, Census_pop_2020_2025!A:A, 0)),INDEX(Census_pop_2020_2025!H:H, MATCH($A26, Census_pop_2020_2025!A:A, 0)))</f>
        <v>6270541</v>
      </c>
      <c r="D26">
        <f>(IFERROR(INDEX(Census_pop_2020_2025!H:H, MATCH("."&amp;$A26, Census_pop_2020_2025!A:A, 0)),INDEX(Census_pop_2020_2025!H:H, MATCH($A26, Census_pop_2020_2025!A:A, 0))))+0.2*((INDEX(Cooper_pop_2030_2050!D:D, MATCH($A26, Cooper_pop_2030_2050!B:B, 0)))-(IFERROR(INDEX(Census_pop_2020_2025!H:H, MATCH("."&amp;$A26, Census_pop_2020_2025!A:A, 0)),INDEX(Census_pop_2020_2025!H:H, MATCH($A26, Census_pop_2020_2025!A:A, 0)))))</f>
        <v>6272773.338203772</v>
      </c>
      <c r="E26">
        <f>(IFERROR(INDEX(Census_pop_2020_2025!H:H, MATCH("."&amp;$A26, Census_pop_2020_2025!A:A, 0)),INDEX(Census_pop_2020_2025!H:H, MATCH($A26, Census_pop_2020_2025!A:A, 0))))+0.4*((INDEX(Cooper_pop_2030_2050!D:D, MATCH($A26, Cooper_pop_2030_2050!B:B, 0)))-(IFERROR(INDEX(Census_pop_2020_2025!H:H, MATCH("."&amp;$A26, Census_pop_2020_2025!A:A, 0)),INDEX(Census_pop_2020_2025!H:H, MATCH($A26, Census_pop_2020_2025!A:A, 0)))))</f>
        <v>6275005.6764075439</v>
      </c>
      <c r="F26">
        <f>(IFERROR(INDEX(Census_pop_2020_2025!H:H, MATCH("."&amp;$A26, Census_pop_2020_2025!A:A, 0)),INDEX(Census_pop_2020_2025!H:H, MATCH($A26, Census_pop_2020_2025!A:A, 0))))+0.6*((INDEX(Cooper_pop_2030_2050!D:D, MATCH($A26, Cooper_pop_2030_2050!B:B, 0)))-(IFERROR(INDEX(Census_pop_2020_2025!H:H, MATCH("."&amp;$A26, Census_pop_2020_2025!A:A, 0)),INDEX(Census_pop_2020_2025!H:H, MATCH($A26, Census_pop_2020_2025!A:A, 0)))))</f>
        <v>6277238.014611315</v>
      </c>
      <c r="G26">
        <f>(IFERROR(INDEX(Census_pop_2020_2025!H:H, MATCH("."&amp;$A26, Census_pop_2020_2025!A:A, 0)),INDEX(Census_pop_2020_2025!H:H, MATCH($A26, Census_pop_2020_2025!A:A, 0))))+0.8*((INDEX(Cooper_pop_2030_2050!D:D, MATCH($A26, Cooper_pop_2030_2050!B:B, 0)))-(IFERROR(INDEX(Census_pop_2020_2025!H:H, MATCH("."&amp;$A26, Census_pop_2020_2025!A:A, 0)),INDEX(Census_pop_2020_2025!H:H, MATCH($A26, Census_pop_2020_2025!A:A, 0)))))</f>
        <v>6279470.352815087</v>
      </c>
      <c r="H26">
        <f>INDEX(Cooper_pop_2030_2050!D:D, MATCH($A26, Cooper_pop_2030_2050!B:B, 0))</f>
        <v>6281702.6910188589</v>
      </c>
      <c r="I26">
        <f>(INDEX(Cooper_pop_2030_2050!D:D, MATCH($A26, Cooper_pop_2030_2050!B:B, 0)))+0.1*((INDEX(Cooper_pop_2030_2050!E:E, MATCH($A26, Cooper_pop_2030_2050!B:B, 0)))-(INDEX(Cooper_pop_2030_2050!D:D, MATCH($A26, Cooper_pop_2030_2050!B:B, 0))))</f>
        <v>6274224.7849982791</v>
      </c>
      <c r="J26">
        <f>(INDEX(Cooper_pop_2030_2050!D:D, MATCH($A26, Cooper_pop_2030_2050!B:B, 0)))+0.2*((INDEX(Cooper_pop_2030_2050!E:E, MATCH($A26, Cooper_pop_2030_2050!B:B, 0)))-(INDEX(Cooper_pop_2030_2050!D:D, MATCH($A26, Cooper_pop_2030_2050!B:B, 0))))</f>
        <v>6266746.8789776992</v>
      </c>
      <c r="K26">
        <f>(INDEX(Cooper_pop_2030_2050!D:D, MATCH($A26, Cooper_pop_2030_2050!B:B, 0)))+0.3*((INDEX(Cooper_pop_2030_2050!E:E, MATCH($A26, Cooper_pop_2030_2050!B:B, 0)))-(INDEX(Cooper_pop_2030_2050!D:D, MATCH($A26, Cooper_pop_2030_2050!B:B, 0))))</f>
        <v>6259268.9729571203</v>
      </c>
      <c r="L26">
        <f>(INDEX(Cooper_pop_2030_2050!D:D, MATCH($A26, Cooper_pop_2030_2050!B:B, 0)))+0.4*((INDEX(Cooper_pop_2030_2050!E:E, MATCH($A26, Cooper_pop_2030_2050!B:B, 0)))-(INDEX(Cooper_pop_2030_2050!D:D, MATCH($A26, Cooper_pop_2030_2050!B:B, 0))))</f>
        <v>6251791.0669365404</v>
      </c>
      <c r="M26">
        <f>(INDEX(Cooper_pop_2030_2050!D:D, MATCH($A26, Cooper_pop_2030_2050!B:B, 0)))+0.5*((INDEX(Cooper_pop_2030_2050!E:E, MATCH($A26, Cooper_pop_2030_2050!B:B, 0)))-(INDEX(Cooper_pop_2030_2050!D:D, MATCH($A26, Cooper_pop_2030_2050!B:B, 0))))</f>
        <v>6244313.1609159606</v>
      </c>
      <c r="N26">
        <f>(INDEX(Cooper_pop_2030_2050!D:D, MATCH($A26, Cooper_pop_2030_2050!B:B, 0)))+0.6*((INDEX(Cooper_pop_2030_2050!E:E, MATCH($A26, Cooper_pop_2030_2050!B:B, 0)))-(INDEX(Cooper_pop_2030_2050!D:D, MATCH($A26, Cooper_pop_2030_2050!B:B, 0))))</f>
        <v>6236835.2548953807</v>
      </c>
      <c r="O26">
        <f>(INDEX(Cooper_pop_2030_2050!D:D, MATCH($A26, Cooper_pop_2030_2050!B:B, 0)))+0.7*((INDEX(Cooper_pop_2030_2050!E:E, MATCH($A26, Cooper_pop_2030_2050!B:B, 0)))-(INDEX(Cooper_pop_2030_2050!D:D, MATCH($A26, Cooper_pop_2030_2050!B:B, 0))))</f>
        <v>6229357.3488748008</v>
      </c>
      <c r="P26">
        <f>(INDEX(Cooper_pop_2030_2050!D:D, MATCH($A26, Cooper_pop_2030_2050!B:B, 0)))+0.8*((INDEX(Cooper_pop_2030_2050!E:E, MATCH($A26, Cooper_pop_2030_2050!B:B, 0)))-(INDEX(Cooper_pop_2030_2050!D:D, MATCH($A26, Cooper_pop_2030_2050!B:B, 0))))</f>
        <v>6221879.4428542219</v>
      </c>
      <c r="Q26">
        <f>(INDEX(Cooper_pop_2030_2050!D:D, MATCH($A26, Cooper_pop_2030_2050!B:B, 0)))+0.9*((INDEX(Cooper_pop_2030_2050!E:E, MATCH($A26, Cooper_pop_2030_2050!B:B, 0)))-(INDEX(Cooper_pop_2030_2050!D:D, MATCH($A26, Cooper_pop_2030_2050!B:B, 0))))</f>
        <v>6214401.5368336421</v>
      </c>
      <c r="R26">
        <f>INDEX(Cooper_pop_2030_2050!E:E, MATCH($A26, Cooper_pop_2030_2050!B:B, 0))</f>
        <v>6206923.6308130622</v>
      </c>
      <c r="S26">
        <f>(INDEX(Cooper_pop_2030_2050!E:E, MATCH($A26, Cooper_pop_2030_2050!B:B, 0)))+0.1*((INDEX(Cooper_pop_2030_2050!F:F, MATCH($A26, Cooper_pop_2030_2050!B:B, 0)))-(INDEX(Cooper_pop_2030_2050!E:E, MATCH($A26, Cooper_pop_2030_2050!B:B, 0))))</f>
        <v>6192348.1167167826</v>
      </c>
      <c r="T26">
        <f>(INDEX(Cooper_pop_2030_2050!E:E, MATCH($A26, Cooper_pop_2030_2050!B:B, 0)))+0.2*((INDEX(Cooper_pop_2030_2050!F:F, MATCH($A26, Cooper_pop_2030_2050!B:B, 0)))-(INDEX(Cooper_pop_2030_2050!E:E, MATCH($A26, Cooper_pop_2030_2050!B:B, 0))))</f>
        <v>6177772.6026205029</v>
      </c>
      <c r="U26">
        <f>(INDEX(Cooper_pop_2030_2050!E:E, MATCH($A26, Cooper_pop_2030_2050!B:B, 0)))+0.3*((INDEX(Cooper_pop_2030_2050!F:F, MATCH($A26, Cooper_pop_2030_2050!B:B, 0)))-(INDEX(Cooper_pop_2030_2050!E:E, MATCH($A26, Cooper_pop_2030_2050!B:B, 0))))</f>
        <v>6163197.0885242242</v>
      </c>
      <c r="V26">
        <f>(INDEX(Cooper_pop_2030_2050!E:E, MATCH($A26, Cooper_pop_2030_2050!B:B, 0)))+0.4*((INDEX(Cooper_pop_2030_2050!F:F, MATCH($A26, Cooper_pop_2030_2050!B:B, 0)))-(INDEX(Cooper_pop_2030_2050!E:E, MATCH($A26, Cooper_pop_2030_2050!B:B, 0))))</f>
        <v>6148621.5744279446</v>
      </c>
      <c r="W26">
        <f>(INDEX(Cooper_pop_2030_2050!E:E, MATCH($A26, Cooper_pop_2030_2050!B:B, 0)))+0.5*((INDEX(Cooper_pop_2030_2050!F:F, MATCH($A26, Cooper_pop_2030_2050!B:B, 0)))-(INDEX(Cooper_pop_2030_2050!E:E, MATCH($A26, Cooper_pop_2030_2050!B:B, 0))))</f>
        <v>6134046.060331665</v>
      </c>
      <c r="X26">
        <f>(INDEX(Cooper_pop_2030_2050!E:E, MATCH($A26, Cooper_pop_2030_2050!B:B, 0)))+0.6*((INDEX(Cooper_pop_2030_2050!F:F, MATCH($A26, Cooper_pop_2030_2050!B:B, 0)))-(INDEX(Cooper_pop_2030_2050!E:E, MATCH($A26, Cooper_pop_2030_2050!B:B, 0))))</f>
        <v>6119470.5462353854</v>
      </c>
      <c r="Y26">
        <f>(INDEX(Cooper_pop_2030_2050!E:E, MATCH($A26, Cooper_pop_2030_2050!B:B, 0)))+0.7*((INDEX(Cooper_pop_2030_2050!F:F, MATCH($A26, Cooper_pop_2030_2050!B:B, 0)))-(INDEX(Cooper_pop_2030_2050!E:E, MATCH($A26, Cooper_pop_2030_2050!B:B, 0))))</f>
        <v>6104895.0321391057</v>
      </c>
      <c r="Z26">
        <f>(INDEX(Cooper_pop_2030_2050!E:E, MATCH($A26, Cooper_pop_2030_2050!B:B, 0)))+0.8*((INDEX(Cooper_pop_2030_2050!F:F, MATCH($A26, Cooper_pop_2030_2050!B:B, 0)))-(INDEX(Cooper_pop_2030_2050!E:E, MATCH($A26, Cooper_pop_2030_2050!B:B, 0))))</f>
        <v>6090319.518042827</v>
      </c>
      <c r="AA26">
        <f>(INDEX(Cooper_pop_2030_2050!E:E, MATCH($A26, Cooper_pop_2030_2050!B:B, 0)))+0.9*((INDEX(Cooper_pop_2030_2050!F:F, MATCH($A26, Cooper_pop_2030_2050!B:B, 0)))-(INDEX(Cooper_pop_2030_2050!E:E, MATCH($A26, Cooper_pop_2030_2050!B:B, 0))))</f>
        <v>6075744.0039465474</v>
      </c>
      <c r="AB26">
        <f>INDEX(Cooper_pop_2030_2050!F:F, MATCH($A26, Cooper_pop_2030_2050!B:B, 0))</f>
        <v>6061168.4898502678</v>
      </c>
    </row>
    <row r="27" spans="1:28">
      <c r="A27" t="s">
        <v>2911</v>
      </c>
      <c r="B27">
        <f>IFERROR(INDEX(Census_pop_2020_2025!G:G, MATCH("."&amp;$A27, Census_pop_2020_2025!A:A, 0)),INDEX(Census_pop_2020_2025!G:G, MATCH($A27, Census_pop_2020_2025!A:A, 0)))</f>
        <v>1137557</v>
      </c>
      <c r="C27">
        <f>IFERROR(INDEX(Census_pop_2020_2025!H:H, MATCH("."&amp;$A27, Census_pop_2020_2025!A:A, 0)),INDEX(Census_pop_2020_2025!H:H, MATCH($A27, Census_pop_2020_2025!A:A, 0)))</f>
        <v>1144694</v>
      </c>
      <c r="D27">
        <f>(IFERROR(INDEX(Census_pop_2020_2025!H:H, MATCH("."&amp;$A27, Census_pop_2020_2025!A:A, 0)),INDEX(Census_pop_2020_2025!H:H, MATCH($A27, Census_pop_2020_2025!A:A, 0))))+0.2*((INDEX(Cooper_pop_2030_2050!D:D, MATCH($A27, Cooper_pop_2030_2050!B:B, 0)))-(IFERROR(INDEX(Census_pop_2020_2025!H:H, MATCH("."&amp;$A27, Census_pop_2020_2025!A:A, 0)),INDEX(Census_pop_2020_2025!H:H, MATCH($A27, Census_pop_2020_2025!A:A, 0)))))</f>
        <v>1147730.2101903651</v>
      </c>
      <c r="E27">
        <f>(IFERROR(INDEX(Census_pop_2020_2025!H:H, MATCH("."&amp;$A27, Census_pop_2020_2025!A:A, 0)),INDEX(Census_pop_2020_2025!H:H, MATCH($A27, Census_pop_2020_2025!A:A, 0))))+0.4*((INDEX(Cooper_pop_2030_2050!D:D, MATCH($A27, Cooper_pop_2030_2050!B:B, 0)))-(IFERROR(INDEX(Census_pop_2020_2025!H:H, MATCH("."&amp;$A27, Census_pop_2020_2025!A:A, 0)),INDEX(Census_pop_2020_2025!H:H, MATCH($A27, Census_pop_2020_2025!A:A, 0)))))</f>
        <v>1150766.4203807299</v>
      </c>
      <c r="F27">
        <f>(IFERROR(INDEX(Census_pop_2020_2025!H:H, MATCH("."&amp;$A27, Census_pop_2020_2025!A:A, 0)),INDEX(Census_pop_2020_2025!H:H, MATCH($A27, Census_pop_2020_2025!A:A, 0))))+0.6*((INDEX(Cooper_pop_2030_2050!D:D, MATCH($A27, Cooper_pop_2030_2050!B:B, 0)))-(IFERROR(INDEX(Census_pop_2020_2025!H:H, MATCH("."&amp;$A27, Census_pop_2020_2025!A:A, 0)),INDEX(Census_pop_2020_2025!H:H, MATCH($A27, Census_pop_2020_2025!A:A, 0)))))</f>
        <v>1153802.630571095</v>
      </c>
      <c r="G27">
        <f>(IFERROR(INDEX(Census_pop_2020_2025!H:H, MATCH("."&amp;$A27, Census_pop_2020_2025!A:A, 0)),INDEX(Census_pop_2020_2025!H:H, MATCH($A27, Census_pop_2020_2025!A:A, 0))))+0.8*((INDEX(Cooper_pop_2030_2050!D:D, MATCH($A27, Cooper_pop_2030_2050!B:B, 0)))-(IFERROR(INDEX(Census_pop_2020_2025!H:H, MATCH("."&amp;$A27, Census_pop_2020_2025!A:A, 0)),INDEX(Census_pop_2020_2025!H:H, MATCH($A27, Census_pop_2020_2025!A:A, 0)))))</f>
        <v>1156838.8407614599</v>
      </c>
      <c r="H27">
        <f>INDEX(Cooper_pop_2030_2050!D:D, MATCH($A27, Cooper_pop_2030_2050!B:B, 0))</f>
        <v>1159875.050951825</v>
      </c>
      <c r="I27">
        <f>(INDEX(Cooper_pop_2030_2050!D:D, MATCH($A27, Cooper_pop_2030_2050!B:B, 0)))+0.1*((INDEX(Cooper_pop_2030_2050!E:E, MATCH($A27, Cooper_pop_2030_2050!B:B, 0)))-(INDEX(Cooper_pop_2030_2050!D:D, MATCH($A27, Cooper_pop_2030_2050!B:B, 0))))</f>
        <v>1166089.5303757135</v>
      </c>
      <c r="J27">
        <f>(INDEX(Cooper_pop_2030_2050!D:D, MATCH($A27, Cooper_pop_2030_2050!B:B, 0)))+0.2*((INDEX(Cooper_pop_2030_2050!E:E, MATCH($A27, Cooper_pop_2030_2050!B:B, 0)))-(INDEX(Cooper_pop_2030_2050!D:D, MATCH($A27, Cooper_pop_2030_2050!B:B, 0))))</f>
        <v>1172304.0097996022</v>
      </c>
      <c r="K27">
        <f>(INDEX(Cooper_pop_2030_2050!D:D, MATCH($A27, Cooper_pop_2030_2050!B:B, 0)))+0.3*((INDEX(Cooper_pop_2030_2050!E:E, MATCH($A27, Cooper_pop_2030_2050!B:B, 0)))-(INDEX(Cooper_pop_2030_2050!D:D, MATCH($A27, Cooper_pop_2030_2050!B:B, 0))))</f>
        <v>1178518.4892234909</v>
      </c>
      <c r="L27">
        <f>(INDEX(Cooper_pop_2030_2050!D:D, MATCH($A27, Cooper_pop_2030_2050!B:B, 0)))+0.4*((INDEX(Cooper_pop_2030_2050!E:E, MATCH($A27, Cooper_pop_2030_2050!B:B, 0)))-(INDEX(Cooper_pop_2030_2050!D:D, MATCH($A27, Cooper_pop_2030_2050!B:B, 0))))</f>
        <v>1184732.9686473794</v>
      </c>
      <c r="M27">
        <f>(INDEX(Cooper_pop_2030_2050!D:D, MATCH($A27, Cooper_pop_2030_2050!B:B, 0)))+0.5*((INDEX(Cooper_pop_2030_2050!E:E, MATCH($A27, Cooper_pop_2030_2050!B:B, 0)))-(INDEX(Cooper_pop_2030_2050!D:D, MATCH($A27, Cooper_pop_2030_2050!B:B, 0))))</f>
        <v>1190947.4480712679</v>
      </c>
      <c r="N27">
        <f>(INDEX(Cooper_pop_2030_2050!D:D, MATCH($A27, Cooper_pop_2030_2050!B:B, 0)))+0.6*((INDEX(Cooper_pop_2030_2050!E:E, MATCH($A27, Cooper_pop_2030_2050!B:B, 0)))-(INDEX(Cooper_pop_2030_2050!D:D, MATCH($A27, Cooper_pop_2030_2050!B:B, 0))))</f>
        <v>1197161.9274951566</v>
      </c>
      <c r="O27">
        <f>(INDEX(Cooper_pop_2030_2050!D:D, MATCH($A27, Cooper_pop_2030_2050!B:B, 0)))+0.7*((INDEX(Cooper_pop_2030_2050!E:E, MATCH($A27, Cooper_pop_2030_2050!B:B, 0)))-(INDEX(Cooper_pop_2030_2050!D:D, MATCH($A27, Cooper_pop_2030_2050!B:B, 0))))</f>
        <v>1203376.4069190454</v>
      </c>
      <c r="P27">
        <f>(INDEX(Cooper_pop_2030_2050!D:D, MATCH($A27, Cooper_pop_2030_2050!B:B, 0)))+0.8*((INDEX(Cooper_pop_2030_2050!E:E, MATCH($A27, Cooper_pop_2030_2050!B:B, 0)))-(INDEX(Cooper_pop_2030_2050!D:D, MATCH($A27, Cooper_pop_2030_2050!B:B, 0))))</f>
        <v>1209590.8863429339</v>
      </c>
      <c r="Q27">
        <f>(INDEX(Cooper_pop_2030_2050!D:D, MATCH($A27, Cooper_pop_2030_2050!B:B, 0)))+0.9*((INDEX(Cooper_pop_2030_2050!E:E, MATCH($A27, Cooper_pop_2030_2050!B:B, 0)))-(INDEX(Cooper_pop_2030_2050!D:D, MATCH($A27, Cooper_pop_2030_2050!B:B, 0))))</f>
        <v>1215805.3657668224</v>
      </c>
      <c r="R27">
        <f>INDEX(Cooper_pop_2030_2050!E:E, MATCH($A27, Cooper_pop_2030_2050!B:B, 0))</f>
        <v>1222019.8451907111</v>
      </c>
      <c r="S27">
        <f>(INDEX(Cooper_pop_2030_2050!E:E, MATCH($A27, Cooper_pop_2030_2050!B:B, 0)))+0.1*((INDEX(Cooper_pop_2030_2050!F:F, MATCH($A27, Cooper_pop_2030_2050!B:B, 0)))-(INDEX(Cooper_pop_2030_2050!E:E, MATCH($A27, Cooper_pop_2030_2050!B:B, 0))))</f>
        <v>1227058.6168330878</v>
      </c>
      <c r="T27">
        <f>(INDEX(Cooper_pop_2030_2050!E:E, MATCH($A27, Cooper_pop_2030_2050!B:B, 0)))+0.2*((INDEX(Cooper_pop_2030_2050!F:F, MATCH($A27, Cooper_pop_2030_2050!B:B, 0)))-(INDEX(Cooper_pop_2030_2050!E:E, MATCH($A27, Cooper_pop_2030_2050!B:B, 0))))</f>
        <v>1232097.3884754642</v>
      </c>
      <c r="U27">
        <f>(INDEX(Cooper_pop_2030_2050!E:E, MATCH($A27, Cooper_pop_2030_2050!B:B, 0)))+0.3*((INDEX(Cooper_pop_2030_2050!F:F, MATCH($A27, Cooper_pop_2030_2050!B:B, 0)))-(INDEX(Cooper_pop_2030_2050!E:E, MATCH($A27, Cooper_pop_2030_2050!B:B, 0))))</f>
        <v>1237136.1601178409</v>
      </c>
      <c r="V27">
        <f>(INDEX(Cooper_pop_2030_2050!E:E, MATCH($A27, Cooper_pop_2030_2050!B:B, 0)))+0.4*((INDEX(Cooper_pop_2030_2050!F:F, MATCH($A27, Cooper_pop_2030_2050!B:B, 0)))-(INDEX(Cooper_pop_2030_2050!E:E, MATCH($A27, Cooper_pop_2030_2050!B:B, 0))))</f>
        <v>1242174.9317602175</v>
      </c>
      <c r="W27">
        <f>(INDEX(Cooper_pop_2030_2050!E:E, MATCH($A27, Cooper_pop_2030_2050!B:B, 0)))+0.5*((INDEX(Cooper_pop_2030_2050!F:F, MATCH($A27, Cooper_pop_2030_2050!B:B, 0)))-(INDEX(Cooper_pop_2030_2050!E:E, MATCH($A27, Cooper_pop_2030_2050!B:B, 0))))</f>
        <v>1247213.7034025942</v>
      </c>
      <c r="X27">
        <f>(INDEX(Cooper_pop_2030_2050!E:E, MATCH($A27, Cooper_pop_2030_2050!B:B, 0)))+0.6*((INDEX(Cooper_pop_2030_2050!F:F, MATCH($A27, Cooper_pop_2030_2050!B:B, 0)))-(INDEX(Cooper_pop_2030_2050!E:E, MATCH($A27, Cooper_pop_2030_2050!B:B, 0))))</f>
        <v>1252252.4750449706</v>
      </c>
      <c r="Y27">
        <f>(INDEX(Cooper_pop_2030_2050!E:E, MATCH($A27, Cooper_pop_2030_2050!B:B, 0)))+0.7*((INDEX(Cooper_pop_2030_2050!F:F, MATCH($A27, Cooper_pop_2030_2050!B:B, 0)))-(INDEX(Cooper_pop_2030_2050!E:E, MATCH($A27, Cooper_pop_2030_2050!B:B, 0))))</f>
        <v>1257291.2466873473</v>
      </c>
      <c r="Z27">
        <f>(INDEX(Cooper_pop_2030_2050!E:E, MATCH($A27, Cooper_pop_2030_2050!B:B, 0)))+0.8*((INDEX(Cooper_pop_2030_2050!F:F, MATCH($A27, Cooper_pop_2030_2050!B:B, 0)))-(INDEX(Cooper_pop_2030_2050!E:E, MATCH($A27, Cooper_pop_2030_2050!B:B, 0))))</f>
        <v>1262330.018329724</v>
      </c>
      <c r="AA27">
        <f>(INDEX(Cooper_pop_2030_2050!E:E, MATCH($A27, Cooper_pop_2030_2050!B:B, 0)))+0.9*((INDEX(Cooper_pop_2030_2050!F:F, MATCH($A27, Cooper_pop_2030_2050!B:B, 0)))-(INDEX(Cooper_pop_2030_2050!E:E, MATCH($A27, Cooper_pop_2030_2050!B:B, 0))))</f>
        <v>1267368.7899721004</v>
      </c>
      <c r="AB27">
        <f>INDEX(Cooper_pop_2030_2050!F:F, MATCH($A27, Cooper_pop_2030_2050!B:B, 0))</f>
        <v>1272407.5616144771</v>
      </c>
    </row>
    <row r="28" spans="1:28">
      <c r="A28" t="s">
        <v>2912</v>
      </c>
      <c r="B28">
        <f>IFERROR(INDEX(Census_pop_2020_2025!G:G, MATCH("."&amp;$A28, Census_pop_2020_2025!A:A, 0)),INDEX(Census_pop_2020_2025!G:G, MATCH($A28, Census_pop_2020_2025!A:A, 0)))</f>
        <v>2005591</v>
      </c>
      <c r="C28">
        <f>IFERROR(INDEX(Census_pop_2020_2025!H:H, MATCH("."&amp;$A28, Census_pop_2020_2025!A:A, 0)),INDEX(Census_pop_2020_2025!H:H, MATCH($A28, Census_pop_2020_2025!A:A, 0)))</f>
        <v>2018006</v>
      </c>
      <c r="D28">
        <f>(IFERROR(INDEX(Census_pop_2020_2025!H:H, MATCH("."&amp;$A28, Census_pop_2020_2025!A:A, 0)),INDEX(Census_pop_2020_2025!H:H, MATCH($A28, Census_pop_2020_2025!A:A, 0))))+0.2*((INDEX(Cooper_pop_2030_2050!D:D, MATCH($A28, Cooper_pop_2030_2050!B:B, 0)))-(IFERROR(INDEX(Census_pop_2020_2025!H:H, MATCH("."&amp;$A28, Census_pop_2020_2025!A:A, 0)),INDEX(Census_pop_2020_2025!H:H, MATCH($A28, Census_pop_2020_2025!A:A, 0)))))</f>
        <v>2027980.3580787762</v>
      </c>
      <c r="E28">
        <f>(IFERROR(INDEX(Census_pop_2020_2025!H:H, MATCH("."&amp;$A28, Census_pop_2020_2025!A:A, 0)),INDEX(Census_pop_2020_2025!H:H, MATCH($A28, Census_pop_2020_2025!A:A, 0))))+0.4*((INDEX(Cooper_pop_2030_2050!D:D, MATCH($A28, Cooper_pop_2030_2050!B:B, 0)))-(IFERROR(INDEX(Census_pop_2020_2025!H:H, MATCH("."&amp;$A28, Census_pop_2020_2025!A:A, 0)),INDEX(Census_pop_2020_2025!H:H, MATCH($A28, Census_pop_2020_2025!A:A, 0)))))</f>
        <v>2037954.7161575523</v>
      </c>
      <c r="F28">
        <f>(IFERROR(INDEX(Census_pop_2020_2025!H:H, MATCH("."&amp;$A28, Census_pop_2020_2025!A:A, 0)),INDEX(Census_pop_2020_2025!H:H, MATCH($A28, Census_pop_2020_2025!A:A, 0))))+0.6*((INDEX(Cooper_pop_2030_2050!D:D, MATCH($A28, Cooper_pop_2030_2050!B:B, 0)))-(IFERROR(INDEX(Census_pop_2020_2025!H:H, MATCH("."&amp;$A28, Census_pop_2020_2025!A:A, 0)),INDEX(Census_pop_2020_2025!H:H, MATCH($A28, Census_pop_2020_2025!A:A, 0)))))</f>
        <v>2047929.0742363287</v>
      </c>
      <c r="G28">
        <f>(IFERROR(INDEX(Census_pop_2020_2025!H:H, MATCH("."&amp;$A28, Census_pop_2020_2025!A:A, 0)),INDEX(Census_pop_2020_2025!H:H, MATCH($A28, Census_pop_2020_2025!A:A, 0))))+0.8*((INDEX(Cooper_pop_2030_2050!D:D, MATCH($A28, Cooper_pop_2030_2050!B:B, 0)))-(IFERROR(INDEX(Census_pop_2020_2025!H:H, MATCH("."&amp;$A28, Census_pop_2020_2025!A:A, 0)),INDEX(Census_pop_2020_2025!H:H, MATCH($A28, Census_pop_2020_2025!A:A, 0)))))</f>
        <v>2057903.4323151049</v>
      </c>
      <c r="H28">
        <f>INDEX(Cooper_pop_2030_2050!D:D, MATCH($A28, Cooper_pop_2030_2050!B:B, 0))</f>
        <v>2067877.790393881</v>
      </c>
      <c r="I28">
        <f>(INDEX(Cooper_pop_2030_2050!D:D, MATCH($A28, Cooper_pop_2030_2050!B:B, 0)))+0.1*((INDEX(Cooper_pop_2030_2050!E:E, MATCH($A28, Cooper_pop_2030_2050!B:B, 0)))-(INDEX(Cooper_pop_2030_2050!D:D, MATCH($A28, Cooper_pop_2030_2050!B:B, 0))))</f>
        <v>2074619.7277397369</v>
      </c>
      <c r="J28">
        <f>(INDEX(Cooper_pop_2030_2050!D:D, MATCH($A28, Cooper_pop_2030_2050!B:B, 0)))+0.2*((INDEX(Cooper_pop_2030_2050!E:E, MATCH($A28, Cooper_pop_2030_2050!B:B, 0)))-(INDEX(Cooper_pop_2030_2050!D:D, MATCH($A28, Cooper_pop_2030_2050!B:B, 0))))</f>
        <v>2081361.6650855925</v>
      </c>
      <c r="K28">
        <f>(INDEX(Cooper_pop_2030_2050!D:D, MATCH($A28, Cooper_pop_2030_2050!B:B, 0)))+0.3*((INDEX(Cooper_pop_2030_2050!E:E, MATCH($A28, Cooper_pop_2030_2050!B:B, 0)))-(INDEX(Cooper_pop_2030_2050!D:D, MATCH($A28, Cooper_pop_2030_2050!B:B, 0))))</f>
        <v>2088103.6024314484</v>
      </c>
      <c r="L28">
        <f>(INDEX(Cooper_pop_2030_2050!D:D, MATCH($A28, Cooper_pop_2030_2050!B:B, 0)))+0.4*((INDEX(Cooper_pop_2030_2050!E:E, MATCH($A28, Cooper_pop_2030_2050!B:B, 0)))-(INDEX(Cooper_pop_2030_2050!D:D, MATCH($A28, Cooper_pop_2030_2050!B:B, 0))))</f>
        <v>2094845.539777304</v>
      </c>
      <c r="M28">
        <f>(INDEX(Cooper_pop_2030_2050!D:D, MATCH($A28, Cooper_pop_2030_2050!B:B, 0)))+0.5*((INDEX(Cooper_pop_2030_2050!E:E, MATCH($A28, Cooper_pop_2030_2050!B:B, 0)))-(INDEX(Cooper_pop_2030_2050!D:D, MATCH($A28, Cooper_pop_2030_2050!B:B, 0))))</f>
        <v>2101587.4771231599</v>
      </c>
      <c r="N28">
        <f>(INDEX(Cooper_pop_2030_2050!D:D, MATCH($A28, Cooper_pop_2030_2050!B:B, 0)))+0.6*((INDEX(Cooper_pop_2030_2050!E:E, MATCH($A28, Cooper_pop_2030_2050!B:B, 0)))-(INDEX(Cooper_pop_2030_2050!D:D, MATCH($A28, Cooper_pop_2030_2050!B:B, 0))))</f>
        <v>2108329.4144690158</v>
      </c>
      <c r="O28">
        <f>(INDEX(Cooper_pop_2030_2050!D:D, MATCH($A28, Cooper_pop_2030_2050!B:B, 0)))+0.7*((INDEX(Cooper_pop_2030_2050!E:E, MATCH($A28, Cooper_pop_2030_2050!B:B, 0)))-(INDEX(Cooper_pop_2030_2050!D:D, MATCH($A28, Cooper_pop_2030_2050!B:B, 0))))</f>
        <v>2115071.3518148717</v>
      </c>
      <c r="P28">
        <f>(INDEX(Cooper_pop_2030_2050!D:D, MATCH($A28, Cooper_pop_2030_2050!B:B, 0)))+0.8*((INDEX(Cooper_pop_2030_2050!E:E, MATCH($A28, Cooper_pop_2030_2050!B:B, 0)))-(INDEX(Cooper_pop_2030_2050!D:D, MATCH($A28, Cooper_pop_2030_2050!B:B, 0))))</f>
        <v>2121813.2891607271</v>
      </c>
      <c r="Q28">
        <f>(INDEX(Cooper_pop_2030_2050!D:D, MATCH($A28, Cooper_pop_2030_2050!B:B, 0)))+0.9*((INDEX(Cooper_pop_2030_2050!E:E, MATCH($A28, Cooper_pop_2030_2050!B:B, 0)))-(INDEX(Cooper_pop_2030_2050!D:D, MATCH($A28, Cooper_pop_2030_2050!B:B, 0))))</f>
        <v>2128555.2265065829</v>
      </c>
      <c r="R28">
        <f>INDEX(Cooper_pop_2030_2050!E:E, MATCH($A28, Cooper_pop_2030_2050!B:B, 0))</f>
        <v>2135297.1638524388</v>
      </c>
      <c r="S28">
        <f>(INDEX(Cooper_pop_2030_2050!E:E, MATCH($A28, Cooper_pop_2030_2050!B:B, 0)))+0.1*((INDEX(Cooper_pop_2030_2050!F:F, MATCH($A28, Cooper_pop_2030_2050!B:B, 0)))-(INDEX(Cooper_pop_2030_2050!E:E, MATCH($A28, Cooper_pop_2030_2050!B:B, 0))))</f>
        <v>2139675.2134563085</v>
      </c>
      <c r="T28">
        <f>(INDEX(Cooper_pop_2030_2050!E:E, MATCH($A28, Cooper_pop_2030_2050!B:B, 0)))+0.2*((INDEX(Cooper_pop_2030_2050!F:F, MATCH($A28, Cooper_pop_2030_2050!B:B, 0)))-(INDEX(Cooper_pop_2030_2050!E:E, MATCH($A28, Cooper_pop_2030_2050!B:B, 0))))</f>
        <v>2144053.2630601786</v>
      </c>
      <c r="U28">
        <f>(INDEX(Cooper_pop_2030_2050!E:E, MATCH($A28, Cooper_pop_2030_2050!B:B, 0)))+0.3*((INDEX(Cooper_pop_2030_2050!F:F, MATCH($A28, Cooper_pop_2030_2050!B:B, 0)))-(INDEX(Cooper_pop_2030_2050!E:E, MATCH($A28, Cooper_pop_2030_2050!B:B, 0))))</f>
        <v>2148431.3126640483</v>
      </c>
      <c r="V28">
        <f>(INDEX(Cooper_pop_2030_2050!E:E, MATCH($A28, Cooper_pop_2030_2050!B:B, 0)))+0.4*((INDEX(Cooper_pop_2030_2050!F:F, MATCH($A28, Cooper_pop_2030_2050!B:B, 0)))-(INDEX(Cooper_pop_2030_2050!E:E, MATCH($A28, Cooper_pop_2030_2050!B:B, 0))))</f>
        <v>2152809.362267918</v>
      </c>
      <c r="W28">
        <f>(INDEX(Cooper_pop_2030_2050!E:E, MATCH($A28, Cooper_pop_2030_2050!B:B, 0)))+0.5*((INDEX(Cooper_pop_2030_2050!F:F, MATCH($A28, Cooper_pop_2030_2050!B:B, 0)))-(INDEX(Cooper_pop_2030_2050!E:E, MATCH($A28, Cooper_pop_2030_2050!B:B, 0))))</f>
        <v>2157187.4118717881</v>
      </c>
      <c r="X28">
        <f>(INDEX(Cooper_pop_2030_2050!E:E, MATCH($A28, Cooper_pop_2030_2050!B:B, 0)))+0.6*((INDEX(Cooper_pop_2030_2050!F:F, MATCH($A28, Cooper_pop_2030_2050!B:B, 0)))-(INDEX(Cooper_pop_2030_2050!E:E, MATCH($A28, Cooper_pop_2030_2050!B:B, 0))))</f>
        <v>2161565.4614756578</v>
      </c>
      <c r="Y28">
        <f>(INDEX(Cooper_pop_2030_2050!E:E, MATCH($A28, Cooper_pop_2030_2050!B:B, 0)))+0.7*((INDEX(Cooper_pop_2030_2050!F:F, MATCH($A28, Cooper_pop_2030_2050!B:B, 0)))-(INDEX(Cooper_pop_2030_2050!E:E, MATCH($A28, Cooper_pop_2030_2050!B:B, 0))))</f>
        <v>2165943.5110795274</v>
      </c>
      <c r="Z28">
        <f>(INDEX(Cooper_pop_2030_2050!E:E, MATCH($A28, Cooper_pop_2030_2050!B:B, 0)))+0.8*((INDEX(Cooper_pop_2030_2050!F:F, MATCH($A28, Cooper_pop_2030_2050!B:B, 0)))-(INDEX(Cooper_pop_2030_2050!E:E, MATCH($A28, Cooper_pop_2030_2050!B:B, 0))))</f>
        <v>2170321.5606833971</v>
      </c>
      <c r="AA28">
        <f>(INDEX(Cooper_pop_2030_2050!E:E, MATCH($A28, Cooper_pop_2030_2050!B:B, 0)))+0.9*((INDEX(Cooper_pop_2030_2050!F:F, MATCH($A28, Cooper_pop_2030_2050!B:B, 0)))-(INDEX(Cooper_pop_2030_2050!E:E, MATCH($A28, Cooper_pop_2030_2050!B:B, 0))))</f>
        <v>2174699.6102872672</v>
      </c>
      <c r="AB28">
        <f>INDEX(Cooper_pop_2030_2050!F:F, MATCH($A28, Cooper_pop_2030_2050!B:B, 0))</f>
        <v>2179077.6598911369</v>
      </c>
    </row>
    <row r="29" spans="1:28">
      <c r="A29" t="s">
        <v>2913</v>
      </c>
      <c r="B29">
        <f>IFERROR(INDEX(Census_pop_2020_2025!G:G, MATCH("."&amp;$A29, Census_pop_2020_2025!A:A, 0)),INDEX(Census_pop_2020_2025!G:G, MATCH($A29, Census_pop_2020_2025!A:A, 0)))</f>
        <v>3253543</v>
      </c>
      <c r="C29">
        <f>IFERROR(INDEX(Census_pop_2020_2025!H:H, MATCH("."&amp;$A29, Census_pop_2020_2025!A:A, 0)),INDEX(Census_pop_2020_2025!H:H, MATCH($A29, Census_pop_2020_2025!A:A, 0)))</f>
        <v>3282188</v>
      </c>
      <c r="D29">
        <f>(IFERROR(INDEX(Census_pop_2020_2025!H:H, MATCH("."&amp;$A29, Census_pop_2020_2025!A:A, 0)),INDEX(Census_pop_2020_2025!H:H, MATCH($A29, Census_pop_2020_2025!A:A, 0))))+0.2*((INDEX(Cooper_pop_2030_2050!D:D, MATCH($A29, Cooper_pop_2030_2050!B:B, 0)))-(IFERROR(INDEX(Census_pop_2020_2025!H:H, MATCH("."&amp;$A29, Census_pop_2020_2025!A:A, 0)),INDEX(Census_pop_2020_2025!H:H, MATCH($A29, Census_pop_2020_2025!A:A, 0)))))</f>
        <v>3313328.3387490367</v>
      </c>
      <c r="E29">
        <f>(IFERROR(INDEX(Census_pop_2020_2025!H:H, MATCH("."&amp;$A29, Census_pop_2020_2025!A:A, 0)),INDEX(Census_pop_2020_2025!H:H, MATCH($A29, Census_pop_2020_2025!A:A, 0))))+0.4*((INDEX(Cooper_pop_2030_2050!D:D, MATCH($A29, Cooper_pop_2030_2050!B:B, 0)))-(IFERROR(INDEX(Census_pop_2020_2025!H:H, MATCH("."&amp;$A29, Census_pop_2020_2025!A:A, 0)),INDEX(Census_pop_2020_2025!H:H, MATCH($A29, Census_pop_2020_2025!A:A, 0)))))</f>
        <v>3344468.6774980738</v>
      </c>
      <c r="F29">
        <f>(IFERROR(INDEX(Census_pop_2020_2025!H:H, MATCH("."&amp;$A29, Census_pop_2020_2025!A:A, 0)),INDEX(Census_pop_2020_2025!H:H, MATCH($A29, Census_pop_2020_2025!A:A, 0))))+0.6*((INDEX(Cooper_pop_2030_2050!D:D, MATCH($A29, Cooper_pop_2030_2050!B:B, 0)))-(IFERROR(INDEX(Census_pop_2020_2025!H:H, MATCH("."&amp;$A29, Census_pop_2020_2025!A:A, 0)),INDEX(Census_pop_2020_2025!H:H, MATCH($A29, Census_pop_2020_2025!A:A, 0)))))</f>
        <v>3375609.0162471104</v>
      </c>
      <c r="G29">
        <f>(IFERROR(INDEX(Census_pop_2020_2025!H:H, MATCH("."&amp;$A29, Census_pop_2020_2025!A:A, 0)),INDEX(Census_pop_2020_2025!H:H, MATCH($A29, Census_pop_2020_2025!A:A, 0))))+0.8*((INDEX(Cooper_pop_2030_2050!D:D, MATCH($A29, Cooper_pop_2030_2050!B:B, 0)))-(IFERROR(INDEX(Census_pop_2020_2025!H:H, MATCH("."&amp;$A29, Census_pop_2020_2025!A:A, 0)),INDEX(Census_pop_2020_2025!H:H, MATCH($A29, Census_pop_2020_2025!A:A, 0)))))</f>
        <v>3406749.3549961476</v>
      </c>
      <c r="H29">
        <f>INDEX(Cooper_pop_2030_2050!D:D, MATCH($A29, Cooper_pop_2030_2050!B:B, 0))</f>
        <v>3437889.6937451842</v>
      </c>
      <c r="I29">
        <f>(INDEX(Cooper_pop_2030_2050!D:D, MATCH($A29, Cooper_pop_2030_2050!B:B, 0)))+0.1*((INDEX(Cooper_pop_2030_2050!E:E, MATCH($A29, Cooper_pop_2030_2050!B:B, 0)))-(INDEX(Cooper_pop_2030_2050!D:D, MATCH($A29, Cooper_pop_2030_2050!B:B, 0))))</f>
        <v>3474091.7075836835</v>
      </c>
      <c r="J29">
        <f>(INDEX(Cooper_pop_2030_2050!D:D, MATCH($A29, Cooper_pop_2030_2050!B:B, 0)))+0.2*((INDEX(Cooper_pop_2030_2050!E:E, MATCH($A29, Cooper_pop_2030_2050!B:B, 0)))-(INDEX(Cooper_pop_2030_2050!D:D, MATCH($A29, Cooper_pop_2030_2050!B:B, 0))))</f>
        <v>3510293.7214221829</v>
      </c>
      <c r="K29">
        <f>(INDEX(Cooper_pop_2030_2050!D:D, MATCH($A29, Cooper_pop_2030_2050!B:B, 0)))+0.3*((INDEX(Cooper_pop_2030_2050!E:E, MATCH($A29, Cooper_pop_2030_2050!B:B, 0)))-(INDEX(Cooper_pop_2030_2050!D:D, MATCH($A29, Cooper_pop_2030_2050!B:B, 0))))</f>
        <v>3546495.7352606822</v>
      </c>
      <c r="L29">
        <f>(INDEX(Cooper_pop_2030_2050!D:D, MATCH($A29, Cooper_pop_2030_2050!B:B, 0)))+0.4*((INDEX(Cooper_pop_2030_2050!E:E, MATCH($A29, Cooper_pop_2030_2050!B:B, 0)))-(INDEX(Cooper_pop_2030_2050!D:D, MATCH($A29, Cooper_pop_2030_2050!B:B, 0))))</f>
        <v>3582697.7490991815</v>
      </c>
      <c r="M29">
        <f>(INDEX(Cooper_pop_2030_2050!D:D, MATCH($A29, Cooper_pop_2030_2050!B:B, 0)))+0.5*((INDEX(Cooper_pop_2030_2050!E:E, MATCH($A29, Cooper_pop_2030_2050!B:B, 0)))-(INDEX(Cooper_pop_2030_2050!D:D, MATCH($A29, Cooper_pop_2030_2050!B:B, 0))))</f>
        <v>3618899.7629376808</v>
      </c>
      <c r="N29">
        <f>(INDEX(Cooper_pop_2030_2050!D:D, MATCH($A29, Cooper_pop_2030_2050!B:B, 0)))+0.6*((INDEX(Cooper_pop_2030_2050!E:E, MATCH($A29, Cooper_pop_2030_2050!B:B, 0)))-(INDEX(Cooper_pop_2030_2050!D:D, MATCH($A29, Cooper_pop_2030_2050!B:B, 0))))</f>
        <v>3655101.7767761806</v>
      </c>
      <c r="O29">
        <f>(INDEX(Cooper_pop_2030_2050!D:D, MATCH($A29, Cooper_pop_2030_2050!B:B, 0)))+0.7*((INDEX(Cooper_pop_2030_2050!E:E, MATCH($A29, Cooper_pop_2030_2050!B:B, 0)))-(INDEX(Cooper_pop_2030_2050!D:D, MATCH($A29, Cooper_pop_2030_2050!B:B, 0))))</f>
        <v>3691303.7906146799</v>
      </c>
      <c r="P29">
        <f>(INDEX(Cooper_pop_2030_2050!D:D, MATCH($A29, Cooper_pop_2030_2050!B:B, 0)))+0.8*((INDEX(Cooper_pop_2030_2050!E:E, MATCH($A29, Cooper_pop_2030_2050!B:B, 0)))-(INDEX(Cooper_pop_2030_2050!D:D, MATCH($A29, Cooper_pop_2030_2050!B:B, 0))))</f>
        <v>3727505.8044531792</v>
      </c>
      <c r="Q29">
        <f>(INDEX(Cooper_pop_2030_2050!D:D, MATCH($A29, Cooper_pop_2030_2050!B:B, 0)))+0.9*((INDEX(Cooper_pop_2030_2050!E:E, MATCH($A29, Cooper_pop_2030_2050!B:B, 0)))-(INDEX(Cooper_pop_2030_2050!D:D, MATCH($A29, Cooper_pop_2030_2050!B:B, 0))))</f>
        <v>3763707.8182916786</v>
      </c>
      <c r="R29">
        <f>INDEX(Cooper_pop_2030_2050!E:E, MATCH($A29, Cooper_pop_2030_2050!B:B, 0))</f>
        <v>3799909.8321301779</v>
      </c>
      <c r="S29">
        <f>(INDEX(Cooper_pop_2030_2050!E:E, MATCH($A29, Cooper_pop_2030_2050!B:B, 0)))+0.1*((INDEX(Cooper_pop_2030_2050!F:F, MATCH($A29, Cooper_pop_2030_2050!B:B, 0)))-(INDEX(Cooper_pop_2030_2050!E:E, MATCH($A29, Cooper_pop_2030_2050!B:B, 0))))</f>
        <v>3835002.4495697431</v>
      </c>
      <c r="T29">
        <f>(INDEX(Cooper_pop_2030_2050!E:E, MATCH($A29, Cooper_pop_2030_2050!B:B, 0)))+0.2*((INDEX(Cooper_pop_2030_2050!F:F, MATCH($A29, Cooper_pop_2030_2050!B:B, 0)))-(INDEX(Cooper_pop_2030_2050!E:E, MATCH($A29, Cooper_pop_2030_2050!B:B, 0))))</f>
        <v>3870095.0670093079</v>
      </c>
      <c r="U29">
        <f>(INDEX(Cooper_pop_2030_2050!E:E, MATCH($A29, Cooper_pop_2030_2050!B:B, 0)))+0.3*((INDEX(Cooper_pop_2030_2050!F:F, MATCH($A29, Cooper_pop_2030_2050!B:B, 0)))-(INDEX(Cooper_pop_2030_2050!E:E, MATCH($A29, Cooper_pop_2030_2050!B:B, 0))))</f>
        <v>3905187.6844488727</v>
      </c>
      <c r="V29">
        <f>(INDEX(Cooper_pop_2030_2050!E:E, MATCH($A29, Cooper_pop_2030_2050!B:B, 0)))+0.4*((INDEX(Cooper_pop_2030_2050!F:F, MATCH($A29, Cooper_pop_2030_2050!B:B, 0)))-(INDEX(Cooper_pop_2030_2050!E:E, MATCH($A29, Cooper_pop_2030_2050!B:B, 0))))</f>
        <v>3940280.3018884379</v>
      </c>
      <c r="W29">
        <f>(INDEX(Cooper_pop_2030_2050!E:E, MATCH($A29, Cooper_pop_2030_2050!B:B, 0)))+0.5*((INDEX(Cooper_pop_2030_2050!F:F, MATCH($A29, Cooper_pop_2030_2050!B:B, 0)))-(INDEX(Cooper_pop_2030_2050!E:E, MATCH($A29, Cooper_pop_2030_2050!B:B, 0))))</f>
        <v>3975372.9193280032</v>
      </c>
      <c r="X29">
        <f>(INDEX(Cooper_pop_2030_2050!E:E, MATCH($A29, Cooper_pop_2030_2050!B:B, 0)))+0.6*((INDEX(Cooper_pop_2030_2050!F:F, MATCH($A29, Cooper_pop_2030_2050!B:B, 0)))-(INDEX(Cooper_pop_2030_2050!E:E, MATCH($A29, Cooper_pop_2030_2050!B:B, 0))))</f>
        <v>4010465.536767568</v>
      </c>
      <c r="Y29">
        <f>(INDEX(Cooper_pop_2030_2050!E:E, MATCH($A29, Cooper_pop_2030_2050!B:B, 0)))+0.7*((INDEX(Cooper_pop_2030_2050!F:F, MATCH($A29, Cooper_pop_2030_2050!B:B, 0)))-(INDEX(Cooper_pop_2030_2050!E:E, MATCH($A29, Cooper_pop_2030_2050!B:B, 0))))</f>
        <v>4045558.1542071328</v>
      </c>
      <c r="Z29">
        <f>(INDEX(Cooper_pop_2030_2050!E:E, MATCH($A29, Cooper_pop_2030_2050!B:B, 0)))+0.8*((INDEX(Cooper_pop_2030_2050!F:F, MATCH($A29, Cooper_pop_2030_2050!B:B, 0)))-(INDEX(Cooper_pop_2030_2050!E:E, MATCH($A29, Cooper_pop_2030_2050!B:B, 0))))</f>
        <v>4080650.771646698</v>
      </c>
      <c r="AA29">
        <f>(INDEX(Cooper_pop_2030_2050!E:E, MATCH($A29, Cooper_pop_2030_2050!B:B, 0)))+0.9*((INDEX(Cooper_pop_2030_2050!F:F, MATCH($A29, Cooper_pop_2030_2050!B:B, 0)))-(INDEX(Cooper_pop_2030_2050!E:E, MATCH($A29, Cooper_pop_2030_2050!B:B, 0))))</f>
        <v>4115743.3890862633</v>
      </c>
      <c r="AB29">
        <f>INDEX(Cooper_pop_2030_2050!F:F, MATCH($A29, Cooper_pop_2030_2050!B:B, 0))</f>
        <v>4150836.006525828</v>
      </c>
    </row>
    <row r="30" spans="1:28">
      <c r="A30" t="s">
        <v>2914</v>
      </c>
      <c r="B30">
        <f>IFERROR(INDEX(Census_pop_2020_2025!G:G, MATCH("."&amp;$A30, Census_pop_2020_2025!A:A, 0)),INDEX(Census_pop_2020_2025!G:G, MATCH($A30, Census_pop_2020_2025!A:A, 0)))</f>
        <v>1408518</v>
      </c>
      <c r="C30">
        <f>IFERROR(INDEX(Census_pop_2020_2025!H:H, MATCH("."&amp;$A30, Census_pop_2020_2025!A:A, 0)),INDEX(Census_pop_2020_2025!H:H, MATCH($A30, Census_pop_2020_2025!A:A, 0)))</f>
        <v>1415342</v>
      </c>
      <c r="D30">
        <f>(IFERROR(INDEX(Census_pop_2020_2025!H:H, MATCH("."&amp;$A30, Census_pop_2020_2025!A:A, 0)),INDEX(Census_pop_2020_2025!H:H, MATCH($A30, Census_pop_2020_2025!A:A, 0))))+0.2*((INDEX(Cooper_pop_2030_2050!D:D, MATCH($A30, Cooper_pop_2030_2050!B:B, 0)))-(IFERROR(INDEX(Census_pop_2020_2025!H:H, MATCH("."&amp;$A30, Census_pop_2020_2025!A:A, 0)),INDEX(Census_pop_2020_2025!H:H, MATCH($A30, Census_pop_2020_2025!A:A, 0)))))</f>
        <v>1417221.4468431489</v>
      </c>
      <c r="E30">
        <f>(IFERROR(INDEX(Census_pop_2020_2025!H:H, MATCH("."&amp;$A30, Census_pop_2020_2025!A:A, 0)),INDEX(Census_pop_2020_2025!H:H, MATCH($A30, Census_pop_2020_2025!A:A, 0))))+0.4*((INDEX(Cooper_pop_2030_2050!D:D, MATCH($A30, Cooper_pop_2030_2050!B:B, 0)))-(IFERROR(INDEX(Census_pop_2020_2025!H:H, MATCH("."&amp;$A30, Census_pop_2020_2025!A:A, 0)),INDEX(Census_pop_2020_2025!H:H, MATCH($A30, Census_pop_2020_2025!A:A, 0)))))</f>
        <v>1419100.8936862976</v>
      </c>
      <c r="F30">
        <f>(IFERROR(INDEX(Census_pop_2020_2025!H:H, MATCH("."&amp;$A30, Census_pop_2020_2025!A:A, 0)),INDEX(Census_pop_2020_2025!H:H, MATCH($A30, Census_pop_2020_2025!A:A, 0))))+0.6*((INDEX(Cooper_pop_2030_2050!D:D, MATCH($A30, Cooper_pop_2030_2050!B:B, 0)))-(IFERROR(INDEX(Census_pop_2020_2025!H:H, MATCH("."&amp;$A30, Census_pop_2020_2025!A:A, 0)),INDEX(Census_pop_2020_2025!H:H, MATCH($A30, Census_pop_2020_2025!A:A, 0)))))</f>
        <v>1420980.3405294465</v>
      </c>
      <c r="G30">
        <f>(IFERROR(INDEX(Census_pop_2020_2025!H:H, MATCH("."&amp;$A30, Census_pop_2020_2025!A:A, 0)),INDEX(Census_pop_2020_2025!H:H, MATCH($A30, Census_pop_2020_2025!A:A, 0))))+0.8*((INDEX(Cooper_pop_2030_2050!D:D, MATCH($A30, Cooper_pop_2030_2050!B:B, 0)))-(IFERROR(INDEX(Census_pop_2020_2025!H:H, MATCH("."&amp;$A30, Census_pop_2020_2025!A:A, 0)),INDEX(Census_pop_2020_2025!H:H, MATCH($A30, Census_pop_2020_2025!A:A, 0)))))</f>
        <v>1422859.7873725952</v>
      </c>
      <c r="H30">
        <f>INDEX(Cooper_pop_2030_2050!D:D, MATCH($A30, Cooper_pop_2030_2050!B:B, 0))</f>
        <v>1424739.2342157441</v>
      </c>
      <c r="I30">
        <f>(INDEX(Cooper_pop_2030_2050!D:D, MATCH($A30, Cooper_pop_2030_2050!B:B, 0)))+0.1*((INDEX(Cooper_pop_2030_2050!E:E, MATCH($A30, Cooper_pop_2030_2050!B:B, 0)))-(INDEX(Cooper_pop_2030_2050!D:D, MATCH($A30, Cooper_pop_2030_2050!B:B, 0))))</f>
        <v>1425599.9946400253</v>
      </c>
      <c r="J30">
        <f>(INDEX(Cooper_pop_2030_2050!D:D, MATCH($A30, Cooper_pop_2030_2050!B:B, 0)))+0.2*((INDEX(Cooper_pop_2030_2050!E:E, MATCH($A30, Cooper_pop_2030_2050!B:B, 0)))-(INDEX(Cooper_pop_2030_2050!D:D, MATCH($A30, Cooper_pop_2030_2050!B:B, 0))))</f>
        <v>1426460.7550643065</v>
      </c>
      <c r="K30">
        <f>(INDEX(Cooper_pop_2030_2050!D:D, MATCH($A30, Cooper_pop_2030_2050!B:B, 0)))+0.3*((INDEX(Cooper_pop_2030_2050!E:E, MATCH($A30, Cooper_pop_2030_2050!B:B, 0)))-(INDEX(Cooper_pop_2030_2050!D:D, MATCH($A30, Cooper_pop_2030_2050!B:B, 0))))</f>
        <v>1427321.515488588</v>
      </c>
      <c r="L30">
        <f>(INDEX(Cooper_pop_2030_2050!D:D, MATCH($A30, Cooper_pop_2030_2050!B:B, 0)))+0.4*((INDEX(Cooper_pop_2030_2050!E:E, MATCH($A30, Cooper_pop_2030_2050!B:B, 0)))-(INDEX(Cooper_pop_2030_2050!D:D, MATCH($A30, Cooper_pop_2030_2050!B:B, 0))))</f>
        <v>1428182.2759128693</v>
      </c>
      <c r="M30">
        <f>(INDEX(Cooper_pop_2030_2050!D:D, MATCH($A30, Cooper_pop_2030_2050!B:B, 0)))+0.5*((INDEX(Cooper_pop_2030_2050!E:E, MATCH($A30, Cooper_pop_2030_2050!B:B, 0)))-(INDEX(Cooper_pop_2030_2050!D:D, MATCH($A30, Cooper_pop_2030_2050!B:B, 0))))</f>
        <v>1429043.0363371505</v>
      </c>
      <c r="N30">
        <f>(INDEX(Cooper_pop_2030_2050!D:D, MATCH($A30, Cooper_pop_2030_2050!B:B, 0)))+0.6*((INDEX(Cooper_pop_2030_2050!E:E, MATCH($A30, Cooper_pop_2030_2050!B:B, 0)))-(INDEX(Cooper_pop_2030_2050!D:D, MATCH($A30, Cooper_pop_2030_2050!B:B, 0))))</f>
        <v>1429903.7967614317</v>
      </c>
      <c r="O30">
        <f>(INDEX(Cooper_pop_2030_2050!D:D, MATCH($A30, Cooper_pop_2030_2050!B:B, 0)))+0.7*((INDEX(Cooper_pop_2030_2050!E:E, MATCH($A30, Cooper_pop_2030_2050!B:B, 0)))-(INDEX(Cooper_pop_2030_2050!D:D, MATCH($A30, Cooper_pop_2030_2050!B:B, 0))))</f>
        <v>1430764.557185713</v>
      </c>
      <c r="P30">
        <f>(INDEX(Cooper_pop_2030_2050!D:D, MATCH($A30, Cooper_pop_2030_2050!B:B, 0)))+0.8*((INDEX(Cooper_pop_2030_2050!E:E, MATCH($A30, Cooper_pop_2030_2050!B:B, 0)))-(INDEX(Cooper_pop_2030_2050!D:D, MATCH($A30, Cooper_pop_2030_2050!B:B, 0))))</f>
        <v>1431625.3176099944</v>
      </c>
      <c r="Q30">
        <f>(INDEX(Cooper_pop_2030_2050!D:D, MATCH($A30, Cooper_pop_2030_2050!B:B, 0)))+0.9*((INDEX(Cooper_pop_2030_2050!E:E, MATCH($A30, Cooper_pop_2030_2050!B:B, 0)))-(INDEX(Cooper_pop_2030_2050!D:D, MATCH($A30, Cooper_pop_2030_2050!B:B, 0))))</f>
        <v>1432486.0780342757</v>
      </c>
      <c r="R30">
        <f>INDEX(Cooper_pop_2030_2050!E:E, MATCH($A30, Cooper_pop_2030_2050!B:B, 0))</f>
        <v>1433346.8384585569</v>
      </c>
      <c r="S30">
        <f>(INDEX(Cooper_pop_2030_2050!E:E, MATCH($A30, Cooper_pop_2030_2050!B:B, 0)))+0.1*((INDEX(Cooper_pop_2030_2050!F:F, MATCH($A30, Cooper_pop_2030_2050!B:B, 0)))-(INDEX(Cooper_pop_2030_2050!E:E, MATCH($A30, Cooper_pop_2030_2050!B:B, 0))))</f>
        <v>1432523.0708691825</v>
      </c>
      <c r="T30">
        <f>(INDEX(Cooper_pop_2030_2050!E:E, MATCH($A30, Cooper_pop_2030_2050!B:B, 0)))+0.2*((INDEX(Cooper_pop_2030_2050!F:F, MATCH($A30, Cooper_pop_2030_2050!B:B, 0)))-(INDEX(Cooper_pop_2030_2050!E:E, MATCH($A30, Cooper_pop_2030_2050!B:B, 0))))</f>
        <v>1431699.303279808</v>
      </c>
      <c r="U30">
        <f>(INDEX(Cooper_pop_2030_2050!E:E, MATCH($A30, Cooper_pop_2030_2050!B:B, 0)))+0.3*((INDEX(Cooper_pop_2030_2050!F:F, MATCH($A30, Cooper_pop_2030_2050!B:B, 0)))-(INDEX(Cooper_pop_2030_2050!E:E, MATCH($A30, Cooper_pop_2030_2050!B:B, 0))))</f>
        <v>1430875.5356904333</v>
      </c>
      <c r="V30">
        <f>(INDEX(Cooper_pop_2030_2050!E:E, MATCH($A30, Cooper_pop_2030_2050!B:B, 0)))+0.4*((INDEX(Cooper_pop_2030_2050!F:F, MATCH($A30, Cooper_pop_2030_2050!B:B, 0)))-(INDEX(Cooper_pop_2030_2050!E:E, MATCH($A30, Cooper_pop_2030_2050!B:B, 0))))</f>
        <v>1430051.7681010589</v>
      </c>
      <c r="W30">
        <f>(INDEX(Cooper_pop_2030_2050!E:E, MATCH($A30, Cooper_pop_2030_2050!B:B, 0)))+0.5*((INDEX(Cooper_pop_2030_2050!F:F, MATCH($A30, Cooper_pop_2030_2050!B:B, 0)))-(INDEX(Cooper_pop_2030_2050!E:E, MATCH($A30, Cooper_pop_2030_2050!B:B, 0))))</f>
        <v>1429228.0005116845</v>
      </c>
      <c r="X30">
        <f>(INDEX(Cooper_pop_2030_2050!E:E, MATCH($A30, Cooper_pop_2030_2050!B:B, 0)))+0.6*((INDEX(Cooper_pop_2030_2050!F:F, MATCH($A30, Cooper_pop_2030_2050!B:B, 0)))-(INDEX(Cooper_pop_2030_2050!E:E, MATCH($A30, Cooper_pop_2030_2050!B:B, 0))))</f>
        <v>1428404.23292231</v>
      </c>
      <c r="Y30">
        <f>(INDEX(Cooper_pop_2030_2050!E:E, MATCH($A30, Cooper_pop_2030_2050!B:B, 0)))+0.7*((INDEX(Cooper_pop_2030_2050!F:F, MATCH($A30, Cooper_pop_2030_2050!B:B, 0)))-(INDEX(Cooper_pop_2030_2050!E:E, MATCH($A30, Cooper_pop_2030_2050!B:B, 0))))</f>
        <v>1427580.4653329356</v>
      </c>
      <c r="Z30">
        <f>(INDEX(Cooper_pop_2030_2050!E:E, MATCH($A30, Cooper_pop_2030_2050!B:B, 0)))+0.8*((INDEX(Cooper_pop_2030_2050!F:F, MATCH($A30, Cooper_pop_2030_2050!B:B, 0)))-(INDEX(Cooper_pop_2030_2050!E:E, MATCH($A30, Cooper_pop_2030_2050!B:B, 0))))</f>
        <v>1426756.6977435609</v>
      </c>
      <c r="AA30">
        <f>(INDEX(Cooper_pop_2030_2050!E:E, MATCH($A30, Cooper_pop_2030_2050!B:B, 0)))+0.9*((INDEX(Cooper_pop_2030_2050!F:F, MATCH($A30, Cooper_pop_2030_2050!B:B, 0)))-(INDEX(Cooper_pop_2030_2050!E:E, MATCH($A30, Cooper_pop_2030_2050!B:B, 0))))</f>
        <v>1425932.9301541864</v>
      </c>
      <c r="AB30">
        <f>INDEX(Cooper_pop_2030_2050!F:F, MATCH($A30, Cooper_pop_2030_2050!B:B, 0))</f>
        <v>1425109.162564812</v>
      </c>
    </row>
    <row r="31" spans="1:28">
      <c r="A31" t="s">
        <v>2915</v>
      </c>
      <c r="B31">
        <f>IFERROR(INDEX(Census_pop_2020_2025!G:G, MATCH("."&amp;$A31, Census_pop_2020_2025!A:A, 0)),INDEX(Census_pop_2020_2025!G:G, MATCH($A31, Census_pop_2020_2025!A:A, 0)))</f>
        <v>9506354</v>
      </c>
      <c r="C31">
        <f>IFERROR(INDEX(Census_pop_2020_2025!H:H, MATCH("."&amp;$A31, Census_pop_2020_2025!A:A, 0)),INDEX(Census_pop_2020_2025!H:H, MATCH($A31, Census_pop_2020_2025!A:A, 0)))</f>
        <v>9548215</v>
      </c>
      <c r="D31">
        <f>(IFERROR(INDEX(Census_pop_2020_2025!H:H, MATCH("."&amp;$A31, Census_pop_2020_2025!A:A, 0)),INDEX(Census_pop_2020_2025!H:H, MATCH($A31, Census_pop_2020_2025!A:A, 0))))+0.2*((INDEX(Cooper_pop_2030_2050!D:D, MATCH($A31, Cooper_pop_2030_2050!B:B, 0)))-(IFERROR(INDEX(Census_pop_2020_2025!H:H, MATCH("."&amp;$A31, Census_pop_2020_2025!A:A, 0)),INDEX(Census_pop_2020_2025!H:H, MATCH($A31, Census_pop_2020_2025!A:A, 0)))))</f>
        <v>9573746.439095512</v>
      </c>
      <c r="E31">
        <f>(IFERROR(INDEX(Census_pop_2020_2025!H:H, MATCH("."&amp;$A31, Census_pop_2020_2025!A:A, 0)),INDEX(Census_pop_2020_2025!H:H, MATCH($A31, Census_pop_2020_2025!A:A, 0))))+0.4*((INDEX(Cooper_pop_2030_2050!D:D, MATCH($A31, Cooper_pop_2030_2050!B:B, 0)))-(IFERROR(INDEX(Census_pop_2020_2025!H:H, MATCH("."&amp;$A31, Census_pop_2020_2025!A:A, 0)),INDEX(Census_pop_2020_2025!H:H, MATCH($A31, Census_pop_2020_2025!A:A, 0)))))</f>
        <v>9599277.8781910241</v>
      </c>
      <c r="F31">
        <f>(IFERROR(INDEX(Census_pop_2020_2025!H:H, MATCH("."&amp;$A31, Census_pop_2020_2025!A:A, 0)),INDEX(Census_pop_2020_2025!H:H, MATCH($A31, Census_pop_2020_2025!A:A, 0))))+0.6*((INDEX(Cooper_pop_2030_2050!D:D, MATCH($A31, Cooper_pop_2030_2050!B:B, 0)))-(IFERROR(INDEX(Census_pop_2020_2025!H:H, MATCH("."&amp;$A31, Census_pop_2020_2025!A:A, 0)),INDEX(Census_pop_2020_2025!H:H, MATCH($A31, Census_pop_2020_2025!A:A, 0)))))</f>
        <v>9624809.3172865361</v>
      </c>
      <c r="G31">
        <f>(IFERROR(INDEX(Census_pop_2020_2025!H:H, MATCH("."&amp;$A31, Census_pop_2020_2025!A:A, 0)),INDEX(Census_pop_2020_2025!H:H, MATCH($A31, Census_pop_2020_2025!A:A, 0))))+0.8*((INDEX(Cooper_pop_2030_2050!D:D, MATCH($A31, Cooper_pop_2030_2050!B:B, 0)))-(IFERROR(INDEX(Census_pop_2020_2025!H:H, MATCH("."&amp;$A31, Census_pop_2020_2025!A:A, 0)),INDEX(Census_pop_2020_2025!H:H, MATCH($A31, Census_pop_2020_2025!A:A, 0)))))</f>
        <v>9650340.7563820481</v>
      </c>
      <c r="H31">
        <f>INDEX(Cooper_pop_2030_2050!D:D, MATCH($A31, Cooper_pop_2030_2050!B:B, 0))</f>
        <v>9675872.1954775602</v>
      </c>
      <c r="I31">
        <f>(INDEX(Cooper_pop_2030_2050!D:D, MATCH($A31, Cooper_pop_2030_2050!B:B, 0)))+0.1*((INDEX(Cooper_pop_2030_2050!E:E, MATCH($A31, Cooper_pop_2030_2050!B:B, 0)))-(INDEX(Cooper_pop_2030_2050!D:D, MATCH($A31, Cooper_pop_2030_2050!B:B, 0))))</f>
        <v>9691169.4784786385</v>
      </c>
      <c r="J31">
        <f>(INDEX(Cooper_pop_2030_2050!D:D, MATCH($A31, Cooper_pop_2030_2050!B:B, 0)))+0.2*((INDEX(Cooper_pop_2030_2050!E:E, MATCH($A31, Cooper_pop_2030_2050!B:B, 0)))-(INDEX(Cooper_pop_2030_2050!D:D, MATCH($A31, Cooper_pop_2030_2050!B:B, 0))))</f>
        <v>9706466.7614797149</v>
      </c>
      <c r="K31">
        <f>(INDEX(Cooper_pop_2030_2050!D:D, MATCH($A31, Cooper_pop_2030_2050!B:B, 0)))+0.3*((INDEX(Cooper_pop_2030_2050!E:E, MATCH($A31, Cooper_pop_2030_2050!B:B, 0)))-(INDEX(Cooper_pop_2030_2050!D:D, MATCH($A31, Cooper_pop_2030_2050!B:B, 0))))</f>
        <v>9721764.0444807932</v>
      </c>
      <c r="L31">
        <f>(INDEX(Cooper_pop_2030_2050!D:D, MATCH($A31, Cooper_pop_2030_2050!B:B, 0)))+0.4*((INDEX(Cooper_pop_2030_2050!E:E, MATCH($A31, Cooper_pop_2030_2050!B:B, 0)))-(INDEX(Cooper_pop_2030_2050!D:D, MATCH($A31, Cooper_pop_2030_2050!B:B, 0))))</f>
        <v>9737061.3274818715</v>
      </c>
      <c r="M31">
        <f>(INDEX(Cooper_pop_2030_2050!D:D, MATCH($A31, Cooper_pop_2030_2050!B:B, 0)))+0.5*((INDEX(Cooper_pop_2030_2050!E:E, MATCH($A31, Cooper_pop_2030_2050!B:B, 0)))-(INDEX(Cooper_pop_2030_2050!D:D, MATCH($A31, Cooper_pop_2030_2050!B:B, 0))))</f>
        <v>9752358.6104829498</v>
      </c>
      <c r="N31">
        <f>(INDEX(Cooper_pop_2030_2050!D:D, MATCH($A31, Cooper_pop_2030_2050!B:B, 0)))+0.6*((INDEX(Cooper_pop_2030_2050!E:E, MATCH($A31, Cooper_pop_2030_2050!B:B, 0)))-(INDEX(Cooper_pop_2030_2050!D:D, MATCH($A31, Cooper_pop_2030_2050!B:B, 0))))</f>
        <v>9767655.8934840262</v>
      </c>
      <c r="O31">
        <f>(INDEX(Cooper_pop_2030_2050!D:D, MATCH($A31, Cooper_pop_2030_2050!B:B, 0)))+0.7*((INDEX(Cooper_pop_2030_2050!E:E, MATCH($A31, Cooper_pop_2030_2050!B:B, 0)))-(INDEX(Cooper_pop_2030_2050!D:D, MATCH($A31, Cooper_pop_2030_2050!B:B, 0))))</f>
        <v>9782953.1764851045</v>
      </c>
      <c r="P31">
        <f>(INDEX(Cooper_pop_2030_2050!D:D, MATCH($A31, Cooper_pop_2030_2050!B:B, 0)))+0.8*((INDEX(Cooper_pop_2030_2050!E:E, MATCH($A31, Cooper_pop_2030_2050!B:B, 0)))-(INDEX(Cooper_pop_2030_2050!D:D, MATCH($A31, Cooper_pop_2030_2050!B:B, 0))))</f>
        <v>9798250.4594861828</v>
      </c>
      <c r="Q31">
        <f>(INDEX(Cooper_pop_2030_2050!D:D, MATCH($A31, Cooper_pop_2030_2050!B:B, 0)))+0.9*((INDEX(Cooper_pop_2030_2050!E:E, MATCH($A31, Cooper_pop_2030_2050!B:B, 0)))-(INDEX(Cooper_pop_2030_2050!D:D, MATCH($A31, Cooper_pop_2030_2050!B:B, 0))))</f>
        <v>9813547.7424872592</v>
      </c>
      <c r="R31">
        <f>INDEX(Cooper_pop_2030_2050!E:E, MATCH($A31, Cooper_pop_2030_2050!B:B, 0))</f>
        <v>9828845.0254883375</v>
      </c>
      <c r="S31">
        <f>(INDEX(Cooper_pop_2030_2050!E:E, MATCH($A31, Cooper_pop_2030_2050!B:B, 0)))+0.1*((INDEX(Cooper_pop_2030_2050!F:F, MATCH($A31, Cooper_pop_2030_2050!B:B, 0)))-(INDEX(Cooper_pop_2030_2050!E:E, MATCH($A31, Cooper_pop_2030_2050!B:B, 0))))</f>
        <v>9832684.7288188655</v>
      </c>
      <c r="T31">
        <f>(INDEX(Cooper_pop_2030_2050!E:E, MATCH($A31, Cooper_pop_2030_2050!B:B, 0)))+0.2*((INDEX(Cooper_pop_2030_2050!F:F, MATCH($A31, Cooper_pop_2030_2050!B:B, 0)))-(INDEX(Cooper_pop_2030_2050!E:E, MATCH($A31, Cooper_pop_2030_2050!B:B, 0))))</f>
        <v>9836524.4321493916</v>
      </c>
      <c r="U31">
        <f>(INDEX(Cooper_pop_2030_2050!E:E, MATCH($A31, Cooper_pop_2030_2050!B:B, 0)))+0.3*((INDEX(Cooper_pop_2030_2050!F:F, MATCH($A31, Cooper_pop_2030_2050!B:B, 0)))-(INDEX(Cooper_pop_2030_2050!E:E, MATCH($A31, Cooper_pop_2030_2050!B:B, 0))))</f>
        <v>9840364.1354799196</v>
      </c>
      <c r="V31">
        <f>(INDEX(Cooper_pop_2030_2050!E:E, MATCH($A31, Cooper_pop_2030_2050!B:B, 0)))+0.4*((INDEX(Cooper_pop_2030_2050!F:F, MATCH($A31, Cooper_pop_2030_2050!B:B, 0)))-(INDEX(Cooper_pop_2030_2050!E:E, MATCH($A31, Cooper_pop_2030_2050!B:B, 0))))</f>
        <v>9844203.8388104457</v>
      </c>
      <c r="W31">
        <f>(INDEX(Cooper_pop_2030_2050!E:E, MATCH($A31, Cooper_pop_2030_2050!B:B, 0)))+0.5*((INDEX(Cooper_pop_2030_2050!F:F, MATCH($A31, Cooper_pop_2030_2050!B:B, 0)))-(INDEX(Cooper_pop_2030_2050!E:E, MATCH($A31, Cooper_pop_2030_2050!B:B, 0))))</f>
        <v>9848043.5421409737</v>
      </c>
      <c r="X31">
        <f>(INDEX(Cooper_pop_2030_2050!E:E, MATCH($A31, Cooper_pop_2030_2050!B:B, 0)))+0.6*((INDEX(Cooper_pop_2030_2050!F:F, MATCH($A31, Cooper_pop_2030_2050!B:B, 0)))-(INDEX(Cooper_pop_2030_2050!E:E, MATCH($A31, Cooper_pop_2030_2050!B:B, 0))))</f>
        <v>9851883.2454715017</v>
      </c>
      <c r="Y31">
        <f>(INDEX(Cooper_pop_2030_2050!E:E, MATCH($A31, Cooper_pop_2030_2050!B:B, 0)))+0.7*((INDEX(Cooper_pop_2030_2050!F:F, MATCH($A31, Cooper_pop_2030_2050!B:B, 0)))-(INDEX(Cooper_pop_2030_2050!E:E, MATCH($A31, Cooper_pop_2030_2050!B:B, 0))))</f>
        <v>9855722.9488020279</v>
      </c>
      <c r="Z31">
        <f>(INDEX(Cooper_pop_2030_2050!E:E, MATCH($A31, Cooper_pop_2030_2050!B:B, 0)))+0.8*((INDEX(Cooper_pop_2030_2050!F:F, MATCH($A31, Cooper_pop_2030_2050!B:B, 0)))-(INDEX(Cooper_pop_2030_2050!E:E, MATCH($A31, Cooper_pop_2030_2050!B:B, 0))))</f>
        <v>9859562.6521325558</v>
      </c>
      <c r="AA31">
        <f>(INDEX(Cooper_pop_2030_2050!E:E, MATCH($A31, Cooper_pop_2030_2050!B:B, 0)))+0.9*((INDEX(Cooper_pop_2030_2050!F:F, MATCH($A31, Cooper_pop_2030_2050!B:B, 0)))-(INDEX(Cooper_pop_2030_2050!E:E, MATCH($A31, Cooper_pop_2030_2050!B:B, 0))))</f>
        <v>9863402.355463082</v>
      </c>
      <c r="AB31">
        <f>INDEX(Cooper_pop_2030_2050!F:F, MATCH($A31, Cooper_pop_2030_2050!B:B, 0))</f>
        <v>9867242.05879361</v>
      </c>
    </row>
    <row r="32" spans="1:28">
      <c r="A32" t="s">
        <v>2916</v>
      </c>
      <c r="B32">
        <f>IFERROR(INDEX(Census_pop_2020_2025!G:G, MATCH("."&amp;$A32, Census_pop_2020_2025!A:A, 0)),INDEX(Census_pop_2020_2025!G:G, MATCH($A32, Census_pop_2020_2025!A:A, 0)))</f>
        <v>2126774</v>
      </c>
      <c r="C32">
        <f>IFERROR(INDEX(Census_pop_2020_2025!H:H, MATCH("."&amp;$A32, Census_pop_2020_2025!A:A, 0)),INDEX(Census_pop_2020_2025!H:H, MATCH($A32, Census_pop_2020_2025!A:A, 0)))</f>
        <v>2125498</v>
      </c>
      <c r="D32">
        <f>(IFERROR(INDEX(Census_pop_2020_2025!H:H, MATCH("."&amp;$A32, Census_pop_2020_2025!A:A, 0)),INDEX(Census_pop_2020_2025!H:H, MATCH($A32, Census_pop_2020_2025!A:A, 0))))+0.2*((INDEX(Cooper_pop_2030_2050!D:D, MATCH($A32, Cooper_pop_2030_2050!B:B, 0)))-(IFERROR(INDEX(Census_pop_2020_2025!H:H, MATCH("."&amp;$A32, Census_pop_2020_2025!A:A, 0)),INDEX(Census_pop_2020_2025!H:H, MATCH($A32, Census_pop_2020_2025!A:A, 0)))))</f>
        <v>2132819.5540191745</v>
      </c>
      <c r="E32">
        <f>(IFERROR(INDEX(Census_pop_2020_2025!H:H, MATCH("."&amp;$A32, Census_pop_2020_2025!A:A, 0)),INDEX(Census_pop_2020_2025!H:H, MATCH($A32, Census_pop_2020_2025!A:A, 0))))+0.4*((INDEX(Cooper_pop_2030_2050!D:D, MATCH($A32, Cooper_pop_2030_2050!B:B, 0)))-(IFERROR(INDEX(Census_pop_2020_2025!H:H, MATCH("."&amp;$A32, Census_pop_2020_2025!A:A, 0)),INDEX(Census_pop_2020_2025!H:H, MATCH($A32, Census_pop_2020_2025!A:A, 0)))))</f>
        <v>2140141.1080383491</v>
      </c>
      <c r="F32">
        <f>(IFERROR(INDEX(Census_pop_2020_2025!H:H, MATCH("."&amp;$A32, Census_pop_2020_2025!A:A, 0)),INDEX(Census_pop_2020_2025!H:H, MATCH($A32, Census_pop_2020_2025!A:A, 0))))+0.6*((INDEX(Cooper_pop_2030_2050!D:D, MATCH($A32, Cooper_pop_2030_2050!B:B, 0)))-(IFERROR(INDEX(Census_pop_2020_2025!H:H, MATCH("."&amp;$A32, Census_pop_2020_2025!A:A, 0)),INDEX(Census_pop_2020_2025!H:H, MATCH($A32, Census_pop_2020_2025!A:A, 0)))))</f>
        <v>2147462.6620575241</v>
      </c>
      <c r="G32">
        <f>(IFERROR(INDEX(Census_pop_2020_2025!H:H, MATCH("."&amp;$A32, Census_pop_2020_2025!A:A, 0)),INDEX(Census_pop_2020_2025!H:H, MATCH($A32, Census_pop_2020_2025!A:A, 0))))+0.8*((INDEX(Cooper_pop_2030_2050!D:D, MATCH($A32, Cooper_pop_2030_2050!B:B, 0)))-(IFERROR(INDEX(Census_pop_2020_2025!H:H, MATCH("."&amp;$A32, Census_pop_2020_2025!A:A, 0)),INDEX(Census_pop_2020_2025!H:H, MATCH($A32, Census_pop_2020_2025!A:A, 0)))))</f>
        <v>2154784.2160766986</v>
      </c>
      <c r="H32">
        <f>INDEX(Cooper_pop_2030_2050!D:D, MATCH($A32, Cooper_pop_2030_2050!B:B, 0))</f>
        <v>2162105.7700958732</v>
      </c>
      <c r="I32">
        <f>(INDEX(Cooper_pop_2030_2050!D:D, MATCH($A32, Cooper_pop_2030_2050!B:B, 0)))+0.1*((INDEX(Cooper_pop_2030_2050!E:E, MATCH($A32, Cooper_pop_2030_2050!B:B, 0)))-(INDEX(Cooper_pop_2030_2050!D:D, MATCH($A32, Cooper_pop_2030_2050!B:B, 0))))</f>
        <v>2159660.337003971</v>
      </c>
      <c r="J32">
        <f>(INDEX(Cooper_pop_2030_2050!D:D, MATCH($A32, Cooper_pop_2030_2050!B:B, 0)))+0.2*((INDEX(Cooper_pop_2030_2050!E:E, MATCH($A32, Cooper_pop_2030_2050!B:B, 0)))-(INDEX(Cooper_pop_2030_2050!D:D, MATCH($A32, Cooper_pop_2030_2050!B:B, 0))))</f>
        <v>2157214.9039120693</v>
      </c>
      <c r="K32">
        <f>(INDEX(Cooper_pop_2030_2050!D:D, MATCH($A32, Cooper_pop_2030_2050!B:B, 0)))+0.3*((INDEX(Cooper_pop_2030_2050!E:E, MATCH($A32, Cooper_pop_2030_2050!B:B, 0)))-(INDEX(Cooper_pop_2030_2050!D:D, MATCH($A32, Cooper_pop_2030_2050!B:B, 0))))</f>
        <v>2154769.4708201671</v>
      </c>
      <c r="L32">
        <f>(INDEX(Cooper_pop_2030_2050!D:D, MATCH($A32, Cooper_pop_2030_2050!B:B, 0)))+0.4*((INDEX(Cooper_pop_2030_2050!E:E, MATCH($A32, Cooper_pop_2030_2050!B:B, 0)))-(INDEX(Cooper_pop_2030_2050!D:D, MATCH($A32, Cooper_pop_2030_2050!B:B, 0))))</f>
        <v>2152324.0377282649</v>
      </c>
      <c r="M32">
        <f>(INDEX(Cooper_pop_2030_2050!D:D, MATCH($A32, Cooper_pop_2030_2050!B:B, 0)))+0.5*((INDEX(Cooper_pop_2030_2050!E:E, MATCH($A32, Cooper_pop_2030_2050!B:B, 0)))-(INDEX(Cooper_pop_2030_2050!D:D, MATCH($A32, Cooper_pop_2030_2050!B:B, 0))))</f>
        <v>2149878.6046363628</v>
      </c>
      <c r="N32">
        <f>(INDEX(Cooper_pop_2030_2050!D:D, MATCH($A32, Cooper_pop_2030_2050!B:B, 0)))+0.6*((INDEX(Cooper_pop_2030_2050!E:E, MATCH($A32, Cooper_pop_2030_2050!B:B, 0)))-(INDEX(Cooper_pop_2030_2050!D:D, MATCH($A32, Cooper_pop_2030_2050!B:B, 0))))</f>
        <v>2147433.171544461</v>
      </c>
      <c r="O32">
        <f>(INDEX(Cooper_pop_2030_2050!D:D, MATCH($A32, Cooper_pop_2030_2050!B:B, 0)))+0.7*((INDEX(Cooper_pop_2030_2050!E:E, MATCH($A32, Cooper_pop_2030_2050!B:B, 0)))-(INDEX(Cooper_pop_2030_2050!D:D, MATCH($A32, Cooper_pop_2030_2050!B:B, 0))))</f>
        <v>2144987.7384525589</v>
      </c>
      <c r="P32">
        <f>(INDEX(Cooper_pop_2030_2050!D:D, MATCH($A32, Cooper_pop_2030_2050!B:B, 0)))+0.8*((INDEX(Cooper_pop_2030_2050!E:E, MATCH($A32, Cooper_pop_2030_2050!B:B, 0)))-(INDEX(Cooper_pop_2030_2050!D:D, MATCH($A32, Cooper_pop_2030_2050!B:B, 0))))</f>
        <v>2142542.3053606567</v>
      </c>
      <c r="Q32">
        <f>(INDEX(Cooper_pop_2030_2050!D:D, MATCH($A32, Cooper_pop_2030_2050!B:B, 0)))+0.9*((INDEX(Cooper_pop_2030_2050!E:E, MATCH($A32, Cooper_pop_2030_2050!B:B, 0)))-(INDEX(Cooper_pop_2030_2050!D:D, MATCH($A32, Cooper_pop_2030_2050!B:B, 0))))</f>
        <v>2140096.872268755</v>
      </c>
      <c r="R32">
        <f>INDEX(Cooper_pop_2030_2050!E:E, MATCH($A32, Cooper_pop_2030_2050!B:B, 0))</f>
        <v>2137651.4391768528</v>
      </c>
      <c r="S32">
        <f>(INDEX(Cooper_pop_2030_2050!E:E, MATCH($A32, Cooper_pop_2030_2050!B:B, 0)))+0.1*((INDEX(Cooper_pop_2030_2050!F:F, MATCH($A32, Cooper_pop_2030_2050!B:B, 0)))-(INDEX(Cooper_pop_2030_2050!E:E, MATCH($A32, Cooper_pop_2030_2050!B:B, 0))))</f>
        <v>2132757.1182249864</v>
      </c>
      <c r="T32">
        <f>(INDEX(Cooper_pop_2030_2050!E:E, MATCH($A32, Cooper_pop_2030_2050!B:B, 0)))+0.2*((INDEX(Cooper_pop_2030_2050!F:F, MATCH($A32, Cooper_pop_2030_2050!B:B, 0)))-(INDEX(Cooper_pop_2030_2050!E:E, MATCH($A32, Cooper_pop_2030_2050!B:B, 0))))</f>
        <v>2127862.7972731194</v>
      </c>
      <c r="U32">
        <f>(INDEX(Cooper_pop_2030_2050!E:E, MATCH($A32, Cooper_pop_2030_2050!B:B, 0)))+0.3*((INDEX(Cooper_pop_2030_2050!F:F, MATCH($A32, Cooper_pop_2030_2050!B:B, 0)))-(INDEX(Cooper_pop_2030_2050!E:E, MATCH($A32, Cooper_pop_2030_2050!B:B, 0))))</f>
        <v>2122968.476321253</v>
      </c>
      <c r="V32">
        <f>(INDEX(Cooper_pop_2030_2050!E:E, MATCH($A32, Cooper_pop_2030_2050!B:B, 0)))+0.4*((INDEX(Cooper_pop_2030_2050!F:F, MATCH($A32, Cooper_pop_2030_2050!B:B, 0)))-(INDEX(Cooper_pop_2030_2050!E:E, MATCH($A32, Cooper_pop_2030_2050!B:B, 0))))</f>
        <v>2118074.1553693865</v>
      </c>
      <c r="W32">
        <f>(INDEX(Cooper_pop_2030_2050!E:E, MATCH($A32, Cooper_pop_2030_2050!B:B, 0)))+0.5*((INDEX(Cooper_pop_2030_2050!F:F, MATCH($A32, Cooper_pop_2030_2050!B:B, 0)))-(INDEX(Cooper_pop_2030_2050!E:E, MATCH($A32, Cooper_pop_2030_2050!B:B, 0))))</f>
        <v>2113179.8344175201</v>
      </c>
      <c r="X32">
        <f>(INDEX(Cooper_pop_2030_2050!E:E, MATCH($A32, Cooper_pop_2030_2050!B:B, 0)))+0.6*((INDEX(Cooper_pop_2030_2050!F:F, MATCH($A32, Cooper_pop_2030_2050!B:B, 0)))-(INDEX(Cooper_pop_2030_2050!E:E, MATCH($A32, Cooper_pop_2030_2050!B:B, 0))))</f>
        <v>2108285.5134656532</v>
      </c>
      <c r="Y32">
        <f>(INDEX(Cooper_pop_2030_2050!E:E, MATCH($A32, Cooper_pop_2030_2050!B:B, 0)))+0.7*((INDEX(Cooper_pop_2030_2050!F:F, MATCH($A32, Cooper_pop_2030_2050!B:B, 0)))-(INDEX(Cooper_pop_2030_2050!E:E, MATCH($A32, Cooper_pop_2030_2050!B:B, 0))))</f>
        <v>2103391.1925137867</v>
      </c>
      <c r="Z32">
        <f>(INDEX(Cooper_pop_2030_2050!E:E, MATCH($A32, Cooper_pop_2030_2050!B:B, 0)))+0.8*((INDEX(Cooper_pop_2030_2050!F:F, MATCH($A32, Cooper_pop_2030_2050!B:B, 0)))-(INDEX(Cooper_pop_2030_2050!E:E, MATCH($A32, Cooper_pop_2030_2050!B:B, 0))))</f>
        <v>2098496.8715619203</v>
      </c>
      <c r="AA32">
        <f>(INDEX(Cooper_pop_2030_2050!E:E, MATCH($A32, Cooper_pop_2030_2050!B:B, 0)))+0.9*((INDEX(Cooper_pop_2030_2050!F:F, MATCH($A32, Cooper_pop_2030_2050!B:B, 0)))-(INDEX(Cooper_pop_2030_2050!E:E, MATCH($A32, Cooper_pop_2030_2050!B:B, 0))))</f>
        <v>2093602.5506100536</v>
      </c>
      <c r="AB32">
        <f>INDEX(Cooper_pop_2030_2050!F:F, MATCH($A32, Cooper_pop_2030_2050!B:B, 0))</f>
        <v>2088708.2296581869</v>
      </c>
    </row>
    <row r="33" spans="1:28">
      <c r="A33" t="s">
        <v>2917</v>
      </c>
      <c r="B33">
        <f>IFERROR(INDEX(Census_pop_2020_2025!G:G, MATCH("."&amp;$A33, Census_pop_2020_2025!A:A, 0)),INDEX(Census_pop_2020_2025!G:G, MATCH($A33, Census_pop_2020_2025!A:A, 0)))</f>
        <v>20001419</v>
      </c>
      <c r="C33">
        <f>IFERROR(INDEX(Census_pop_2020_2025!H:H, MATCH("."&amp;$A33, Census_pop_2020_2025!A:A, 0)),INDEX(Census_pop_2020_2025!H:H, MATCH($A33, Census_pop_2020_2025!A:A, 0)))</f>
        <v>20002427</v>
      </c>
      <c r="D33">
        <f>(IFERROR(INDEX(Census_pop_2020_2025!H:H, MATCH("."&amp;$A33, Census_pop_2020_2025!A:A, 0)),INDEX(Census_pop_2020_2025!H:H, MATCH($A33, Census_pop_2020_2025!A:A, 0))))+0.2*((INDEX(Cooper_pop_2030_2050!D:D, MATCH($A33, Cooper_pop_2030_2050!B:B, 0)))-(IFERROR(INDEX(Census_pop_2020_2025!H:H, MATCH("."&amp;$A33, Census_pop_2020_2025!A:A, 0)),INDEX(Census_pop_2020_2025!H:H, MATCH($A33, Census_pop_2020_2025!A:A, 0)))))</f>
        <v>20169160.030746706</v>
      </c>
      <c r="E33">
        <f>(IFERROR(INDEX(Census_pop_2020_2025!H:H, MATCH("."&amp;$A33, Census_pop_2020_2025!A:A, 0)),INDEX(Census_pop_2020_2025!H:H, MATCH($A33, Census_pop_2020_2025!A:A, 0))))+0.4*((INDEX(Cooper_pop_2030_2050!D:D, MATCH($A33, Cooper_pop_2030_2050!B:B, 0)))-(IFERROR(INDEX(Census_pop_2020_2025!H:H, MATCH("."&amp;$A33, Census_pop_2020_2025!A:A, 0)),INDEX(Census_pop_2020_2025!H:H, MATCH($A33, Census_pop_2020_2025!A:A, 0)))))</f>
        <v>20335893.061493412</v>
      </c>
      <c r="F33">
        <f>(IFERROR(INDEX(Census_pop_2020_2025!H:H, MATCH("."&amp;$A33, Census_pop_2020_2025!A:A, 0)),INDEX(Census_pop_2020_2025!H:H, MATCH($A33, Census_pop_2020_2025!A:A, 0))))+0.6*((INDEX(Cooper_pop_2030_2050!D:D, MATCH($A33, Cooper_pop_2030_2050!B:B, 0)))-(IFERROR(INDEX(Census_pop_2020_2025!H:H, MATCH("."&amp;$A33, Census_pop_2020_2025!A:A, 0)),INDEX(Census_pop_2020_2025!H:H, MATCH($A33, Census_pop_2020_2025!A:A, 0)))))</f>
        <v>20502626.092240117</v>
      </c>
      <c r="G33">
        <f>(IFERROR(INDEX(Census_pop_2020_2025!H:H, MATCH("."&amp;$A33, Census_pop_2020_2025!A:A, 0)),INDEX(Census_pop_2020_2025!H:H, MATCH($A33, Census_pop_2020_2025!A:A, 0))))+0.8*((INDEX(Cooper_pop_2030_2050!D:D, MATCH($A33, Cooper_pop_2030_2050!B:B, 0)))-(IFERROR(INDEX(Census_pop_2020_2025!H:H, MATCH("."&amp;$A33, Census_pop_2020_2025!A:A, 0)),INDEX(Census_pop_2020_2025!H:H, MATCH($A33, Census_pop_2020_2025!A:A, 0)))))</f>
        <v>20669359.122986823</v>
      </c>
      <c r="H33">
        <f>INDEX(Cooper_pop_2030_2050!D:D, MATCH($A33, Cooper_pop_2030_2050!B:B, 0))</f>
        <v>20836092.153733529</v>
      </c>
      <c r="I33">
        <f>(INDEX(Cooper_pop_2030_2050!D:D, MATCH($A33, Cooper_pop_2030_2050!B:B, 0)))+0.1*((INDEX(Cooper_pop_2030_2050!E:E, MATCH($A33, Cooper_pop_2030_2050!B:B, 0)))-(INDEX(Cooper_pop_2030_2050!D:D, MATCH($A33, Cooper_pop_2030_2050!B:B, 0))))</f>
        <v>20840862.233933028</v>
      </c>
      <c r="J33">
        <f>(INDEX(Cooper_pop_2030_2050!D:D, MATCH($A33, Cooper_pop_2030_2050!B:B, 0)))+0.2*((INDEX(Cooper_pop_2030_2050!E:E, MATCH($A33, Cooper_pop_2030_2050!B:B, 0)))-(INDEX(Cooper_pop_2030_2050!D:D, MATCH($A33, Cooper_pop_2030_2050!B:B, 0))))</f>
        <v>20845632.314132527</v>
      </c>
      <c r="K33">
        <f>(INDEX(Cooper_pop_2030_2050!D:D, MATCH($A33, Cooper_pop_2030_2050!B:B, 0)))+0.3*((INDEX(Cooper_pop_2030_2050!E:E, MATCH($A33, Cooper_pop_2030_2050!B:B, 0)))-(INDEX(Cooper_pop_2030_2050!D:D, MATCH($A33, Cooper_pop_2030_2050!B:B, 0))))</f>
        <v>20850402.394332021</v>
      </c>
      <c r="L33">
        <f>(INDEX(Cooper_pop_2030_2050!D:D, MATCH($A33, Cooper_pop_2030_2050!B:B, 0)))+0.4*((INDEX(Cooper_pop_2030_2050!E:E, MATCH($A33, Cooper_pop_2030_2050!B:B, 0)))-(INDEX(Cooper_pop_2030_2050!D:D, MATCH($A33, Cooper_pop_2030_2050!B:B, 0))))</f>
        <v>20855172.47453152</v>
      </c>
      <c r="M33">
        <f>(INDEX(Cooper_pop_2030_2050!D:D, MATCH($A33, Cooper_pop_2030_2050!B:B, 0)))+0.5*((INDEX(Cooper_pop_2030_2050!E:E, MATCH($A33, Cooper_pop_2030_2050!B:B, 0)))-(INDEX(Cooper_pop_2030_2050!D:D, MATCH($A33, Cooper_pop_2030_2050!B:B, 0))))</f>
        <v>20859942.554731019</v>
      </c>
      <c r="N33">
        <f>(INDEX(Cooper_pop_2030_2050!D:D, MATCH($A33, Cooper_pop_2030_2050!B:B, 0)))+0.6*((INDEX(Cooper_pop_2030_2050!E:E, MATCH($A33, Cooper_pop_2030_2050!B:B, 0)))-(INDEX(Cooper_pop_2030_2050!D:D, MATCH($A33, Cooper_pop_2030_2050!B:B, 0))))</f>
        <v>20864712.634930518</v>
      </c>
      <c r="O33">
        <f>(INDEX(Cooper_pop_2030_2050!D:D, MATCH($A33, Cooper_pop_2030_2050!B:B, 0)))+0.7*((INDEX(Cooper_pop_2030_2050!E:E, MATCH($A33, Cooper_pop_2030_2050!B:B, 0)))-(INDEX(Cooper_pop_2030_2050!D:D, MATCH($A33, Cooper_pop_2030_2050!B:B, 0))))</f>
        <v>20869482.715130016</v>
      </c>
      <c r="P33">
        <f>(INDEX(Cooper_pop_2030_2050!D:D, MATCH($A33, Cooper_pop_2030_2050!B:B, 0)))+0.8*((INDEX(Cooper_pop_2030_2050!E:E, MATCH($A33, Cooper_pop_2030_2050!B:B, 0)))-(INDEX(Cooper_pop_2030_2050!D:D, MATCH($A33, Cooper_pop_2030_2050!B:B, 0))))</f>
        <v>20874252.795329511</v>
      </c>
      <c r="Q33">
        <f>(INDEX(Cooper_pop_2030_2050!D:D, MATCH($A33, Cooper_pop_2030_2050!B:B, 0)))+0.9*((INDEX(Cooper_pop_2030_2050!E:E, MATCH($A33, Cooper_pop_2030_2050!B:B, 0)))-(INDEX(Cooper_pop_2030_2050!D:D, MATCH($A33, Cooper_pop_2030_2050!B:B, 0))))</f>
        <v>20879022.87552901</v>
      </c>
      <c r="R33">
        <f>INDEX(Cooper_pop_2030_2050!E:E, MATCH($A33, Cooper_pop_2030_2050!B:B, 0))</f>
        <v>20883792.955728509</v>
      </c>
      <c r="S33">
        <f>(INDEX(Cooper_pop_2030_2050!E:E, MATCH($A33, Cooper_pop_2030_2050!B:B, 0)))+0.1*((INDEX(Cooper_pop_2030_2050!F:F, MATCH($A33, Cooper_pop_2030_2050!B:B, 0)))-(INDEX(Cooper_pop_2030_2050!E:E, MATCH($A33, Cooper_pop_2030_2050!B:B, 0))))</f>
        <v>20864046.519157469</v>
      </c>
      <c r="T33">
        <f>(INDEX(Cooper_pop_2030_2050!E:E, MATCH($A33, Cooper_pop_2030_2050!B:B, 0)))+0.2*((INDEX(Cooper_pop_2030_2050!F:F, MATCH($A33, Cooper_pop_2030_2050!B:B, 0)))-(INDEX(Cooper_pop_2030_2050!E:E, MATCH($A33, Cooper_pop_2030_2050!B:B, 0))))</f>
        <v>20844300.082586434</v>
      </c>
      <c r="U33">
        <f>(INDEX(Cooper_pop_2030_2050!E:E, MATCH($A33, Cooper_pop_2030_2050!B:B, 0)))+0.3*((INDEX(Cooper_pop_2030_2050!F:F, MATCH($A33, Cooper_pop_2030_2050!B:B, 0)))-(INDEX(Cooper_pop_2030_2050!E:E, MATCH($A33, Cooper_pop_2030_2050!B:B, 0))))</f>
        <v>20824553.646015394</v>
      </c>
      <c r="V33">
        <f>(INDEX(Cooper_pop_2030_2050!E:E, MATCH($A33, Cooper_pop_2030_2050!B:B, 0)))+0.4*((INDEX(Cooper_pop_2030_2050!F:F, MATCH($A33, Cooper_pop_2030_2050!B:B, 0)))-(INDEX(Cooper_pop_2030_2050!E:E, MATCH($A33, Cooper_pop_2030_2050!B:B, 0))))</f>
        <v>20804807.209444359</v>
      </c>
      <c r="W33">
        <f>(INDEX(Cooper_pop_2030_2050!E:E, MATCH($A33, Cooper_pop_2030_2050!B:B, 0)))+0.5*((INDEX(Cooper_pop_2030_2050!F:F, MATCH($A33, Cooper_pop_2030_2050!B:B, 0)))-(INDEX(Cooper_pop_2030_2050!E:E, MATCH($A33, Cooper_pop_2030_2050!B:B, 0))))</f>
        <v>20785060.77287332</v>
      </c>
      <c r="X33">
        <f>(INDEX(Cooper_pop_2030_2050!E:E, MATCH($A33, Cooper_pop_2030_2050!B:B, 0)))+0.6*((INDEX(Cooper_pop_2030_2050!F:F, MATCH($A33, Cooper_pop_2030_2050!B:B, 0)))-(INDEX(Cooper_pop_2030_2050!E:E, MATCH($A33, Cooper_pop_2030_2050!B:B, 0))))</f>
        <v>20765314.33630228</v>
      </c>
      <c r="Y33">
        <f>(INDEX(Cooper_pop_2030_2050!E:E, MATCH($A33, Cooper_pop_2030_2050!B:B, 0)))+0.7*((INDEX(Cooper_pop_2030_2050!F:F, MATCH($A33, Cooper_pop_2030_2050!B:B, 0)))-(INDEX(Cooper_pop_2030_2050!E:E, MATCH($A33, Cooper_pop_2030_2050!B:B, 0))))</f>
        <v>20745567.899731245</v>
      </c>
      <c r="Z33">
        <f>(INDEX(Cooper_pop_2030_2050!E:E, MATCH($A33, Cooper_pop_2030_2050!B:B, 0)))+0.8*((INDEX(Cooper_pop_2030_2050!F:F, MATCH($A33, Cooper_pop_2030_2050!B:B, 0)))-(INDEX(Cooper_pop_2030_2050!E:E, MATCH($A33, Cooper_pop_2030_2050!B:B, 0))))</f>
        <v>20725821.463160206</v>
      </c>
      <c r="AA33">
        <f>(INDEX(Cooper_pop_2030_2050!E:E, MATCH($A33, Cooper_pop_2030_2050!B:B, 0)))+0.9*((INDEX(Cooper_pop_2030_2050!F:F, MATCH($A33, Cooper_pop_2030_2050!B:B, 0)))-(INDEX(Cooper_pop_2030_2050!E:E, MATCH($A33, Cooper_pop_2030_2050!B:B, 0))))</f>
        <v>20706075.02658917</v>
      </c>
      <c r="AB33">
        <f>INDEX(Cooper_pop_2030_2050!F:F, MATCH($A33, Cooper_pop_2030_2050!B:B, 0))</f>
        <v>20686328.590018131</v>
      </c>
    </row>
    <row r="34" spans="1:28">
      <c r="A34" t="s">
        <v>2918</v>
      </c>
      <c r="B34">
        <f>IFERROR(INDEX(Census_pop_2020_2025!G:G, MATCH("."&amp;$A34, Census_pop_2020_2025!A:A, 0)),INDEX(Census_pop_2020_2025!G:G, MATCH($A34, Census_pop_2020_2025!A:A, 0)))</f>
        <v>11052061</v>
      </c>
      <c r="C34">
        <f>IFERROR(INDEX(Census_pop_2020_2025!H:H, MATCH("."&amp;$A34, Census_pop_2020_2025!A:A, 0)),INDEX(Census_pop_2020_2025!H:H, MATCH($A34, Census_pop_2020_2025!A:A, 0)))</f>
        <v>11197968</v>
      </c>
      <c r="D34">
        <f>(IFERROR(INDEX(Census_pop_2020_2025!H:H, MATCH("."&amp;$A34, Census_pop_2020_2025!A:A, 0)),INDEX(Census_pop_2020_2025!H:H, MATCH($A34, Census_pop_2020_2025!A:A, 0))))+0.2*((INDEX(Cooper_pop_2030_2050!D:D, MATCH($A34, Cooper_pop_2030_2050!B:B, 0)))-(IFERROR(INDEX(Census_pop_2020_2025!H:H, MATCH("."&amp;$A34, Census_pop_2020_2025!A:A, 0)),INDEX(Census_pop_2020_2025!H:H, MATCH($A34, Census_pop_2020_2025!A:A, 0)))))</f>
        <v>11190406.212122211</v>
      </c>
      <c r="E34">
        <f>(IFERROR(INDEX(Census_pop_2020_2025!H:H, MATCH("."&amp;$A34, Census_pop_2020_2025!A:A, 0)),INDEX(Census_pop_2020_2025!H:H, MATCH($A34, Census_pop_2020_2025!A:A, 0))))+0.4*((INDEX(Cooper_pop_2030_2050!D:D, MATCH($A34, Cooper_pop_2030_2050!B:B, 0)))-(IFERROR(INDEX(Census_pop_2020_2025!H:H, MATCH("."&amp;$A34, Census_pop_2020_2025!A:A, 0)),INDEX(Census_pop_2020_2025!H:H, MATCH($A34, Census_pop_2020_2025!A:A, 0)))))</f>
        <v>11182844.424244424</v>
      </c>
      <c r="F34">
        <f>(IFERROR(INDEX(Census_pop_2020_2025!H:H, MATCH("."&amp;$A34, Census_pop_2020_2025!A:A, 0)),INDEX(Census_pop_2020_2025!H:H, MATCH($A34, Census_pop_2020_2025!A:A, 0))))+0.6*((INDEX(Cooper_pop_2030_2050!D:D, MATCH($A34, Cooper_pop_2030_2050!B:B, 0)))-(IFERROR(INDEX(Census_pop_2020_2025!H:H, MATCH("."&amp;$A34, Census_pop_2020_2025!A:A, 0)),INDEX(Census_pop_2020_2025!H:H, MATCH($A34, Census_pop_2020_2025!A:A, 0)))))</f>
        <v>11175282.636366636</v>
      </c>
      <c r="G34">
        <f>(IFERROR(INDEX(Census_pop_2020_2025!H:H, MATCH("."&amp;$A34, Census_pop_2020_2025!A:A, 0)),INDEX(Census_pop_2020_2025!H:H, MATCH($A34, Census_pop_2020_2025!A:A, 0))))+0.8*((INDEX(Cooper_pop_2030_2050!D:D, MATCH($A34, Cooper_pop_2030_2050!B:B, 0)))-(IFERROR(INDEX(Census_pop_2020_2025!H:H, MATCH("."&amp;$A34, Census_pop_2020_2025!A:A, 0)),INDEX(Census_pop_2020_2025!H:H, MATCH($A34, Census_pop_2020_2025!A:A, 0)))))</f>
        <v>11167720.848488849</v>
      </c>
      <c r="H34">
        <f>INDEX(Cooper_pop_2030_2050!D:D, MATCH($A34, Cooper_pop_2030_2050!B:B, 0))</f>
        <v>11160159.06061106</v>
      </c>
      <c r="I34">
        <f>(INDEX(Cooper_pop_2030_2050!D:D, MATCH($A34, Cooper_pop_2030_2050!B:B, 0)))+0.1*((INDEX(Cooper_pop_2030_2050!E:E, MATCH($A34, Cooper_pop_2030_2050!B:B, 0)))-(INDEX(Cooper_pop_2030_2050!D:D, MATCH($A34, Cooper_pop_2030_2050!B:B, 0))))</f>
        <v>11218848.250198275</v>
      </c>
      <c r="J34">
        <f>(INDEX(Cooper_pop_2030_2050!D:D, MATCH($A34, Cooper_pop_2030_2050!B:B, 0)))+0.2*((INDEX(Cooper_pop_2030_2050!E:E, MATCH($A34, Cooper_pop_2030_2050!B:B, 0)))-(INDEX(Cooper_pop_2030_2050!D:D, MATCH($A34, Cooper_pop_2030_2050!B:B, 0))))</f>
        <v>11277537.43978549</v>
      </c>
      <c r="K34">
        <f>(INDEX(Cooper_pop_2030_2050!D:D, MATCH($A34, Cooper_pop_2030_2050!B:B, 0)))+0.3*((INDEX(Cooper_pop_2030_2050!E:E, MATCH($A34, Cooper_pop_2030_2050!B:B, 0)))-(INDEX(Cooper_pop_2030_2050!D:D, MATCH($A34, Cooper_pop_2030_2050!B:B, 0))))</f>
        <v>11336226.629372705</v>
      </c>
      <c r="L34">
        <f>(INDEX(Cooper_pop_2030_2050!D:D, MATCH($A34, Cooper_pop_2030_2050!B:B, 0)))+0.4*((INDEX(Cooper_pop_2030_2050!E:E, MATCH($A34, Cooper_pop_2030_2050!B:B, 0)))-(INDEX(Cooper_pop_2030_2050!D:D, MATCH($A34, Cooper_pop_2030_2050!B:B, 0))))</f>
        <v>11394915.81895992</v>
      </c>
      <c r="M34">
        <f>(INDEX(Cooper_pop_2030_2050!D:D, MATCH($A34, Cooper_pop_2030_2050!B:B, 0)))+0.5*((INDEX(Cooper_pop_2030_2050!E:E, MATCH($A34, Cooper_pop_2030_2050!B:B, 0)))-(INDEX(Cooper_pop_2030_2050!D:D, MATCH($A34, Cooper_pop_2030_2050!B:B, 0))))</f>
        <v>11453605.008547135</v>
      </c>
      <c r="N34">
        <f>(INDEX(Cooper_pop_2030_2050!D:D, MATCH($A34, Cooper_pop_2030_2050!B:B, 0)))+0.6*((INDEX(Cooper_pop_2030_2050!E:E, MATCH($A34, Cooper_pop_2030_2050!B:B, 0)))-(INDEX(Cooper_pop_2030_2050!D:D, MATCH($A34, Cooper_pop_2030_2050!B:B, 0))))</f>
        <v>11512294.19813435</v>
      </c>
      <c r="O34">
        <f>(INDEX(Cooper_pop_2030_2050!D:D, MATCH($A34, Cooper_pop_2030_2050!B:B, 0)))+0.7*((INDEX(Cooper_pop_2030_2050!E:E, MATCH($A34, Cooper_pop_2030_2050!B:B, 0)))-(INDEX(Cooper_pop_2030_2050!D:D, MATCH($A34, Cooper_pop_2030_2050!B:B, 0))))</f>
        <v>11570983.387721565</v>
      </c>
      <c r="P34">
        <f>(INDEX(Cooper_pop_2030_2050!D:D, MATCH($A34, Cooper_pop_2030_2050!B:B, 0)))+0.8*((INDEX(Cooper_pop_2030_2050!E:E, MATCH($A34, Cooper_pop_2030_2050!B:B, 0)))-(INDEX(Cooper_pop_2030_2050!D:D, MATCH($A34, Cooper_pop_2030_2050!B:B, 0))))</f>
        <v>11629672.57730878</v>
      </c>
      <c r="Q34">
        <f>(INDEX(Cooper_pop_2030_2050!D:D, MATCH($A34, Cooper_pop_2030_2050!B:B, 0)))+0.9*((INDEX(Cooper_pop_2030_2050!E:E, MATCH($A34, Cooper_pop_2030_2050!B:B, 0)))-(INDEX(Cooper_pop_2030_2050!D:D, MATCH($A34, Cooper_pop_2030_2050!B:B, 0))))</f>
        <v>11688361.766895995</v>
      </c>
      <c r="R34">
        <f>INDEX(Cooper_pop_2030_2050!E:E, MATCH($A34, Cooper_pop_2030_2050!B:B, 0))</f>
        <v>11747050.95648321</v>
      </c>
      <c r="S34">
        <f>(INDEX(Cooper_pop_2030_2050!E:E, MATCH($A34, Cooper_pop_2030_2050!B:B, 0)))+0.1*((INDEX(Cooper_pop_2030_2050!F:F, MATCH($A34, Cooper_pop_2030_2050!B:B, 0)))-(INDEX(Cooper_pop_2030_2050!E:E, MATCH($A34, Cooper_pop_2030_2050!B:B, 0))))</f>
        <v>11794337.547827594</v>
      </c>
      <c r="T34">
        <f>(INDEX(Cooper_pop_2030_2050!E:E, MATCH($A34, Cooper_pop_2030_2050!B:B, 0)))+0.2*((INDEX(Cooper_pop_2030_2050!F:F, MATCH($A34, Cooper_pop_2030_2050!B:B, 0)))-(INDEX(Cooper_pop_2030_2050!E:E, MATCH($A34, Cooper_pop_2030_2050!B:B, 0))))</f>
        <v>11841624.13917198</v>
      </c>
      <c r="U34">
        <f>(INDEX(Cooper_pop_2030_2050!E:E, MATCH($A34, Cooper_pop_2030_2050!B:B, 0)))+0.3*((INDEX(Cooper_pop_2030_2050!F:F, MATCH($A34, Cooper_pop_2030_2050!B:B, 0)))-(INDEX(Cooper_pop_2030_2050!E:E, MATCH($A34, Cooper_pop_2030_2050!B:B, 0))))</f>
        <v>11888910.730516365</v>
      </c>
      <c r="V34">
        <f>(INDEX(Cooper_pop_2030_2050!E:E, MATCH($A34, Cooper_pop_2030_2050!B:B, 0)))+0.4*((INDEX(Cooper_pop_2030_2050!F:F, MATCH($A34, Cooper_pop_2030_2050!B:B, 0)))-(INDEX(Cooper_pop_2030_2050!E:E, MATCH($A34, Cooper_pop_2030_2050!B:B, 0))))</f>
        <v>11936197.321860749</v>
      </c>
      <c r="W34">
        <f>(INDEX(Cooper_pop_2030_2050!E:E, MATCH($A34, Cooper_pop_2030_2050!B:B, 0)))+0.5*((INDEX(Cooper_pop_2030_2050!F:F, MATCH($A34, Cooper_pop_2030_2050!B:B, 0)))-(INDEX(Cooper_pop_2030_2050!E:E, MATCH($A34, Cooper_pop_2030_2050!B:B, 0))))</f>
        <v>11983483.913205136</v>
      </c>
      <c r="X34">
        <f>(INDEX(Cooper_pop_2030_2050!E:E, MATCH($A34, Cooper_pop_2030_2050!B:B, 0)))+0.6*((INDEX(Cooper_pop_2030_2050!F:F, MATCH($A34, Cooper_pop_2030_2050!B:B, 0)))-(INDEX(Cooper_pop_2030_2050!E:E, MATCH($A34, Cooper_pop_2030_2050!B:B, 0))))</f>
        <v>12030770.50454952</v>
      </c>
      <c r="Y34">
        <f>(INDEX(Cooper_pop_2030_2050!E:E, MATCH($A34, Cooper_pop_2030_2050!B:B, 0)))+0.7*((INDEX(Cooper_pop_2030_2050!F:F, MATCH($A34, Cooper_pop_2030_2050!B:B, 0)))-(INDEX(Cooper_pop_2030_2050!E:E, MATCH($A34, Cooper_pop_2030_2050!B:B, 0))))</f>
        <v>12078057.095893905</v>
      </c>
      <c r="Z34">
        <f>(INDEX(Cooper_pop_2030_2050!E:E, MATCH($A34, Cooper_pop_2030_2050!B:B, 0)))+0.8*((INDEX(Cooper_pop_2030_2050!F:F, MATCH($A34, Cooper_pop_2030_2050!B:B, 0)))-(INDEX(Cooper_pop_2030_2050!E:E, MATCH($A34, Cooper_pop_2030_2050!B:B, 0))))</f>
        <v>12125343.687238289</v>
      </c>
      <c r="AA34">
        <f>(INDEX(Cooper_pop_2030_2050!E:E, MATCH($A34, Cooper_pop_2030_2050!B:B, 0)))+0.9*((INDEX(Cooper_pop_2030_2050!F:F, MATCH($A34, Cooper_pop_2030_2050!B:B, 0)))-(INDEX(Cooper_pop_2030_2050!E:E, MATCH($A34, Cooper_pop_2030_2050!B:B, 0))))</f>
        <v>12172630.278582675</v>
      </c>
      <c r="AB34">
        <f>INDEX(Cooper_pop_2030_2050!F:F, MATCH($A34, Cooper_pop_2030_2050!B:B, 0))</f>
        <v>12219916.86992706</v>
      </c>
    </row>
    <row r="35" spans="1:28">
      <c r="A35" t="s">
        <v>2919</v>
      </c>
      <c r="B35">
        <f>IFERROR(INDEX(Census_pop_2020_2025!G:G, MATCH("."&amp;$A35, Census_pop_2020_2025!A:A, 0)),INDEX(Census_pop_2020_2025!G:G, MATCH($A35, Census_pop_2020_2025!A:A, 0)))</f>
        <v>793387</v>
      </c>
      <c r="C35">
        <f>IFERROR(INDEX(Census_pop_2020_2025!H:H, MATCH("."&amp;$A35, Census_pop_2020_2025!A:A, 0)),INDEX(Census_pop_2020_2025!H:H, MATCH($A35, Census_pop_2020_2025!A:A, 0)))</f>
        <v>799358</v>
      </c>
      <c r="D35">
        <f>(IFERROR(INDEX(Census_pop_2020_2025!H:H, MATCH("."&amp;$A35, Census_pop_2020_2025!A:A, 0)),INDEX(Census_pop_2020_2025!H:H, MATCH($A35, Census_pop_2020_2025!A:A, 0))))+0.2*((INDEX(Cooper_pop_2030_2050!D:D, MATCH($A35, Cooper_pop_2030_2050!B:B, 0)))-(IFERROR(INDEX(Census_pop_2020_2025!H:H, MATCH("."&amp;$A35, Census_pop_2020_2025!A:A, 0)),INDEX(Census_pop_2020_2025!H:H, MATCH($A35, Census_pop_2020_2025!A:A, 0)))))</f>
        <v>812967.09674237389</v>
      </c>
      <c r="E35">
        <f>(IFERROR(INDEX(Census_pop_2020_2025!H:H, MATCH("."&amp;$A35, Census_pop_2020_2025!A:A, 0)),INDEX(Census_pop_2020_2025!H:H, MATCH($A35, Census_pop_2020_2025!A:A, 0))))+0.4*((INDEX(Cooper_pop_2030_2050!D:D, MATCH($A35, Cooper_pop_2030_2050!B:B, 0)))-(IFERROR(INDEX(Census_pop_2020_2025!H:H, MATCH("."&amp;$A35, Census_pop_2020_2025!A:A, 0)),INDEX(Census_pop_2020_2025!H:H, MATCH($A35, Census_pop_2020_2025!A:A, 0)))))</f>
        <v>826576.19348474778</v>
      </c>
      <c r="F35">
        <f>(IFERROR(INDEX(Census_pop_2020_2025!H:H, MATCH("."&amp;$A35, Census_pop_2020_2025!A:A, 0)),INDEX(Census_pop_2020_2025!H:H, MATCH($A35, Census_pop_2020_2025!A:A, 0))))+0.6*((INDEX(Cooper_pop_2030_2050!D:D, MATCH($A35, Cooper_pop_2030_2050!B:B, 0)))-(IFERROR(INDEX(Census_pop_2020_2025!H:H, MATCH("."&amp;$A35, Census_pop_2020_2025!A:A, 0)),INDEX(Census_pop_2020_2025!H:H, MATCH($A35, Census_pop_2020_2025!A:A, 0)))))</f>
        <v>840185.29022712167</v>
      </c>
      <c r="G35">
        <f>(IFERROR(INDEX(Census_pop_2020_2025!H:H, MATCH("."&amp;$A35, Census_pop_2020_2025!A:A, 0)),INDEX(Census_pop_2020_2025!H:H, MATCH($A35, Census_pop_2020_2025!A:A, 0))))+0.8*((INDEX(Cooper_pop_2030_2050!D:D, MATCH($A35, Cooper_pop_2030_2050!B:B, 0)))-(IFERROR(INDEX(Census_pop_2020_2025!H:H, MATCH("."&amp;$A35, Census_pop_2020_2025!A:A, 0)),INDEX(Census_pop_2020_2025!H:H, MATCH($A35, Census_pop_2020_2025!A:A, 0)))))</f>
        <v>853794.38696949556</v>
      </c>
      <c r="H35">
        <f>INDEX(Cooper_pop_2030_2050!D:D, MATCH($A35, Cooper_pop_2030_2050!B:B, 0))</f>
        <v>867403.48371186946</v>
      </c>
      <c r="I35">
        <f>(INDEX(Cooper_pop_2030_2050!D:D, MATCH($A35, Cooper_pop_2030_2050!B:B, 0)))+0.1*((INDEX(Cooper_pop_2030_2050!E:E, MATCH($A35, Cooper_pop_2030_2050!B:B, 0)))-(INDEX(Cooper_pop_2030_2050!D:D, MATCH($A35, Cooper_pop_2030_2050!B:B, 0))))</f>
        <v>877265.13029874838</v>
      </c>
      <c r="J35">
        <f>(INDEX(Cooper_pop_2030_2050!D:D, MATCH($A35, Cooper_pop_2030_2050!B:B, 0)))+0.2*((INDEX(Cooper_pop_2030_2050!E:E, MATCH($A35, Cooper_pop_2030_2050!B:B, 0)))-(INDEX(Cooper_pop_2030_2050!D:D, MATCH($A35, Cooper_pop_2030_2050!B:B, 0))))</f>
        <v>887126.7768856273</v>
      </c>
      <c r="K35">
        <f>(INDEX(Cooper_pop_2030_2050!D:D, MATCH($A35, Cooper_pop_2030_2050!B:B, 0)))+0.3*((INDEX(Cooper_pop_2030_2050!E:E, MATCH($A35, Cooper_pop_2030_2050!B:B, 0)))-(INDEX(Cooper_pop_2030_2050!D:D, MATCH($A35, Cooper_pop_2030_2050!B:B, 0))))</f>
        <v>896988.42347250634</v>
      </c>
      <c r="L35">
        <f>(INDEX(Cooper_pop_2030_2050!D:D, MATCH($A35, Cooper_pop_2030_2050!B:B, 0)))+0.4*((INDEX(Cooper_pop_2030_2050!E:E, MATCH($A35, Cooper_pop_2030_2050!B:B, 0)))-(INDEX(Cooper_pop_2030_2050!D:D, MATCH($A35, Cooper_pop_2030_2050!B:B, 0))))</f>
        <v>906850.07005938527</v>
      </c>
      <c r="M35">
        <f>(INDEX(Cooper_pop_2030_2050!D:D, MATCH($A35, Cooper_pop_2030_2050!B:B, 0)))+0.5*((INDEX(Cooper_pop_2030_2050!E:E, MATCH($A35, Cooper_pop_2030_2050!B:B, 0)))-(INDEX(Cooper_pop_2030_2050!D:D, MATCH($A35, Cooper_pop_2030_2050!B:B, 0))))</f>
        <v>916711.71664626419</v>
      </c>
      <c r="N35">
        <f>(INDEX(Cooper_pop_2030_2050!D:D, MATCH($A35, Cooper_pop_2030_2050!B:B, 0)))+0.6*((INDEX(Cooper_pop_2030_2050!E:E, MATCH($A35, Cooper_pop_2030_2050!B:B, 0)))-(INDEX(Cooper_pop_2030_2050!D:D, MATCH($A35, Cooper_pop_2030_2050!B:B, 0))))</f>
        <v>926573.36323314311</v>
      </c>
      <c r="O35">
        <f>(INDEX(Cooper_pop_2030_2050!D:D, MATCH($A35, Cooper_pop_2030_2050!B:B, 0)))+0.7*((INDEX(Cooper_pop_2030_2050!E:E, MATCH($A35, Cooper_pop_2030_2050!B:B, 0)))-(INDEX(Cooper_pop_2030_2050!D:D, MATCH($A35, Cooper_pop_2030_2050!B:B, 0))))</f>
        <v>936435.00982002204</v>
      </c>
      <c r="P35">
        <f>(INDEX(Cooper_pop_2030_2050!D:D, MATCH($A35, Cooper_pop_2030_2050!B:B, 0)))+0.8*((INDEX(Cooper_pop_2030_2050!E:E, MATCH($A35, Cooper_pop_2030_2050!B:B, 0)))-(INDEX(Cooper_pop_2030_2050!D:D, MATCH($A35, Cooper_pop_2030_2050!B:B, 0))))</f>
        <v>946296.65640690108</v>
      </c>
      <c r="Q35">
        <f>(INDEX(Cooper_pop_2030_2050!D:D, MATCH($A35, Cooper_pop_2030_2050!B:B, 0)))+0.9*((INDEX(Cooper_pop_2030_2050!E:E, MATCH($A35, Cooper_pop_2030_2050!B:B, 0)))-(INDEX(Cooper_pop_2030_2050!D:D, MATCH($A35, Cooper_pop_2030_2050!B:B, 0))))</f>
        <v>956158.30299378</v>
      </c>
      <c r="R35">
        <f>INDEX(Cooper_pop_2030_2050!E:E, MATCH($A35, Cooper_pop_2030_2050!B:B, 0))</f>
        <v>966019.94958065893</v>
      </c>
      <c r="S35">
        <f>(INDEX(Cooper_pop_2030_2050!E:E, MATCH($A35, Cooper_pop_2030_2050!B:B, 0)))+0.1*((INDEX(Cooper_pop_2030_2050!F:F, MATCH($A35, Cooper_pop_2030_2050!B:B, 0)))-(INDEX(Cooper_pop_2030_2050!E:E, MATCH($A35, Cooper_pop_2030_2050!B:B, 0))))</f>
        <v>975742.11432720209</v>
      </c>
      <c r="T35">
        <f>(INDEX(Cooper_pop_2030_2050!E:E, MATCH($A35, Cooper_pop_2030_2050!B:B, 0)))+0.2*((INDEX(Cooper_pop_2030_2050!F:F, MATCH($A35, Cooper_pop_2030_2050!B:B, 0)))-(INDEX(Cooper_pop_2030_2050!E:E, MATCH($A35, Cooper_pop_2030_2050!B:B, 0))))</f>
        <v>985464.27907374536</v>
      </c>
      <c r="U35">
        <f>(INDEX(Cooper_pop_2030_2050!E:E, MATCH($A35, Cooper_pop_2030_2050!B:B, 0)))+0.3*((INDEX(Cooper_pop_2030_2050!F:F, MATCH($A35, Cooper_pop_2030_2050!B:B, 0)))-(INDEX(Cooper_pop_2030_2050!E:E, MATCH($A35, Cooper_pop_2030_2050!B:B, 0))))</f>
        <v>995186.44382028852</v>
      </c>
      <c r="V35">
        <f>(INDEX(Cooper_pop_2030_2050!E:E, MATCH($A35, Cooper_pop_2030_2050!B:B, 0)))+0.4*((INDEX(Cooper_pop_2030_2050!F:F, MATCH($A35, Cooper_pop_2030_2050!B:B, 0)))-(INDEX(Cooper_pop_2030_2050!E:E, MATCH($A35, Cooper_pop_2030_2050!B:B, 0))))</f>
        <v>1004908.6085668318</v>
      </c>
      <c r="W35">
        <f>(INDEX(Cooper_pop_2030_2050!E:E, MATCH($A35, Cooper_pop_2030_2050!B:B, 0)))+0.5*((INDEX(Cooper_pop_2030_2050!F:F, MATCH($A35, Cooper_pop_2030_2050!B:B, 0)))-(INDEX(Cooper_pop_2030_2050!E:E, MATCH($A35, Cooper_pop_2030_2050!B:B, 0))))</f>
        <v>1014630.773313375</v>
      </c>
      <c r="X35">
        <f>(INDEX(Cooper_pop_2030_2050!E:E, MATCH($A35, Cooper_pop_2030_2050!B:B, 0)))+0.6*((INDEX(Cooper_pop_2030_2050!F:F, MATCH($A35, Cooper_pop_2030_2050!B:B, 0)))-(INDEX(Cooper_pop_2030_2050!E:E, MATCH($A35, Cooper_pop_2030_2050!B:B, 0))))</f>
        <v>1024352.9380599181</v>
      </c>
      <c r="Y35">
        <f>(INDEX(Cooper_pop_2030_2050!E:E, MATCH($A35, Cooper_pop_2030_2050!B:B, 0)))+0.7*((INDEX(Cooper_pop_2030_2050!F:F, MATCH($A35, Cooper_pop_2030_2050!B:B, 0)))-(INDEX(Cooper_pop_2030_2050!E:E, MATCH($A35, Cooper_pop_2030_2050!B:B, 0))))</f>
        <v>1034075.1028064614</v>
      </c>
      <c r="Z35">
        <f>(INDEX(Cooper_pop_2030_2050!E:E, MATCH($A35, Cooper_pop_2030_2050!B:B, 0)))+0.8*((INDEX(Cooper_pop_2030_2050!F:F, MATCH($A35, Cooper_pop_2030_2050!B:B, 0)))-(INDEX(Cooper_pop_2030_2050!E:E, MATCH($A35, Cooper_pop_2030_2050!B:B, 0))))</f>
        <v>1043797.2675530046</v>
      </c>
      <c r="AA35">
        <f>(INDEX(Cooper_pop_2030_2050!E:E, MATCH($A35, Cooper_pop_2030_2050!B:B, 0)))+0.9*((INDEX(Cooper_pop_2030_2050!F:F, MATCH($A35, Cooper_pop_2030_2050!B:B, 0)))-(INDEX(Cooper_pop_2030_2050!E:E, MATCH($A35, Cooper_pop_2030_2050!B:B, 0))))</f>
        <v>1053519.4322995478</v>
      </c>
      <c r="AB35">
        <f>INDEX(Cooper_pop_2030_2050!F:F, MATCH($A35, Cooper_pop_2030_2050!B:B, 0))</f>
        <v>1063241.597046091</v>
      </c>
    </row>
    <row r="36" spans="1:28">
      <c r="A36" t="s">
        <v>2920</v>
      </c>
      <c r="B36">
        <f>IFERROR(INDEX(Census_pop_2020_2025!G:G, MATCH("."&amp;$A36, Census_pop_2020_2025!A:A, 0)),INDEX(Census_pop_2020_2025!G:G, MATCH($A36, Census_pop_2020_2025!A:A, 0)))</f>
        <v>11860621</v>
      </c>
      <c r="C36">
        <f>IFERROR(INDEX(Census_pop_2020_2025!H:H, MATCH("."&amp;$A36, Census_pop_2020_2025!A:A, 0)),INDEX(Census_pop_2020_2025!H:H, MATCH($A36, Census_pop_2020_2025!A:A, 0)))</f>
        <v>11900510</v>
      </c>
      <c r="D36">
        <f>(IFERROR(INDEX(Census_pop_2020_2025!H:H, MATCH("."&amp;$A36, Census_pop_2020_2025!A:A, 0)),INDEX(Census_pop_2020_2025!H:H, MATCH($A36, Census_pop_2020_2025!A:A, 0))))+0.2*((INDEX(Cooper_pop_2030_2050!D:D, MATCH($A36, Cooper_pop_2030_2050!B:B, 0)))-(IFERROR(INDEX(Census_pop_2020_2025!H:H, MATCH("."&amp;$A36, Census_pop_2020_2025!A:A, 0)),INDEX(Census_pop_2020_2025!H:H, MATCH($A36, Census_pop_2020_2025!A:A, 0)))))</f>
        <v>11920338.511083635</v>
      </c>
      <c r="E36">
        <f>(IFERROR(INDEX(Census_pop_2020_2025!H:H, MATCH("."&amp;$A36, Census_pop_2020_2025!A:A, 0)),INDEX(Census_pop_2020_2025!H:H, MATCH($A36, Census_pop_2020_2025!A:A, 0))))+0.4*((INDEX(Cooper_pop_2030_2050!D:D, MATCH($A36, Cooper_pop_2030_2050!B:B, 0)))-(IFERROR(INDEX(Census_pop_2020_2025!H:H, MATCH("."&amp;$A36, Census_pop_2020_2025!A:A, 0)),INDEX(Census_pop_2020_2025!H:H, MATCH($A36, Census_pop_2020_2025!A:A, 0)))))</f>
        <v>11940167.022167267</v>
      </c>
      <c r="F36">
        <f>(IFERROR(INDEX(Census_pop_2020_2025!H:H, MATCH("."&amp;$A36, Census_pop_2020_2025!A:A, 0)),INDEX(Census_pop_2020_2025!H:H, MATCH($A36, Census_pop_2020_2025!A:A, 0))))+0.6*((INDEX(Cooper_pop_2030_2050!D:D, MATCH($A36, Cooper_pop_2030_2050!B:B, 0)))-(IFERROR(INDEX(Census_pop_2020_2025!H:H, MATCH("."&amp;$A36, Census_pop_2020_2025!A:A, 0)),INDEX(Census_pop_2020_2025!H:H, MATCH($A36, Census_pop_2020_2025!A:A, 0)))))</f>
        <v>11959995.533250902</v>
      </c>
      <c r="G36">
        <f>(IFERROR(INDEX(Census_pop_2020_2025!H:H, MATCH("."&amp;$A36, Census_pop_2020_2025!A:A, 0)),INDEX(Census_pop_2020_2025!H:H, MATCH($A36, Census_pop_2020_2025!A:A, 0))))+0.8*((INDEX(Cooper_pop_2030_2050!D:D, MATCH($A36, Cooper_pop_2030_2050!B:B, 0)))-(IFERROR(INDEX(Census_pop_2020_2025!H:H, MATCH("."&amp;$A36, Census_pop_2020_2025!A:A, 0)),INDEX(Census_pop_2020_2025!H:H, MATCH($A36, Census_pop_2020_2025!A:A, 0)))))</f>
        <v>11979824.044334535</v>
      </c>
      <c r="H36">
        <f>INDEX(Cooper_pop_2030_2050!D:D, MATCH($A36, Cooper_pop_2030_2050!B:B, 0))</f>
        <v>11999652.555418169</v>
      </c>
      <c r="I36">
        <f>(INDEX(Cooper_pop_2030_2050!D:D, MATCH($A36, Cooper_pop_2030_2050!B:B, 0)))+0.1*((INDEX(Cooper_pop_2030_2050!E:E, MATCH($A36, Cooper_pop_2030_2050!B:B, 0)))-(INDEX(Cooper_pop_2030_2050!D:D, MATCH($A36, Cooper_pop_2030_2050!B:B, 0))))</f>
        <v>11979688.003463157</v>
      </c>
      <c r="J36">
        <f>(INDEX(Cooper_pop_2030_2050!D:D, MATCH($A36, Cooper_pop_2030_2050!B:B, 0)))+0.2*((INDEX(Cooper_pop_2030_2050!E:E, MATCH($A36, Cooper_pop_2030_2050!B:B, 0)))-(INDEX(Cooper_pop_2030_2050!D:D, MATCH($A36, Cooper_pop_2030_2050!B:B, 0))))</f>
        <v>11959723.451508144</v>
      </c>
      <c r="K36">
        <f>(INDEX(Cooper_pop_2030_2050!D:D, MATCH($A36, Cooper_pop_2030_2050!B:B, 0)))+0.3*((INDEX(Cooper_pop_2030_2050!E:E, MATCH($A36, Cooper_pop_2030_2050!B:B, 0)))-(INDEX(Cooper_pop_2030_2050!D:D, MATCH($A36, Cooper_pop_2030_2050!B:B, 0))))</f>
        <v>11939758.899553129</v>
      </c>
      <c r="L36">
        <f>(INDEX(Cooper_pop_2030_2050!D:D, MATCH($A36, Cooper_pop_2030_2050!B:B, 0)))+0.4*((INDEX(Cooper_pop_2030_2050!E:E, MATCH($A36, Cooper_pop_2030_2050!B:B, 0)))-(INDEX(Cooper_pop_2030_2050!D:D, MATCH($A36, Cooper_pop_2030_2050!B:B, 0))))</f>
        <v>11919794.347598117</v>
      </c>
      <c r="M36">
        <f>(INDEX(Cooper_pop_2030_2050!D:D, MATCH($A36, Cooper_pop_2030_2050!B:B, 0)))+0.5*((INDEX(Cooper_pop_2030_2050!E:E, MATCH($A36, Cooper_pop_2030_2050!B:B, 0)))-(INDEX(Cooper_pop_2030_2050!D:D, MATCH($A36, Cooper_pop_2030_2050!B:B, 0))))</f>
        <v>11899829.795643104</v>
      </c>
      <c r="N36">
        <f>(INDEX(Cooper_pop_2030_2050!D:D, MATCH($A36, Cooper_pop_2030_2050!B:B, 0)))+0.6*((INDEX(Cooper_pop_2030_2050!E:E, MATCH($A36, Cooper_pop_2030_2050!B:B, 0)))-(INDEX(Cooper_pop_2030_2050!D:D, MATCH($A36, Cooper_pop_2030_2050!B:B, 0))))</f>
        <v>11879865.243688092</v>
      </c>
      <c r="O36">
        <f>(INDEX(Cooper_pop_2030_2050!D:D, MATCH($A36, Cooper_pop_2030_2050!B:B, 0)))+0.7*((INDEX(Cooper_pop_2030_2050!E:E, MATCH($A36, Cooper_pop_2030_2050!B:B, 0)))-(INDEX(Cooper_pop_2030_2050!D:D, MATCH($A36, Cooper_pop_2030_2050!B:B, 0))))</f>
        <v>11859900.691733079</v>
      </c>
      <c r="P36">
        <f>(INDEX(Cooper_pop_2030_2050!D:D, MATCH($A36, Cooper_pop_2030_2050!B:B, 0)))+0.8*((INDEX(Cooper_pop_2030_2050!E:E, MATCH($A36, Cooper_pop_2030_2050!B:B, 0)))-(INDEX(Cooper_pop_2030_2050!D:D, MATCH($A36, Cooper_pop_2030_2050!B:B, 0))))</f>
        <v>11839936.139778065</v>
      </c>
      <c r="Q36">
        <f>(INDEX(Cooper_pop_2030_2050!D:D, MATCH($A36, Cooper_pop_2030_2050!B:B, 0)))+0.9*((INDEX(Cooper_pop_2030_2050!E:E, MATCH($A36, Cooper_pop_2030_2050!B:B, 0)))-(INDEX(Cooper_pop_2030_2050!D:D, MATCH($A36, Cooper_pop_2030_2050!B:B, 0))))</f>
        <v>11819971.587823052</v>
      </c>
      <c r="R36">
        <f>INDEX(Cooper_pop_2030_2050!E:E, MATCH($A36, Cooper_pop_2030_2050!B:B, 0))</f>
        <v>11800007.035868039</v>
      </c>
      <c r="S36">
        <f>(INDEX(Cooper_pop_2030_2050!E:E, MATCH($A36, Cooper_pop_2030_2050!B:B, 0)))+0.1*((INDEX(Cooper_pop_2030_2050!F:F, MATCH($A36, Cooper_pop_2030_2050!B:B, 0)))-(INDEX(Cooper_pop_2030_2050!E:E, MATCH($A36, Cooper_pop_2030_2050!B:B, 0))))</f>
        <v>11766777.569740733</v>
      </c>
      <c r="T36">
        <f>(INDEX(Cooper_pop_2030_2050!E:E, MATCH($A36, Cooper_pop_2030_2050!B:B, 0)))+0.2*((INDEX(Cooper_pop_2030_2050!F:F, MATCH($A36, Cooper_pop_2030_2050!B:B, 0)))-(INDEX(Cooper_pop_2030_2050!E:E, MATCH($A36, Cooper_pop_2030_2050!B:B, 0))))</f>
        <v>11733548.103613427</v>
      </c>
      <c r="U36">
        <f>(INDEX(Cooper_pop_2030_2050!E:E, MATCH($A36, Cooper_pop_2030_2050!B:B, 0)))+0.3*((INDEX(Cooper_pop_2030_2050!F:F, MATCH($A36, Cooper_pop_2030_2050!B:B, 0)))-(INDEX(Cooper_pop_2030_2050!E:E, MATCH($A36, Cooper_pop_2030_2050!B:B, 0))))</f>
        <v>11700318.637486123</v>
      </c>
      <c r="V36">
        <f>(INDEX(Cooper_pop_2030_2050!E:E, MATCH($A36, Cooper_pop_2030_2050!B:B, 0)))+0.4*((INDEX(Cooper_pop_2030_2050!F:F, MATCH($A36, Cooper_pop_2030_2050!B:B, 0)))-(INDEX(Cooper_pop_2030_2050!E:E, MATCH($A36, Cooper_pop_2030_2050!B:B, 0))))</f>
        <v>11667089.171358816</v>
      </c>
      <c r="W36">
        <f>(INDEX(Cooper_pop_2030_2050!E:E, MATCH($A36, Cooper_pop_2030_2050!B:B, 0)))+0.5*((INDEX(Cooper_pop_2030_2050!F:F, MATCH($A36, Cooper_pop_2030_2050!B:B, 0)))-(INDEX(Cooper_pop_2030_2050!E:E, MATCH($A36, Cooper_pop_2030_2050!B:B, 0))))</f>
        <v>11633859.70523151</v>
      </c>
      <c r="X36">
        <f>(INDEX(Cooper_pop_2030_2050!E:E, MATCH($A36, Cooper_pop_2030_2050!B:B, 0)))+0.6*((INDEX(Cooper_pop_2030_2050!F:F, MATCH($A36, Cooper_pop_2030_2050!B:B, 0)))-(INDEX(Cooper_pop_2030_2050!E:E, MATCH($A36, Cooper_pop_2030_2050!B:B, 0))))</f>
        <v>11600630.239104204</v>
      </c>
      <c r="Y36">
        <f>(INDEX(Cooper_pop_2030_2050!E:E, MATCH($A36, Cooper_pop_2030_2050!B:B, 0)))+0.7*((INDEX(Cooper_pop_2030_2050!F:F, MATCH($A36, Cooper_pop_2030_2050!B:B, 0)))-(INDEX(Cooper_pop_2030_2050!E:E, MATCH($A36, Cooper_pop_2030_2050!B:B, 0))))</f>
        <v>11567400.772976898</v>
      </c>
      <c r="Z36">
        <f>(INDEX(Cooper_pop_2030_2050!E:E, MATCH($A36, Cooper_pop_2030_2050!B:B, 0)))+0.8*((INDEX(Cooper_pop_2030_2050!F:F, MATCH($A36, Cooper_pop_2030_2050!B:B, 0)))-(INDEX(Cooper_pop_2030_2050!E:E, MATCH($A36, Cooper_pop_2030_2050!B:B, 0))))</f>
        <v>11534171.306849593</v>
      </c>
      <c r="AA36">
        <f>(INDEX(Cooper_pop_2030_2050!E:E, MATCH($A36, Cooper_pop_2030_2050!B:B, 0)))+0.9*((INDEX(Cooper_pop_2030_2050!F:F, MATCH($A36, Cooper_pop_2030_2050!B:B, 0)))-(INDEX(Cooper_pop_2030_2050!E:E, MATCH($A36, Cooper_pop_2030_2050!B:B, 0))))</f>
        <v>11500941.840722287</v>
      </c>
      <c r="AB36">
        <f>INDEX(Cooper_pop_2030_2050!F:F, MATCH($A36, Cooper_pop_2030_2050!B:B, 0))</f>
        <v>11467712.374594981</v>
      </c>
    </row>
    <row r="37" spans="1:28">
      <c r="A37" t="s">
        <v>2921</v>
      </c>
      <c r="B37">
        <f>IFERROR(INDEX(Census_pop_2020_2025!G:G, MATCH("."&amp;$A37, Census_pop_2020_2025!A:A, 0)),INDEX(Census_pop_2020_2025!G:G, MATCH($A37, Census_pop_2020_2025!A:A, 0)))</f>
        <v>4097758</v>
      </c>
      <c r="C37">
        <f>IFERROR(INDEX(Census_pop_2020_2025!H:H, MATCH("."&amp;$A37, Census_pop_2020_2025!A:A, 0)),INDEX(Census_pop_2020_2025!H:H, MATCH($A37, Census_pop_2020_2025!A:A, 0)))</f>
        <v>4123288</v>
      </c>
      <c r="D37">
        <f>(IFERROR(INDEX(Census_pop_2020_2025!H:H, MATCH("."&amp;$A37, Census_pop_2020_2025!A:A, 0)),INDEX(Census_pop_2020_2025!H:H, MATCH($A37, Census_pop_2020_2025!A:A, 0))))+0.2*((INDEX(Cooper_pop_2030_2050!D:D, MATCH($A37, Cooper_pop_2030_2050!B:B, 0)))-(IFERROR(INDEX(Census_pop_2020_2025!H:H, MATCH("."&amp;$A37, Census_pop_2020_2025!A:A, 0)),INDEX(Census_pop_2020_2025!H:H, MATCH($A37, Census_pop_2020_2025!A:A, 0)))))</f>
        <v>4122854.6133530829</v>
      </c>
      <c r="E37">
        <f>(IFERROR(INDEX(Census_pop_2020_2025!H:H, MATCH("."&amp;$A37, Census_pop_2020_2025!A:A, 0)),INDEX(Census_pop_2020_2025!H:H, MATCH($A37, Census_pop_2020_2025!A:A, 0))))+0.4*((INDEX(Cooper_pop_2030_2050!D:D, MATCH($A37, Cooper_pop_2030_2050!B:B, 0)))-(IFERROR(INDEX(Census_pop_2020_2025!H:H, MATCH("."&amp;$A37, Census_pop_2020_2025!A:A, 0)),INDEX(Census_pop_2020_2025!H:H, MATCH($A37, Census_pop_2020_2025!A:A, 0)))))</f>
        <v>4122421.2267061658</v>
      </c>
      <c r="F37">
        <f>(IFERROR(INDEX(Census_pop_2020_2025!H:H, MATCH("."&amp;$A37, Census_pop_2020_2025!A:A, 0)),INDEX(Census_pop_2020_2025!H:H, MATCH($A37, Census_pop_2020_2025!A:A, 0))))+0.6*((INDEX(Cooper_pop_2030_2050!D:D, MATCH($A37, Cooper_pop_2030_2050!B:B, 0)))-(IFERROR(INDEX(Census_pop_2020_2025!H:H, MATCH("."&amp;$A37, Census_pop_2020_2025!A:A, 0)),INDEX(Census_pop_2020_2025!H:H, MATCH($A37, Census_pop_2020_2025!A:A, 0)))))</f>
        <v>4121987.8400592483</v>
      </c>
      <c r="G37">
        <f>(IFERROR(INDEX(Census_pop_2020_2025!H:H, MATCH("."&amp;$A37, Census_pop_2020_2025!A:A, 0)),INDEX(Census_pop_2020_2025!H:H, MATCH($A37, Census_pop_2020_2025!A:A, 0))))+0.8*((INDEX(Cooper_pop_2030_2050!D:D, MATCH($A37, Cooper_pop_2030_2050!B:B, 0)))-(IFERROR(INDEX(Census_pop_2020_2025!H:H, MATCH("."&amp;$A37, Census_pop_2020_2025!A:A, 0)),INDEX(Census_pop_2020_2025!H:H, MATCH($A37, Census_pop_2020_2025!A:A, 0)))))</f>
        <v>4121554.4534123312</v>
      </c>
      <c r="H37">
        <f>INDEX(Cooper_pop_2030_2050!D:D, MATCH($A37, Cooper_pop_2030_2050!B:B, 0))</f>
        <v>4121121.0667654141</v>
      </c>
      <c r="I37">
        <f>(INDEX(Cooper_pop_2030_2050!D:D, MATCH($A37, Cooper_pop_2030_2050!B:B, 0)))+0.1*((INDEX(Cooper_pop_2030_2050!E:E, MATCH($A37, Cooper_pop_2030_2050!B:B, 0)))-(INDEX(Cooper_pop_2030_2050!D:D, MATCH($A37, Cooper_pop_2030_2050!B:B, 0))))</f>
        <v>4127203.1745436024</v>
      </c>
      <c r="J37">
        <f>(INDEX(Cooper_pop_2030_2050!D:D, MATCH($A37, Cooper_pop_2030_2050!B:B, 0)))+0.2*((INDEX(Cooper_pop_2030_2050!E:E, MATCH($A37, Cooper_pop_2030_2050!B:B, 0)))-(INDEX(Cooper_pop_2030_2050!D:D, MATCH($A37, Cooper_pop_2030_2050!B:B, 0))))</f>
        <v>4133285.2823217902</v>
      </c>
      <c r="K37">
        <f>(INDEX(Cooper_pop_2030_2050!D:D, MATCH($A37, Cooper_pop_2030_2050!B:B, 0)))+0.3*((INDEX(Cooper_pop_2030_2050!E:E, MATCH($A37, Cooper_pop_2030_2050!B:B, 0)))-(INDEX(Cooper_pop_2030_2050!D:D, MATCH($A37, Cooper_pop_2030_2050!B:B, 0))))</f>
        <v>4139367.3900999781</v>
      </c>
      <c r="L37">
        <f>(INDEX(Cooper_pop_2030_2050!D:D, MATCH($A37, Cooper_pop_2030_2050!B:B, 0)))+0.4*((INDEX(Cooper_pop_2030_2050!E:E, MATCH($A37, Cooper_pop_2030_2050!B:B, 0)))-(INDEX(Cooper_pop_2030_2050!D:D, MATCH($A37, Cooper_pop_2030_2050!B:B, 0))))</f>
        <v>4145449.4978781664</v>
      </c>
      <c r="M37">
        <f>(INDEX(Cooper_pop_2030_2050!D:D, MATCH($A37, Cooper_pop_2030_2050!B:B, 0)))+0.5*((INDEX(Cooper_pop_2030_2050!E:E, MATCH($A37, Cooper_pop_2030_2050!B:B, 0)))-(INDEX(Cooper_pop_2030_2050!D:D, MATCH($A37, Cooper_pop_2030_2050!B:B, 0))))</f>
        <v>4151531.6056563547</v>
      </c>
      <c r="N37">
        <f>(INDEX(Cooper_pop_2030_2050!D:D, MATCH($A37, Cooper_pop_2030_2050!B:B, 0)))+0.6*((INDEX(Cooper_pop_2030_2050!E:E, MATCH($A37, Cooper_pop_2030_2050!B:B, 0)))-(INDEX(Cooper_pop_2030_2050!D:D, MATCH($A37, Cooper_pop_2030_2050!B:B, 0))))</f>
        <v>4157613.7134345425</v>
      </c>
      <c r="O37">
        <f>(INDEX(Cooper_pop_2030_2050!D:D, MATCH($A37, Cooper_pop_2030_2050!B:B, 0)))+0.7*((INDEX(Cooper_pop_2030_2050!E:E, MATCH($A37, Cooper_pop_2030_2050!B:B, 0)))-(INDEX(Cooper_pop_2030_2050!D:D, MATCH($A37, Cooper_pop_2030_2050!B:B, 0))))</f>
        <v>4163695.8212127304</v>
      </c>
      <c r="P37">
        <f>(INDEX(Cooper_pop_2030_2050!D:D, MATCH($A37, Cooper_pop_2030_2050!B:B, 0)))+0.8*((INDEX(Cooper_pop_2030_2050!E:E, MATCH($A37, Cooper_pop_2030_2050!B:B, 0)))-(INDEX(Cooper_pop_2030_2050!D:D, MATCH($A37, Cooper_pop_2030_2050!B:B, 0))))</f>
        <v>4169777.9289909187</v>
      </c>
      <c r="Q37">
        <f>(INDEX(Cooper_pop_2030_2050!D:D, MATCH($A37, Cooper_pop_2030_2050!B:B, 0)))+0.9*((INDEX(Cooper_pop_2030_2050!E:E, MATCH($A37, Cooper_pop_2030_2050!B:B, 0)))-(INDEX(Cooper_pop_2030_2050!D:D, MATCH($A37, Cooper_pop_2030_2050!B:B, 0))))</f>
        <v>4175860.036769107</v>
      </c>
      <c r="R37">
        <f>INDEX(Cooper_pop_2030_2050!E:E, MATCH($A37, Cooper_pop_2030_2050!B:B, 0))</f>
        <v>4181942.1445472948</v>
      </c>
      <c r="S37">
        <f>(INDEX(Cooper_pop_2030_2050!E:E, MATCH($A37, Cooper_pop_2030_2050!B:B, 0)))+0.1*((INDEX(Cooper_pop_2030_2050!F:F, MATCH($A37, Cooper_pop_2030_2050!B:B, 0)))-(INDEX(Cooper_pop_2030_2050!E:E, MATCH($A37, Cooper_pop_2030_2050!B:B, 0))))</f>
        <v>4183141.3362607127</v>
      </c>
      <c r="T37">
        <f>(INDEX(Cooper_pop_2030_2050!E:E, MATCH($A37, Cooper_pop_2030_2050!B:B, 0)))+0.2*((INDEX(Cooper_pop_2030_2050!F:F, MATCH($A37, Cooper_pop_2030_2050!B:B, 0)))-(INDEX(Cooper_pop_2030_2050!E:E, MATCH($A37, Cooper_pop_2030_2050!B:B, 0))))</f>
        <v>4184340.5279741311</v>
      </c>
      <c r="U37">
        <f>(INDEX(Cooper_pop_2030_2050!E:E, MATCH($A37, Cooper_pop_2030_2050!B:B, 0)))+0.3*((INDEX(Cooper_pop_2030_2050!F:F, MATCH($A37, Cooper_pop_2030_2050!B:B, 0)))-(INDEX(Cooper_pop_2030_2050!E:E, MATCH($A37, Cooper_pop_2030_2050!B:B, 0))))</f>
        <v>4185539.7196875489</v>
      </c>
      <c r="V37">
        <f>(INDEX(Cooper_pop_2030_2050!E:E, MATCH($A37, Cooper_pop_2030_2050!B:B, 0)))+0.4*((INDEX(Cooper_pop_2030_2050!F:F, MATCH($A37, Cooper_pop_2030_2050!B:B, 0)))-(INDEX(Cooper_pop_2030_2050!E:E, MATCH($A37, Cooper_pop_2030_2050!B:B, 0))))</f>
        <v>4186738.9114009668</v>
      </c>
      <c r="W37">
        <f>(INDEX(Cooper_pop_2030_2050!E:E, MATCH($A37, Cooper_pop_2030_2050!B:B, 0)))+0.5*((INDEX(Cooper_pop_2030_2050!F:F, MATCH($A37, Cooper_pop_2030_2050!B:B, 0)))-(INDEX(Cooper_pop_2030_2050!E:E, MATCH($A37, Cooper_pop_2030_2050!B:B, 0))))</f>
        <v>4187938.1031143852</v>
      </c>
      <c r="X37">
        <f>(INDEX(Cooper_pop_2030_2050!E:E, MATCH($A37, Cooper_pop_2030_2050!B:B, 0)))+0.6*((INDEX(Cooper_pop_2030_2050!F:F, MATCH($A37, Cooper_pop_2030_2050!B:B, 0)))-(INDEX(Cooper_pop_2030_2050!E:E, MATCH($A37, Cooper_pop_2030_2050!B:B, 0))))</f>
        <v>4189137.294827803</v>
      </c>
      <c r="Y37">
        <f>(INDEX(Cooper_pop_2030_2050!E:E, MATCH($A37, Cooper_pop_2030_2050!B:B, 0)))+0.7*((INDEX(Cooper_pop_2030_2050!F:F, MATCH($A37, Cooper_pop_2030_2050!B:B, 0)))-(INDEX(Cooper_pop_2030_2050!E:E, MATCH($A37, Cooper_pop_2030_2050!B:B, 0))))</f>
        <v>4190336.4865412209</v>
      </c>
      <c r="Z37">
        <f>(INDEX(Cooper_pop_2030_2050!E:E, MATCH($A37, Cooper_pop_2030_2050!B:B, 0)))+0.8*((INDEX(Cooper_pop_2030_2050!F:F, MATCH($A37, Cooper_pop_2030_2050!B:B, 0)))-(INDEX(Cooper_pop_2030_2050!E:E, MATCH($A37, Cooper_pop_2030_2050!B:B, 0))))</f>
        <v>4191535.6782546388</v>
      </c>
      <c r="AA37">
        <f>(INDEX(Cooper_pop_2030_2050!E:E, MATCH($A37, Cooper_pop_2030_2050!B:B, 0)))+0.9*((INDEX(Cooper_pop_2030_2050!F:F, MATCH($A37, Cooper_pop_2030_2050!B:B, 0)))-(INDEX(Cooper_pop_2030_2050!E:E, MATCH($A37, Cooper_pop_2030_2050!B:B, 0))))</f>
        <v>4192734.8699680571</v>
      </c>
      <c r="AB37">
        <f>INDEX(Cooper_pop_2030_2050!F:F, MATCH($A37, Cooper_pop_2030_2050!B:B, 0))</f>
        <v>4193934.061681475</v>
      </c>
    </row>
    <row r="38" spans="1:28">
      <c r="A38" t="s">
        <v>2922</v>
      </c>
      <c r="B38">
        <f>IFERROR(INDEX(Census_pop_2020_2025!G:G, MATCH("."&amp;$A38, Census_pop_2020_2025!A:A, 0)),INDEX(Census_pop_2020_2025!G:G, MATCH($A38, Census_pop_2020_2025!A:A, 0)))</f>
        <v>4265324</v>
      </c>
      <c r="C38">
        <f>IFERROR(INDEX(Census_pop_2020_2025!H:H, MATCH("."&amp;$A38, Census_pop_2020_2025!A:A, 0)),INDEX(Census_pop_2020_2025!H:H, MATCH($A38, Census_pop_2020_2025!A:A, 0)))</f>
        <v>4273586</v>
      </c>
      <c r="D38">
        <f>(IFERROR(INDEX(Census_pop_2020_2025!H:H, MATCH("."&amp;$A38, Census_pop_2020_2025!A:A, 0)),INDEX(Census_pop_2020_2025!H:H, MATCH($A38, Census_pop_2020_2025!A:A, 0))))+0.2*((INDEX(Cooper_pop_2030_2050!D:D, MATCH($A38, Cooper_pop_2030_2050!B:B, 0)))-(IFERROR(INDEX(Census_pop_2020_2025!H:H, MATCH("."&amp;$A38, Census_pop_2020_2025!A:A, 0)),INDEX(Census_pop_2020_2025!H:H, MATCH($A38, Census_pop_2020_2025!A:A, 0)))))</f>
        <v>4331553.7638564538</v>
      </c>
      <c r="E38">
        <f>(IFERROR(INDEX(Census_pop_2020_2025!H:H, MATCH("."&amp;$A38, Census_pop_2020_2025!A:A, 0)),INDEX(Census_pop_2020_2025!H:H, MATCH($A38, Census_pop_2020_2025!A:A, 0))))+0.4*((INDEX(Cooper_pop_2030_2050!D:D, MATCH($A38, Cooper_pop_2030_2050!B:B, 0)))-(IFERROR(INDEX(Census_pop_2020_2025!H:H, MATCH("."&amp;$A38, Census_pop_2020_2025!A:A, 0)),INDEX(Census_pop_2020_2025!H:H, MATCH($A38, Census_pop_2020_2025!A:A, 0)))))</f>
        <v>4389521.5277129076</v>
      </c>
      <c r="F38">
        <f>(IFERROR(INDEX(Census_pop_2020_2025!H:H, MATCH("."&amp;$A38, Census_pop_2020_2025!A:A, 0)),INDEX(Census_pop_2020_2025!H:H, MATCH($A38, Census_pop_2020_2025!A:A, 0))))+0.6*((INDEX(Cooper_pop_2030_2050!D:D, MATCH($A38, Cooper_pop_2030_2050!B:B, 0)))-(IFERROR(INDEX(Census_pop_2020_2025!H:H, MATCH("."&amp;$A38, Census_pop_2020_2025!A:A, 0)),INDEX(Census_pop_2020_2025!H:H, MATCH($A38, Census_pop_2020_2025!A:A, 0)))))</f>
        <v>4447489.2915693615</v>
      </c>
      <c r="G38">
        <f>(IFERROR(INDEX(Census_pop_2020_2025!H:H, MATCH("."&amp;$A38, Census_pop_2020_2025!A:A, 0)),INDEX(Census_pop_2020_2025!H:H, MATCH($A38, Census_pop_2020_2025!A:A, 0))))+0.8*((INDEX(Cooper_pop_2030_2050!D:D, MATCH($A38, Cooper_pop_2030_2050!B:B, 0)))-(IFERROR(INDEX(Census_pop_2020_2025!H:H, MATCH("."&amp;$A38, Census_pop_2020_2025!A:A, 0)),INDEX(Census_pop_2020_2025!H:H, MATCH($A38, Census_pop_2020_2025!A:A, 0)))))</f>
        <v>4505457.0554258153</v>
      </c>
      <c r="H38">
        <f>INDEX(Cooper_pop_2030_2050!D:D, MATCH($A38, Cooper_pop_2030_2050!B:B, 0))</f>
        <v>4563424.8192822691</v>
      </c>
      <c r="I38">
        <f>(INDEX(Cooper_pop_2030_2050!D:D, MATCH($A38, Cooper_pop_2030_2050!B:B, 0)))+0.1*((INDEX(Cooper_pop_2030_2050!E:E, MATCH($A38, Cooper_pop_2030_2050!B:B, 0)))-(INDEX(Cooper_pop_2030_2050!D:D, MATCH($A38, Cooper_pop_2030_2050!B:B, 0))))</f>
        <v>4592349.8168511949</v>
      </c>
      <c r="J38">
        <f>(INDEX(Cooper_pop_2030_2050!D:D, MATCH($A38, Cooper_pop_2030_2050!B:B, 0)))+0.2*((INDEX(Cooper_pop_2030_2050!E:E, MATCH($A38, Cooper_pop_2030_2050!B:B, 0)))-(INDEX(Cooper_pop_2030_2050!D:D, MATCH($A38, Cooper_pop_2030_2050!B:B, 0))))</f>
        <v>4621274.8144201208</v>
      </c>
      <c r="K38">
        <f>(INDEX(Cooper_pop_2030_2050!D:D, MATCH($A38, Cooper_pop_2030_2050!B:B, 0)))+0.3*((INDEX(Cooper_pop_2030_2050!E:E, MATCH($A38, Cooper_pop_2030_2050!B:B, 0)))-(INDEX(Cooper_pop_2030_2050!D:D, MATCH($A38, Cooper_pop_2030_2050!B:B, 0))))</f>
        <v>4650199.8119890466</v>
      </c>
      <c r="L38">
        <f>(INDEX(Cooper_pop_2030_2050!D:D, MATCH($A38, Cooper_pop_2030_2050!B:B, 0)))+0.4*((INDEX(Cooper_pop_2030_2050!E:E, MATCH($A38, Cooper_pop_2030_2050!B:B, 0)))-(INDEX(Cooper_pop_2030_2050!D:D, MATCH($A38, Cooper_pop_2030_2050!B:B, 0))))</f>
        <v>4679124.8095579725</v>
      </c>
      <c r="M38">
        <f>(INDEX(Cooper_pop_2030_2050!D:D, MATCH($A38, Cooper_pop_2030_2050!B:B, 0)))+0.5*((INDEX(Cooper_pop_2030_2050!E:E, MATCH($A38, Cooper_pop_2030_2050!B:B, 0)))-(INDEX(Cooper_pop_2030_2050!D:D, MATCH($A38, Cooper_pop_2030_2050!B:B, 0))))</f>
        <v>4708049.8071268983</v>
      </c>
      <c r="N38">
        <f>(INDEX(Cooper_pop_2030_2050!D:D, MATCH($A38, Cooper_pop_2030_2050!B:B, 0)))+0.6*((INDEX(Cooper_pop_2030_2050!E:E, MATCH($A38, Cooper_pop_2030_2050!B:B, 0)))-(INDEX(Cooper_pop_2030_2050!D:D, MATCH($A38, Cooper_pop_2030_2050!B:B, 0))))</f>
        <v>4736974.8046958251</v>
      </c>
      <c r="O38">
        <f>(INDEX(Cooper_pop_2030_2050!D:D, MATCH($A38, Cooper_pop_2030_2050!B:B, 0)))+0.7*((INDEX(Cooper_pop_2030_2050!E:E, MATCH($A38, Cooper_pop_2030_2050!B:B, 0)))-(INDEX(Cooper_pop_2030_2050!D:D, MATCH($A38, Cooper_pop_2030_2050!B:B, 0))))</f>
        <v>4765899.8022647509</v>
      </c>
      <c r="P38">
        <f>(INDEX(Cooper_pop_2030_2050!D:D, MATCH($A38, Cooper_pop_2030_2050!B:B, 0)))+0.8*((INDEX(Cooper_pop_2030_2050!E:E, MATCH($A38, Cooper_pop_2030_2050!B:B, 0)))-(INDEX(Cooper_pop_2030_2050!D:D, MATCH($A38, Cooper_pop_2030_2050!B:B, 0))))</f>
        <v>4794824.7998336768</v>
      </c>
      <c r="Q38">
        <f>(INDEX(Cooper_pop_2030_2050!D:D, MATCH($A38, Cooper_pop_2030_2050!B:B, 0)))+0.9*((INDEX(Cooper_pop_2030_2050!E:E, MATCH($A38, Cooper_pop_2030_2050!B:B, 0)))-(INDEX(Cooper_pop_2030_2050!D:D, MATCH($A38, Cooper_pop_2030_2050!B:B, 0))))</f>
        <v>4823749.7974026026</v>
      </c>
      <c r="R38">
        <f>INDEX(Cooper_pop_2030_2050!E:E, MATCH($A38, Cooper_pop_2030_2050!B:B, 0))</f>
        <v>4852674.7949715285</v>
      </c>
      <c r="S38">
        <f>(INDEX(Cooper_pop_2030_2050!E:E, MATCH($A38, Cooper_pop_2030_2050!B:B, 0)))+0.1*((INDEX(Cooper_pop_2030_2050!F:F, MATCH($A38, Cooper_pop_2030_2050!B:B, 0)))-(INDEX(Cooper_pop_2030_2050!E:E, MATCH($A38, Cooper_pop_2030_2050!B:B, 0))))</f>
        <v>4877386.4482708871</v>
      </c>
      <c r="T38">
        <f>(INDEX(Cooper_pop_2030_2050!E:E, MATCH($A38, Cooper_pop_2030_2050!B:B, 0)))+0.2*((INDEX(Cooper_pop_2030_2050!F:F, MATCH($A38, Cooper_pop_2030_2050!B:B, 0)))-(INDEX(Cooper_pop_2030_2050!E:E, MATCH($A38, Cooper_pop_2030_2050!B:B, 0))))</f>
        <v>4902098.1015702467</v>
      </c>
      <c r="U38">
        <f>(INDEX(Cooper_pop_2030_2050!E:E, MATCH($A38, Cooper_pop_2030_2050!B:B, 0)))+0.3*((INDEX(Cooper_pop_2030_2050!F:F, MATCH($A38, Cooper_pop_2030_2050!B:B, 0)))-(INDEX(Cooper_pop_2030_2050!E:E, MATCH($A38, Cooper_pop_2030_2050!B:B, 0))))</f>
        <v>4926809.7548696054</v>
      </c>
      <c r="V38">
        <f>(INDEX(Cooper_pop_2030_2050!E:E, MATCH($A38, Cooper_pop_2030_2050!B:B, 0)))+0.4*((INDEX(Cooper_pop_2030_2050!F:F, MATCH($A38, Cooper_pop_2030_2050!B:B, 0)))-(INDEX(Cooper_pop_2030_2050!E:E, MATCH($A38, Cooper_pop_2030_2050!B:B, 0))))</f>
        <v>4951521.408168965</v>
      </c>
      <c r="W38">
        <f>(INDEX(Cooper_pop_2030_2050!E:E, MATCH($A38, Cooper_pop_2030_2050!B:B, 0)))+0.5*((INDEX(Cooper_pop_2030_2050!F:F, MATCH($A38, Cooper_pop_2030_2050!B:B, 0)))-(INDEX(Cooper_pop_2030_2050!E:E, MATCH($A38, Cooper_pop_2030_2050!B:B, 0))))</f>
        <v>4976233.0614683237</v>
      </c>
      <c r="X38">
        <f>(INDEX(Cooper_pop_2030_2050!E:E, MATCH($A38, Cooper_pop_2030_2050!B:B, 0)))+0.6*((INDEX(Cooper_pop_2030_2050!F:F, MATCH($A38, Cooper_pop_2030_2050!B:B, 0)))-(INDEX(Cooper_pop_2030_2050!E:E, MATCH($A38, Cooper_pop_2030_2050!B:B, 0))))</f>
        <v>5000944.7147676824</v>
      </c>
      <c r="Y38">
        <f>(INDEX(Cooper_pop_2030_2050!E:E, MATCH($A38, Cooper_pop_2030_2050!B:B, 0)))+0.7*((INDEX(Cooper_pop_2030_2050!F:F, MATCH($A38, Cooper_pop_2030_2050!B:B, 0)))-(INDEX(Cooper_pop_2030_2050!E:E, MATCH($A38, Cooper_pop_2030_2050!B:B, 0))))</f>
        <v>5025656.368067042</v>
      </c>
      <c r="Z38">
        <f>(INDEX(Cooper_pop_2030_2050!E:E, MATCH($A38, Cooper_pop_2030_2050!B:B, 0)))+0.8*((INDEX(Cooper_pop_2030_2050!F:F, MATCH($A38, Cooper_pop_2030_2050!B:B, 0)))-(INDEX(Cooper_pop_2030_2050!E:E, MATCH($A38, Cooper_pop_2030_2050!B:B, 0))))</f>
        <v>5050368.0213664006</v>
      </c>
      <c r="AA38">
        <f>(INDEX(Cooper_pop_2030_2050!E:E, MATCH($A38, Cooper_pop_2030_2050!B:B, 0)))+0.9*((INDEX(Cooper_pop_2030_2050!F:F, MATCH($A38, Cooper_pop_2030_2050!B:B, 0)))-(INDEX(Cooper_pop_2030_2050!E:E, MATCH($A38, Cooper_pop_2030_2050!B:B, 0))))</f>
        <v>5075079.6746657602</v>
      </c>
      <c r="AB38">
        <f>INDEX(Cooper_pop_2030_2050!F:F, MATCH($A38, Cooper_pop_2030_2050!B:B, 0))</f>
        <v>5099791.3279651189</v>
      </c>
    </row>
    <row r="39" spans="1:28">
      <c r="A39" t="s">
        <v>2923</v>
      </c>
      <c r="B39">
        <f>IFERROR(INDEX(Census_pop_2020_2025!G:G, MATCH("."&amp;$A39, Census_pop_2020_2025!A:A, 0)),INDEX(Census_pop_2020_2025!G:G, MATCH($A39, Census_pop_2020_2025!A:A, 0)))</f>
        <v>13045848</v>
      </c>
      <c r="C39">
        <f>IFERROR(INDEX(Census_pop_2020_2025!H:H, MATCH("."&amp;$A39, Census_pop_2020_2025!A:A, 0)),INDEX(Census_pop_2020_2025!H:H, MATCH($A39, Census_pop_2020_2025!A:A, 0)))</f>
        <v>13059432</v>
      </c>
      <c r="D39">
        <f>(IFERROR(INDEX(Census_pop_2020_2025!H:H, MATCH("."&amp;$A39, Census_pop_2020_2025!A:A, 0)),INDEX(Census_pop_2020_2025!H:H, MATCH($A39, Census_pop_2020_2025!A:A, 0))))+0.2*((INDEX(Cooper_pop_2030_2050!D:D, MATCH($A39, Cooper_pop_2030_2050!B:B, 0)))-(IFERROR(INDEX(Census_pop_2020_2025!H:H, MATCH("."&amp;$A39, Census_pop_2020_2025!A:A, 0)),INDEX(Census_pop_2020_2025!H:H, MATCH($A39, Census_pop_2020_2025!A:A, 0)))))</f>
        <v>13093843.795756318</v>
      </c>
      <c r="E39">
        <f>(IFERROR(INDEX(Census_pop_2020_2025!H:H, MATCH("."&amp;$A39, Census_pop_2020_2025!A:A, 0)),INDEX(Census_pop_2020_2025!H:H, MATCH($A39, Census_pop_2020_2025!A:A, 0))))+0.4*((INDEX(Cooper_pop_2030_2050!D:D, MATCH($A39, Cooper_pop_2030_2050!B:B, 0)))-(IFERROR(INDEX(Census_pop_2020_2025!H:H, MATCH("."&amp;$A39, Census_pop_2020_2025!A:A, 0)),INDEX(Census_pop_2020_2025!H:H, MATCH($A39, Census_pop_2020_2025!A:A, 0)))))</f>
        <v>13128255.591512635</v>
      </c>
      <c r="F39">
        <f>(IFERROR(INDEX(Census_pop_2020_2025!H:H, MATCH("."&amp;$A39, Census_pop_2020_2025!A:A, 0)),INDEX(Census_pop_2020_2025!H:H, MATCH($A39, Census_pop_2020_2025!A:A, 0))))+0.6*((INDEX(Cooper_pop_2030_2050!D:D, MATCH($A39, Cooper_pop_2030_2050!B:B, 0)))-(IFERROR(INDEX(Census_pop_2020_2025!H:H, MATCH("."&amp;$A39, Census_pop_2020_2025!A:A, 0)),INDEX(Census_pop_2020_2025!H:H, MATCH($A39, Census_pop_2020_2025!A:A, 0)))))</f>
        <v>13162667.387268955</v>
      </c>
      <c r="G39">
        <f>(IFERROR(INDEX(Census_pop_2020_2025!H:H, MATCH("."&amp;$A39, Census_pop_2020_2025!A:A, 0)),INDEX(Census_pop_2020_2025!H:H, MATCH($A39, Census_pop_2020_2025!A:A, 0))))+0.8*((INDEX(Cooper_pop_2030_2050!D:D, MATCH($A39, Cooper_pop_2030_2050!B:B, 0)))-(IFERROR(INDEX(Census_pop_2020_2025!H:H, MATCH("."&amp;$A39, Census_pop_2020_2025!A:A, 0)),INDEX(Census_pop_2020_2025!H:H, MATCH($A39, Census_pop_2020_2025!A:A, 0)))))</f>
        <v>13197079.183025273</v>
      </c>
      <c r="H39">
        <f>INDEX(Cooper_pop_2030_2050!D:D, MATCH($A39, Cooper_pop_2030_2050!B:B, 0))</f>
        <v>13231490.97878159</v>
      </c>
      <c r="I39">
        <f>(INDEX(Cooper_pop_2030_2050!D:D, MATCH($A39, Cooper_pop_2030_2050!B:B, 0)))+0.1*((INDEX(Cooper_pop_2030_2050!E:E, MATCH($A39, Cooper_pop_2030_2050!B:B, 0)))-(INDEX(Cooper_pop_2030_2050!D:D, MATCH($A39, Cooper_pop_2030_2050!B:B, 0))))</f>
        <v>13210558.957400743</v>
      </c>
      <c r="J39">
        <f>(INDEX(Cooper_pop_2030_2050!D:D, MATCH($A39, Cooper_pop_2030_2050!B:B, 0)))+0.2*((INDEX(Cooper_pop_2030_2050!E:E, MATCH($A39, Cooper_pop_2030_2050!B:B, 0)))-(INDEX(Cooper_pop_2030_2050!D:D, MATCH($A39, Cooper_pop_2030_2050!B:B, 0))))</f>
        <v>13189626.936019894</v>
      </c>
      <c r="K39">
        <f>(INDEX(Cooper_pop_2030_2050!D:D, MATCH($A39, Cooper_pop_2030_2050!B:B, 0)))+0.3*((INDEX(Cooper_pop_2030_2050!E:E, MATCH($A39, Cooper_pop_2030_2050!B:B, 0)))-(INDEX(Cooper_pop_2030_2050!D:D, MATCH($A39, Cooper_pop_2030_2050!B:B, 0))))</f>
        <v>13168694.914639046</v>
      </c>
      <c r="L39">
        <f>(INDEX(Cooper_pop_2030_2050!D:D, MATCH($A39, Cooper_pop_2030_2050!B:B, 0)))+0.4*((INDEX(Cooper_pop_2030_2050!E:E, MATCH($A39, Cooper_pop_2030_2050!B:B, 0)))-(INDEX(Cooper_pop_2030_2050!D:D, MATCH($A39, Cooper_pop_2030_2050!B:B, 0))))</f>
        <v>13147762.893258197</v>
      </c>
      <c r="M39">
        <f>(INDEX(Cooper_pop_2030_2050!D:D, MATCH($A39, Cooper_pop_2030_2050!B:B, 0)))+0.5*((INDEX(Cooper_pop_2030_2050!E:E, MATCH($A39, Cooper_pop_2030_2050!B:B, 0)))-(INDEX(Cooper_pop_2030_2050!D:D, MATCH($A39, Cooper_pop_2030_2050!B:B, 0))))</f>
        <v>13126830.87187735</v>
      </c>
      <c r="N39">
        <f>(INDEX(Cooper_pop_2030_2050!D:D, MATCH($A39, Cooper_pop_2030_2050!B:B, 0)))+0.6*((INDEX(Cooper_pop_2030_2050!E:E, MATCH($A39, Cooper_pop_2030_2050!B:B, 0)))-(INDEX(Cooper_pop_2030_2050!D:D, MATCH($A39, Cooper_pop_2030_2050!B:B, 0))))</f>
        <v>13105898.850496503</v>
      </c>
      <c r="O39">
        <f>(INDEX(Cooper_pop_2030_2050!D:D, MATCH($A39, Cooper_pop_2030_2050!B:B, 0)))+0.7*((INDEX(Cooper_pop_2030_2050!E:E, MATCH($A39, Cooper_pop_2030_2050!B:B, 0)))-(INDEX(Cooper_pop_2030_2050!D:D, MATCH($A39, Cooper_pop_2030_2050!B:B, 0))))</f>
        <v>13084966.829115653</v>
      </c>
      <c r="P39">
        <f>(INDEX(Cooper_pop_2030_2050!D:D, MATCH($A39, Cooper_pop_2030_2050!B:B, 0)))+0.8*((INDEX(Cooper_pop_2030_2050!E:E, MATCH($A39, Cooper_pop_2030_2050!B:B, 0)))-(INDEX(Cooper_pop_2030_2050!D:D, MATCH($A39, Cooper_pop_2030_2050!B:B, 0))))</f>
        <v>13064034.807734806</v>
      </c>
      <c r="Q39">
        <f>(INDEX(Cooper_pop_2030_2050!D:D, MATCH($A39, Cooper_pop_2030_2050!B:B, 0)))+0.9*((INDEX(Cooper_pop_2030_2050!E:E, MATCH($A39, Cooper_pop_2030_2050!B:B, 0)))-(INDEX(Cooper_pop_2030_2050!D:D, MATCH($A39, Cooper_pop_2030_2050!B:B, 0))))</f>
        <v>13043102.786353957</v>
      </c>
      <c r="R39">
        <f>INDEX(Cooper_pop_2030_2050!E:E, MATCH($A39, Cooper_pop_2030_2050!B:B, 0))</f>
        <v>13022170.76497311</v>
      </c>
      <c r="S39">
        <f>(INDEX(Cooper_pop_2030_2050!E:E, MATCH($A39, Cooper_pop_2030_2050!B:B, 0)))+0.1*((INDEX(Cooper_pop_2030_2050!F:F, MATCH($A39, Cooper_pop_2030_2050!B:B, 0)))-(INDEX(Cooper_pop_2030_2050!E:E, MATCH($A39, Cooper_pop_2030_2050!B:B, 0))))</f>
        <v>12986552.038261678</v>
      </c>
      <c r="T39">
        <f>(INDEX(Cooper_pop_2030_2050!E:E, MATCH($A39, Cooper_pop_2030_2050!B:B, 0)))+0.2*((INDEX(Cooper_pop_2030_2050!F:F, MATCH($A39, Cooper_pop_2030_2050!B:B, 0)))-(INDEX(Cooper_pop_2030_2050!E:E, MATCH($A39, Cooper_pop_2030_2050!B:B, 0))))</f>
        <v>12950933.311550247</v>
      </c>
      <c r="U39">
        <f>(INDEX(Cooper_pop_2030_2050!E:E, MATCH($A39, Cooper_pop_2030_2050!B:B, 0)))+0.3*((INDEX(Cooper_pop_2030_2050!F:F, MATCH($A39, Cooper_pop_2030_2050!B:B, 0)))-(INDEX(Cooper_pop_2030_2050!E:E, MATCH($A39, Cooper_pop_2030_2050!B:B, 0))))</f>
        <v>12915314.584838813</v>
      </c>
      <c r="V39">
        <f>(INDEX(Cooper_pop_2030_2050!E:E, MATCH($A39, Cooper_pop_2030_2050!B:B, 0)))+0.4*((INDEX(Cooper_pop_2030_2050!F:F, MATCH($A39, Cooper_pop_2030_2050!B:B, 0)))-(INDEX(Cooper_pop_2030_2050!E:E, MATCH($A39, Cooper_pop_2030_2050!B:B, 0))))</f>
        <v>12879695.858127382</v>
      </c>
      <c r="W39">
        <f>(INDEX(Cooper_pop_2030_2050!E:E, MATCH($A39, Cooper_pop_2030_2050!B:B, 0)))+0.5*((INDEX(Cooper_pop_2030_2050!F:F, MATCH($A39, Cooper_pop_2030_2050!B:B, 0)))-(INDEX(Cooper_pop_2030_2050!E:E, MATCH($A39, Cooper_pop_2030_2050!B:B, 0))))</f>
        <v>12844077.13141595</v>
      </c>
      <c r="X39">
        <f>(INDEX(Cooper_pop_2030_2050!E:E, MATCH($A39, Cooper_pop_2030_2050!B:B, 0)))+0.6*((INDEX(Cooper_pop_2030_2050!F:F, MATCH($A39, Cooper_pop_2030_2050!B:B, 0)))-(INDEX(Cooper_pop_2030_2050!E:E, MATCH($A39, Cooper_pop_2030_2050!B:B, 0))))</f>
        <v>12808458.404704519</v>
      </c>
      <c r="Y39">
        <f>(INDEX(Cooper_pop_2030_2050!E:E, MATCH($A39, Cooper_pop_2030_2050!B:B, 0)))+0.7*((INDEX(Cooper_pop_2030_2050!F:F, MATCH($A39, Cooper_pop_2030_2050!B:B, 0)))-(INDEX(Cooper_pop_2030_2050!E:E, MATCH($A39, Cooper_pop_2030_2050!B:B, 0))))</f>
        <v>12772839.677993087</v>
      </c>
      <c r="Z39">
        <f>(INDEX(Cooper_pop_2030_2050!E:E, MATCH($A39, Cooper_pop_2030_2050!B:B, 0)))+0.8*((INDEX(Cooper_pop_2030_2050!F:F, MATCH($A39, Cooper_pop_2030_2050!B:B, 0)))-(INDEX(Cooper_pop_2030_2050!E:E, MATCH($A39, Cooper_pop_2030_2050!B:B, 0))))</f>
        <v>12737220.951281654</v>
      </c>
      <c r="AA39">
        <f>(INDEX(Cooper_pop_2030_2050!E:E, MATCH($A39, Cooper_pop_2030_2050!B:B, 0)))+0.9*((INDEX(Cooper_pop_2030_2050!F:F, MATCH($A39, Cooper_pop_2030_2050!B:B, 0)))-(INDEX(Cooper_pop_2030_2050!E:E, MATCH($A39, Cooper_pop_2030_2050!B:B, 0))))</f>
        <v>12701602.224570222</v>
      </c>
      <c r="AB39">
        <f>INDEX(Cooper_pop_2030_2050!F:F, MATCH($A39, Cooper_pop_2030_2050!B:B, 0))</f>
        <v>12665983.497858791</v>
      </c>
    </row>
    <row r="40" spans="1:28">
      <c r="A40" t="s">
        <v>2924</v>
      </c>
      <c r="B40">
        <f>IFERROR(INDEX(Census_pop_2020_2025!G:G, MATCH("."&amp;$A40, Census_pop_2020_2025!A:A, 0)),INDEX(Census_pop_2020_2025!G:G, MATCH($A40, Census_pop_2020_2025!A:A, 0)))</f>
        <v>1110415</v>
      </c>
      <c r="C40">
        <f>IFERROR(INDEX(Census_pop_2020_2025!H:H, MATCH("."&amp;$A40, Census_pop_2020_2025!A:A, 0)),INDEX(Census_pop_2020_2025!H:H, MATCH($A40, Census_pop_2020_2025!A:A, 0)))</f>
        <v>1114521</v>
      </c>
      <c r="D40">
        <f>(IFERROR(INDEX(Census_pop_2020_2025!H:H, MATCH("."&amp;$A40, Census_pop_2020_2025!A:A, 0)),INDEX(Census_pop_2020_2025!H:H, MATCH($A40, Census_pop_2020_2025!A:A, 0))))+0.2*((INDEX(Cooper_pop_2030_2050!D:D, MATCH($A40, Cooper_pop_2030_2050!B:B, 0)))-(IFERROR(INDEX(Census_pop_2020_2025!H:H, MATCH("."&amp;$A40, Census_pop_2020_2025!A:A, 0)),INDEX(Census_pop_2020_2025!H:H, MATCH($A40, Census_pop_2020_2025!A:A, 0)))))</f>
        <v>1118005.1826621965</v>
      </c>
      <c r="E40">
        <f>(IFERROR(INDEX(Census_pop_2020_2025!H:H, MATCH("."&amp;$A40, Census_pop_2020_2025!A:A, 0)),INDEX(Census_pop_2020_2025!H:H, MATCH($A40, Census_pop_2020_2025!A:A, 0))))+0.4*((INDEX(Cooper_pop_2030_2050!D:D, MATCH($A40, Cooper_pop_2030_2050!B:B, 0)))-(IFERROR(INDEX(Census_pop_2020_2025!H:H, MATCH("."&amp;$A40, Census_pop_2020_2025!A:A, 0)),INDEX(Census_pop_2020_2025!H:H, MATCH($A40, Census_pop_2020_2025!A:A, 0)))))</f>
        <v>1121489.3653243929</v>
      </c>
      <c r="F40">
        <f>(IFERROR(INDEX(Census_pop_2020_2025!H:H, MATCH("."&amp;$A40, Census_pop_2020_2025!A:A, 0)),INDEX(Census_pop_2020_2025!H:H, MATCH($A40, Census_pop_2020_2025!A:A, 0))))+0.6*((INDEX(Cooper_pop_2030_2050!D:D, MATCH($A40, Cooper_pop_2030_2050!B:B, 0)))-(IFERROR(INDEX(Census_pop_2020_2025!H:H, MATCH("."&amp;$A40, Census_pop_2020_2025!A:A, 0)),INDEX(Census_pop_2020_2025!H:H, MATCH($A40, Census_pop_2020_2025!A:A, 0)))))</f>
        <v>1124973.5479865891</v>
      </c>
      <c r="G40">
        <f>(IFERROR(INDEX(Census_pop_2020_2025!H:H, MATCH("."&amp;$A40, Census_pop_2020_2025!A:A, 0)),INDEX(Census_pop_2020_2025!H:H, MATCH($A40, Census_pop_2020_2025!A:A, 0))))+0.8*((INDEX(Cooper_pop_2030_2050!D:D, MATCH($A40, Cooper_pop_2030_2050!B:B, 0)))-(IFERROR(INDEX(Census_pop_2020_2025!H:H, MATCH("."&amp;$A40, Census_pop_2020_2025!A:A, 0)),INDEX(Census_pop_2020_2025!H:H, MATCH($A40, Census_pop_2020_2025!A:A, 0)))))</f>
        <v>1128457.7306487856</v>
      </c>
      <c r="H40">
        <f>INDEX(Cooper_pop_2030_2050!D:D, MATCH($A40, Cooper_pop_2030_2050!B:B, 0))</f>
        <v>1131941.9133109821</v>
      </c>
      <c r="I40">
        <f>(INDEX(Cooper_pop_2030_2050!D:D, MATCH($A40, Cooper_pop_2030_2050!B:B, 0)))+0.1*((INDEX(Cooper_pop_2030_2050!E:E, MATCH($A40, Cooper_pop_2030_2050!B:B, 0)))-(INDEX(Cooper_pop_2030_2050!D:D, MATCH($A40, Cooper_pop_2030_2050!B:B, 0))))</f>
        <v>1132211.4794184815</v>
      </c>
      <c r="J40">
        <f>(INDEX(Cooper_pop_2030_2050!D:D, MATCH($A40, Cooper_pop_2030_2050!B:B, 0)))+0.2*((INDEX(Cooper_pop_2030_2050!E:E, MATCH($A40, Cooper_pop_2030_2050!B:B, 0)))-(INDEX(Cooper_pop_2030_2050!D:D, MATCH($A40, Cooper_pop_2030_2050!B:B, 0))))</f>
        <v>1132481.0455259811</v>
      </c>
      <c r="K40">
        <f>(INDEX(Cooper_pop_2030_2050!D:D, MATCH($A40, Cooper_pop_2030_2050!B:B, 0)))+0.3*((INDEX(Cooper_pop_2030_2050!E:E, MATCH($A40, Cooper_pop_2030_2050!B:B, 0)))-(INDEX(Cooper_pop_2030_2050!D:D, MATCH($A40, Cooper_pop_2030_2050!B:B, 0))))</f>
        <v>1132750.6116334805</v>
      </c>
      <c r="L40">
        <f>(INDEX(Cooper_pop_2030_2050!D:D, MATCH($A40, Cooper_pop_2030_2050!B:B, 0)))+0.4*((INDEX(Cooper_pop_2030_2050!E:E, MATCH($A40, Cooper_pop_2030_2050!B:B, 0)))-(INDEX(Cooper_pop_2030_2050!D:D, MATCH($A40, Cooper_pop_2030_2050!B:B, 0))))</f>
        <v>1133020.1777409799</v>
      </c>
      <c r="M40">
        <f>(INDEX(Cooper_pop_2030_2050!D:D, MATCH($A40, Cooper_pop_2030_2050!B:B, 0)))+0.5*((INDEX(Cooper_pop_2030_2050!E:E, MATCH($A40, Cooper_pop_2030_2050!B:B, 0)))-(INDEX(Cooper_pop_2030_2050!D:D, MATCH($A40, Cooper_pop_2030_2050!B:B, 0))))</f>
        <v>1133289.7438484794</v>
      </c>
      <c r="N40">
        <f>(INDEX(Cooper_pop_2030_2050!D:D, MATCH($A40, Cooper_pop_2030_2050!B:B, 0)))+0.6*((INDEX(Cooper_pop_2030_2050!E:E, MATCH($A40, Cooper_pop_2030_2050!B:B, 0)))-(INDEX(Cooper_pop_2030_2050!D:D, MATCH($A40, Cooper_pop_2030_2050!B:B, 0))))</f>
        <v>1133559.309955979</v>
      </c>
      <c r="O40">
        <f>(INDEX(Cooper_pop_2030_2050!D:D, MATCH($A40, Cooper_pop_2030_2050!B:B, 0)))+0.7*((INDEX(Cooper_pop_2030_2050!E:E, MATCH($A40, Cooper_pop_2030_2050!B:B, 0)))-(INDEX(Cooper_pop_2030_2050!D:D, MATCH($A40, Cooper_pop_2030_2050!B:B, 0))))</f>
        <v>1133828.8760634784</v>
      </c>
      <c r="P40">
        <f>(INDEX(Cooper_pop_2030_2050!D:D, MATCH($A40, Cooper_pop_2030_2050!B:B, 0)))+0.8*((INDEX(Cooper_pop_2030_2050!E:E, MATCH($A40, Cooper_pop_2030_2050!B:B, 0)))-(INDEX(Cooper_pop_2030_2050!D:D, MATCH($A40, Cooper_pop_2030_2050!B:B, 0))))</f>
        <v>1134098.4421709778</v>
      </c>
      <c r="Q40">
        <f>(INDEX(Cooper_pop_2030_2050!D:D, MATCH($A40, Cooper_pop_2030_2050!B:B, 0)))+0.9*((INDEX(Cooper_pop_2030_2050!E:E, MATCH($A40, Cooper_pop_2030_2050!B:B, 0)))-(INDEX(Cooper_pop_2030_2050!D:D, MATCH($A40, Cooper_pop_2030_2050!B:B, 0))))</f>
        <v>1134368.0082784775</v>
      </c>
      <c r="R40">
        <f>INDEX(Cooper_pop_2030_2050!E:E, MATCH($A40, Cooper_pop_2030_2050!B:B, 0))</f>
        <v>1134637.5743859769</v>
      </c>
      <c r="S40">
        <f>(INDEX(Cooper_pop_2030_2050!E:E, MATCH($A40, Cooper_pop_2030_2050!B:B, 0)))+0.1*((INDEX(Cooper_pop_2030_2050!F:F, MATCH($A40, Cooper_pop_2030_2050!B:B, 0)))-(INDEX(Cooper_pop_2030_2050!E:E, MATCH($A40, Cooper_pop_2030_2050!B:B, 0))))</f>
        <v>1133575.0595401202</v>
      </c>
      <c r="T40">
        <f>(INDEX(Cooper_pop_2030_2050!E:E, MATCH($A40, Cooper_pop_2030_2050!B:B, 0)))+0.2*((INDEX(Cooper_pop_2030_2050!F:F, MATCH($A40, Cooper_pop_2030_2050!B:B, 0)))-(INDEX(Cooper_pop_2030_2050!E:E, MATCH($A40, Cooper_pop_2030_2050!B:B, 0))))</f>
        <v>1132512.5446942633</v>
      </c>
      <c r="U40">
        <f>(INDEX(Cooper_pop_2030_2050!E:E, MATCH($A40, Cooper_pop_2030_2050!B:B, 0)))+0.3*((INDEX(Cooper_pop_2030_2050!F:F, MATCH($A40, Cooper_pop_2030_2050!B:B, 0)))-(INDEX(Cooper_pop_2030_2050!E:E, MATCH($A40, Cooper_pop_2030_2050!B:B, 0))))</f>
        <v>1131450.0298484066</v>
      </c>
      <c r="V40">
        <f>(INDEX(Cooper_pop_2030_2050!E:E, MATCH($A40, Cooper_pop_2030_2050!B:B, 0)))+0.4*((INDEX(Cooper_pop_2030_2050!F:F, MATCH($A40, Cooper_pop_2030_2050!B:B, 0)))-(INDEX(Cooper_pop_2030_2050!E:E, MATCH($A40, Cooper_pop_2030_2050!B:B, 0))))</f>
        <v>1130387.5150025496</v>
      </c>
      <c r="W40">
        <f>(INDEX(Cooper_pop_2030_2050!E:E, MATCH($A40, Cooper_pop_2030_2050!B:B, 0)))+0.5*((INDEX(Cooper_pop_2030_2050!F:F, MATCH($A40, Cooper_pop_2030_2050!B:B, 0)))-(INDEX(Cooper_pop_2030_2050!E:E, MATCH($A40, Cooper_pop_2030_2050!B:B, 0))))</f>
        <v>1129325.0001566929</v>
      </c>
      <c r="X40">
        <f>(INDEX(Cooper_pop_2030_2050!E:E, MATCH($A40, Cooper_pop_2030_2050!B:B, 0)))+0.6*((INDEX(Cooper_pop_2030_2050!F:F, MATCH($A40, Cooper_pop_2030_2050!B:B, 0)))-(INDEX(Cooper_pop_2030_2050!E:E, MATCH($A40, Cooper_pop_2030_2050!B:B, 0))))</f>
        <v>1128262.4853108362</v>
      </c>
      <c r="Y40">
        <f>(INDEX(Cooper_pop_2030_2050!E:E, MATCH($A40, Cooper_pop_2030_2050!B:B, 0)))+0.7*((INDEX(Cooper_pop_2030_2050!F:F, MATCH($A40, Cooper_pop_2030_2050!B:B, 0)))-(INDEX(Cooper_pop_2030_2050!E:E, MATCH($A40, Cooper_pop_2030_2050!B:B, 0))))</f>
        <v>1127199.9704649793</v>
      </c>
      <c r="Z40">
        <f>(INDEX(Cooper_pop_2030_2050!E:E, MATCH($A40, Cooper_pop_2030_2050!B:B, 0)))+0.8*((INDEX(Cooper_pop_2030_2050!F:F, MATCH($A40, Cooper_pop_2030_2050!B:B, 0)))-(INDEX(Cooper_pop_2030_2050!E:E, MATCH($A40, Cooper_pop_2030_2050!B:B, 0))))</f>
        <v>1126137.4556191226</v>
      </c>
      <c r="AA40">
        <f>(INDEX(Cooper_pop_2030_2050!E:E, MATCH($A40, Cooper_pop_2030_2050!B:B, 0)))+0.9*((INDEX(Cooper_pop_2030_2050!F:F, MATCH($A40, Cooper_pop_2030_2050!B:B, 0)))-(INDEX(Cooper_pop_2030_2050!E:E, MATCH($A40, Cooper_pop_2030_2050!B:B, 0))))</f>
        <v>1125074.9407732657</v>
      </c>
      <c r="AB40">
        <f>INDEX(Cooper_pop_2030_2050!F:F, MATCH($A40, Cooper_pop_2030_2050!B:B, 0))</f>
        <v>1124012.425927409</v>
      </c>
    </row>
    <row r="41" spans="1:28">
      <c r="A41" t="s">
        <v>2925</v>
      </c>
      <c r="B41">
        <f>IFERROR(INDEX(Census_pop_2020_2025!G:G, MATCH("."&amp;$A41, Census_pop_2020_2025!A:A, 0)),INDEX(Census_pop_2020_2025!G:G, MATCH($A41, Census_pop_2020_2025!A:A, 0)))</f>
        <v>5490316</v>
      </c>
      <c r="C41">
        <f>IFERROR(INDEX(Census_pop_2020_2025!H:H, MATCH("."&amp;$A41, Census_pop_2020_2025!A:A, 0)),INDEX(Census_pop_2020_2025!H:H, MATCH($A41, Census_pop_2020_2025!A:A, 0)))</f>
        <v>5570274</v>
      </c>
      <c r="D41">
        <f>(IFERROR(INDEX(Census_pop_2020_2025!H:H, MATCH("."&amp;$A41, Census_pop_2020_2025!A:A, 0)),INDEX(Census_pop_2020_2025!H:H, MATCH($A41, Census_pop_2020_2025!A:A, 0))))+0.2*((INDEX(Cooper_pop_2030_2050!D:D, MATCH($A41, Cooper_pop_2030_2050!B:B, 0)))-(IFERROR(INDEX(Census_pop_2020_2025!H:H, MATCH("."&amp;$A41, Census_pop_2020_2025!A:A, 0)),INDEX(Census_pop_2020_2025!H:H, MATCH($A41, Census_pop_2020_2025!A:A, 0)))))</f>
        <v>5559119.350386586</v>
      </c>
      <c r="E41">
        <f>(IFERROR(INDEX(Census_pop_2020_2025!H:H, MATCH("."&amp;$A41, Census_pop_2020_2025!A:A, 0)),INDEX(Census_pop_2020_2025!H:H, MATCH($A41, Census_pop_2020_2025!A:A, 0))))+0.4*((INDEX(Cooper_pop_2030_2050!D:D, MATCH($A41, Cooper_pop_2030_2050!B:B, 0)))-(IFERROR(INDEX(Census_pop_2020_2025!H:H, MATCH("."&amp;$A41, Census_pop_2020_2025!A:A, 0)),INDEX(Census_pop_2020_2025!H:H, MATCH($A41, Census_pop_2020_2025!A:A, 0)))))</f>
        <v>5547964.7007731711</v>
      </c>
      <c r="F41">
        <f>(IFERROR(INDEX(Census_pop_2020_2025!H:H, MATCH("."&amp;$A41, Census_pop_2020_2025!A:A, 0)),INDEX(Census_pop_2020_2025!H:H, MATCH($A41, Census_pop_2020_2025!A:A, 0))))+0.6*((INDEX(Cooper_pop_2030_2050!D:D, MATCH($A41, Cooper_pop_2030_2050!B:B, 0)))-(IFERROR(INDEX(Census_pop_2020_2025!H:H, MATCH("."&amp;$A41, Census_pop_2020_2025!A:A, 0)),INDEX(Census_pop_2020_2025!H:H, MATCH($A41, Census_pop_2020_2025!A:A, 0)))))</f>
        <v>5536810.0511597572</v>
      </c>
      <c r="G41">
        <f>(IFERROR(INDEX(Census_pop_2020_2025!H:H, MATCH("."&amp;$A41, Census_pop_2020_2025!A:A, 0)),INDEX(Census_pop_2020_2025!H:H, MATCH($A41, Census_pop_2020_2025!A:A, 0))))+0.8*((INDEX(Cooper_pop_2030_2050!D:D, MATCH($A41, Cooper_pop_2030_2050!B:B, 0)))-(IFERROR(INDEX(Census_pop_2020_2025!H:H, MATCH("."&amp;$A41, Census_pop_2020_2025!A:A, 0)),INDEX(Census_pop_2020_2025!H:H, MATCH($A41, Census_pop_2020_2025!A:A, 0)))))</f>
        <v>5525655.4015463423</v>
      </c>
      <c r="H41">
        <f>INDEX(Cooper_pop_2030_2050!D:D, MATCH($A41, Cooper_pop_2030_2050!B:B, 0))</f>
        <v>5514500.7519329283</v>
      </c>
      <c r="I41">
        <f>(INDEX(Cooper_pop_2030_2050!D:D, MATCH($A41, Cooper_pop_2030_2050!B:B, 0)))+0.1*((INDEX(Cooper_pop_2030_2050!E:E, MATCH($A41, Cooper_pop_2030_2050!B:B, 0)))-(INDEX(Cooper_pop_2030_2050!D:D, MATCH($A41, Cooper_pop_2030_2050!B:B, 0))))</f>
        <v>5549759.6811375646</v>
      </c>
      <c r="J41">
        <f>(INDEX(Cooper_pop_2030_2050!D:D, MATCH($A41, Cooper_pop_2030_2050!B:B, 0)))+0.2*((INDEX(Cooper_pop_2030_2050!E:E, MATCH($A41, Cooper_pop_2030_2050!B:B, 0)))-(INDEX(Cooper_pop_2030_2050!D:D, MATCH($A41, Cooper_pop_2030_2050!B:B, 0))))</f>
        <v>5585018.6103422008</v>
      </c>
      <c r="K41">
        <f>(INDEX(Cooper_pop_2030_2050!D:D, MATCH($A41, Cooper_pop_2030_2050!B:B, 0)))+0.3*((INDEX(Cooper_pop_2030_2050!E:E, MATCH($A41, Cooper_pop_2030_2050!B:B, 0)))-(INDEX(Cooper_pop_2030_2050!D:D, MATCH($A41, Cooper_pop_2030_2050!B:B, 0))))</f>
        <v>5620277.539546838</v>
      </c>
      <c r="L41">
        <f>(INDEX(Cooper_pop_2030_2050!D:D, MATCH($A41, Cooper_pop_2030_2050!B:B, 0)))+0.4*((INDEX(Cooper_pop_2030_2050!E:E, MATCH($A41, Cooper_pop_2030_2050!B:B, 0)))-(INDEX(Cooper_pop_2030_2050!D:D, MATCH($A41, Cooper_pop_2030_2050!B:B, 0))))</f>
        <v>5655536.4687514743</v>
      </c>
      <c r="M41">
        <f>(INDEX(Cooper_pop_2030_2050!D:D, MATCH($A41, Cooper_pop_2030_2050!B:B, 0)))+0.5*((INDEX(Cooper_pop_2030_2050!E:E, MATCH($A41, Cooper_pop_2030_2050!B:B, 0)))-(INDEX(Cooper_pop_2030_2050!D:D, MATCH($A41, Cooper_pop_2030_2050!B:B, 0))))</f>
        <v>5690795.3979561105</v>
      </c>
      <c r="N41">
        <f>(INDEX(Cooper_pop_2030_2050!D:D, MATCH($A41, Cooper_pop_2030_2050!B:B, 0)))+0.6*((INDEX(Cooper_pop_2030_2050!E:E, MATCH($A41, Cooper_pop_2030_2050!B:B, 0)))-(INDEX(Cooper_pop_2030_2050!D:D, MATCH($A41, Cooper_pop_2030_2050!B:B, 0))))</f>
        <v>5726054.3271607468</v>
      </c>
      <c r="O41">
        <f>(INDEX(Cooper_pop_2030_2050!D:D, MATCH($A41, Cooper_pop_2030_2050!B:B, 0)))+0.7*((INDEX(Cooper_pop_2030_2050!E:E, MATCH($A41, Cooper_pop_2030_2050!B:B, 0)))-(INDEX(Cooper_pop_2030_2050!D:D, MATCH($A41, Cooper_pop_2030_2050!B:B, 0))))</f>
        <v>5761313.256365383</v>
      </c>
      <c r="P41">
        <f>(INDEX(Cooper_pop_2030_2050!D:D, MATCH($A41, Cooper_pop_2030_2050!B:B, 0)))+0.8*((INDEX(Cooper_pop_2030_2050!E:E, MATCH($A41, Cooper_pop_2030_2050!B:B, 0)))-(INDEX(Cooper_pop_2030_2050!D:D, MATCH($A41, Cooper_pop_2030_2050!B:B, 0))))</f>
        <v>5796572.1855700202</v>
      </c>
      <c r="Q41">
        <f>(INDEX(Cooper_pop_2030_2050!D:D, MATCH($A41, Cooper_pop_2030_2050!B:B, 0)))+0.9*((INDEX(Cooper_pop_2030_2050!E:E, MATCH($A41, Cooper_pop_2030_2050!B:B, 0)))-(INDEX(Cooper_pop_2030_2050!D:D, MATCH($A41, Cooper_pop_2030_2050!B:B, 0))))</f>
        <v>5831831.1147746565</v>
      </c>
      <c r="R41">
        <f>INDEX(Cooper_pop_2030_2050!E:E, MATCH($A41, Cooper_pop_2030_2050!B:B, 0))</f>
        <v>5867090.0439792927</v>
      </c>
      <c r="S41">
        <f>(INDEX(Cooper_pop_2030_2050!E:E, MATCH($A41, Cooper_pop_2030_2050!B:B, 0)))+0.1*((INDEX(Cooper_pop_2030_2050!F:F, MATCH($A41, Cooper_pop_2030_2050!B:B, 0)))-(INDEX(Cooper_pop_2030_2050!E:E, MATCH($A41, Cooper_pop_2030_2050!B:B, 0))))</f>
        <v>5897288.805521965</v>
      </c>
      <c r="T41">
        <f>(INDEX(Cooper_pop_2030_2050!E:E, MATCH($A41, Cooper_pop_2030_2050!B:B, 0)))+0.2*((INDEX(Cooper_pop_2030_2050!F:F, MATCH($A41, Cooper_pop_2030_2050!B:B, 0)))-(INDEX(Cooper_pop_2030_2050!E:E, MATCH($A41, Cooper_pop_2030_2050!B:B, 0))))</f>
        <v>5927487.5670646364</v>
      </c>
      <c r="U41">
        <f>(INDEX(Cooper_pop_2030_2050!E:E, MATCH($A41, Cooper_pop_2030_2050!B:B, 0)))+0.3*((INDEX(Cooper_pop_2030_2050!F:F, MATCH($A41, Cooper_pop_2030_2050!B:B, 0)))-(INDEX(Cooper_pop_2030_2050!E:E, MATCH($A41, Cooper_pop_2030_2050!B:B, 0))))</f>
        <v>5957686.3286073087</v>
      </c>
      <c r="V41">
        <f>(INDEX(Cooper_pop_2030_2050!E:E, MATCH($A41, Cooper_pop_2030_2050!B:B, 0)))+0.4*((INDEX(Cooper_pop_2030_2050!F:F, MATCH($A41, Cooper_pop_2030_2050!B:B, 0)))-(INDEX(Cooper_pop_2030_2050!E:E, MATCH($A41, Cooper_pop_2030_2050!B:B, 0))))</f>
        <v>5987885.090149981</v>
      </c>
      <c r="W41">
        <f>(INDEX(Cooper_pop_2030_2050!E:E, MATCH($A41, Cooper_pop_2030_2050!B:B, 0)))+0.5*((INDEX(Cooper_pop_2030_2050!F:F, MATCH($A41, Cooper_pop_2030_2050!B:B, 0)))-(INDEX(Cooper_pop_2030_2050!E:E, MATCH($A41, Cooper_pop_2030_2050!B:B, 0))))</f>
        <v>6018083.8516926523</v>
      </c>
      <c r="X41">
        <f>(INDEX(Cooper_pop_2030_2050!E:E, MATCH($A41, Cooper_pop_2030_2050!B:B, 0)))+0.6*((INDEX(Cooper_pop_2030_2050!F:F, MATCH($A41, Cooper_pop_2030_2050!B:B, 0)))-(INDEX(Cooper_pop_2030_2050!E:E, MATCH($A41, Cooper_pop_2030_2050!B:B, 0))))</f>
        <v>6048282.6132353246</v>
      </c>
      <c r="Y41">
        <f>(INDEX(Cooper_pop_2030_2050!E:E, MATCH($A41, Cooper_pop_2030_2050!B:B, 0)))+0.7*((INDEX(Cooper_pop_2030_2050!F:F, MATCH($A41, Cooper_pop_2030_2050!B:B, 0)))-(INDEX(Cooper_pop_2030_2050!E:E, MATCH($A41, Cooper_pop_2030_2050!B:B, 0))))</f>
        <v>6078481.3747779969</v>
      </c>
      <c r="Z41">
        <f>(INDEX(Cooper_pop_2030_2050!E:E, MATCH($A41, Cooper_pop_2030_2050!B:B, 0)))+0.8*((INDEX(Cooper_pop_2030_2050!F:F, MATCH($A41, Cooper_pop_2030_2050!B:B, 0)))-(INDEX(Cooper_pop_2030_2050!E:E, MATCH($A41, Cooper_pop_2030_2050!B:B, 0))))</f>
        <v>6108680.1363206692</v>
      </c>
      <c r="AA41">
        <f>(INDEX(Cooper_pop_2030_2050!E:E, MATCH($A41, Cooper_pop_2030_2050!B:B, 0)))+0.9*((INDEX(Cooper_pop_2030_2050!F:F, MATCH($A41, Cooper_pop_2030_2050!B:B, 0)))-(INDEX(Cooper_pop_2030_2050!E:E, MATCH($A41, Cooper_pop_2030_2050!B:B, 0))))</f>
        <v>6138878.8978633406</v>
      </c>
      <c r="AB41">
        <f>INDEX(Cooper_pop_2030_2050!F:F, MATCH($A41, Cooper_pop_2030_2050!B:B, 0))</f>
        <v>6169077.6594060129</v>
      </c>
    </row>
    <row r="42" spans="1:28">
      <c r="A42" t="s">
        <v>2926</v>
      </c>
      <c r="B42">
        <f>IFERROR(INDEX(Census_pop_2020_2025!G:G, MATCH("."&amp;$A42, Census_pop_2020_2025!A:A, 0)),INDEX(Census_pop_2020_2025!G:G, MATCH($A42, Census_pop_2020_2025!A:A, 0)))</f>
        <v>927110</v>
      </c>
      <c r="C42">
        <f>IFERROR(INDEX(Census_pop_2020_2025!H:H, MATCH("."&amp;$A42, Census_pop_2020_2025!A:A, 0)),INDEX(Census_pop_2020_2025!H:H, MATCH($A42, Census_pop_2020_2025!A:A, 0)))</f>
        <v>935094</v>
      </c>
      <c r="D42">
        <f>(IFERROR(INDEX(Census_pop_2020_2025!H:H, MATCH("."&amp;$A42, Census_pop_2020_2025!A:A, 0)),INDEX(Census_pop_2020_2025!H:H, MATCH($A42, Census_pop_2020_2025!A:A, 0))))+0.2*((INDEX(Cooper_pop_2030_2050!D:D, MATCH($A42, Cooper_pop_2030_2050!B:B, 0)))-(IFERROR(INDEX(Census_pop_2020_2025!H:H, MATCH("."&amp;$A42, Census_pop_2020_2025!A:A, 0)),INDEX(Census_pop_2020_2025!H:H, MATCH($A42, Census_pop_2020_2025!A:A, 0)))))</f>
        <v>936927.00669864158</v>
      </c>
      <c r="E42">
        <f>(IFERROR(INDEX(Census_pop_2020_2025!H:H, MATCH("."&amp;$A42, Census_pop_2020_2025!A:A, 0)),INDEX(Census_pop_2020_2025!H:H, MATCH($A42, Census_pop_2020_2025!A:A, 0))))+0.4*((INDEX(Cooper_pop_2030_2050!D:D, MATCH($A42, Cooper_pop_2030_2050!B:B, 0)))-(IFERROR(INDEX(Census_pop_2020_2025!H:H, MATCH("."&amp;$A42, Census_pop_2020_2025!A:A, 0)),INDEX(Census_pop_2020_2025!H:H, MATCH($A42, Census_pop_2020_2025!A:A, 0)))))</f>
        <v>938760.01339728315</v>
      </c>
      <c r="F42">
        <f>(IFERROR(INDEX(Census_pop_2020_2025!H:H, MATCH("."&amp;$A42, Census_pop_2020_2025!A:A, 0)),INDEX(Census_pop_2020_2025!H:H, MATCH($A42, Census_pop_2020_2025!A:A, 0))))+0.6*((INDEX(Cooper_pop_2030_2050!D:D, MATCH($A42, Cooper_pop_2030_2050!B:B, 0)))-(IFERROR(INDEX(Census_pop_2020_2025!H:H, MATCH("."&amp;$A42, Census_pop_2020_2025!A:A, 0)),INDEX(Census_pop_2020_2025!H:H, MATCH($A42, Census_pop_2020_2025!A:A, 0)))))</f>
        <v>940593.02009592485</v>
      </c>
      <c r="G42">
        <f>(IFERROR(INDEX(Census_pop_2020_2025!H:H, MATCH("."&amp;$A42, Census_pop_2020_2025!A:A, 0)),INDEX(Census_pop_2020_2025!H:H, MATCH($A42, Census_pop_2020_2025!A:A, 0))))+0.8*((INDEX(Cooper_pop_2030_2050!D:D, MATCH($A42, Cooper_pop_2030_2050!B:B, 0)))-(IFERROR(INDEX(Census_pop_2020_2025!H:H, MATCH("."&amp;$A42, Census_pop_2020_2025!A:A, 0)),INDEX(Census_pop_2020_2025!H:H, MATCH($A42, Census_pop_2020_2025!A:A, 0)))))</f>
        <v>942426.02679456642</v>
      </c>
      <c r="H42">
        <f>INDEX(Cooper_pop_2030_2050!D:D, MATCH($A42, Cooper_pop_2030_2050!B:B, 0))</f>
        <v>944259.033493208</v>
      </c>
      <c r="I42">
        <f>(INDEX(Cooper_pop_2030_2050!D:D, MATCH($A42, Cooper_pop_2030_2050!B:B, 0)))+0.1*((INDEX(Cooper_pop_2030_2050!E:E, MATCH($A42, Cooper_pop_2030_2050!B:B, 0)))-(INDEX(Cooper_pop_2030_2050!D:D, MATCH($A42, Cooper_pop_2030_2050!B:B, 0))))</f>
        <v>948701.50345192209</v>
      </c>
      <c r="J42">
        <f>(INDEX(Cooper_pop_2030_2050!D:D, MATCH($A42, Cooper_pop_2030_2050!B:B, 0)))+0.2*((INDEX(Cooper_pop_2030_2050!E:E, MATCH($A42, Cooper_pop_2030_2050!B:B, 0)))-(INDEX(Cooper_pop_2030_2050!D:D, MATCH($A42, Cooper_pop_2030_2050!B:B, 0))))</f>
        <v>953143.97341063619</v>
      </c>
      <c r="K42">
        <f>(INDEX(Cooper_pop_2030_2050!D:D, MATCH($A42, Cooper_pop_2030_2050!B:B, 0)))+0.3*((INDEX(Cooper_pop_2030_2050!E:E, MATCH($A42, Cooper_pop_2030_2050!B:B, 0)))-(INDEX(Cooper_pop_2030_2050!D:D, MATCH($A42, Cooper_pop_2030_2050!B:B, 0))))</f>
        <v>957586.44336935028</v>
      </c>
      <c r="L42">
        <f>(INDEX(Cooper_pop_2030_2050!D:D, MATCH($A42, Cooper_pop_2030_2050!B:B, 0)))+0.4*((INDEX(Cooper_pop_2030_2050!E:E, MATCH($A42, Cooper_pop_2030_2050!B:B, 0)))-(INDEX(Cooper_pop_2030_2050!D:D, MATCH($A42, Cooper_pop_2030_2050!B:B, 0))))</f>
        <v>962028.91332806437</v>
      </c>
      <c r="M42">
        <f>(INDEX(Cooper_pop_2030_2050!D:D, MATCH($A42, Cooper_pop_2030_2050!B:B, 0)))+0.5*((INDEX(Cooper_pop_2030_2050!E:E, MATCH($A42, Cooper_pop_2030_2050!B:B, 0)))-(INDEX(Cooper_pop_2030_2050!D:D, MATCH($A42, Cooper_pop_2030_2050!B:B, 0))))</f>
        <v>966471.38328677858</v>
      </c>
      <c r="N42">
        <f>(INDEX(Cooper_pop_2030_2050!D:D, MATCH($A42, Cooper_pop_2030_2050!B:B, 0)))+0.6*((INDEX(Cooper_pop_2030_2050!E:E, MATCH($A42, Cooper_pop_2030_2050!B:B, 0)))-(INDEX(Cooper_pop_2030_2050!D:D, MATCH($A42, Cooper_pop_2030_2050!B:B, 0))))</f>
        <v>970913.85324549268</v>
      </c>
      <c r="O42">
        <f>(INDEX(Cooper_pop_2030_2050!D:D, MATCH($A42, Cooper_pop_2030_2050!B:B, 0)))+0.7*((INDEX(Cooper_pop_2030_2050!E:E, MATCH($A42, Cooper_pop_2030_2050!B:B, 0)))-(INDEX(Cooper_pop_2030_2050!D:D, MATCH($A42, Cooper_pop_2030_2050!B:B, 0))))</f>
        <v>975356.32320420677</v>
      </c>
      <c r="P42">
        <f>(INDEX(Cooper_pop_2030_2050!D:D, MATCH($A42, Cooper_pop_2030_2050!B:B, 0)))+0.8*((INDEX(Cooper_pop_2030_2050!E:E, MATCH($A42, Cooper_pop_2030_2050!B:B, 0)))-(INDEX(Cooper_pop_2030_2050!D:D, MATCH($A42, Cooper_pop_2030_2050!B:B, 0))))</f>
        <v>979798.79316292086</v>
      </c>
      <c r="Q42">
        <f>(INDEX(Cooper_pop_2030_2050!D:D, MATCH($A42, Cooper_pop_2030_2050!B:B, 0)))+0.9*((INDEX(Cooper_pop_2030_2050!E:E, MATCH($A42, Cooper_pop_2030_2050!B:B, 0)))-(INDEX(Cooper_pop_2030_2050!D:D, MATCH($A42, Cooper_pop_2030_2050!B:B, 0))))</f>
        <v>984241.26312163495</v>
      </c>
      <c r="R42">
        <f>INDEX(Cooper_pop_2030_2050!E:E, MATCH($A42, Cooper_pop_2030_2050!B:B, 0))</f>
        <v>988683.73308034905</v>
      </c>
      <c r="S42">
        <f>(INDEX(Cooper_pop_2030_2050!E:E, MATCH($A42, Cooper_pop_2030_2050!B:B, 0)))+0.1*((INDEX(Cooper_pop_2030_2050!F:F, MATCH($A42, Cooper_pop_2030_2050!B:B, 0)))-(INDEX(Cooper_pop_2030_2050!E:E, MATCH($A42, Cooper_pop_2030_2050!B:B, 0))))</f>
        <v>992122.17366225738</v>
      </c>
      <c r="T42">
        <f>(INDEX(Cooper_pop_2030_2050!E:E, MATCH($A42, Cooper_pop_2030_2050!B:B, 0)))+0.2*((INDEX(Cooper_pop_2030_2050!F:F, MATCH($A42, Cooper_pop_2030_2050!B:B, 0)))-(INDEX(Cooper_pop_2030_2050!E:E, MATCH($A42, Cooper_pop_2030_2050!B:B, 0))))</f>
        <v>995560.61424416583</v>
      </c>
      <c r="U42">
        <f>(INDEX(Cooper_pop_2030_2050!E:E, MATCH($A42, Cooper_pop_2030_2050!B:B, 0)))+0.3*((INDEX(Cooper_pop_2030_2050!F:F, MATCH($A42, Cooper_pop_2030_2050!B:B, 0)))-(INDEX(Cooper_pop_2030_2050!E:E, MATCH($A42, Cooper_pop_2030_2050!B:B, 0))))</f>
        <v>998999.05482607428</v>
      </c>
      <c r="V42">
        <f>(INDEX(Cooper_pop_2030_2050!E:E, MATCH($A42, Cooper_pop_2030_2050!B:B, 0)))+0.4*((INDEX(Cooper_pop_2030_2050!F:F, MATCH($A42, Cooper_pop_2030_2050!B:B, 0)))-(INDEX(Cooper_pop_2030_2050!E:E, MATCH($A42, Cooper_pop_2030_2050!B:B, 0))))</f>
        <v>1002437.4954079826</v>
      </c>
      <c r="W42">
        <f>(INDEX(Cooper_pop_2030_2050!E:E, MATCH($A42, Cooper_pop_2030_2050!B:B, 0)))+0.5*((INDEX(Cooper_pop_2030_2050!F:F, MATCH($A42, Cooper_pop_2030_2050!B:B, 0)))-(INDEX(Cooper_pop_2030_2050!E:E, MATCH($A42, Cooper_pop_2030_2050!B:B, 0))))</f>
        <v>1005875.9359898909</v>
      </c>
      <c r="X42">
        <f>(INDEX(Cooper_pop_2030_2050!E:E, MATCH($A42, Cooper_pop_2030_2050!B:B, 0)))+0.6*((INDEX(Cooper_pop_2030_2050!F:F, MATCH($A42, Cooper_pop_2030_2050!B:B, 0)))-(INDEX(Cooper_pop_2030_2050!E:E, MATCH($A42, Cooper_pop_2030_2050!B:B, 0))))</f>
        <v>1009314.3765717994</v>
      </c>
      <c r="Y42">
        <f>(INDEX(Cooper_pop_2030_2050!E:E, MATCH($A42, Cooper_pop_2030_2050!B:B, 0)))+0.7*((INDEX(Cooper_pop_2030_2050!F:F, MATCH($A42, Cooper_pop_2030_2050!B:B, 0)))-(INDEX(Cooper_pop_2030_2050!E:E, MATCH($A42, Cooper_pop_2030_2050!B:B, 0))))</f>
        <v>1012752.8171537078</v>
      </c>
      <c r="Z42">
        <f>(INDEX(Cooper_pop_2030_2050!E:E, MATCH($A42, Cooper_pop_2030_2050!B:B, 0)))+0.8*((INDEX(Cooper_pop_2030_2050!F:F, MATCH($A42, Cooper_pop_2030_2050!B:B, 0)))-(INDEX(Cooper_pop_2030_2050!E:E, MATCH($A42, Cooper_pop_2030_2050!B:B, 0))))</f>
        <v>1016191.2577356162</v>
      </c>
      <c r="AA42">
        <f>(INDEX(Cooper_pop_2030_2050!E:E, MATCH($A42, Cooper_pop_2030_2050!B:B, 0)))+0.9*((INDEX(Cooper_pop_2030_2050!F:F, MATCH($A42, Cooper_pop_2030_2050!B:B, 0)))-(INDEX(Cooper_pop_2030_2050!E:E, MATCH($A42, Cooper_pop_2030_2050!B:B, 0))))</f>
        <v>1019629.6983175245</v>
      </c>
      <c r="AB42">
        <f>INDEX(Cooper_pop_2030_2050!F:F, MATCH($A42, Cooper_pop_2030_2050!B:B, 0))</f>
        <v>1023068.138899433</v>
      </c>
    </row>
    <row r="43" spans="1:28">
      <c r="A43" t="s">
        <v>2927</v>
      </c>
      <c r="B43">
        <f>IFERROR(INDEX(Census_pop_2020_2025!G:G, MATCH("."&amp;$A43, Census_pop_2020_2025!A:A, 0)),INDEX(Census_pop_2020_2025!G:G, MATCH($A43, Census_pop_2020_2025!A:A, 0)))</f>
        <v>7251291</v>
      </c>
      <c r="C43">
        <f>IFERROR(INDEX(Census_pop_2020_2025!H:H, MATCH("."&amp;$A43, Census_pop_2020_2025!A:A, 0)),INDEX(Census_pop_2020_2025!H:H, MATCH($A43, Census_pop_2020_2025!A:A, 0)))</f>
        <v>7315076</v>
      </c>
      <c r="D43">
        <f>(IFERROR(INDEX(Census_pop_2020_2025!H:H, MATCH("."&amp;$A43, Census_pop_2020_2025!A:A, 0)),INDEX(Census_pop_2020_2025!H:H, MATCH($A43, Census_pop_2020_2025!A:A, 0))))+0.2*((INDEX(Cooper_pop_2030_2050!D:D, MATCH($A43, Cooper_pop_2030_2050!B:B, 0)))-(IFERROR(INDEX(Census_pop_2020_2025!H:H, MATCH("."&amp;$A43, Census_pop_2020_2025!A:A, 0)),INDEX(Census_pop_2020_2025!H:H, MATCH($A43, Census_pop_2020_2025!A:A, 0)))))</f>
        <v>7323964.5833031051</v>
      </c>
      <c r="E43">
        <f>(IFERROR(INDEX(Census_pop_2020_2025!H:H, MATCH("."&amp;$A43, Census_pop_2020_2025!A:A, 0)),INDEX(Census_pop_2020_2025!H:H, MATCH($A43, Census_pop_2020_2025!A:A, 0))))+0.4*((INDEX(Cooper_pop_2030_2050!D:D, MATCH($A43, Cooper_pop_2030_2050!B:B, 0)))-(IFERROR(INDEX(Census_pop_2020_2025!H:H, MATCH("."&amp;$A43, Census_pop_2020_2025!A:A, 0)),INDEX(Census_pop_2020_2025!H:H, MATCH($A43, Census_pop_2020_2025!A:A, 0)))))</f>
        <v>7332853.1666062092</v>
      </c>
      <c r="F43">
        <f>(IFERROR(INDEX(Census_pop_2020_2025!H:H, MATCH("."&amp;$A43, Census_pop_2020_2025!A:A, 0)),INDEX(Census_pop_2020_2025!H:H, MATCH($A43, Census_pop_2020_2025!A:A, 0))))+0.6*((INDEX(Cooper_pop_2030_2050!D:D, MATCH($A43, Cooper_pop_2030_2050!B:B, 0)))-(IFERROR(INDEX(Census_pop_2020_2025!H:H, MATCH("."&amp;$A43, Census_pop_2020_2025!A:A, 0)),INDEX(Census_pop_2020_2025!H:H, MATCH($A43, Census_pop_2020_2025!A:A, 0)))))</f>
        <v>7341741.7499093143</v>
      </c>
      <c r="G43">
        <f>(IFERROR(INDEX(Census_pop_2020_2025!H:H, MATCH("."&amp;$A43, Census_pop_2020_2025!A:A, 0)),INDEX(Census_pop_2020_2025!H:H, MATCH($A43, Census_pop_2020_2025!A:A, 0))))+0.8*((INDEX(Cooper_pop_2030_2050!D:D, MATCH($A43, Cooper_pop_2030_2050!B:B, 0)))-(IFERROR(INDEX(Census_pop_2020_2025!H:H, MATCH("."&amp;$A43, Census_pop_2020_2025!A:A, 0)),INDEX(Census_pop_2020_2025!H:H, MATCH($A43, Census_pop_2020_2025!A:A, 0)))))</f>
        <v>7350630.3332124185</v>
      </c>
      <c r="H43">
        <f>INDEX(Cooper_pop_2030_2050!D:D, MATCH($A43, Cooper_pop_2030_2050!B:B, 0))</f>
        <v>7359518.9165155236</v>
      </c>
      <c r="I43">
        <f>(INDEX(Cooper_pop_2030_2050!D:D, MATCH($A43, Cooper_pop_2030_2050!B:B, 0)))+0.1*((INDEX(Cooper_pop_2030_2050!E:E, MATCH($A43, Cooper_pop_2030_2050!B:B, 0)))-(INDEX(Cooper_pop_2030_2050!D:D, MATCH($A43, Cooper_pop_2030_2050!B:B, 0))))</f>
        <v>7394114.0283095893</v>
      </c>
      <c r="J43">
        <f>(INDEX(Cooper_pop_2030_2050!D:D, MATCH($A43, Cooper_pop_2030_2050!B:B, 0)))+0.2*((INDEX(Cooper_pop_2030_2050!E:E, MATCH($A43, Cooper_pop_2030_2050!B:B, 0)))-(INDEX(Cooper_pop_2030_2050!D:D, MATCH($A43, Cooper_pop_2030_2050!B:B, 0))))</f>
        <v>7428709.1401036549</v>
      </c>
      <c r="K43">
        <f>(INDEX(Cooper_pop_2030_2050!D:D, MATCH($A43, Cooper_pop_2030_2050!B:B, 0)))+0.3*((INDEX(Cooper_pop_2030_2050!E:E, MATCH($A43, Cooper_pop_2030_2050!B:B, 0)))-(INDEX(Cooper_pop_2030_2050!D:D, MATCH($A43, Cooper_pop_2030_2050!B:B, 0))))</f>
        <v>7463304.2518977197</v>
      </c>
      <c r="L43">
        <f>(INDEX(Cooper_pop_2030_2050!D:D, MATCH($A43, Cooper_pop_2030_2050!B:B, 0)))+0.4*((INDEX(Cooper_pop_2030_2050!E:E, MATCH($A43, Cooper_pop_2030_2050!B:B, 0)))-(INDEX(Cooper_pop_2030_2050!D:D, MATCH($A43, Cooper_pop_2030_2050!B:B, 0))))</f>
        <v>7497899.3636917854</v>
      </c>
      <c r="M43">
        <f>(INDEX(Cooper_pop_2030_2050!D:D, MATCH($A43, Cooper_pop_2030_2050!B:B, 0)))+0.5*((INDEX(Cooper_pop_2030_2050!E:E, MATCH($A43, Cooper_pop_2030_2050!B:B, 0)))-(INDEX(Cooper_pop_2030_2050!D:D, MATCH($A43, Cooper_pop_2030_2050!B:B, 0))))</f>
        <v>7532494.4754858511</v>
      </c>
      <c r="N43">
        <f>(INDEX(Cooper_pop_2030_2050!D:D, MATCH($A43, Cooper_pop_2030_2050!B:B, 0)))+0.6*((INDEX(Cooper_pop_2030_2050!E:E, MATCH($A43, Cooper_pop_2030_2050!B:B, 0)))-(INDEX(Cooper_pop_2030_2050!D:D, MATCH($A43, Cooper_pop_2030_2050!B:B, 0))))</f>
        <v>7567089.5872799167</v>
      </c>
      <c r="O43">
        <f>(INDEX(Cooper_pop_2030_2050!D:D, MATCH($A43, Cooper_pop_2030_2050!B:B, 0)))+0.7*((INDEX(Cooper_pop_2030_2050!E:E, MATCH($A43, Cooper_pop_2030_2050!B:B, 0)))-(INDEX(Cooper_pop_2030_2050!D:D, MATCH($A43, Cooper_pop_2030_2050!B:B, 0))))</f>
        <v>7601684.6990739824</v>
      </c>
      <c r="P43">
        <f>(INDEX(Cooper_pop_2030_2050!D:D, MATCH($A43, Cooper_pop_2030_2050!B:B, 0)))+0.8*((INDEX(Cooper_pop_2030_2050!E:E, MATCH($A43, Cooper_pop_2030_2050!B:B, 0)))-(INDEX(Cooper_pop_2030_2050!D:D, MATCH($A43, Cooper_pop_2030_2050!B:B, 0))))</f>
        <v>7636279.8108680472</v>
      </c>
      <c r="Q43">
        <f>(INDEX(Cooper_pop_2030_2050!D:D, MATCH($A43, Cooper_pop_2030_2050!B:B, 0)))+0.9*((INDEX(Cooper_pop_2030_2050!E:E, MATCH($A43, Cooper_pop_2030_2050!B:B, 0)))-(INDEX(Cooper_pop_2030_2050!D:D, MATCH($A43, Cooper_pop_2030_2050!B:B, 0))))</f>
        <v>7670874.9226621129</v>
      </c>
      <c r="R43">
        <f>INDEX(Cooper_pop_2030_2050!E:E, MATCH($A43, Cooper_pop_2030_2050!B:B, 0))</f>
        <v>7705470.0344561785</v>
      </c>
      <c r="S43">
        <f>(INDEX(Cooper_pop_2030_2050!E:E, MATCH($A43, Cooper_pop_2030_2050!B:B, 0)))+0.1*((INDEX(Cooper_pop_2030_2050!F:F, MATCH($A43, Cooper_pop_2030_2050!B:B, 0)))-(INDEX(Cooper_pop_2030_2050!E:E, MATCH($A43, Cooper_pop_2030_2050!B:B, 0))))</f>
        <v>7732237.7406541547</v>
      </c>
      <c r="T43">
        <f>(INDEX(Cooper_pop_2030_2050!E:E, MATCH($A43, Cooper_pop_2030_2050!B:B, 0)))+0.2*((INDEX(Cooper_pop_2030_2050!F:F, MATCH($A43, Cooper_pop_2030_2050!B:B, 0)))-(INDEX(Cooper_pop_2030_2050!E:E, MATCH($A43, Cooper_pop_2030_2050!B:B, 0))))</f>
        <v>7759005.4468521317</v>
      </c>
      <c r="U43">
        <f>(INDEX(Cooper_pop_2030_2050!E:E, MATCH($A43, Cooper_pop_2030_2050!B:B, 0)))+0.3*((INDEX(Cooper_pop_2030_2050!F:F, MATCH($A43, Cooper_pop_2030_2050!B:B, 0)))-(INDEX(Cooper_pop_2030_2050!E:E, MATCH($A43, Cooper_pop_2030_2050!B:B, 0))))</f>
        <v>7785773.1530501079</v>
      </c>
      <c r="V43">
        <f>(INDEX(Cooper_pop_2030_2050!E:E, MATCH($A43, Cooper_pop_2030_2050!B:B, 0)))+0.4*((INDEX(Cooper_pop_2030_2050!F:F, MATCH($A43, Cooper_pop_2030_2050!B:B, 0)))-(INDEX(Cooper_pop_2030_2050!E:E, MATCH($A43, Cooper_pop_2030_2050!B:B, 0))))</f>
        <v>7812540.8592480849</v>
      </c>
      <c r="W43">
        <f>(INDEX(Cooper_pop_2030_2050!E:E, MATCH($A43, Cooper_pop_2030_2050!B:B, 0)))+0.5*((INDEX(Cooper_pop_2030_2050!F:F, MATCH($A43, Cooper_pop_2030_2050!B:B, 0)))-(INDEX(Cooper_pop_2030_2050!E:E, MATCH($A43, Cooper_pop_2030_2050!B:B, 0))))</f>
        <v>7839308.5654460611</v>
      </c>
      <c r="X43">
        <f>(INDEX(Cooper_pop_2030_2050!E:E, MATCH($A43, Cooper_pop_2030_2050!B:B, 0)))+0.6*((INDEX(Cooper_pop_2030_2050!F:F, MATCH($A43, Cooper_pop_2030_2050!B:B, 0)))-(INDEX(Cooper_pop_2030_2050!E:E, MATCH($A43, Cooper_pop_2030_2050!B:B, 0))))</f>
        <v>7866076.2716440372</v>
      </c>
      <c r="Y43">
        <f>(INDEX(Cooper_pop_2030_2050!E:E, MATCH($A43, Cooper_pop_2030_2050!B:B, 0)))+0.7*((INDEX(Cooper_pop_2030_2050!F:F, MATCH($A43, Cooper_pop_2030_2050!B:B, 0)))-(INDEX(Cooper_pop_2030_2050!E:E, MATCH($A43, Cooper_pop_2030_2050!B:B, 0))))</f>
        <v>7892843.9778420143</v>
      </c>
      <c r="Z43">
        <f>(INDEX(Cooper_pop_2030_2050!E:E, MATCH($A43, Cooper_pop_2030_2050!B:B, 0)))+0.8*((INDEX(Cooper_pop_2030_2050!F:F, MATCH($A43, Cooper_pop_2030_2050!B:B, 0)))-(INDEX(Cooper_pop_2030_2050!E:E, MATCH($A43, Cooper_pop_2030_2050!B:B, 0))))</f>
        <v>7919611.6840399904</v>
      </c>
      <c r="AA43">
        <f>(INDEX(Cooper_pop_2030_2050!E:E, MATCH($A43, Cooper_pop_2030_2050!B:B, 0)))+0.9*((INDEX(Cooper_pop_2030_2050!F:F, MATCH($A43, Cooper_pop_2030_2050!B:B, 0)))-(INDEX(Cooper_pop_2030_2050!E:E, MATCH($A43, Cooper_pop_2030_2050!B:B, 0))))</f>
        <v>7946379.3902379675</v>
      </c>
      <c r="AB43">
        <f>INDEX(Cooper_pop_2030_2050!F:F, MATCH($A43, Cooper_pop_2030_2050!B:B, 0))</f>
        <v>7973147.0964359436</v>
      </c>
    </row>
    <row r="44" spans="1:28">
      <c r="A44" t="s">
        <v>2928</v>
      </c>
      <c r="B44">
        <f>IFERROR(INDEX(Census_pop_2020_2025!G:G, MATCH("."&amp;$A44, Census_pop_2020_2025!A:A, 0)),INDEX(Census_pop_2020_2025!G:G, MATCH($A44, Census_pop_2020_2025!A:A, 0)))</f>
        <v>31318578</v>
      </c>
      <c r="C44">
        <f>IFERROR(INDEX(Census_pop_2020_2025!H:H, MATCH("."&amp;$A44, Census_pop_2020_2025!A:A, 0)),INDEX(Census_pop_2020_2025!H:H, MATCH($A44, Census_pop_2020_2025!A:A, 0)))</f>
        <v>31709821</v>
      </c>
      <c r="D44">
        <f>(IFERROR(INDEX(Census_pop_2020_2025!H:H, MATCH("."&amp;$A44, Census_pop_2020_2025!A:A, 0)),INDEX(Census_pop_2020_2025!H:H, MATCH($A44, Census_pop_2020_2025!A:A, 0))))+0.2*((INDEX(Cooper_pop_2030_2050!D:D, MATCH($A44, Cooper_pop_2030_2050!B:B, 0)))-(IFERROR(INDEX(Census_pop_2020_2025!H:H, MATCH("."&amp;$A44, Census_pop_2020_2025!A:A, 0)),INDEX(Census_pop_2020_2025!H:H, MATCH($A44, Census_pop_2020_2025!A:A, 0)))))</f>
        <v>31860577.139318027</v>
      </c>
      <c r="E44">
        <f>(IFERROR(INDEX(Census_pop_2020_2025!H:H, MATCH("."&amp;$A44, Census_pop_2020_2025!A:A, 0)),INDEX(Census_pop_2020_2025!H:H, MATCH($A44, Census_pop_2020_2025!A:A, 0))))+0.4*((INDEX(Cooper_pop_2030_2050!D:D, MATCH($A44, Cooper_pop_2030_2050!B:B, 0)))-(IFERROR(INDEX(Census_pop_2020_2025!H:H, MATCH("."&amp;$A44, Census_pop_2020_2025!A:A, 0)),INDEX(Census_pop_2020_2025!H:H, MATCH($A44, Census_pop_2020_2025!A:A, 0)))))</f>
        <v>32011333.278636057</v>
      </c>
      <c r="F44">
        <f>(IFERROR(INDEX(Census_pop_2020_2025!H:H, MATCH("."&amp;$A44, Census_pop_2020_2025!A:A, 0)),INDEX(Census_pop_2020_2025!H:H, MATCH($A44, Census_pop_2020_2025!A:A, 0))))+0.6*((INDEX(Cooper_pop_2030_2050!D:D, MATCH($A44, Cooper_pop_2030_2050!B:B, 0)))-(IFERROR(INDEX(Census_pop_2020_2025!H:H, MATCH("."&amp;$A44, Census_pop_2020_2025!A:A, 0)),INDEX(Census_pop_2020_2025!H:H, MATCH($A44, Census_pop_2020_2025!A:A, 0)))))</f>
        <v>32162089.417954084</v>
      </c>
      <c r="G44">
        <f>(IFERROR(INDEX(Census_pop_2020_2025!H:H, MATCH("."&amp;$A44, Census_pop_2020_2025!A:A, 0)),INDEX(Census_pop_2020_2025!H:H, MATCH($A44, Census_pop_2020_2025!A:A, 0))))+0.8*((INDEX(Cooper_pop_2030_2050!D:D, MATCH($A44, Cooper_pop_2030_2050!B:B, 0)))-(IFERROR(INDEX(Census_pop_2020_2025!H:H, MATCH("."&amp;$A44, Census_pop_2020_2025!A:A, 0)),INDEX(Census_pop_2020_2025!H:H, MATCH($A44, Census_pop_2020_2025!A:A, 0)))))</f>
        <v>32312845.557272114</v>
      </c>
      <c r="H44">
        <f>INDEX(Cooper_pop_2030_2050!D:D, MATCH($A44, Cooper_pop_2030_2050!B:B, 0))</f>
        <v>32463601.69659014</v>
      </c>
      <c r="I44">
        <f>(INDEX(Cooper_pop_2030_2050!D:D, MATCH($A44, Cooper_pop_2030_2050!B:B, 0)))+0.1*((INDEX(Cooper_pop_2030_2050!E:E, MATCH($A44, Cooper_pop_2030_2050!B:B, 0)))-(INDEX(Cooper_pop_2030_2050!D:D, MATCH($A44, Cooper_pop_2030_2050!B:B, 0))))</f>
        <v>32834945.958398774</v>
      </c>
      <c r="J44">
        <f>(INDEX(Cooper_pop_2030_2050!D:D, MATCH($A44, Cooper_pop_2030_2050!B:B, 0)))+0.2*((INDEX(Cooper_pop_2030_2050!E:E, MATCH($A44, Cooper_pop_2030_2050!B:B, 0)))-(INDEX(Cooper_pop_2030_2050!D:D, MATCH($A44, Cooper_pop_2030_2050!B:B, 0))))</f>
        <v>33206290.220207412</v>
      </c>
      <c r="K44">
        <f>(INDEX(Cooper_pop_2030_2050!D:D, MATCH($A44, Cooper_pop_2030_2050!B:B, 0)))+0.3*((INDEX(Cooper_pop_2030_2050!E:E, MATCH($A44, Cooper_pop_2030_2050!B:B, 0)))-(INDEX(Cooper_pop_2030_2050!D:D, MATCH($A44, Cooper_pop_2030_2050!B:B, 0))))</f>
        <v>33577634.482016049</v>
      </c>
      <c r="L44">
        <f>(INDEX(Cooper_pop_2030_2050!D:D, MATCH($A44, Cooper_pop_2030_2050!B:B, 0)))+0.4*((INDEX(Cooper_pop_2030_2050!E:E, MATCH($A44, Cooper_pop_2030_2050!B:B, 0)))-(INDEX(Cooper_pop_2030_2050!D:D, MATCH($A44, Cooper_pop_2030_2050!B:B, 0))))</f>
        <v>33948978.743824683</v>
      </c>
      <c r="M44">
        <f>(INDEX(Cooper_pop_2030_2050!D:D, MATCH($A44, Cooper_pop_2030_2050!B:B, 0)))+0.5*((INDEX(Cooper_pop_2030_2050!E:E, MATCH($A44, Cooper_pop_2030_2050!B:B, 0)))-(INDEX(Cooper_pop_2030_2050!D:D, MATCH($A44, Cooper_pop_2030_2050!B:B, 0))))</f>
        <v>34320323.005633317</v>
      </c>
      <c r="N44">
        <f>(INDEX(Cooper_pop_2030_2050!D:D, MATCH($A44, Cooper_pop_2030_2050!B:B, 0)))+0.6*((INDEX(Cooper_pop_2030_2050!E:E, MATCH($A44, Cooper_pop_2030_2050!B:B, 0)))-(INDEX(Cooper_pop_2030_2050!D:D, MATCH($A44, Cooper_pop_2030_2050!B:B, 0))))</f>
        <v>34691667.267441951</v>
      </c>
      <c r="O44">
        <f>(INDEX(Cooper_pop_2030_2050!D:D, MATCH($A44, Cooper_pop_2030_2050!B:B, 0)))+0.7*((INDEX(Cooper_pop_2030_2050!E:E, MATCH($A44, Cooper_pop_2030_2050!B:B, 0)))-(INDEX(Cooper_pop_2030_2050!D:D, MATCH($A44, Cooper_pop_2030_2050!B:B, 0))))</f>
        <v>35063011.529250585</v>
      </c>
      <c r="P44">
        <f>(INDEX(Cooper_pop_2030_2050!D:D, MATCH($A44, Cooper_pop_2030_2050!B:B, 0)))+0.8*((INDEX(Cooper_pop_2030_2050!E:E, MATCH($A44, Cooper_pop_2030_2050!B:B, 0)))-(INDEX(Cooper_pop_2030_2050!D:D, MATCH($A44, Cooper_pop_2030_2050!B:B, 0))))</f>
        <v>35434355.791059226</v>
      </c>
      <c r="Q44">
        <f>(INDEX(Cooper_pop_2030_2050!D:D, MATCH($A44, Cooper_pop_2030_2050!B:B, 0)))+0.9*((INDEX(Cooper_pop_2030_2050!E:E, MATCH($A44, Cooper_pop_2030_2050!B:B, 0)))-(INDEX(Cooper_pop_2030_2050!D:D, MATCH($A44, Cooper_pop_2030_2050!B:B, 0))))</f>
        <v>35805700.05286786</v>
      </c>
      <c r="R44">
        <f>INDEX(Cooper_pop_2030_2050!E:E, MATCH($A44, Cooper_pop_2030_2050!B:B, 0))</f>
        <v>36177044.314676493</v>
      </c>
      <c r="S44">
        <f>(INDEX(Cooper_pop_2030_2050!E:E, MATCH($A44, Cooper_pop_2030_2050!B:B, 0)))+0.1*((INDEX(Cooper_pop_2030_2050!F:F, MATCH($A44, Cooper_pop_2030_2050!B:B, 0)))-(INDEX(Cooper_pop_2030_2050!E:E, MATCH($A44, Cooper_pop_2030_2050!B:B, 0))))</f>
        <v>36543624.853051856</v>
      </c>
      <c r="T44">
        <f>(INDEX(Cooper_pop_2030_2050!E:E, MATCH($A44, Cooper_pop_2030_2050!B:B, 0)))+0.2*((INDEX(Cooper_pop_2030_2050!F:F, MATCH($A44, Cooper_pop_2030_2050!B:B, 0)))-(INDEX(Cooper_pop_2030_2050!E:E, MATCH($A44, Cooper_pop_2030_2050!B:B, 0))))</f>
        <v>36910205.391427226</v>
      </c>
      <c r="U44">
        <f>(INDEX(Cooper_pop_2030_2050!E:E, MATCH($A44, Cooper_pop_2030_2050!B:B, 0)))+0.3*((INDEX(Cooper_pop_2030_2050!F:F, MATCH($A44, Cooper_pop_2030_2050!B:B, 0)))-(INDEX(Cooper_pop_2030_2050!E:E, MATCH($A44, Cooper_pop_2030_2050!B:B, 0))))</f>
        <v>37276785.929802589</v>
      </c>
      <c r="V44">
        <f>(INDEX(Cooper_pop_2030_2050!E:E, MATCH($A44, Cooper_pop_2030_2050!B:B, 0)))+0.4*((INDEX(Cooper_pop_2030_2050!F:F, MATCH($A44, Cooper_pop_2030_2050!B:B, 0)))-(INDEX(Cooper_pop_2030_2050!E:E, MATCH($A44, Cooper_pop_2030_2050!B:B, 0))))</f>
        <v>37643366.468177952</v>
      </c>
      <c r="W44">
        <f>(INDEX(Cooper_pop_2030_2050!E:E, MATCH($A44, Cooper_pop_2030_2050!B:B, 0)))+0.5*((INDEX(Cooper_pop_2030_2050!F:F, MATCH($A44, Cooper_pop_2030_2050!B:B, 0)))-(INDEX(Cooper_pop_2030_2050!E:E, MATCH($A44, Cooper_pop_2030_2050!B:B, 0))))</f>
        <v>38009947.006553322</v>
      </c>
      <c r="X44">
        <f>(INDEX(Cooper_pop_2030_2050!E:E, MATCH($A44, Cooper_pop_2030_2050!B:B, 0)))+0.6*((INDEX(Cooper_pop_2030_2050!F:F, MATCH($A44, Cooper_pop_2030_2050!B:B, 0)))-(INDEX(Cooper_pop_2030_2050!E:E, MATCH($A44, Cooper_pop_2030_2050!B:B, 0))))</f>
        <v>38376527.544928685</v>
      </c>
      <c r="Y44">
        <f>(INDEX(Cooper_pop_2030_2050!E:E, MATCH($A44, Cooper_pop_2030_2050!B:B, 0)))+0.7*((INDEX(Cooper_pop_2030_2050!F:F, MATCH($A44, Cooper_pop_2030_2050!B:B, 0)))-(INDEX(Cooper_pop_2030_2050!E:E, MATCH($A44, Cooper_pop_2030_2050!B:B, 0))))</f>
        <v>38743108.083304048</v>
      </c>
      <c r="Z44">
        <f>(INDEX(Cooper_pop_2030_2050!E:E, MATCH($A44, Cooper_pop_2030_2050!B:B, 0)))+0.8*((INDEX(Cooper_pop_2030_2050!F:F, MATCH($A44, Cooper_pop_2030_2050!B:B, 0)))-(INDEX(Cooper_pop_2030_2050!E:E, MATCH($A44, Cooper_pop_2030_2050!B:B, 0))))</f>
        <v>39109688.62167941</v>
      </c>
      <c r="AA44">
        <f>(INDEX(Cooper_pop_2030_2050!E:E, MATCH($A44, Cooper_pop_2030_2050!B:B, 0)))+0.9*((INDEX(Cooper_pop_2030_2050!F:F, MATCH($A44, Cooper_pop_2030_2050!B:B, 0)))-(INDEX(Cooper_pop_2030_2050!E:E, MATCH($A44, Cooper_pop_2030_2050!B:B, 0))))</f>
        <v>39476269.160054781</v>
      </c>
      <c r="AB44">
        <f>INDEX(Cooper_pop_2030_2050!F:F, MATCH($A44, Cooper_pop_2030_2050!B:B, 0))</f>
        <v>39842849.698430143</v>
      </c>
    </row>
    <row r="45" spans="1:28">
      <c r="A45" t="s">
        <v>2929</v>
      </c>
      <c r="B45">
        <f>IFERROR(INDEX(Census_pop_2020_2025!G:G, MATCH("."&amp;$A45, Census_pop_2020_2025!A:A, 0)),INDEX(Census_pop_2020_2025!G:G, MATCH($A45, Census_pop_2020_2025!A:A, 0)))</f>
        <v>3502983</v>
      </c>
      <c r="C45">
        <f>IFERROR(INDEX(Census_pop_2020_2025!H:H, MATCH("."&amp;$A45, Census_pop_2020_2025!A:A, 0)),INDEX(Census_pop_2020_2025!H:H, MATCH($A45, Census_pop_2020_2025!A:A, 0)))</f>
        <v>3538904</v>
      </c>
      <c r="D45">
        <f>(IFERROR(INDEX(Census_pop_2020_2025!H:H, MATCH("."&amp;$A45, Census_pop_2020_2025!A:A, 0)),INDEX(Census_pop_2020_2025!H:H, MATCH($A45, Census_pop_2020_2025!A:A, 0))))+0.2*((INDEX(Cooper_pop_2030_2050!D:D, MATCH($A45, Cooper_pop_2030_2050!B:B, 0)))-(IFERROR(INDEX(Census_pop_2020_2025!H:H, MATCH("."&amp;$A45, Census_pop_2020_2025!A:A, 0)),INDEX(Census_pop_2020_2025!H:H, MATCH($A45, Census_pop_2020_2025!A:A, 0)))))</f>
        <v>3570933.1663004612</v>
      </c>
      <c r="E45">
        <f>(IFERROR(INDEX(Census_pop_2020_2025!H:H, MATCH("."&amp;$A45, Census_pop_2020_2025!A:A, 0)),INDEX(Census_pop_2020_2025!H:H, MATCH($A45, Census_pop_2020_2025!A:A, 0))))+0.4*((INDEX(Cooper_pop_2030_2050!D:D, MATCH($A45, Cooper_pop_2030_2050!B:B, 0)))-(IFERROR(INDEX(Census_pop_2020_2025!H:H, MATCH("."&amp;$A45, Census_pop_2020_2025!A:A, 0)),INDEX(Census_pop_2020_2025!H:H, MATCH($A45, Census_pop_2020_2025!A:A, 0)))))</f>
        <v>3602962.3326009219</v>
      </c>
      <c r="F45">
        <f>(IFERROR(INDEX(Census_pop_2020_2025!H:H, MATCH("."&amp;$A45, Census_pop_2020_2025!A:A, 0)),INDEX(Census_pop_2020_2025!H:H, MATCH($A45, Census_pop_2020_2025!A:A, 0))))+0.6*((INDEX(Cooper_pop_2030_2050!D:D, MATCH($A45, Cooper_pop_2030_2050!B:B, 0)))-(IFERROR(INDEX(Census_pop_2020_2025!H:H, MATCH("."&amp;$A45, Census_pop_2020_2025!A:A, 0)),INDEX(Census_pop_2020_2025!H:H, MATCH($A45, Census_pop_2020_2025!A:A, 0)))))</f>
        <v>3634991.498901383</v>
      </c>
      <c r="G45">
        <f>(IFERROR(INDEX(Census_pop_2020_2025!H:H, MATCH("."&amp;$A45, Census_pop_2020_2025!A:A, 0)),INDEX(Census_pop_2020_2025!H:H, MATCH($A45, Census_pop_2020_2025!A:A, 0))))+0.8*((INDEX(Cooper_pop_2030_2050!D:D, MATCH($A45, Cooper_pop_2030_2050!B:B, 0)))-(IFERROR(INDEX(Census_pop_2020_2025!H:H, MATCH("."&amp;$A45, Census_pop_2020_2025!A:A, 0)),INDEX(Census_pop_2020_2025!H:H, MATCH($A45, Census_pop_2020_2025!A:A, 0)))))</f>
        <v>3667020.6652018437</v>
      </c>
      <c r="H45">
        <f>INDEX(Cooper_pop_2030_2050!D:D, MATCH($A45, Cooper_pop_2030_2050!B:B, 0))</f>
        <v>3699049.8315023049</v>
      </c>
      <c r="I45">
        <f>(INDEX(Cooper_pop_2030_2050!D:D, MATCH($A45, Cooper_pop_2030_2050!B:B, 0)))+0.1*((INDEX(Cooper_pop_2030_2050!E:E, MATCH($A45, Cooper_pop_2030_2050!B:B, 0)))-(INDEX(Cooper_pop_2030_2050!D:D, MATCH($A45, Cooper_pop_2030_2050!B:B, 0))))</f>
        <v>3750122.1321071181</v>
      </c>
      <c r="J45">
        <f>(INDEX(Cooper_pop_2030_2050!D:D, MATCH($A45, Cooper_pop_2030_2050!B:B, 0)))+0.2*((INDEX(Cooper_pop_2030_2050!E:E, MATCH($A45, Cooper_pop_2030_2050!B:B, 0)))-(INDEX(Cooper_pop_2030_2050!D:D, MATCH($A45, Cooper_pop_2030_2050!B:B, 0))))</f>
        <v>3801194.4327119314</v>
      </c>
      <c r="K45">
        <f>(INDEX(Cooper_pop_2030_2050!D:D, MATCH($A45, Cooper_pop_2030_2050!B:B, 0)))+0.3*((INDEX(Cooper_pop_2030_2050!E:E, MATCH($A45, Cooper_pop_2030_2050!B:B, 0)))-(INDEX(Cooper_pop_2030_2050!D:D, MATCH($A45, Cooper_pop_2030_2050!B:B, 0))))</f>
        <v>3852266.7333167447</v>
      </c>
      <c r="L45">
        <f>(INDEX(Cooper_pop_2030_2050!D:D, MATCH($A45, Cooper_pop_2030_2050!B:B, 0)))+0.4*((INDEX(Cooper_pop_2030_2050!E:E, MATCH($A45, Cooper_pop_2030_2050!B:B, 0)))-(INDEX(Cooper_pop_2030_2050!D:D, MATCH($A45, Cooper_pop_2030_2050!B:B, 0))))</f>
        <v>3903339.0339215579</v>
      </c>
      <c r="M45">
        <f>(INDEX(Cooper_pop_2030_2050!D:D, MATCH($A45, Cooper_pop_2030_2050!B:B, 0)))+0.5*((INDEX(Cooper_pop_2030_2050!E:E, MATCH($A45, Cooper_pop_2030_2050!B:B, 0)))-(INDEX(Cooper_pop_2030_2050!D:D, MATCH($A45, Cooper_pop_2030_2050!B:B, 0))))</f>
        <v>3954411.3345263712</v>
      </c>
      <c r="N45">
        <f>(INDEX(Cooper_pop_2030_2050!D:D, MATCH($A45, Cooper_pop_2030_2050!B:B, 0)))+0.6*((INDEX(Cooper_pop_2030_2050!E:E, MATCH($A45, Cooper_pop_2030_2050!B:B, 0)))-(INDEX(Cooper_pop_2030_2050!D:D, MATCH($A45, Cooper_pop_2030_2050!B:B, 0))))</f>
        <v>4005483.635131184</v>
      </c>
      <c r="O45">
        <f>(INDEX(Cooper_pop_2030_2050!D:D, MATCH($A45, Cooper_pop_2030_2050!B:B, 0)))+0.7*((INDEX(Cooper_pop_2030_2050!E:E, MATCH($A45, Cooper_pop_2030_2050!B:B, 0)))-(INDEX(Cooper_pop_2030_2050!D:D, MATCH($A45, Cooper_pop_2030_2050!B:B, 0))))</f>
        <v>4056555.9357359973</v>
      </c>
      <c r="P45">
        <f>(INDEX(Cooper_pop_2030_2050!D:D, MATCH($A45, Cooper_pop_2030_2050!B:B, 0)))+0.8*((INDEX(Cooper_pop_2030_2050!E:E, MATCH($A45, Cooper_pop_2030_2050!B:B, 0)))-(INDEX(Cooper_pop_2030_2050!D:D, MATCH($A45, Cooper_pop_2030_2050!B:B, 0))))</f>
        <v>4107628.2363408105</v>
      </c>
      <c r="Q45">
        <f>(INDEX(Cooper_pop_2030_2050!D:D, MATCH($A45, Cooper_pop_2030_2050!B:B, 0)))+0.9*((INDEX(Cooper_pop_2030_2050!E:E, MATCH($A45, Cooper_pop_2030_2050!B:B, 0)))-(INDEX(Cooper_pop_2030_2050!D:D, MATCH($A45, Cooper_pop_2030_2050!B:B, 0))))</f>
        <v>4158700.5369456238</v>
      </c>
      <c r="R45">
        <f>INDEX(Cooper_pop_2030_2050!E:E, MATCH($A45, Cooper_pop_2030_2050!B:B, 0))</f>
        <v>4209772.8375504371</v>
      </c>
      <c r="S45">
        <f>(INDEX(Cooper_pop_2030_2050!E:E, MATCH($A45, Cooper_pop_2030_2050!B:B, 0)))+0.1*((INDEX(Cooper_pop_2030_2050!F:F, MATCH($A45, Cooper_pop_2030_2050!B:B, 0)))-(INDEX(Cooper_pop_2030_2050!E:E, MATCH($A45, Cooper_pop_2030_2050!B:B, 0))))</f>
        <v>4262282.5672959378</v>
      </c>
      <c r="T45">
        <f>(INDEX(Cooper_pop_2030_2050!E:E, MATCH($A45, Cooper_pop_2030_2050!B:B, 0)))+0.2*((INDEX(Cooper_pop_2030_2050!F:F, MATCH($A45, Cooper_pop_2030_2050!B:B, 0)))-(INDEX(Cooper_pop_2030_2050!E:E, MATCH($A45, Cooper_pop_2030_2050!B:B, 0))))</f>
        <v>4314792.2970414385</v>
      </c>
      <c r="U45">
        <f>(INDEX(Cooper_pop_2030_2050!E:E, MATCH($A45, Cooper_pop_2030_2050!B:B, 0)))+0.3*((INDEX(Cooper_pop_2030_2050!F:F, MATCH($A45, Cooper_pop_2030_2050!B:B, 0)))-(INDEX(Cooper_pop_2030_2050!E:E, MATCH($A45, Cooper_pop_2030_2050!B:B, 0))))</f>
        <v>4367302.0267869402</v>
      </c>
      <c r="V45">
        <f>(INDEX(Cooper_pop_2030_2050!E:E, MATCH($A45, Cooper_pop_2030_2050!B:B, 0)))+0.4*((INDEX(Cooper_pop_2030_2050!F:F, MATCH($A45, Cooper_pop_2030_2050!B:B, 0)))-(INDEX(Cooper_pop_2030_2050!E:E, MATCH($A45, Cooper_pop_2030_2050!B:B, 0))))</f>
        <v>4419811.7565324409</v>
      </c>
      <c r="W45">
        <f>(INDEX(Cooper_pop_2030_2050!E:E, MATCH($A45, Cooper_pop_2030_2050!B:B, 0)))+0.5*((INDEX(Cooper_pop_2030_2050!F:F, MATCH($A45, Cooper_pop_2030_2050!B:B, 0)))-(INDEX(Cooper_pop_2030_2050!E:E, MATCH($A45, Cooper_pop_2030_2050!B:B, 0))))</f>
        <v>4472321.4862779416</v>
      </c>
      <c r="X45">
        <f>(INDEX(Cooper_pop_2030_2050!E:E, MATCH($A45, Cooper_pop_2030_2050!B:B, 0)))+0.6*((INDEX(Cooper_pop_2030_2050!F:F, MATCH($A45, Cooper_pop_2030_2050!B:B, 0)))-(INDEX(Cooper_pop_2030_2050!E:E, MATCH($A45, Cooper_pop_2030_2050!B:B, 0))))</f>
        <v>4524831.2160234423</v>
      </c>
      <c r="Y45">
        <f>(INDEX(Cooper_pop_2030_2050!E:E, MATCH($A45, Cooper_pop_2030_2050!B:B, 0)))+0.7*((INDEX(Cooper_pop_2030_2050!F:F, MATCH($A45, Cooper_pop_2030_2050!B:B, 0)))-(INDEX(Cooper_pop_2030_2050!E:E, MATCH($A45, Cooper_pop_2030_2050!B:B, 0))))</f>
        <v>4577340.9457689431</v>
      </c>
      <c r="Z45">
        <f>(INDEX(Cooper_pop_2030_2050!E:E, MATCH($A45, Cooper_pop_2030_2050!B:B, 0)))+0.8*((INDEX(Cooper_pop_2030_2050!F:F, MATCH($A45, Cooper_pop_2030_2050!B:B, 0)))-(INDEX(Cooper_pop_2030_2050!E:E, MATCH($A45, Cooper_pop_2030_2050!B:B, 0))))</f>
        <v>4629850.6755144447</v>
      </c>
      <c r="AA45">
        <f>(INDEX(Cooper_pop_2030_2050!E:E, MATCH($A45, Cooper_pop_2030_2050!B:B, 0)))+0.9*((INDEX(Cooper_pop_2030_2050!F:F, MATCH($A45, Cooper_pop_2030_2050!B:B, 0)))-(INDEX(Cooper_pop_2030_2050!E:E, MATCH($A45, Cooper_pop_2030_2050!B:B, 0))))</f>
        <v>4682360.4052599454</v>
      </c>
      <c r="AB45">
        <f>INDEX(Cooper_pop_2030_2050!F:F, MATCH($A45, Cooper_pop_2030_2050!B:B, 0))</f>
        <v>4734870.1350054462</v>
      </c>
    </row>
    <row r="46" spans="1:28">
      <c r="A46" t="s">
        <v>2930</v>
      </c>
      <c r="B46">
        <f>IFERROR(INDEX(Census_pop_2020_2025!G:G, MATCH("."&amp;$A46, Census_pop_2020_2025!A:A, 0)),INDEX(Census_pop_2020_2025!G:G, MATCH($A46, Census_pop_2020_2025!A:A, 0)))</f>
        <v>646521</v>
      </c>
      <c r="C46">
        <f>IFERROR(INDEX(Census_pop_2020_2025!H:H, MATCH("."&amp;$A46, Census_pop_2020_2025!A:A, 0)),INDEX(Census_pop_2020_2025!H:H, MATCH($A46, Census_pop_2020_2025!A:A, 0)))</f>
        <v>644663</v>
      </c>
      <c r="D46">
        <f>(IFERROR(INDEX(Census_pop_2020_2025!H:H, MATCH("."&amp;$A46, Census_pop_2020_2025!A:A, 0)),INDEX(Census_pop_2020_2025!H:H, MATCH($A46, Census_pop_2020_2025!A:A, 0))))+0.2*((INDEX(Cooper_pop_2030_2050!D:D, MATCH($A46, Cooper_pop_2030_2050!B:B, 0)))-(IFERROR(INDEX(Census_pop_2020_2025!H:H, MATCH("."&amp;$A46, Census_pop_2020_2025!A:A, 0)),INDEX(Census_pop_2020_2025!H:H, MATCH($A46, Census_pop_2020_2025!A:A, 0)))))</f>
        <v>646994.22896022478</v>
      </c>
      <c r="E46">
        <f>(IFERROR(INDEX(Census_pop_2020_2025!H:H, MATCH("."&amp;$A46, Census_pop_2020_2025!A:A, 0)),INDEX(Census_pop_2020_2025!H:H, MATCH($A46, Census_pop_2020_2025!A:A, 0))))+0.4*((INDEX(Cooper_pop_2030_2050!D:D, MATCH($A46, Cooper_pop_2030_2050!B:B, 0)))-(IFERROR(INDEX(Census_pop_2020_2025!H:H, MATCH("."&amp;$A46, Census_pop_2020_2025!A:A, 0)),INDEX(Census_pop_2020_2025!H:H, MATCH($A46, Census_pop_2020_2025!A:A, 0)))))</f>
        <v>649325.45792044955</v>
      </c>
      <c r="F46">
        <f>(IFERROR(INDEX(Census_pop_2020_2025!H:H, MATCH("."&amp;$A46, Census_pop_2020_2025!A:A, 0)),INDEX(Census_pop_2020_2025!H:H, MATCH($A46, Census_pop_2020_2025!A:A, 0))))+0.6*((INDEX(Cooper_pop_2030_2050!D:D, MATCH($A46, Cooper_pop_2030_2050!B:B, 0)))-(IFERROR(INDEX(Census_pop_2020_2025!H:H, MATCH("."&amp;$A46, Census_pop_2020_2025!A:A, 0)),INDEX(Census_pop_2020_2025!H:H, MATCH($A46, Census_pop_2020_2025!A:A, 0)))))</f>
        <v>651656.68688067421</v>
      </c>
      <c r="G46">
        <f>(IFERROR(INDEX(Census_pop_2020_2025!H:H, MATCH("."&amp;$A46, Census_pop_2020_2025!A:A, 0)),INDEX(Census_pop_2020_2025!H:H, MATCH($A46, Census_pop_2020_2025!A:A, 0))))+0.8*((INDEX(Cooper_pop_2030_2050!D:D, MATCH($A46, Cooper_pop_2030_2050!B:B, 0)))-(IFERROR(INDEX(Census_pop_2020_2025!H:H, MATCH("."&amp;$A46, Census_pop_2020_2025!A:A, 0)),INDEX(Census_pop_2020_2025!H:H, MATCH($A46, Census_pop_2020_2025!A:A, 0)))))</f>
        <v>653987.91584089899</v>
      </c>
      <c r="H46">
        <f>INDEX(Cooper_pop_2030_2050!D:D, MATCH($A46, Cooper_pop_2030_2050!B:B, 0))</f>
        <v>656319.14480112377</v>
      </c>
      <c r="I46">
        <f>(INDEX(Cooper_pop_2030_2050!D:D, MATCH($A46, Cooper_pop_2030_2050!B:B, 0)))+0.1*((INDEX(Cooper_pop_2030_2050!E:E, MATCH($A46, Cooper_pop_2030_2050!B:B, 0)))-(INDEX(Cooper_pop_2030_2050!D:D, MATCH($A46, Cooper_pop_2030_2050!B:B, 0))))</f>
        <v>655537.16800940968</v>
      </c>
      <c r="J46">
        <f>(INDEX(Cooper_pop_2030_2050!D:D, MATCH($A46, Cooper_pop_2030_2050!B:B, 0)))+0.2*((INDEX(Cooper_pop_2030_2050!E:E, MATCH($A46, Cooper_pop_2030_2050!B:B, 0)))-(INDEX(Cooper_pop_2030_2050!D:D, MATCH($A46, Cooper_pop_2030_2050!B:B, 0))))</f>
        <v>654755.19121769548</v>
      </c>
      <c r="K46">
        <f>(INDEX(Cooper_pop_2030_2050!D:D, MATCH($A46, Cooper_pop_2030_2050!B:B, 0)))+0.3*((INDEX(Cooper_pop_2030_2050!E:E, MATCH($A46, Cooper_pop_2030_2050!B:B, 0)))-(INDEX(Cooper_pop_2030_2050!D:D, MATCH($A46, Cooper_pop_2030_2050!B:B, 0))))</f>
        <v>653973.21442598139</v>
      </c>
      <c r="L46">
        <f>(INDEX(Cooper_pop_2030_2050!D:D, MATCH($A46, Cooper_pop_2030_2050!B:B, 0)))+0.4*((INDEX(Cooper_pop_2030_2050!E:E, MATCH($A46, Cooper_pop_2030_2050!B:B, 0)))-(INDEX(Cooper_pop_2030_2050!D:D, MATCH($A46, Cooper_pop_2030_2050!B:B, 0))))</f>
        <v>653191.23763426719</v>
      </c>
      <c r="M46">
        <f>(INDEX(Cooper_pop_2030_2050!D:D, MATCH($A46, Cooper_pop_2030_2050!B:B, 0)))+0.5*((INDEX(Cooper_pop_2030_2050!E:E, MATCH($A46, Cooper_pop_2030_2050!B:B, 0)))-(INDEX(Cooper_pop_2030_2050!D:D, MATCH($A46, Cooper_pop_2030_2050!B:B, 0))))</f>
        <v>652409.26084255311</v>
      </c>
      <c r="N46">
        <f>(INDEX(Cooper_pop_2030_2050!D:D, MATCH($A46, Cooper_pop_2030_2050!B:B, 0)))+0.6*((INDEX(Cooper_pop_2030_2050!E:E, MATCH($A46, Cooper_pop_2030_2050!B:B, 0)))-(INDEX(Cooper_pop_2030_2050!D:D, MATCH($A46, Cooper_pop_2030_2050!B:B, 0))))</f>
        <v>651627.28405083902</v>
      </c>
      <c r="O46">
        <f>(INDEX(Cooper_pop_2030_2050!D:D, MATCH($A46, Cooper_pop_2030_2050!B:B, 0)))+0.7*((INDEX(Cooper_pop_2030_2050!E:E, MATCH($A46, Cooper_pop_2030_2050!B:B, 0)))-(INDEX(Cooper_pop_2030_2050!D:D, MATCH($A46, Cooper_pop_2030_2050!B:B, 0))))</f>
        <v>650845.30725912482</v>
      </c>
      <c r="P46">
        <f>(INDEX(Cooper_pop_2030_2050!D:D, MATCH($A46, Cooper_pop_2030_2050!B:B, 0)))+0.8*((INDEX(Cooper_pop_2030_2050!E:E, MATCH($A46, Cooper_pop_2030_2050!B:B, 0)))-(INDEX(Cooper_pop_2030_2050!D:D, MATCH($A46, Cooper_pop_2030_2050!B:B, 0))))</f>
        <v>650063.33046741073</v>
      </c>
      <c r="Q46">
        <f>(INDEX(Cooper_pop_2030_2050!D:D, MATCH($A46, Cooper_pop_2030_2050!B:B, 0)))+0.9*((INDEX(Cooper_pop_2030_2050!E:E, MATCH($A46, Cooper_pop_2030_2050!B:B, 0)))-(INDEX(Cooper_pop_2030_2050!D:D, MATCH($A46, Cooper_pop_2030_2050!B:B, 0))))</f>
        <v>649281.35367569653</v>
      </c>
      <c r="R46">
        <f>INDEX(Cooper_pop_2030_2050!E:E, MATCH($A46, Cooper_pop_2030_2050!B:B, 0))</f>
        <v>648499.37688398245</v>
      </c>
      <c r="S46">
        <f>(INDEX(Cooper_pop_2030_2050!E:E, MATCH($A46, Cooper_pop_2030_2050!B:B, 0)))+0.1*((INDEX(Cooper_pop_2030_2050!F:F, MATCH($A46, Cooper_pop_2030_2050!B:B, 0)))-(INDEX(Cooper_pop_2030_2050!E:E, MATCH($A46, Cooper_pop_2030_2050!B:B, 0))))</f>
        <v>646975.86606679542</v>
      </c>
      <c r="T46">
        <f>(INDEX(Cooper_pop_2030_2050!E:E, MATCH($A46, Cooper_pop_2030_2050!B:B, 0)))+0.2*((INDEX(Cooper_pop_2030_2050!F:F, MATCH($A46, Cooper_pop_2030_2050!B:B, 0)))-(INDEX(Cooper_pop_2030_2050!E:E, MATCH($A46, Cooper_pop_2030_2050!B:B, 0))))</f>
        <v>645452.35524960852</v>
      </c>
      <c r="U46">
        <f>(INDEX(Cooper_pop_2030_2050!E:E, MATCH($A46, Cooper_pop_2030_2050!B:B, 0)))+0.3*((INDEX(Cooper_pop_2030_2050!F:F, MATCH($A46, Cooper_pop_2030_2050!B:B, 0)))-(INDEX(Cooper_pop_2030_2050!E:E, MATCH($A46, Cooper_pop_2030_2050!B:B, 0))))</f>
        <v>643928.84443242149</v>
      </c>
      <c r="V46">
        <f>(INDEX(Cooper_pop_2030_2050!E:E, MATCH($A46, Cooper_pop_2030_2050!B:B, 0)))+0.4*((INDEX(Cooper_pop_2030_2050!F:F, MATCH($A46, Cooper_pop_2030_2050!B:B, 0)))-(INDEX(Cooper_pop_2030_2050!E:E, MATCH($A46, Cooper_pop_2030_2050!B:B, 0))))</f>
        <v>642405.33361523447</v>
      </c>
      <c r="W46">
        <f>(INDEX(Cooper_pop_2030_2050!E:E, MATCH($A46, Cooper_pop_2030_2050!B:B, 0)))+0.5*((INDEX(Cooper_pop_2030_2050!F:F, MATCH($A46, Cooper_pop_2030_2050!B:B, 0)))-(INDEX(Cooper_pop_2030_2050!E:E, MATCH($A46, Cooper_pop_2030_2050!B:B, 0))))</f>
        <v>640881.82279804745</v>
      </c>
      <c r="X46">
        <f>(INDEX(Cooper_pop_2030_2050!E:E, MATCH($A46, Cooper_pop_2030_2050!B:B, 0)))+0.6*((INDEX(Cooper_pop_2030_2050!F:F, MATCH($A46, Cooper_pop_2030_2050!B:B, 0)))-(INDEX(Cooper_pop_2030_2050!E:E, MATCH($A46, Cooper_pop_2030_2050!B:B, 0))))</f>
        <v>639358.31198086054</v>
      </c>
      <c r="Y46">
        <f>(INDEX(Cooper_pop_2030_2050!E:E, MATCH($A46, Cooper_pop_2030_2050!B:B, 0)))+0.7*((INDEX(Cooper_pop_2030_2050!F:F, MATCH($A46, Cooper_pop_2030_2050!B:B, 0)))-(INDEX(Cooper_pop_2030_2050!E:E, MATCH($A46, Cooper_pop_2030_2050!B:B, 0))))</f>
        <v>637834.80116367352</v>
      </c>
      <c r="Z46">
        <f>(INDEX(Cooper_pop_2030_2050!E:E, MATCH($A46, Cooper_pop_2030_2050!B:B, 0)))+0.8*((INDEX(Cooper_pop_2030_2050!F:F, MATCH($A46, Cooper_pop_2030_2050!B:B, 0)))-(INDEX(Cooper_pop_2030_2050!E:E, MATCH($A46, Cooper_pop_2030_2050!B:B, 0))))</f>
        <v>636311.29034648649</v>
      </c>
      <c r="AA46">
        <f>(INDEX(Cooper_pop_2030_2050!E:E, MATCH($A46, Cooper_pop_2030_2050!B:B, 0)))+0.9*((INDEX(Cooper_pop_2030_2050!F:F, MATCH($A46, Cooper_pop_2030_2050!B:B, 0)))-(INDEX(Cooper_pop_2030_2050!E:E, MATCH($A46, Cooper_pop_2030_2050!B:B, 0))))</f>
        <v>634787.77952929959</v>
      </c>
      <c r="AB46">
        <f>INDEX(Cooper_pop_2030_2050!F:F, MATCH($A46, Cooper_pop_2030_2050!B:B, 0))</f>
        <v>633264.26871211256</v>
      </c>
    </row>
    <row r="47" spans="1:28">
      <c r="A47" t="s">
        <v>2931</v>
      </c>
      <c r="B47">
        <f>IFERROR(INDEX(Census_pop_2020_2025!G:G, MATCH("."&amp;$A47, Census_pop_2020_2025!A:A, 0)),INDEX(Census_pop_2020_2025!G:G, MATCH($A47, Census_pop_2020_2025!A:A, 0)))</f>
        <v>8819642</v>
      </c>
      <c r="C47">
        <f>IFERROR(INDEX(Census_pop_2020_2025!H:H, MATCH("."&amp;$A47, Census_pop_2020_2025!A:A, 0)),INDEX(Census_pop_2020_2025!H:H, MATCH($A47, Census_pop_2020_2025!A:A, 0)))</f>
        <v>8880107</v>
      </c>
      <c r="D47">
        <f>(IFERROR(INDEX(Census_pop_2020_2025!H:H, MATCH("."&amp;$A47, Census_pop_2020_2025!A:A, 0)),INDEX(Census_pop_2020_2025!H:H, MATCH($A47, Census_pop_2020_2025!A:A, 0))))+0.2*((INDEX(Cooper_pop_2030_2050!D:D, MATCH($A47, Cooper_pop_2030_2050!B:B, 0)))-(IFERROR(INDEX(Census_pop_2020_2025!H:H, MATCH("."&amp;$A47, Census_pop_2020_2025!A:A, 0)),INDEX(Census_pop_2020_2025!H:H, MATCH($A47, Census_pop_2020_2025!A:A, 0)))))</f>
        <v>8929885.9777492601</v>
      </c>
      <c r="E47">
        <f>(IFERROR(INDEX(Census_pop_2020_2025!H:H, MATCH("."&amp;$A47, Census_pop_2020_2025!A:A, 0)),INDEX(Census_pop_2020_2025!H:H, MATCH($A47, Census_pop_2020_2025!A:A, 0))))+0.4*((INDEX(Cooper_pop_2030_2050!D:D, MATCH($A47, Cooper_pop_2030_2050!B:B, 0)))-(IFERROR(INDEX(Census_pop_2020_2025!H:H, MATCH("."&amp;$A47, Census_pop_2020_2025!A:A, 0)),INDEX(Census_pop_2020_2025!H:H, MATCH($A47, Census_pop_2020_2025!A:A, 0)))))</f>
        <v>8979664.9554985203</v>
      </c>
      <c r="F47">
        <f>(IFERROR(INDEX(Census_pop_2020_2025!H:H, MATCH("."&amp;$A47, Census_pop_2020_2025!A:A, 0)),INDEX(Census_pop_2020_2025!H:H, MATCH($A47, Census_pop_2020_2025!A:A, 0))))+0.6*((INDEX(Cooper_pop_2030_2050!D:D, MATCH($A47, Cooper_pop_2030_2050!B:B, 0)))-(IFERROR(INDEX(Census_pop_2020_2025!H:H, MATCH("."&amp;$A47, Census_pop_2020_2025!A:A, 0)),INDEX(Census_pop_2020_2025!H:H, MATCH($A47, Census_pop_2020_2025!A:A, 0)))))</f>
        <v>9029443.9332477823</v>
      </c>
      <c r="G47">
        <f>(IFERROR(INDEX(Census_pop_2020_2025!H:H, MATCH("."&amp;$A47, Census_pop_2020_2025!A:A, 0)),INDEX(Census_pop_2020_2025!H:H, MATCH($A47, Census_pop_2020_2025!A:A, 0))))+0.8*((INDEX(Cooper_pop_2030_2050!D:D, MATCH($A47, Cooper_pop_2030_2050!B:B, 0)))-(IFERROR(INDEX(Census_pop_2020_2025!H:H, MATCH("."&amp;$A47, Census_pop_2020_2025!A:A, 0)),INDEX(Census_pop_2020_2025!H:H, MATCH($A47, Census_pop_2020_2025!A:A, 0)))))</f>
        <v>9079222.9109970424</v>
      </c>
      <c r="H47">
        <f>INDEX(Cooper_pop_2030_2050!D:D, MATCH($A47, Cooper_pop_2030_2050!B:B, 0))</f>
        <v>9129001.8887463026</v>
      </c>
      <c r="I47">
        <f>(INDEX(Cooper_pop_2030_2050!D:D, MATCH($A47, Cooper_pop_2030_2050!B:B, 0)))+0.1*((INDEX(Cooper_pop_2030_2050!E:E, MATCH($A47, Cooper_pop_2030_2050!B:B, 0)))-(INDEX(Cooper_pop_2030_2050!D:D, MATCH($A47, Cooper_pop_2030_2050!B:B, 0))))</f>
        <v>9162959.4539246541</v>
      </c>
      <c r="J47">
        <f>(INDEX(Cooper_pop_2030_2050!D:D, MATCH($A47, Cooper_pop_2030_2050!B:B, 0)))+0.2*((INDEX(Cooper_pop_2030_2050!E:E, MATCH($A47, Cooper_pop_2030_2050!B:B, 0)))-(INDEX(Cooper_pop_2030_2050!D:D, MATCH($A47, Cooper_pop_2030_2050!B:B, 0))))</f>
        <v>9196917.0191030055</v>
      </c>
      <c r="K47">
        <f>(INDEX(Cooper_pop_2030_2050!D:D, MATCH($A47, Cooper_pop_2030_2050!B:B, 0)))+0.3*((INDEX(Cooper_pop_2030_2050!E:E, MATCH($A47, Cooper_pop_2030_2050!B:B, 0)))-(INDEX(Cooper_pop_2030_2050!D:D, MATCH($A47, Cooper_pop_2030_2050!B:B, 0))))</f>
        <v>9230874.584281357</v>
      </c>
      <c r="L47">
        <f>(INDEX(Cooper_pop_2030_2050!D:D, MATCH($A47, Cooper_pop_2030_2050!B:B, 0)))+0.4*((INDEX(Cooper_pop_2030_2050!E:E, MATCH($A47, Cooper_pop_2030_2050!B:B, 0)))-(INDEX(Cooper_pop_2030_2050!D:D, MATCH($A47, Cooper_pop_2030_2050!B:B, 0))))</f>
        <v>9264832.1494597085</v>
      </c>
      <c r="M47">
        <f>(INDEX(Cooper_pop_2030_2050!D:D, MATCH($A47, Cooper_pop_2030_2050!B:B, 0)))+0.5*((INDEX(Cooper_pop_2030_2050!E:E, MATCH($A47, Cooper_pop_2030_2050!B:B, 0)))-(INDEX(Cooper_pop_2030_2050!D:D, MATCH($A47, Cooper_pop_2030_2050!B:B, 0))))</f>
        <v>9298789.7146380618</v>
      </c>
      <c r="N47">
        <f>(INDEX(Cooper_pop_2030_2050!D:D, MATCH($A47, Cooper_pop_2030_2050!B:B, 0)))+0.6*((INDEX(Cooper_pop_2030_2050!E:E, MATCH($A47, Cooper_pop_2030_2050!B:B, 0)))-(INDEX(Cooper_pop_2030_2050!D:D, MATCH($A47, Cooper_pop_2030_2050!B:B, 0))))</f>
        <v>9332747.2798164133</v>
      </c>
      <c r="O47">
        <f>(INDEX(Cooper_pop_2030_2050!D:D, MATCH($A47, Cooper_pop_2030_2050!B:B, 0)))+0.7*((INDEX(Cooper_pop_2030_2050!E:E, MATCH($A47, Cooper_pop_2030_2050!B:B, 0)))-(INDEX(Cooper_pop_2030_2050!D:D, MATCH($A47, Cooper_pop_2030_2050!B:B, 0))))</f>
        <v>9366704.8449947648</v>
      </c>
      <c r="P47">
        <f>(INDEX(Cooper_pop_2030_2050!D:D, MATCH($A47, Cooper_pop_2030_2050!B:B, 0)))+0.8*((INDEX(Cooper_pop_2030_2050!E:E, MATCH($A47, Cooper_pop_2030_2050!B:B, 0)))-(INDEX(Cooper_pop_2030_2050!D:D, MATCH($A47, Cooper_pop_2030_2050!B:B, 0))))</f>
        <v>9400662.4101731163</v>
      </c>
      <c r="Q47">
        <f>(INDEX(Cooper_pop_2030_2050!D:D, MATCH($A47, Cooper_pop_2030_2050!B:B, 0)))+0.9*((INDEX(Cooper_pop_2030_2050!E:E, MATCH($A47, Cooper_pop_2030_2050!B:B, 0)))-(INDEX(Cooper_pop_2030_2050!D:D, MATCH($A47, Cooper_pop_2030_2050!B:B, 0))))</f>
        <v>9434619.9753514677</v>
      </c>
      <c r="R47">
        <f>INDEX(Cooper_pop_2030_2050!E:E, MATCH($A47, Cooper_pop_2030_2050!B:B, 0))</f>
        <v>9468577.5405298192</v>
      </c>
      <c r="S47">
        <f>(INDEX(Cooper_pop_2030_2050!E:E, MATCH($A47, Cooper_pop_2030_2050!B:B, 0)))+0.1*((INDEX(Cooper_pop_2030_2050!F:F, MATCH($A47, Cooper_pop_2030_2050!B:B, 0)))-(INDEX(Cooper_pop_2030_2050!E:E, MATCH($A47, Cooper_pop_2030_2050!B:B, 0))))</f>
        <v>9492290.3464380205</v>
      </c>
      <c r="T47">
        <f>(INDEX(Cooper_pop_2030_2050!E:E, MATCH($A47, Cooper_pop_2030_2050!B:B, 0)))+0.2*((INDEX(Cooper_pop_2030_2050!F:F, MATCH($A47, Cooper_pop_2030_2050!B:B, 0)))-(INDEX(Cooper_pop_2030_2050!E:E, MATCH($A47, Cooper_pop_2030_2050!B:B, 0))))</f>
        <v>9516003.1523462217</v>
      </c>
      <c r="U47">
        <f>(INDEX(Cooper_pop_2030_2050!E:E, MATCH($A47, Cooper_pop_2030_2050!B:B, 0)))+0.3*((INDEX(Cooper_pop_2030_2050!F:F, MATCH($A47, Cooper_pop_2030_2050!B:B, 0)))-(INDEX(Cooper_pop_2030_2050!E:E, MATCH($A47, Cooper_pop_2030_2050!B:B, 0))))</f>
        <v>9539715.958254423</v>
      </c>
      <c r="V47">
        <f>(INDEX(Cooper_pop_2030_2050!E:E, MATCH($A47, Cooper_pop_2030_2050!B:B, 0)))+0.4*((INDEX(Cooper_pop_2030_2050!F:F, MATCH($A47, Cooper_pop_2030_2050!B:B, 0)))-(INDEX(Cooper_pop_2030_2050!E:E, MATCH($A47, Cooper_pop_2030_2050!B:B, 0))))</f>
        <v>9563428.7641626243</v>
      </c>
      <c r="W47">
        <f>(INDEX(Cooper_pop_2030_2050!E:E, MATCH($A47, Cooper_pop_2030_2050!B:B, 0)))+0.5*((INDEX(Cooper_pop_2030_2050!F:F, MATCH($A47, Cooper_pop_2030_2050!B:B, 0)))-(INDEX(Cooper_pop_2030_2050!E:E, MATCH($A47, Cooper_pop_2030_2050!B:B, 0))))</f>
        <v>9587141.5700708255</v>
      </c>
      <c r="X47">
        <f>(INDEX(Cooper_pop_2030_2050!E:E, MATCH($A47, Cooper_pop_2030_2050!B:B, 0)))+0.6*((INDEX(Cooper_pop_2030_2050!F:F, MATCH($A47, Cooper_pop_2030_2050!B:B, 0)))-(INDEX(Cooper_pop_2030_2050!E:E, MATCH($A47, Cooper_pop_2030_2050!B:B, 0))))</f>
        <v>9610854.3759790268</v>
      </c>
      <c r="Y47">
        <f>(INDEX(Cooper_pop_2030_2050!E:E, MATCH($A47, Cooper_pop_2030_2050!B:B, 0)))+0.7*((INDEX(Cooper_pop_2030_2050!F:F, MATCH($A47, Cooper_pop_2030_2050!B:B, 0)))-(INDEX(Cooper_pop_2030_2050!E:E, MATCH($A47, Cooper_pop_2030_2050!B:B, 0))))</f>
        <v>9634567.181887228</v>
      </c>
      <c r="Z47">
        <f>(INDEX(Cooper_pop_2030_2050!E:E, MATCH($A47, Cooper_pop_2030_2050!B:B, 0)))+0.8*((INDEX(Cooper_pop_2030_2050!F:F, MATCH($A47, Cooper_pop_2030_2050!B:B, 0)))-(INDEX(Cooper_pop_2030_2050!E:E, MATCH($A47, Cooper_pop_2030_2050!B:B, 0))))</f>
        <v>9658279.9877954293</v>
      </c>
      <c r="AA47">
        <f>(INDEX(Cooper_pop_2030_2050!E:E, MATCH($A47, Cooper_pop_2030_2050!B:B, 0)))+0.9*((INDEX(Cooper_pop_2030_2050!F:F, MATCH($A47, Cooper_pop_2030_2050!B:B, 0)))-(INDEX(Cooper_pop_2030_2050!E:E, MATCH($A47, Cooper_pop_2030_2050!B:B, 0))))</f>
        <v>9681992.7937036306</v>
      </c>
      <c r="AB47">
        <f>INDEX(Cooper_pop_2030_2050!F:F, MATCH($A47, Cooper_pop_2030_2050!B:B, 0))</f>
        <v>9705705.5996118318</v>
      </c>
    </row>
    <row r="48" spans="1:28">
      <c r="A48" t="s">
        <v>2932</v>
      </c>
      <c r="B48">
        <f>IFERROR(INDEX(Census_pop_2020_2025!G:G, MATCH("."&amp;$A48, Census_pop_2020_2025!A:A, 0)),INDEX(Census_pop_2020_2025!G:G, MATCH($A48, Census_pop_2020_2025!A:A, 0)))</f>
        <v>7927958</v>
      </c>
      <c r="C48">
        <f>IFERROR(INDEX(Census_pop_2020_2025!H:H, MATCH("."&amp;$A48, Census_pop_2020_2025!A:A, 0)),INDEX(Census_pop_2020_2025!H:H, MATCH($A48, Census_pop_2020_2025!A:A, 0)))</f>
        <v>8001020</v>
      </c>
      <c r="D48">
        <f>(IFERROR(INDEX(Census_pop_2020_2025!H:H, MATCH("."&amp;$A48, Census_pop_2020_2025!A:A, 0)),INDEX(Census_pop_2020_2025!H:H, MATCH($A48, Census_pop_2020_2025!A:A, 0))))+0.2*((INDEX(Cooper_pop_2030_2050!D:D, MATCH($A48, Cooper_pop_2030_2050!B:B, 0)))-(IFERROR(INDEX(Census_pop_2020_2025!H:H, MATCH("."&amp;$A48, Census_pop_2020_2025!A:A, 0)),INDEX(Census_pop_2020_2025!H:H, MATCH($A48, Census_pop_2020_2025!A:A, 0)))))</f>
        <v>8103286.9738773359</v>
      </c>
      <c r="E48">
        <f>(IFERROR(INDEX(Census_pop_2020_2025!H:H, MATCH("."&amp;$A48, Census_pop_2020_2025!A:A, 0)),INDEX(Census_pop_2020_2025!H:H, MATCH($A48, Census_pop_2020_2025!A:A, 0))))+0.4*((INDEX(Cooper_pop_2030_2050!D:D, MATCH($A48, Cooper_pop_2030_2050!B:B, 0)))-(IFERROR(INDEX(Census_pop_2020_2025!H:H, MATCH("."&amp;$A48, Census_pop_2020_2025!A:A, 0)),INDEX(Census_pop_2020_2025!H:H, MATCH($A48, Census_pop_2020_2025!A:A, 0)))))</f>
        <v>8205553.9477546718</v>
      </c>
      <c r="F48">
        <f>(IFERROR(INDEX(Census_pop_2020_2025!H:H, MATCH("."&amp;$A48, Census_pop_2020_2025!A:A, 0)),INDEX(Census_pop_2020_2025!H:H, MATCH($A48, Census_pop_2020_2025!A:A, 0))))+0.6*((INDEX(Cooper_pop_2030_2050!D:D, MATCH($A48, Cooper_pop_2030_2050!B:B, 0)))-(IFERROR(INDEX(Census_pop_2020_2025!H:H, MATCH("."&amp;$A48, Census_pop_2020_2025!A:A, 0)),INDEX(Census_pop_2020_2025!H:H, MATCH($A48, Census_pop_2020_2025!A:A, 0)))))</f>
        <v>8307820.9216320068</v>
      </c>
      <c r="G48">
        <f>(IFERROR(INDEX(Census_pop_2020_2025!H:H, MATCH("."&amp;$A48, Census_pop_2020_2025!A:A, 0)),INDEX(Census_pop_2020_2025!H:H, MATCH($A48, Census_pop_2020_2025!A:A, 0))))+0.8*((INDEX(Cooper_pop_2030_2050!D:D, MATCH($A48, Cooper_pop_2030_2050!B:B, 0)))-(IFERROR(INDEX(Census_pop_2020_2025!H:H, MATCH("."&amp;$A48, Census_pop_2020_2025!A:A, 0)),INDEX(Census_pop_2020_2025!H:H, MATCH($A48, Census_pop_2020_2025!A:A, 0)))))</f>
        <v>8410087.8955093436</v>
      </c>
      <c r="H48">
        <f>INDEX(Cooper_pop_2030_2050!D:D, MATCH($A48, Cooper_pop_2030_2050!B:B, 0))</f>
        <v>8512354.8693866786</v>
      </c>
      <c r="I48">
        <f>(INDEX(Cooper_pop_2030_2050!D:D, MATCH($A48, Cooper_pop_2030_2050!B:B, 0)))+0.1*((INDEX(Cooper_pop_2030_2050!E:E, MATCH($A48, Cooper_pop_2030_2050!B:B, 0)))-(INDEX(Cooper_pop_2030_2050!D:D, MATCH($A48, Cooper_pop_2030_2050!B:B, 0))))</f>
        <v>8598901.0655977149</v>
      </c>
      <c r="J48">
        <f>(INDEX(Cooper_pop_2030_2050!D:D, MATCH($A48, Cooper_pop_2030_2050!B:B, 0)))+0.2*((INDEX(Cooper_pop_2030_2050!E:E, MATCH($A48, Cooper_pop_2030_2050!B:B, 0)))-(INDEX(Cooper_pop_2030_2050!D:D, MATCH($A48, Cooper_pop_2030_2050!B:B, 0))))</f>
        <v>8685447.261808753</v>
      </c>
      <c r="K48">
        <f>(INDEX(Cooper_pop_2030_2050!D:D, MATCH($A48, Cooper_pop_2030_2050!B:B, 0)))+0.3*((INDEX(Cooper_pop_2030_2050!E:E, MATCH($A48, Cooper_pop_2030_2050!B:B, 0)))-(INDEX(Cooper_pop_2030_2050!D:D, MATCH($A48, Cooper_pop_2030_2050!B:B, 0))))</f>
        <v>8771993.4580197893</v>
      </c>
      <c r="L48">
        <f>(INDEX(Cooper_pop_2030_2050!D:D, MATCH($A48, Cooper_pop_2030_2050!B:B, 0)))+0.4*((INDEX(Cooper_pop_2030_2050!E:E, MATCH($A48, Cooper_pop_2030_2050!B:B, 0)))-(INDEX(Cooper_pop_2030_2050!D:D, MATCH($A48, Cooper_pop_2030_2050!B:B, 0))))</f>
        <v>8858539.6542308275</v>
      </c>
      <c r="M48">
        <f>(INDEX(Cooper_pop_2030_2050!D:D, MATCH($A48, Cooper_pop_2030_2050!B:B, 0)))+0.5*((INDEX(Cooper_pop_2030_2050!E:E, MATCH($A48, Cooper_pop_2030_2050!B:B, 0)))-(INDEX(Cooper_pop_2030_2050!D:D, MATCH($A48, Cooper_pop_2030_2050!B:B, 0))))</f>
        <v>8945085.8504418638</v>
      </c>
      <c r="N48">
        <f>(INDEX(Cooper_pop_2030_2050!D:D, MATCH($A48, Cooper_pop_2030_2050!B:B, 0)))+0.6*((INDEX(Cooper_pop_2030_2050!E:E, MATCH($A48, Cooper_pop_2030_2050!B:B, 0)))-(INDEX(Cooper_pop_2030_2050!D:D, MATCH($A48, Cooper_pop_2030_2050!B:B, 0))))</f>
        <v>9031632.0466529001</v>
      </c>
      <c r="O48">
        <f>(INDEX(Cooper_pop_2030_2050!D:D, MATCH($A48, Cooper_pop_2030_2050!B:B, 0)))+0.7*((INDEX(Cooper_pop_2030_2050!E:E, MATCH($A48, Cooper_pop_2030_2050!B:B, 0)))-(INDEX(Cooper_pop_2030_2050!D:D, MATCH($A48, Cooper_pop_2030_2050!B:B, 0))))</f>
        <v>9118178.2428639382</v>
      </c>
      <c r="P48">
        <f>(INDEX(Cooper_pop_2030_2050!D:D, MATCH($A48, Cooper_pop_2030_2050!B:B, 0)))+0.8*((INDEX(Cooper_pop_2030_2050!E:E, MATCH($A48, Cooper_pop_2030_2050!B:B, 0)))-(INDEX(Cooper_pop_2030_2050!D:D, MATCH($A48, Cooper_pop_2030_2050!B:B, 0))))</f>
        <v>9204724.4390749745</v>
      </c>
      <c r="Q48">
        <f>(INDEX(Cooper_pop_2030_2050!D:D, MATCH($A48, Cooper_pop_2030_2050!B:B, 0)))+0.9*((INDEX(Cooper_pop_2030_2050!E:E, MATCH($A48, Cooper_pop_2030_2050!B:B, 0)))-(INDEX(Cooper_pop_2030_2050!D:D, MATCH($A48, Cooper_pop_2030_2050!B:B, 0))))</f>
        <v>9291270.6352860127</v>
      </c>
      <c r="R48">
        <f>INDEX(Cooper_pop_2030_2050!E:E, MATCH($A48, Cooper_pop_2030_2050!B:B, 0))</f>
        <v>9377816.831497049</v>
      </c>
      <c r="S48">
        <f>(INDEX(Cooper_pop_2030_2050!E:E, MATCH($A48, Cooper_pop_2030_2050!B:B, 0)))+0.1*((INDEX(Cooper_pop_2030_2050!F:F, MATCH($A48, Cooper_pop_2030_2050!B:B, 0)))-(INDEX(Cooper_pop_2030_2050!E:E, MATCH($A48, Cooper_pop_2030_2050!B:B, 0))))</f>
        <v>9461056.2121211886</v>
      </c>
      <c r="T48">
        <f>(INDEX(Cooper_pop_2030_2050!E:E, MATCH($A48, Cooper_pop_2030_2050!B:B, 0)))+0.2*((INDEX(Cooper_pop_2030_2050!F:F, MATCH($A48, Cooper_pop_2030_2050!B:B, 0)))-(INDEX(Cooper_pop_2030_2050!E:E, MATCH($A48, Cooper_pop_2030_2050!B:B, 0))))</f>
        <v>9544295.5927453283</v>
      </c>
      <c r="U48">
        <f>(INDEX(Cooper_pop_2030_2050!E:E, MATCH($A48, Cooper_pop_2030_2050!B:B, 0)))+0.3*((INDEX(Cooper_pop_2030_2050!F:F, MATCH($A48, Cooper_pop_2030_2050!B:B, 0)))-(INDEX(Cooper_pop_2030_2050!E:E, MATCH($A48, Cooper_pop_2030_2050!B:B, 0))))</f>
        <v>9627534.9733694699</v>
      </c>
      <c r="V48">
        <f>(INDEX(Cooper_pop_2030_2050!E:E, MATCH($A48, Cooper_pop_2030_2050!B:B, 0)))+0.4*((INDEX(Cooper_pop_2030_2050!F:F, MATCH($A48, Cooper_pop_2030_2050!B:B, 0)))-(INDEX(Cooper_pop_2030_2050!E:E, MATCH($A48, Cooper_pop_2030_2050!B:B, 0))))</f>
        <v>9710774.3539936095</v>
      </c>
      <c r="W48">
        <f>(INDEX(Cooper_pop_2030_2050!E:E, MATCH($A48, Cooper_pop_2030_2050!B:B, 0)))+0.5*((INDEX(Cooper_pop_2030_2050!F:F, MATCH($A48, Cooper_pop_2030_2050!B:B, 0)))-(INDEX(Cooper_pop_2030_2050!E:E, MATCH($A48, Cooper_pop_2030_2050!B:B, 0))))</f>
        <v>9794013.7346177492</v>
      </c>
      <c r="X48">
        <f>(INDEX(Cooper_pop_2030_2050!E:E, MATCH($A48, Cooper_pop_2030_2050!B:B, 0)))+0.6*((INDEX(Cooper_pop_2030_2050!F:F, MATCH($A48, Cooper_pop_2030_2050!B:B, 0)))-(INDEX(Cooper_pop_2030_2050!E:E, MATCH($A48, Cooper_pop_2030_2050!B:B, 0))))</f>
        <v>9877253.1152418889</v>
      </c>
      <c r="Y48">
        <f>(INDEX(Cooper_pop_2030_2050!E:E, MATCH($A48, Cooper_pop_2030_2050!B:B, 0)))+0.7*((INDEX(Cooper_pop_2030_2050!F:F, MATCH($A48, Cooper_pop_2030_2050!B:B, 0)))-(INDEX(Cooper_pop_2030_2050!E:E, MATCH($A48, Cooper_pop_2030_2050!B:B, 0))))</f>
        <v>9960492.4958660286</v>
      </c>
      <c r="Z48">
        <f>(INDEX(Cooper_pop_2030_2050!E:E, MATCH($A48, Cooper_pop_2030_2050!B:B, 0)))+0.8*((INDEX(Cooper_pop_2030_2050!F:F, MATCH($A48, Cooper_pop_2030_2050!B:B, 0)))-(INDEX(Cooper_pop_2030_2050!E:E, MATCH($A48, Cooper_pop_2030_2050!B:B, 0))))</f>
        <v>10043731.87649017</v>
      </c>
      <c r="AA48">
        <f>(INDEX(Cooper_pop_2030_2050!E:E, MATCH($A48, Cooper_pop_2030_2050!B:B, 0)))+0.9*((INDEX(Cooper_pop_2030_2050!F:F, MATCH($A48, Cooper_pop_2030_2050!B:B, 0)))-(INDEX(Cooper_pop_2030_2050!E:E, MATCH($A48, Cooper_pop_2030_2050!B:B, 0))))</f>
        <v>10126971.25711431</v>
      </c>
      <c r="AB48">
        <f>INDEX(Cooper_pop_2030_2050!F:F, MATCH($A48, Cooper_pop_2030_2050!B:B, 0))</f>
        <v>10210210.637738449</v>
      </c>
    </row>
    <row r="49" spans="1:28">
      <c r="A49" t="s">
        <v>2933</v>
      </c>
      <c r="B49">
        <f>IFERROR(INDEX(Census_pop_2020_2025!G:G, MATCH("."&amp;$A49, Census_pop_2020_2025!A:A, 0)),INDEX(Census_pop_2020_2025!G:G, MATCH($A49, Census_pop_2020_2025!A:A, 0)))</f>
        <v>1767402</v>
      </c>
      <c r="C49">
        <f>IFERROR(INDEX(Census_pop_2020_2025!H:H, MATCH("."&amp;$A49, Census_pop_2020_2025!A:A, 0)),INDEX(Census_pop_2020_2025!H:H, MATCH($A49, Census_pop_2020_2025!A:A, 0)))</f>
        <v>1766147</v>
      </c>
      <c r="D49">
        <f>(IFERROR(INDEX(Census_pop_2020_2025!H:H, MATCH("."&amp;$A49, Census_pop_2020_2025!A:A, 0)),INDEX(Census_pop_2020_2025!H:H, MATCH($A49, Census_pop_2020_2025!A:A, 0))))+0.2*((INDEX(Cooper_pop_2030_2050!D:D, MATCH($A49, Cooper_pop_2030_2050!B:B, 0)))-(IFERROR(INDEX(Census_pop_2020_2025!H:H, MATCH("."&amp;$A49, Census_pop_2020_2025!A:A, 0)),INDEX(Census_pop_2020_2025!H:H, MATCH($A49, Census_pop_2020_2025!A:A, 0)))))</f>
        <v>1762958.7326315143</v>
      </c>
      <c r="E49">
        <f>(IFERROR(INDEX(Census_pop_2020_2025!H:H, MATCH("."&amp;$A49, Census_pop_2020_2025!A:A, 0)),INDEX(Census_pop_2020_2025!H:H, MATCH($A49, Census_pop_2020_2025!A:A, 0))))+0.4*((INDEX(Cooper_pop_2030_2050!D:D, MATCH($A49, Cooper_pop_2030_2050!B:B, 0)))-(IFERROR(INDEX(Census_pop_2020_2025!H:H, MATCH("."&amp;$A49, Census_pop_2020_2025!A:A, 0)),INDEX(Census_pop_2020_2025!H:H, MATCH($A49, Census_pop_2020_2025!A:A, 0)))))</f>
        <v>1759770.4652630284</v>
      </c>
      <c r="F49">
        <f>(IFERROR(INDEX(Census_pop_2020_2025!H:H, MATCH("."&amp;$A49, Census_pop_2020_2025!A:A, 0)),INDEX(Census_pop_2020_2025!H:H, MATCH($A49, Census_pop_2020_2025!A:A, 0))))+0.6*((INDEX(Cooper_pop_2030_2050!D:D, MATCH($A49, Cooper_pop_2030_2050!B:B, 0)))-(IFERROR(INDEX(Census_pop_2020_2025!H:H, MATCH("."&amp;$A49, Census_pop_2020_2025!A:A, 0)),INDEX(Census_pop_2020_2025!H:H, MATCH($A49, Census_pop_2020_2025!A:A, 0)))))</f>
        <v>1756582.1978945427</v>
      </c>
      <c r="G49">
        <f>(IFERROR(INDEX(Census_pop_2020_2025!H:H, MATCH("."&amp;$A49, Census_pop_2020_2025!A:A, 0)),INDEX(Census_pop_2020_2025!H:H, MATCH($A49, Census_pop_2020_2025!A:A, 0))))+0.8*((INDEX(Cooper_pop_2030_2050!D:D, MATCH($A49, Cooper_pop_2030_2050!B:B, 0)))-(IFERROR(INDEX(Census_pop_2020_2025!H:H, MATCH("."&amp;$A49, Census_pop_2020_2025!A:A, 0)),INDEX(Census_pop_2020_2025!H:H, MATCH($A49, Census_pop_2020_2025!A:A, 0)))))</f>
        <v>1753393.9305260568</v>
      </c>
      <c r="H49">
        <f>INDEX(Cooper_pop_2030_2050!D:D, MATCH($A49, Cooper_pop_2030_2050!B:B, 0))</f>
        <v>1750205.6631575711</v>
      </c>
      <c r="I49">
        <f>(INDEX(Cooper_pop_2030_2050!D:D, MATCH($A49, Cooper_pop_2030_2050!B:B, 0)))+0.1*((INDEX(Cooper_pop_2030_2050!E:E, MATCH($A49, Cooper_pop_2030_2050!B:B, 0)))-(INDEX(Cooper_pop_2030_2050!D:D, MATCH($A49, Cooper_pop_2030_2050!B:B, 0))))</f>
        <v>1738075.2677232802</v>
      </c>
      <c r="J49">
        <f>(INDEX(Cooper_pop_2030_2050!D:D, MATCH($A49, Cooper_pop_2030_2050!B:B, 0)))+0.2*((INDEX(Cooper_pop_2030_2050!E:E, MATCH($A49, Cooper_pop_2030_2050!B:B, 0)))-(INDEX(Cooper_pop_2030_2050!D:D, MATCH($A49, Cooper_pop_2030_2050!B:B, 0))))</f>
        <v>1725944.8722889894</v>
      </c>
      <c r="K49">
        <f>(INDEX(Cooper_pop_2030_2050!D:D, MATCH($A49, Cooper_pop_2030_2050!B:B, 0)))+0.3*((INDEX(Cooper_pop_2030_2050!E:E, MATCH($A49, Cooper_pop_2030_2050!B:B, 0)))-(INDEX(Cooper_pop_2030_2050!D:D, MATCH($A49, Cooper_pop_2030_2050!B:B, 0))))</f>
        <v>1713814.4768546983</v>
      </c>
      <c r="L49">
        <f>(INDEX(Cooper_pop_2030_2050!D:D, MATCH($A49, Cooper_pop_2030_2050!B:B, 0)))+0.4*((INDEX(Cooper_pop_2030_2050!E:E, MATCH($A49, Cooper_pop_2030_2050!B:B, 0)))-(INDEX(Cooper_pop_2030_2050!D:D, MATCH($A49, Cooper_pop_2030_2050!B:B, 0))))</f>
        <v>1701684.0814204074</v>
      </c>
      <c r="M49">
        <f>(INDEX(Cooper_pop_2030_2050!D:D, MATCH($A49, Cooper_pop_2030_2050!B:B, 0)))+0.5*((INDEX(Cooper_pop_2030_2050!E:E, MATCH($A49, Cooper_pop_2030_2050!B:B, 0)))-(INDEX(Cooper_pop_2030_2050!D:D, MATCH($A49, Cooper_pop_2030_2050!B:B, 0))))</f>
        <v>1689553.6859861165</v>
      </c>
      <c r="N49">
        <f>(INDEX(Cooper_pop_2030_2050!D:D, MATCH($A49, Cooper_pop_2030_2050!B:B, 0)))+0.6*((INDEX(Cooper_pop_2030_2050!E:E, MATCH($A49, Cooper_pop_2030_2050!B:B, 0)))-(INDEX(Cooper_pop_2030_2050!D:D, MATCH($A49, Cooper_pop_2030_2050!B:B, 0))))</f>
        <v>1677423.2905518257</v>
      </c>
      <c r="O49">
        <f>(INDEX(Cooper_pop_2030_2050!D:D, MATCH($A49, Cooper_pop_2030_2050!B:B, 0)))+0.7*((INDEX(Cooper_pop_2030_2050!E:E, MATCH($A49, Cooper_pop_2030_2050!B:B, 0)))-(INDEX(Cooper_pop_2030_2050!D:D, MATCH($A49, Cooper_pop_2030_2050!B:B, 0))))</f>
        <v>1665292.8951175348</v>
      </c>
      <c r="P49">
        <f>(INDEX(Cooper_pop_2030_2050!D:D, MATCH($A49, Cooper_pop_2030_2050!B:B, 0)))+0.8*((INDEX(Cooper_pop_2030_2050!E:E, MATCH($A49, Cooper_pop_2030_2050!B:B, 0)))-(INDEX(Cooper_pop_2030_2050!D:D, MATCH($A49, Cooper_pop_2030_2050!B:B, 0))))</f>
        <v>1653162.4996832437</v>
      </c>
      <c r="Q49">
        <f>(INDEX(Cooper_pop_2030_2050!D:D, MATCH($A49, Cooper_pop_2030_2050!B:B, 0)))+0.9*((INDEX(Cooper_pop_2030_2050!E:E, MATCH($A49, Cooper_pop_2030_2050!B:B, 0)))-(INDEX(Cooper_pop_2030_2050!D:D, MATCH($A49, Cooper_pop_2030_2050!B:B, 0))))</f>
        <v>1641032.1042489528</v>
      </c>
      <c r="R49">
        <f>INDEX(Cooper_pop_2030_2050!E:E, MATCH($A49, Cooper_pop_2030_2050!B:B, 0))</f>
        <v>1628901.7088146619</v>
      </c>
      <c r="S49">
        <f>(INDEX(Cooper_pop_2030_2050!E:E, MATCH($A49, Cooper_pop_2030_2050!B:B, 0)))+0.1*((INDEX(Cooper_pop_2030_2050!F:F, MATCH($A49, Cooper_pop_2030_2050!B:B, 0)))-(INDEX(Cooper_pop_2030_2050!E:E, MATCH($A49, Cooper_pop_2030_2050!B:B, 0))))</f>
        <v>1615835.6124512746</v>
      </c>
      <c r="T49">
        <f>(INDEX(Cooper_pop_2030_2050!E:E, MATCH($A49, Cooper_pop_2030_2050!B:B, 0)))+0.2*((INDEX(Cooper_pop_2030_2050!F:F, MATCH($A49, Cooper_pop_2030_2050!B:B, 0)))-(INDEX(Cooper_pop_2030_2050!E:E, MATCH($A49, Cooper_pop_2030_2050!B:B, 0))))</f>
        <v>1602769.5160878871</v>
      </c>
      <c r="U49">
        <f>(INDEX(Cooper_pop_2030_2050!E:E, MATCH($A49, Cooper_pop_2030_2050!B:B, 0)))+0.3*((INDEX(Cooper_pop_2030_2050!F:F, MATCH($A49, Cooper_pop_2030_2050!B:B, 0)))-(INDEX(Cooper_pop_2030_2050!E:E, MATCH($A49, Cooper_pop_2030_2050!B:B, 0))))</f>
        <v>1589703.4197244998</v>
      </c>
      <c r="V49">
        <f>(INDEX(Cooper_pop_2030_2050!E:E, MATCH($A49, Cooper_pop_2030_2050!B:B, 0)))+0.4*((INDEX(Cooper_pop_2030_2050!F:F, MATCH($A49, Cooper_pop_2030_2050!B:B, 0)))-(INDEX(Cooper_pop_2030_2050!E:E, MATCH($A49, Cooper_pop_2030_2050!B:B, 0))))</f>
        <v>1576637.3233611123</v>
      </c>
      <c r="W49">
        <f>(INDEX(Cooper_pop_2030_2050!E:E, MATCH($A49, Cooper_pop_2030_2050!B:B, 0)))+0.5*((INDEX(Cooper_pop_2030_2050!F:F, MATCH($A49, Cooper_pop_2030_2050!B:B, 0)))-(INDEX(Cooper_pop_2030_2050!E:E, MATCH($A49, Cooper_pop_2030_2050!B:B, 0))))</f>
        <v>1563571.226997725</v>
      </c>
      <c r="X49">
        <f>(INDEX(Cooper_pop_2030_2050!E:E, MATCH($A49, Cooper_pop_2030_2050!B:B, 0)))+0.6*((INDEX(Cooper_pop_2030_2050!F:F, MATCH($A49, Cooper_pop_2030_2050!B:B, 0)))-(INDEX(Cooper_pop_2030_2050!E:E, MATCH($A49, Cooper_pop_2030_2050!B:B, 0))))</f>
        <v>1550505.1306343377</v>
      </c>
      <c r="Y49">
        <f>(INDEX(Cooper_pop_2030_2050!E:E, MATCH($A49, Cooper_pop_2030_2050!B:B, 0)))+0.7*((INDEX(Cooper_pop_2030_2050!F:F, MATCH($A49, Cooper_pop_2030_2050!B:B, 0)))-(INDEX(Cooper_pop_2030_2050!E:E, MATCH($A49, Cooper_pop_2030_2050!B:B, 0))))</f>
        <v>1537439.0342709501</v>
      </c>
      <c r="Z49">
        <f>(INDEX(Cooper_pop_2030_2050!E:E, MATCH($A49, Cooper_pop_2030_2050!B:B, 0)))+0.8*((INDEX(Cooper_pop_2030_2050!F:F, MATCH($A49, Cooper_pop_2030_2050!B:B, 0)))-(INDEX(Cooper_pop_2030_2050!E:E, MATCH($A49, Cooper_pop_2030_2050!B:B, 0))))</f>
        <v>1524372.9379075628</v>
      </c>
      <c r="AA49">
        <f>(INDEX(Cooper_pop_2030_2050!E:E, MATCH($A49, Cooper_pop_2030_2050!B:B, 0)))+0.9*((INDEX(Cooper_pop_2030_2050!F:F, MATCH($A49, Cooper_pop_2030_2050!B:B, 0)))-(INDEX(Cooper_pop_2030_2050!E:E, MATCH($A49, Cooper_pop_2030_2050!B:B, 0))))</f>
        <v>1511306.8415441753</v>
      </c>
      <c r="AB49">
        <f>INDEX(Cooper_pop_2030_2050!F:F, MATCH($A49, Cooper_pop_2030_2050!B:B, 0))</f>
        <v>1498240.745180788</v>
      </c>
    </row>
    <row r="50" spans="1:28">
      <c r="A50" t="s">
        <v>2934</v>
      </c>
      <c r="B50">
        <f>IFERROR(INDEX(Census_pop_2020_2025!G:G, MATCH("."&amp;$A50, Census_pop_2020_2025!A:A, 0)),INDEX(Census_pop_2020_2025!G:G, MATCH($A50, Census_pop_2020_2025!A:A, 0)))</f>
        <v>5957168</v>
      </c>
      <c r="C50">
        <f>IFERROR(INDEX(Census_pop_2020_2025!H:H, MATCH("."&amp;$A50, Census_pop_2020_2025!A:A, 0)),INDEX(Census_pop_2020_2025!H:H, MATCH($A50, Census_pop_2020_2025!A:A, 0)))</f>
        <v>5972787</v>
      </c>
      <c r="D50">
        <f>(IFERROR(INDEX(Census_pop_2020_2025!H:H, MATCH("."&amp;$A50, Census_pop_2020_2025!A:A, 0)),INDEX(Census_pop_2020_2025!H:H, MATCH($A50, Census_pop_2020_2025!A:A, 0))))+0.2*((INDEX(Cooper_pop_2030_2050!D:D, MATCH($A50, Cooper_pop_2030_2050!B:B, 0)))-(IFERROR(INDEX(Census_pop_2020_2025!H:H, MATCH("."&amp;$A50, Census_pop_2020_2025!A:A, 0)),INDEX(Census_pop_2020_2025!H:H, MATCH($A50, Census_pop_2020_2025!A:A, 0)))))</f>
        <v>5988734.5073858807</v>
      </c>
      <c r="E50">
        <f>(IFERROR(INDEX(Census_pop_2020_2025!H:H, MATCH("."&amp;$A50, Census_pop_2020_2025!A:A, 0)),INDEX(Census_pop_2020_2025!H:H, MATCH($A50, Census_pop_2020_2025!A:A, 0))))+0.4*((INDEX(Cooper_pop_2030_2050!D:D, MATCH($A50, Cooper_pop_2030_2050!B:B, 0)))-(IFERROR(INDEX(Census_pop_2020_2025!H:H, MATCH("."&amp;$A50, Census_pop_2020_2025!A:A, 0)),INDEX(Census_pop_2020_2025!H:H, MATCH($A50, Census_pop_2020_2025!A:A, 0)))))</f>
        <v>6004682.0147717614</v>
      </c>
      <c r="F50">
        <f>(IFERROR(INDEX(Census_pop_2020_2025!H:H, MATCH("."&amp;$A50, Census_pop_2020_2025!A:A, 0)),INDEX(Census_pop_2020_2025!H:H, MATCH($A50, Census_pop_2020_2025!A:A, 0))))+0.6*((INDEX(Cooper_pop_2030_2050!D:D, MATCH($A50, Cooper_pop_2030_2050!B:B, 0)))-(IFERROR(INDEX(Census_pop_2020_2025!H:H, MATCH("."&amp;$A50, Census_pop_2020_2025!A:A, 0)),INDEX(Census_pop_2020_2025!H:H, MATCH($A50, Census_pop_2020_2025!A:A, 0)))))</f>
        <v>6020629.5221576421</v>
      </c>
      <c r="G50">
        <f>(IFERROR(INDEX(Census_pop_2020_2025!H:H, MATCH("."&amp;$A50, Census_pop_2020_2025!A:A, 0)),INDEX(Census_pop_2020_2025!H:H, MATCH($A50, Census_pop_2020_2025!A:A, 0))))+0.8*((INDEX(Cooper_pop_2030_2050!D:D, MATCH($A50, Cooper_pop_2030_2050!B:B, 0)))-(IFERROR(INDEX(Census_pop_2020_2025!H:H, MATCH("."&amp;$A50, Census_pop_2020_2025!A:A, 0)),INDEX(Census_pop_2020_2025!H:H, MATCH($A50, Census_pop_2020_2025!A:A, 0)))))</f>
        <v>6036577.0295435227</v>
      </c>
      <c r="H50">
        <f>INDEX(Cooper_pop_2030_2050!D:D, MATCH($A50, Cooper_pop_2030_2050!B:B, 0))</f>
        <v>6052524.5369294034</v>
      </c>
      <c r="I50">
        <f>(INDEX(Cooper_pop_2030_2050!D:D, MATCH($A50, Cooper_pop_2030_2050!B:B, 0)))+0.1*((INDEX(Cooper_pop_2030_2050!E:E, MATCH($A50, Cooper_pop_2030_2050!B:B, 0)))-(INDEX(Cooper_pop_2030_2050!D:D, MATCH($A50, Cooper_pop_2030_2050!B:B, 0))))</f>
        <v>6050345.0715812221</v>
      </c>
      <c r="J50">
        <f>(INDEX(Cooper_pop_2030_2050!D:D, MATCH($A50, Cooper_pop_2030_2050!B:B, 0)))+0.2*((INDEX(Cooper_pop_2030_2050!E:E, MATCH($A50, Cooper_pop_2030_2050!B:B, 0)))-(INDEX(Cooper_pop_2030_2050!D:D, MATCH($A50, Cooper_pop_2030_2050!B:B, 0))))</f>
        <v>6048165.6062330399</v>
      </c>
      <c r="K50">
        <f>(INDEX(Cooper_pop_2030_2050!D:D, MATCH($A50, Cooper_pop_2030_2050!B:B, 0)))+0.3*((INDEX(Cooper_pop_2030_2050!E:E, MATCH($A50, Cooper_pop_2030_2050!B:B, 0)))-(INDEX(Cooper_pop_2030_2050!D:D, MATCH($A50, Cooper_pop_2030_2050!B:B, 0))))</f>
        <v>6045986.1408848586</v>
      </c>
      <c r="L50">
        <f>(INDEX(Cooper_pop_2030_2050!D:D, MATCH($A50, Cooper_pop_2030_2050!B:B, 0)))+0.4*((INDEX(Cooper_pop_2030_2050!E:E, MATCH($A50, Cooper_pop_2030_2050!B:B, 0)))-(INDEX(Cooper_pop_2030_2050!D:D, MATCH($A50, Cooper_pop_2030_2050!B:B, 0))))</f>
        <v>6043806.6755366763</v>
      </c>
      <c r="M50">
        <f>(INDEX(Cooper_pop_2030_2050!D:D, MATCH($A50, Cooper_pop_2030_2050!B:B, 0)))+0.5*((INDEX(Cooper_pop_2030_2050!E:E, MATCH($A50, Cooper_pop_2030_2050!B:B, 0)))-(INDEX(Cooper_pop_2030_2050!D:D, MATCH($A50, Cooper_pop_2030_2050!B:B, 0))))</f>
        <v>6041627.210188495</v>
      </c>
      <c r="N50">
        <f>(INDEX(Cooper_pop_2030_2050!D:D, MATCH($A50, Cooper_pop_2030_2050!B:B, 0)))+0.6*((INDEX(Cooper_pop_2030_2050!E:E, MATCH($A50, Cooper_pop_2030_2050!B:B, 0)))-(INDEX(Cooper_pop_2030_2050!D:D, MATCH($A50, Cooper_pop_2030_2050!B:B, 0))))</f>
        <v>6039447.7448403137</v>
      </c>
      <c r="O50">
        <f>(INDEX(Cooper_pop_2030_2050!D:D, MATCH($A50, Cooper_pop_2030_2050!B:B, 0)))+0.7*((INDEX(Cooper_pop_2030_2050!E:E, MATCH($A50, Cooper_pop_2030_2050!B:B, 0)))-(INDEX(Cooper_pop_2030_2050!D:D, MATCH($A50, Cooper_pop_2030_2050!B:B, 0))))</f>
        <v>6037268.2794921314</v>
      </c>
      <c r="P50">
        <f>(INDEX(Cooper_pop_2030_2050!D:D, MATCH($A50, Cooper_pop_2030_2050!B:B, 0)))+0.8*((INDEX(Cooper_pop_2030_2050!E:E, MATCH($A50, Cooper_pop_2030_2050!B:B, 0)))-(INDEX(Cooper_pop_2030_2050!D:D, MATCH($A50, Cooper_pop_2030_2050!B:B, 0))))</f>
        <v>6035088.8141439501</v>
      </c>
      <c r="Q50">
        <f>(INDEX(Cooper_pop_2030_2050!D:D, MATCH($A50, Cooper_pop_2030_2050!B:B, 0)))+0.9*((INDEX(Cooper_pop_2030_2050!E:E, MATCH($A50, Cooper_pop_2030_2050!B:B, 0)))-(INDEX(Cooper_pop_2030_2050!D:D, MATCH($A50, Cooper_pop_2030_2050!B:B, 0))))</f>
        <v>6032909.3487957679</v>
      </c>
      <c r="R50">
        <f>INDEX(Cooper_pop_2030_2050!E:E, MATCH($A50, Cooper_pop_2030_2050!B:B, 0))</f>
        <v>6030729.8834475866</v>
      </c>
      <c r="S50">
        <f>(INDEX(Cooper_pop_2030_2050!E:E, MATCH($A50, Cooper_pop_2030_2050!B:B, 0)))+0.1*((INDEX(Cooper_pop_2030_2050!F:F, MATCH($A50, Cooper_pop_2030_2050!B:B, 0)))-(INDEX(Cooper_pop_2030_2050!E:E, MATCH($A50, Cooper_pop_2030_2050!B:B, 0))))</f>
        <v>6021516.9657105589</v>
      </c>
      <c r="T50">
        <f>(INDEX(Cooper_pop_2030_2050!E:E, MATCH($A50, Cooper_pop_2030_2050!B:B, 0)))+0.2*((INDEX(Cooper_pop_2030_2050!F:F, MATCH($A50, Cooper_pop_2030_2050!B:B, 0)))-(INDEX(Cooper_pop_2030_2050!E:E, MATCH($A50, Cooper_pop_2030_2050!B:B, 0))))</f>
        <v>6012304.0479735313</v>
      </c>
      <c r="U50">
        <f>(INDEX(Cooper_pop_2030_2050!E:E, MATCH($A50, Cooper_pop_2030_2050!B:B, 0)))+0.3*((INDEX(Cooper_pop_2030_2050!F:F, MATCH($A50, Cooper_pop_2030_2050!B:B, 0)))-(INDEX(Cooper_pop_2030_2050!E:E, MATCH($A50, Cooper_pop_2030_2050!B:B, 0))))</f>
        <v>6003091.1302365037</v>
      </c>
      <c r="V50">
        <f>(INDEX(Cooper_pop_2030_2050!E:E, MATCH($A50, Cooper_pop_2030_2050!B:B, 0)))+0.4*((INDEX(Cooper_pop_2030_2050!F:F, MATCH($A50, Cooper_pop_2030_2050!B:B, 0)))-(INDEX(Cooper_pop_2030_2050!E:E, MATCH($A50, Cooper_pop_2030_2050!B:B, 0))))</f>
        <v>5993878.212499476</v>
      </c>
      <c r="W50">
        <f>(INDEX(Cooper_pop_2030_2050!E:E, MATCH($A50, Cooper_pop_2030_2050!B:B, 0)))+0.5*((INDEX(Cooper_pop_2030_2050!F:F, MATCH($A50, Cooper_pop_2030_2050!B:B, 0)))-(INDEX(Cooper_pop_2030_2050!E:E, MATCH($A50, Cooper_pop_2030_2050!B:B, 0))))</f>
        <v>5984665.2947624484</v>
      </c>
      <c r="X50">
        <f>(INDEX(Cooper_pop_2030_2050!E:E, MATCH($A50, Cooper_pop_2030_2050!B:B, 0)))+0.6*((INDEX(Cooper_pop_2030_2050!F:F, MATCH($A50, Cooper_pop_2030_2050!B:B, 0)))-(INDEX(Cooper_pop_2030_2050!E:E, MATCH($A50, Cooper_pop_2030_2050!B:B, 0))))</f>
        <v>5975452.3770254208</v>
      </c>
      <c r="Y50">
        <f>(INDEX(Cooper_pop_2030_2050!E:E, MATCH($A50, Cooper_pop_2030_2050!B:B, 0)))+0.7*((INDEX(Cooper_pop_2030_2050!F:F, MATCH($A50, Cooper_pop_2030_2050!B:B, 0)))-(INDEX(Cooper_pop_2030_2050!E:E, MATCH($A50, Cooper_pop_2030_2050!B:B, 0))))</f>
        <v>5966239.4592883931</v>
      </c>
      <c r="Z50">
        <f>(INDEX(Cooper_pop_2030_2050!E:E, MATCH($A50, Cooper_pop_2030_2050!B:B, 0)))+0.8*((INDEX(Cooper_pop_2030_2050!F:F, MATCH($A50, Cooper_pop_2030_2050!B:B, 0)))-(INDEX(Cooper_pop_2030_2050!E:E, MATCH($A50, Cooper_pop_2030_2050!B:B, 0))))</f>
        <v>5957026.5415513655</v>
      </c>
      <c r="AA50">
        <f>(INDEX(Cooper_pop_2030_2050!E:E, MATCH($A50, Cooper_pop_2030_2050!B:B, 0)))+0.9*((INDEX(Cooper_pop_2030_2050!F:F, MATCH($A50, Cooper_pop_2030_2050!B:B, 0)))-(INDEX(Cooper_pop_2030_2050!E:E, MATCH($A50, Cooper_pop_2030_2050!B:B, 0))))</f>
        <v>5947813.6238143379</v>
      </c>
      <c r="AB50">
        <f>INDEX(Cooper_pop_2030_2050!F:F, MATCH($A50, Cooper_pop_2030_2050!B:B, 0))</f>
        <v>5938600.7060773103</v>
      </c>
    </row>
    <row r="51" spans="1:28">
      <c r="A51" t="s">
        <v>2935</v>
      </c>
      <c r="B51">
        <f>IFERROR(INDEX(Census_pop_2020_2025!G:G, MATCH("."&amp;$A51, Census_pop_2020_2025!A:A, 0)),INDEX(Census_pop_2020_2025!G:G, MATCH($A51, Census_pop_2020_2025!A:A, 0)))</f>
        <v>586722</v>
      </c>
      <c r="C51">
        <f>IFERROR(INDEX(Census_pop_2020_2025!H:H, MATCH("."&amp;$A51, Census_pop_2020_2025!A:A, 0)),INDEX(Census_pop_2020_2025!H:H, MATCH($A51, Census_pop_2020_2025!A:A, 0)))</f>
        <v>588753</v>
      </c>
      <c r="D51">
        <f>(IFERROR(INDEX(Census_pop_2020_2025!H:H, MATCH("."&amp;$A51, Census_pop_2020_2025!A:A, 0)),INDEX(Census_pop_2020_2025!H:H, MATCH($A51, Census_pop_2020_2025!A:A, 0))))+0.2*((INDEX(Cooper_pop_2030_2050!D:D, MATCH($A51, Cooper_pop_2030_2050!B:B, 0)))-(IFERROR(INDEX(Census_pop_2020_2025!H:H, MATCH("."&amp;$A51, Census_pop_2020_2025!A:A, 0)),INDEX(Census_pop_2020_2025!H:H, MATCH($A51, Census_pop_2020_2025!A:A, 0)))))</f>
        <v>588387.38132662443</v>
      </c>
      <c r="E51">
        <f>(IFERROR(INDEX(Census_pop_2020_2025!H:H, MATCH("."&amp;$A51, Census_pop_2020_2025!A:A, 0)),INDEX(Census_pop_2020_2025!H:H, MATCH($A51, Census_pop_2020_2025!A:A, 0))))+0.4*((INDEX(Cooper_pop_2030_2050!D:D, MATCH($A51, Cooper_pop_2030_2050!B:B, 0)))-(IFERROR(INDEX(Census_pop_2020_2025!H:H, MATCH("."&amp;$A51, Census_pop_2020_2025!A:A, 0)),INDEX(Census_pop_2020_2025!H:H, MATCH($A51, Census_pop_2020_2025!A:A, 0)))))</f>
        <v>588021.76265324885</v>
      </c>
      <c r="F51">
        <f>(IFERROR(INDEX(Census_pop_2020_2025!H:H, MATCH("."&amp;$A51, Census_pop_2020_2025!A:A, 0)),INDEX(Census_pop_2020_2025!H:H, MATCH($A51, Census_pop_2020_2025!A:A, 0))))+0.6*((INDEX(Cooper_pop_2030_2050!D:D, MATCH($A51, Cooper_pop_2030_2050!B:B, 0)))-(IFERROR(INDEX(Census_pop_2020_2025!H:H, MATCH("."&amp;$A51, Census_pop_2020_2025!A:A, 0)),INDEX(Census_pop_2020_2025!H:H, MATCH($A51, Census_pop_2020_2025!A:A, 0)))))</f>
        <v>587656.14397987316</v>
      </c>
      <c r="G51">
        <f>(IFERROR(INDEX(Census_pop_2020_2025!H:H, MATCH("."&amp;$A51, Census_pop_2020_2025!A:A, 0)),INDEX(Census_pop_2020_2025!H:H, MATCH($A51, Census_pop_2020_2025!A:A, 0))))+0.8*((INDEX(Cooper_pop_2030_2050!D:D, MATCH($A51, Cooper_pop_2030_2050!B:B, 0)))-(IFERROR(INDEX(Census_pop_2020_2025!H:H, MATCH("."&amp;$A51, Census_pop_2020_2025!A:A, 0)),INDEX(Census_pop_2020_2025!H:H, MATCH($A51, Census_pop_2020_2025!A:A, 0)))))</f>
        <v>587290.52530649758</v>
      </c>
      <c r="H51">
        <f>INDEX(Cooper_pop_2030_2050!D:D, MATCH($A51, Cooper_pop_2030_2050!B:B, 0))</f>
        <v>586924.90663312201</v>
      </c>
      <c r="I51">
        <f>(INDEX(Cooper_pop_2030_2050!D:D, MATCH($A51, Cooper_pop_2030_2050!B:B, 0)))+0.1*((INDEX(Cooper_pop_2030_2050!E:E, MATCH($A51, Cooper_pop_2030_2050!B:B, 0)))-(INDEX(Cooper_pop_2030_2050!D:D, MATCH($A51, Cooper_pop_2030_2050!B:B, 0))))</f>
        <v>585986.31319276954</v>
      </c>
      <c r="J51">
        <f>(INDEX(Cooper_pop_2030_2050!D:D, MATCH($A51, Cooper_pop_2030_2050!B:B, 0)))+0.2*((INDEX(Cooper_pop_2030_2050!E:E, MATCH($A51, Cooper_pop_2030_2050!B:B, 0)))-(INDEX(Cooper_pop_2030_2050!D:D, MATCH($A51, Cooper_pop_2030_2050!B:B, 0))))</f>
        <v>585047.71975241695</v>
      </c>
      <c r="K51">
        <f>(INDEX(Cooper_pop_2030_2050!D:D, MATCH($A51, Cooper_pop_2030_2050!B:B, 0)))+0.3*((INDEX(Cooper_pop_2030_2050!E:E, MATCH($A51, Cooper_pop_2030_2050!B:B, 0)))-(INDEX(Cooper_pop_2030_2050!D:D, MATCH($A51, Cooper_pop_2030_2050!B:B, 0))))</f>
        <v>584109.12631206447</v>
      </c>
      <c r="L51">
        <f>(INDEX(Cooper_pop_2030_2050!D:D, MATCH($A51, Cooper_pop_2030_2050!B:B, 0)))+0.4*((INDEX(Cooper_pop_2030_2050!E:E, MATCH($A51, Cooper_pop_2030_2050!B:B, 0)))-(INDEX(Cooper_pop_2030_2050!D:D, MATCH($A51, Cooper_pop_2030_2050!B:B, 0))))</f>
        <v>583170.53287171188</v>
      </c>
      <c r="M51">
        <f>(INDEX(Cooper_pop_2030_2050!D:D, MATCH($A51, Cooper_pop_2030_2050!B:B, 0)))+0.5*((INDEX(Cooper_pop_2030_2050!E:E, MATCH($A51, Cooper_pop_2030_2050!B:B, 0)))-(INDEX(Cooper_pop_2030_2050!D:D, MATCH($A51, Cooper_pop_2030_2050!B:B, 0))))</f>
        <v>582231.93943135941</v>
      </c>
      <c r="N51">
        <f>(INDEX(Cooper_pop_2030_2050!D:D, MATCH($A51, Cooper_pop_2030_2050!B:B, 0)))+0.6*((INDEX(Cooper_pop_2030_2050!E:E, MATCH($A51, Cooper_pop_2030_2050!B:B, 0)))-(INDEX(Cooper_pop_2030_2050!D:D, MATCH($A51, Cooper_pop_2030_2050!B:B, 0))))</f>
        <v>581293.34599100694</v>
      </c>
      <c r="O51">
        <f>(INDEX(Cooper_pop_2030_2050!D:D, MATCH($A51, Cooper_pop_2030_2050!B:B, 0)))+0.7*((INDEX(Cooper_pop_2030_2050!E:E, MATCH($A51, Cooper_pop_2030_2050!B:B, 0)))-(INDEX(Cooper_pop_2030_2050!D:D, MATCH($A51, Cooper_pop_2030_2050!B:B, 0))))</f>
        <v>580354.75255065435</v>
      </c>
      <c r="P51">
        <f>(INDEX(Cooper_pop_2030_2050!D:D, MATCH($A51, Cooper_pop_2030_2050!B:B, 0)))+0.8*((INDEX(Cooper_pop_2030_2050!E:E, MATCH($A51, Cooper_pop_2030_2050!B:B, 0)))-(INDEX(Cooper_pop_2030_2050!D:D, MATCH($A51, Cooper_pop_2030_2050!B:B, 0))))</f>
        <v>579416.15911030187</v>
      </c>
      <c r="Q51">
        <f>(INDEX(Cooper_pop_2030_2050!D:D, MATCH($A51, Cooper_pop_2030_2050!B:B, 0)))+0.9*((INDEX(Cooper_pop_2030_2050!E:E, MATCH($A51, Cooper_pop_2030_2050!B:B, 0)))-(INDEX(Cooper_pop_2030_2050!D:D, MATCH($A51, Cooper_pop_2030_2050!B:B, 0))))</f>
        <v>578477.56566994928</v>
      </c>
      <c r="R51">
        <f>INDEX(Cooper_pop_2030_2050!E:E, MATCH($A51, Cooper_pop_2030_2050!B:B, 0))</f>
        <v>577538.97222959681</v>
      </c>
      <c r="S51">
        <f>(INDEX(Cooper_pop_2030_2050!E:E, MATCH($A51, Cooper_pop_2030_2050!B:B, 0)))+0.1*((INDEX(Cooper_pop_2030_2050!F:F, MATCH($A51, Cooper_pop_2030_2050!B:B, 0)))-(INDEX(Cooper_pop_2030_2050!E:E, MATCH($A51, Cooper_pop_2030_2050!B:B, 0))))</f>
        <v>575949.45673674589</v>
      </c>
      <c r="T51">
        <f>(INDEX(Cooper_pop_2030_2050!E:E, MATCH($A51, Cooper_pop_2030_2050!B:B, 0)))+0.2*((INDEX(Cooper_pop_2030_2050!F:F, MATCH($A51, Cooper_pop_2030_2050!B:B, 0)))-(INDEX(Cooper_pop_2030_2050!E:E, MATCH($A51, Cooper_pop_2030_2050!B:B, 0))))</f>
        <v>574359.94124389498</v>
      </c>
      <c r="U51">
        <f>(INDEX(Cooper_pop_2030_2050!E:E, MATCH($A51, Cooper_pop_2030_2050!B:B, 0)))+0.3*((INDEX(Cooper_pop_2030_2050!F:F, MATCH($A51, Cooper_pop_2030_2050!B:B, 0)))-(INDEX(Cooper_pop_2030_2050!E:E, MATCH($A51, Cooper_pop_2030_2050!B:B, 0))))</f>
        <v>572770.42575104407</v>
      </c>
      <c r="V51">
        <f>(INDEX(Cooper_pop_2030_2050!E:E, MATCH($A51, Cooper_pop_2030_2050!B:B, 0)))+0.4*((INDEX(Cooper_pop_2030_2050!F:F, MATCH($A51, Cooper_pop_2030_2050!B:B, 0)))-(INDEX(Cooper_pop_2030_2050!E:E, MATCH($A51, Cooper_pop_2030_2050!B:B, 0))))</f>
        <v>571180.91025819315</v>
      </c>
      <c r="W51">
        <f>(INDEX(Cooper_pop_2030_2050!E:E, MATCH($A51, Cooper_pop_2030_2050!B:B, 0)))+0.5*((INDEX(Cooper_pop_2030_2050!F:F, MATCH($A51, Cooper_pop_2030_2050!B:B, 0)))-(INDEX(Cooper_pop_2030_2050!E:E, MATCH($A51, Cooper_pop_2030_2050!B:B, 0))))</f>
        <v>569591.39476534235</v>
      </c>
      <c r="X51">
        <f>(INDEX(Cooper_pop_2030_2050!E:E, MATCH($A51, Cooper_pop_2030_2050!B:B, 0)))+0.6*((INDEX(Cooper_pop_2030_2050!F:F, MATCH($A51, Cooper_pop_2030_2050!B:B, 0)))-(INDEX(Cooper_pop_2030_2050!E:E, MATCH($A51, Cooper_pop_2030_2050!B:B, 0))))</f>
        <v>568001.87927249144</v>
      </c>
      <c r="Y51">
        <f>(INDEX(Cooper_pop_2030_2050!E:E, MATCH($A51, Cooper_pop_2030_2050!B:B, 0)))+0.7*((INDEX(Cooper_pop_2030_2050!F:F, MATCH($A51, Cooper_pop_2030_2050!B:B, 0)))-(INDEX(Cooper_pop_2030_2050!E:E, MATCH($A51, Cooper_pop_2030_2050!B:B, 0))))</f>
        <v>566412.36377964052</v>
      </c>
      <c r="Z51">
        <f>(INDEX(Cooper_pop_2030_2050!E:E, MATCH($A51, Cooper_pop_2030_2050!B:B, 0)))+0.8*((INDEX(Cooper_pop_2030_2050!F:F, MATCH($A51, Cooper_pop_2030_2050!B:B, 0)))-(INDEX(Cooper_pop_2030_2050!E:E, MATCH($A51, Cooper_pop_2030_2050!B:B, 0))))</f>
        <v>564822.84828678961</v>
      </c>
      <c r="AA51">
        <f>(INDEX(Cooper_pop_2030_2050!E:E, MATCH($A51, Cooper_pop_2030_2050!B:B, 0)))+0.9*((INDEX(Cooper_pop_2030_2050!F:F, MATCH($A51, Cooper_pop_2030_2050!B:B, 0)))-(INDEX(Cooper_pop_2030_2050!E:E, MATCH($A51, Cooper_pop_2030_2050!B:B, 0))))</f>
        <v>563233.33279393869</v>
      </c>
      <c r="AB51">
        <f>INDEX(Cooper_pop_2030_2050!F:F, MATCH($A51, Cooper_pop_2030_2050!B:B, 0))</f>
        <v>561643.81730108778</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1EA57-2AC0-48FD-98B9-3E8E3F807DA8}">
  <dimension ref="A1:F57"/>
  <sheetViews>
    <sheetView workbookViewId="0"/>
  </sheetViews>
  <sheetFormatPr defaultRowHeight="14.25"/>
  <cols>
    <col min="1" max="6" width="22.73046875" customWidth="1"/>
  </cols>
  <sheetData>
    <row r="1" spans="1:6">
      <c r="A1" t="s">
        <v>2880</v>
      </c>
    </row>
    <row r="2" spans="1:6">
      <c r="A2" t="s">
        <v>2881</v>
      </c>
    </row>
    <row r="3" spans="1:6">
      <c r="A3" t="s">
        <v>2882</v>
      </c>
      <c r="B3" t="s">
        <v>2883</v>
      </c>
      <c r="C3" t="s">
        <v>2884</v>
      </c>
    </row>
    <row r="4" spans="1:6">
      <c r="C4">
        <v>2020</v>
      </c>
      <c r="D4">
        <v>2030</v>
      </c>
      <c r="E4">
        <v>2040</v>
      </c>
      <c r="F4">
        <v>2050</v>
      </c>
    </row>
    <row r="5" spans="1:6">
      <c r="A5">
        <v>0</v>
      </c>
      <c r="B5" t="s">
        <v>203</v>
      </c>
      <c r="C5">
        <v>331449281</v>
      </c>
      <c r="D5">
        <v>349695864.83600509</v>
      </c>
      <c r="E5">
        <v>362293471.00603873</v>
      </c>
      <c r="F5">
        <v>371766981.53281742</v>
      </c>
    </row>
    <row r="6" spans="1:6">
      <c r="A6">
        <v>1</v>
      </c>
      <c r="B6" t="s">
        <v>2885</v>
      </c>
      <c r="C6">
        <v>5024279</v>
      </c>
      <c r="D6">
        <v>5213941.9593999544</v>
      </c>
      <c r="E6">
        <v>5269411.9940482546</v>
      </c>
      <c r="F6">
        <v>5263068.8276395518</v>
      </c>
    </row>
    <row r="7" spans="1:6">
      <c r="A7">
        <v>2</v>
      </c>
      <c r="B7" t="s">
        <v>2886</v>
      </c>
      <c r="C7">
        <v>733391</v>
      </c>
      <c r="D7">
        <v>751138.61348068446</v>
      </c>
      <c r="E7">
        <v>745730.94499167416</v>
      </c>
      <c r="F7">
        <v>731686.71969204536</v>
      </c>
    </row>
    <row r="8" spans="1:6">
      <c r="A8">
        <v>4</v>
      </c>
      <c r="B8" t="s">
        <v>2887</v>
      </c>
      <c r="C8">
        <v>7151502</v>
      </c>
      <c r="D8">
        <v>7766235.8948013214</v>
      </c>
      <c r="E8">
        <v>8354030.2992708869</v>
      </c>
      <c r="F8">
        <v>8881011.7559838742</v>
      </c>
    </row>
    <row r="9" spans="1:6">
      <c r="A9">
        <v>5</v>
      </c>
      <c r="B9" t="s">
        <v>2888</v>
      </c>
      <c r="C9">
        <v>3011524</v>
      </c>
      <c r="D9">
        <v>3084795.846413034</v>
      </c>
      <c r="E9">
        <v>3063116.9208203158</v>
      </c>
      <c r="F9">
        <v>3005949.3046633019</v>
      </c>
    </row>
    <row r="10" spans="1:6">
      <c r="A10">
        <v>6</v>
      </c>
      <c r="B10" t="s">
        <v>2889</v>
      </c>
      <c r="C10">
        <v>39538223</v>
      </c>
      <c r="D10">
        <v>41321454.412962787</v>
      </c>
      <c r="E10">
        <v>42164453.29269436</v>
      </c>
      <c r="F10">
        <v>42520491.764124498</v>
      </c>
    </row>
    <row r="11" spans="1:6">
      <c r="A11">
        <v>8</v>
      </c>
      <c r="B11" t="s">
        <v>2890</v>
      </c>
      <c r="C11">
        <v>5773714</v>
      </c>
      <c r="D11">
        <v>6387211.4132660571</v>
      </c>
      <c r="E11">
        <v>7050081.2537046131</v>
      </c>
      <c r="F11">
        <v>7690558.5704174414</v>
      </c>
    </row>
    <row r="12" spans="1:6">
      <c r="A12">
        <v>9</v>
      </c>
      <c r="B12" t="s">
        <v>2891</v>
      </c>
      <c r="C12">
        <v>3605944</v>
      </c>
      <c r="D12">
        <v>3629971.1363854278</v>
      </c>
      <c r="E12">
        <v>3521129.0297373449</v>
      </c>
      <c r="F12">
        <v>3375527.4071430722</v>
      </c>
    </row>
    <row r="13" spans="1:6">
      <c r="A13">
        <v>10</v>
      </c>
      <c r="B13" t="s">
        <v>2892</v>
      </c>
      <c r="C13">
        <v>989948</v>
      </c>
      <c r="D13">
        <v>1063672.975783298</v>
      </c>
      <c r="E13">
        <v>1127462.7880623159</v>
      </c>
      <c r="F13">
        <v>1181074.3530534171</v>
      </c>
    </row>
    <row r="14" spans="1:6">
      <c r="A14">
        <v>11</v>
      </c>
      <c r="B14" t="s">
        <v>2893</v>
      </c>
      <c r="C14">
        <v>689545</v>
      </c>
      <c r="D14">
        <v>761820.34899197798</v>
      </c>
      <c r="E14">
        <v>839353.09399886103</v>
      </c>
      <c r="F14">
        <v>913940.14248062251</v>
      </c>
    </row>
    <row r="15" spans="1:6">
      <c r="A15">
        <v>12</v>
      </c>
      <c r="B15" t="s">
        <v>2894</v>
      </c>
      <c r="C15">
        <v>21538187</v>
      </c>
      <c r="D15">
        <v>23790046.180994149</v>
      </c>
      <c r="E15">
        <v>26202482.723461989</v>
      </c>
      <c r="F15">
        <v>28521379.819008172</v>
      </c>
    </row>
    <row r="16" spans="1:6">
      <c r="A16">
        <v>13</v>
      </c>
      <c r="B16" t="s">
        <v>2895</v>
      </c>
      <c r="C16">
        <v>10711908</v>
      </c>
      <c r="D16">
        <v>11534245.404131711</v>
      </c>
      <c r="E16">
        <v>12262063.81445121</v>
      </c>
      <c r="F16">
        <v>12883055.78332142</v>
      </c>
    </row>
    <row r="17" spans="1:6">
      <c r="A17">
        <v>15</v>
      </c>
      <c r="B17" t="s">
        <v>2896</v>
      </c>
      <c r="C17">
        <v>1455271</v>
      </c>
      <c r="D17">
        <v>1529813.685719925</v>
      </c>
      <c r="E17">
        <v>1573524.555421565</v>
      </c>
      <c r="F17">
        <v>1599519.128309625</v>
      </c>
    </row>
    <row r="18" spans="1:6">
      <c r="A18">
        <v>16</v>
      </c>
      <c r="B18" t="s">
        <v>2897</v>
      </c>
      <c r="C18">
        <v>1839106</v>
      </c>
      <c r="D18">
        <v>2066264.606384865</v>
      </c>
      <c r="E18">
        <v>2330711.6931815208</v>
      </c>
      <c r="F18">
        <v>2598197.1621829141</v>
      </c>
    </row>
    <row r="19" spans="1:6">
      <c r="A19">
        <v>17</v>
      </c>
      <c r="B19" t="s">
        <v>2898</v>
      </c>
      <c r="C19">
        <v>12812508</v>
      </c>
      <c r="D19">
        <v>12798927.80059221</v>
      </c>
      <c r="E19">
        <v>12288130.499614131</v>
      </c>
      <c r="F19">
        <v>11659474.34770238</v>
      </c>
    </row>
    <row r="20" spans="1:6">
      <c r="A20">
        <v>18</v>
      </c>
      <c r="B20" t="s">
        <v>2899</v>
      </c>
      <c r="C20">
        <v>6785528</v>
      </c>
      <c r="D20">
        <v>7018842.962614065</v>
      </c>
      <c r="E20">
        <v>7062290.1083437586</v>
      </c>
      <c r="F20">
        <v>7022738.7452546703</v>
      </c>
    </row>
    <row r="21" spans="1:6">
      <c r="A21">
        <v>19</v>
      </c>
      <c r="B21" t="s">
        <v>2900</v>
      </c>
      <c r="C21">
        <v>3190369</v>
      </c>
      <c r="D21">
        <v>3301783.573424798</v>
      </c>
      <c r="E21">
        <v>3324567.3310771948</v>
      </c>
      <c r="F21">
        <v>3308282.5485984799</v>
      </c>
    </row>
    <row r="22" spans="1:6">
      <c r="A22">
        <v>20</v>
      </c>
      <c r="B22" t="s">
        <v>2901</v>
      </c>
      <c r="C22">
        <v>2937880</v>
      </c>
      <c r="D22">
        <v>3002710.578075985</v>
      </c>
      <c r="E22">
        <v>2972719.4050657698</v>
      </c>
      <c r="F22">
        <v>2908541.687972981</v>
      </c>
    </row>
    <row r="23" spans="1:6">
      <c r="A23">
        <v>21</v>
      </c>
      <c r="B23" t="s">
        <v>2902</v>
      </c>
      <c r="C23">
        <v>4505836</v>
      </c>
      <c r="D23">
        <v>4633880.8341481034</v>
      </c>
      <c r="E23">
        <v>4626152.924592006</v>
      </c>
      <c r="F23">
        <v>4564319.5224742861</v>
      </c>
    </row>
    <row r="24" spans="1:6">
      <c r="A24">
        <v>22</v>
      </c>
      <c r="B24" t="s">
        <v>2903</v>
      </c>
      <c r="C24">
        <v>4657757</v>
      </c>
      <c r="D24">
        <v>4752752.1650289232</v>
      </c>
      <c r="E24">
        <v>4694904.5017160606</v>
      </c>
      <c r="F24">
        <v>4583416.1200747248</v>
      </c>
    </row>
    <row r="25" spans="1:6">
      <c r="A25">
        <v>23</v>
      </c>
      <c r="B25" t="s">
        <v>2904</v>
      </c>
      <c r="C25">
        <v>1362359</v>
      </c>
      <c r="D25">
        <v>1388292.571491861</v>
      </c>
      <c r="E25">
        <v>1368934.200202751</v>
      </c>
      <c r="F25">
        <v>1334028.4084958921</v>
      </c>
    </row>
    <row r="26" spans="1:6">
      <c r="A26">
        <v>24</v>
      </c>
      <c r="B26" t="s">
        <v>2905</v>
      </c>
      <c r="C26">
        <v>6177224</v>
      </c>
      <c r="D26">
        <v>6494089.8572746906</v>
      </c>
      <c r="E26">
        <v>6680280.3244134784</v>
      </c>
      <c r="F26">
        <v>6791285.8617444122</v>
      </c>
    </row>
    <row r="27" spans="1:6">
      <c r="A27">
        <v>25</v>
      </c>
      <c r="B27" t="s">
        <v>2906</v>
      </c>
      <c r="C27">
        <v>7029917</v>
      </c>
      <c r="D27">
        <v>7409395.2857788671</v>
      </c>
      <c r="E27">
        <v>7648478.0338228764</v>
      </c>
      <c r="F27">
        <v>7802759.3621860752</v>
      </c>
    </row>
    <row r="28" spans="1:6">
      <c r="A28">
        <v>26</v>
      </c>
      <c r="B28" t="s">
        <v>2907</v>
      </c>
      <c r="C28">
        <v>10077331</v>
      </c>
      <c r="D28">
        <v>10224497.144069441</v>
      </c>
      <c r="E28">
        <v>10022975.952415921</v>
      </c>
      <c r="F28">
        <v>9710293.3323017713</v>
      </c>
    </row>
    <row r="29" spans="1:6">
      <c r="A29">
        <v>27</v>
      </c>
      <c r="B29" t="s">
        <v>2908</v>
      </c>
      <c r="C29">
        <v>5706494</v>
      </c>
      <c r="D29">
        <v>6023698.2850104868</v>
      </c>
      <c r="E29">
        <v>6231051.2970921826</v>
      </c>
      <c r="F29">
        <v>6370013.7977215797</v>
      </c>
    </row>
    <row r="30" spans="1:6">
      <c r="A30">
        <v>28</v>
      </c>
      <c r="B30" t="s">
        <v>2909</v>
      </c>
      <c r="C30">
        <v>2961279</v>
      </c>
      <c r="D30">
        <v>2956771.6025782051</v>
      </c>
      <c r="E30">
        <v>2837018.7950437949</v>
      </c>
      <c r="F30">
        <v>2690218.6435543532</v>
      </c>
    </row>
    <row r="31" spans="1:6">
      <c r="A31">
        <v>29</v>
      </c>
      <c r="B31" t="s">
        <v>2910</v>
      </c>
      <c r="C31">
        <v>6154913</v>
      </c>
      <c r="D31">
        <v>6281702.6910188589</v>
      </c>
      <c r="E31">
        <v>6206923.6308130622</v>
      </c>
      <c r="F31">
        <v>6061168.4898502678</v>
      </c>
    </row>
    <row r="32" spans="1:6">
      <c r="A32">
        <v>30</v>
      </c>
      <c r="B32" t="s">
        <v>2911</v>
      </c>
      <c r="C32">
        <v>1084225</v>
      </c>
      <c r="D32">
        <v>1159875.050951825</v>
      </c>
      <c r="E32">
        <v>1222019.8451907111</v>
      </c>
      <c r="F32">
        <v>1272407.5616144771</v>
      </c>
    </row>
    <row r="33" spans="1:6">
      <c r="A33">
        <v>31</v>
      </c>
      <c r="B33" t="s">
        <v>2912</v>
      </c>
      <c r="C33">
        <v>1961504</v>
      </c>
      <c r="D33">
        <v>2067877.790393881</v>
      </c>
      <c r="E33">
        <v>2135297.1638524388</v>
      </c>
      <c r="F33">
        <v>2179077.6598911369</v>
      </c>
    </row>
    <row r="34" spans="1:6">
      <c r="A34">
        <v>32</v>
      </c>
      <c r="B34" t="s">
        <v>2913</v>
      </c>
      <c r="C34">
        <v>3104614</v>
      </c>
      <c r="D34">
        <v>3437889.6937451842</v>
      </c>
      <c r="E34">
        <v>3799909.8321301779</v>
      </c>
      <c r="F34">
        <v>4150836.006525828</v>
      </c>
    </row>
    <row r="35" spans="1:6">
      <c r="A35">
        <v>33</v>
      </c>
      <c r="B35" t="s">
        <v>2914</v>
      </c>
      <c r="C35">
        <v>1377529</v>
      </c>
      <c r="D35">
        <v>1424739.2342157441</v>
      </c>
      <c r="E35">
        <v>1433346.8384585569</v>
      </c>
      <c r="F35">
        <v>1425109.162564812</v>
      </c>
    </row>
    <row r="36" spans="1:6">
      <c r="A36">
        <v>34</v>
      </c>
      <c r="B36" t="s">
        <v>2915</v>
      </c>
      <c r="C36">
        <v>9288994</v>
      </c>
      <c r="D36">
        <v>9675872.1954775602</v>
      </c>
      <c r="E36">
        <v>9828845.0254883375</v>
      </c>
      <c r="F36">
        <v>9867242.05879361</v>
      </c>
    </row>
    <row r="37" spans="1:6">
      <c r="A37">
        <v>35</v>
      </c>
      <c r="B37" t="s">
        <v>2916</v>
      </c>
      <c r="C37">
        <v>2117522</v>
      </c>
      <c r="D37">
        <v>2162105.7700958732</v>
      </c>
      <c r="E37">
        <v>2137651.4391768528</v>
      </c>
      <c r="F37">
        <v>2088708.2296581869</v>
      </c>
    </row>
    <row r="38" spans="1:6">
      <c r="A38">
        <v>36</v>
      </c>
      <c r="B38" t="s">
        <v>2917</v>
      </c>
      <c r="C38">
        <v>20201249</v>
      </c>
      <c r="D38">
        <v>20836092.153733529</v>
      </c>
      <c r="E38">
        <v>20883792.955728509</v>
      </c>
      <c r="F38">
        <v>20686328.590018131</v>
      </c>
    </row>
    <row r="39" spans="1:6">
      <c r="A39">
        <v>37</v>
      </c>
      <c r="B39" t="s">
        <v>2918</v>
      </c>
      <c r="C39">
        <v>10439388</v>
      </c>
      <c r="D39">
        <v>11160159.06061106</v>
      </c>
      <c r="E39">
        <v>11747050.95648321</v>
      </c>
      <c r="F39">
        <v>12219916.86992706</v>
      </c>
    </row>
    <row r="40" spans="1:6">
      <c r="A40">
        <v>38</v>
      </c>
      <c r="B40" t="s">
        <v>2919</v>
      </c>
      <c r="C40">
        <v>779094</v>
      </c>
      <c r="D40">
        <v>867403.48371186946</v>
      </c>
      <c r="E40">
        <v>966019.94958065893</v>
      </c>
      <c r="F40">
        <v>1063241.597046091</v>
      </c>
    </row>
    <row r="41" spans="1:6">
      <c r="A41">
        <v>39</v>
      </c>
      <c r="B41" t="s">
        <v>2920</v>
      </c>
      <c r="C41">
        <v>11799448</v>
      </c>
      <c r="D41">
        <v>11999652.555418169</v>
      </c>
      <c r="E41">
        <v>11800007.035868039</v>
      </c>
      <c r="F41">
        <v>11467712.374594981</v>
      </c>
    </row>
    <row r="42" spans="1:6">
      <c r="A42">
        <v>40</v>
      </c>
      <c r="B42" t="s">
        <v>2921</v>
      </c>
      <c r="C42">
        <v>3959353</v>
      </c>
      <c r="D42">
        <v>4121121.0667654141</v>
      </c>
      <c r="E42">
        <v>4181942.1445472948</v>
      </c>
      <c r="F42">
        <v>4193934.061681475</v>
      </c>
    </row>
    <row r="43" spans="1:6">
      <c r="A43">
        <v>41</v>
      </c>
      <c r="B43" t="s">
        <v>2922</v>
      </c>
      <c r="C43">
        <v>4237256</v>
      </c>
      <c r="D43">
        <v>4563424.8192822691</v>
      </c>
      <c r="E43">
        <v>4852674.7949715285</v>
      </c>
      <c r="F43">
        <v>5099791.3279651189</v>
      </c>
    </row>
    <row r="44" spans="1:6">
      <c r="A44">
        <v>42</v>
      </c>
      <c r="B44" t="s">
        <v>2923</v>
      </c>
      <c r="C44">
        <v>13002700</v>
      </c>
      <c r="D44">
        <v>13231490.97878159</v>
      </c>
      <c r="E44">
        <v>13022170.76497311</v>
      </c>
      <c r="F44">
        <v>12665983.497858791</v>
      </c>
    </row>
    <row r="45" spans="1:6">
      <c r="A45">
        <v>44</v>
      </c>
      <c r="B45" t="s">
        <v>2924</v>
      </c>
      <c r="C45">
        <v>1097379</v>
      </c>
      <c r="D45">
        <v>1131941.9133109821</v>
      </c>
      <c r="E45">
        <v>1134637.5743859769</v>
      </c>
      <c r="F45">
        <v>1124012.425927409</v>
      </c>
    </row>
    <row r="46" spans="1:6">
      <c r="A46">
        <v>45</v>
      </c>
      <c r="B46" t="s">
        <v>2925</v>
      </c>
      <c r="C46">
        <v>5118425</v>
      </c>
      <c r="D46">
        <v>5514500.7519329283</v>
      </c>
      <c r="E46">
        <v>5867090.0439792927</v>
      </c>
      <c r="F46">
        <v>6169077.6594060129</v>
      </c>
    </row>
    <row r="47" spans="1:6">
      <c r="A47">
        <v>46</v>
      </c>
      <c r="B47" t="s">
        <v>2926</v>
      </c>
      <c r="C47">
        <v>886667</v>
      </c>
      <c r="D47">
        <v>944259.033493208</v>
      </c>
      <c r="E47">
        <v>988683.73308034905</v>
      </c>
      <c r="F47">
        <v>1023068.138899433</v>
      </c>
    </row>
    <row r="48" spans="1:6">
      <c r="A48">
        <v>47</v>
      </c>
      <c r="B48" t="s">
        <v>2927</v>
      </c>
      <c r="C48">
        <v>6910840</v>
      </c>
      <c r="D48">
        <v>7359518.9165155236</v>
      </c>
      <c r="E48">
        <v>7705470.0344561785</v>
      </c>
      <c r="F48">
        <v>7973147.0964359436</v>
      </c>
    </row>
    <row r="49" spans="1:6">
      <c r="A49">
        <v>48</v>
      </c>
      <c r="B49" t="s">
        <v>2928</v>
      </c>
      <c r="C49">
        <v>29145505</v>
      </c>
      <c r="D49">
        <v>32463601.69659014</v>
      </c>
      <c r="E49">
        <v>36177044.314676493</v>
      </c>
      <c r="F49">
        <v>39842849.698430143</v>
      </c>
    </row>
    <row r="50" spans="1:6">
      <c r="A50">
        <v>49</v>
      </c>
      <c r="B50" t="s">
        <v>2929</v>
      </c>
      <c r="C50">
        <v>3271616</v>
      </c>
      <c r="D50">
        <v>3699049.8315023049</v>
      </c>
      <c r="E50">
        <v>4209772.8375504371</v>
      </c>
      <c r="F50">
        <v>4734870.1350054462</v>
      </c>
    </row>
    <row r="51" spans="1:6">
      <c r="A51">
        <v>50</v>
      </c>
      <c r="B51" t="s">
        <v>2930</v>
      </c>
      <c r="C51">
        <v>643077</v>
      </c>
      <c r="D51">
        <v>656319.14480112377</v>
      </c>
      <c r="E51">
        <v>648499.37688398245</v>
      </c>
      <c r="F51">
        <v>633264.26871211256</v>
      </c>
    </row>
    <row r="52" spans="1:6">
      <c r="A52">
        <v>51</v>
      </c>
      <c r="B52" t="s">
        <v>2931</v>
      </c>
      <c r="C52">
        <v>8631393</v>
      </c>
      <c r="D52">
        <v>9129001.8887463026</v>
      </c>
      <c r="E52">
        <v>9468577.5405298192</v>
      </c>
      <c r="F52">
        <v>9705705.5996118318</v>
      </c>
    </row>
    <row r="53" spans="1:6">
      <c r="A53">
        <v>53</v>
      </c>
      <c r="B53" t="s">
        <v>2932</v>
      </c>
      <c r="C53">
        <v>7705281</v>
      </c>
      <c r="D53">
        <v>8512354.8693866786</v>
      </c>
      <c r="E53">
        <v>9377816.831497049</v>
      </c>
      <c r="F53">
        <v>10210210.637738449</v>
      </c>
    </row>
    <row r="54" spans="1:6">
      <c r="A54">
        <v>54</v>
      </c>
      <c r="B54" t="s">
        <v>2933</v>
      </c>
      <c r="C54">
        <v>1793716</v>
      </c>
      <c r="D54">
        <v>1750205.6631575711</v>
      </c>
      <c r="E54">
        <v>1628901.7088146619</v>
      </c>
      <c r="F54">
        <v>1498240.745180788</v>
      </c>
    </row>
    <row r="55" spans="1:6">
      <c r="A55">
        <v>55</v>
      </c>
      <c r="B55" t="s">
        <v>2934</v>
      </c>
      <c r="C55">
        <v>5893718</v>
      </c>
      <c r="D55">
        <v>6052524.5369294034</v>
      </c>
      <c r="E55">
        <v>6030729.8834475866</v>
      </c>
      <c r="F55">
        <v>5938600.7060773103</v>
      </c>
    </row>
    <row r="56" spans="1:6">
      <c r="A56">
        <v>56</v>
      </c>
      <c r="B56" t="s">
        <v>2935</v>
      </c>
      <c r="C56">
        <v>576851</v>
      </c>
      <c r="D56">
        <v>586924.90663312201</v>
      </c>
      <c r="E56">
        <v>577538.97222959681</v>
      </c>
      <c r="F56">
        <v>561643.81730108778</v>
      </c>
    </row>
    <row r="57" spans="1:6">
      <c r="A57" t="s">
        <v>2936</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8DFAF-19A2-45D8-B8AD-9B4C381B8F11}">
  <dimension ref="A1:H68"/>
  <sheetViews>
    <sheetView workbookViewId="0"/>
  </sheetViews>
  <sheetFormatPr defaultRowHeight="14.25"/>
  <cols>
    <col min="1" max="8" width="18.73046875" customWidth="1"/>
  </cols>
  <sheetData>
    <row r="1" spans="1:8">
      <c r="A1" t="s">
        <v>2813</v>
      </c>
    </row>
    <row r="2" spans="1:8" ht="128.25">
      <c r="A2" s="63" t="s">
        <v>2814</v>
      </c>
    </row>
    <row r="3" spans="1:8">
      <c r="A3" t="s">
        <v>2815</v>
      </c>
      <c r="B3" t="s">
        <v>2816</v>
      </c>
      <c r="C3" t="s">
        <v>2817</v>
      </c>
    </row>
    <row r="4" spans="1:8">
      <c r="C4">
        <v>2020</v>
      </c>
      <c r="D4">
        <v>2021</v>
      </c>
      <c r="E4">
        <v>2022</v>
      </c>
      <c r="F4">
        <v>2023</v>
      </c>
      <c r="G4">
        <v>2024</v>
      </c>
      <c r="H4">
        <v>2025</v>
      </c>
    </row>
    <row r="5" spans="1:8">
      <c r="A5" t="s">
        <v>203</v>
      </c>
      <c r="B5">
        <v>331516113</v>
      </c>
      <c r="C5">
        <v>331578104</v>
      </c>
      <c r="D5">
        <v>332100166</v>
      </c>
      <c r="E5">
        <v>333996304</v>
      </c>
      <c r="F5">
        <v>336755052</v>
      </c>
      <c r="G5">
        <v>340003797</v>
      </c>
      <c r="H5">
        <v>341784857</v>
      </c>
    </row>
    <row r="6" spans="1:8">
      <c r="A6" t="s">
        <v>2818</v>
      </c>
      <c r="B6">
        <v>57617560</v>
      </c>
      <c r="C6">
        <v>57436027</v>
      </c>
      <c r="D6">
        <v>57234503</v>
      </c>
      <c r="E6">
        <v>57174375</v>
      </c>
      <c r="F6">
        <v>57458539</v>
      </c>
      <c r="G6">
        <v>57940522</v>
      </c>
      <c r="H6">
        <v>58042054</v>
      </c>
    </row>
    <row r="7" spans="1:8">
      <c r="A7" t="s">
        <v>2819</v>
      </c>
      <c r="B7">
        <v>68999462</v>
      </c>
      <c r="C7">
        <v>68979566</v>
      </c>
      <c r="D7">
        <v>68867096</v>
      </c>
      <c r="E7">
        <v>68872112</v>
      </c>
      <c r="F7">
        <v>69132050</v>
      </c>
      <c r="G7">
        <v>69518281</v>
      </c>
      <c r="H7">
        <v>69762666</v>
      </c>
    </row>
    <row r="8" spans="1:8">
      <c r="A8" t="s">
        <v>2820</v>
      </c>
      <c r="B8">
        <v>126281605</v>
      </c>
      <c r="C8">
        <v>126473371</v>
      </c>
      <c r="D8">
        <v>127380165</v>
      </c>
      <c r="E8">
        <v>129066102</v>
      </c>
      <c r="F8">
        <v>130894372</v>
      </c>
      <c r="G8">
        <v>132662072</v>
      </c>
      <c r="H8">
        <v>133833983</v>
      </c>
    </row>
    <row r="9" spans="1:8">
      <c r="A9" t="s">
        <v>2821</v>
      </c>
      <c r="B9">
        <v>78617486</v>
      </c>
      <c r="C9">
        <v>78689140</v>
      </c>
      <c r="D9">
        <v>78618402</v>
      </c>
      <c r="E9">
        <v>78883715</v>
      </c>
      <c r="F9">
        <v>79270091</v>
      </c>
      <c r="G9">
        <v>79882922</v>
      </c>
      <c r="H9">
        <v>80146154</v>
      </c>
    </row>
    <row r="10" spans="1:8">
      <c r="A10" t="s">
        <v>2822</v>
      </c>
      <c r="B10">
        <v>5025437</v>
      </c>
      <c r="C10">
        <v>5032962</v>
      </c>
      <c r="D10">
        <v>5050058</v>
      </c>
      <c r="E10">
        <v>5076868</v>
      </c>
      <c r="F10">
        <v>5117850</v>
      </c>
      <c r="G10">
        <v>5163055</v>
      </c>
      <c r="H10">
        <v>5193088</v>
      </c>
    </row>
    <row r="11" spans="1:8">
      <c r="A11" t="s">
        <v>2823</v>
      </c>
      <c r="B11">
        <v>733383</v>
      </c>
      <c r="C11">
        <v>732906</v>
      </c>
      <c r="D11">
        <v>734590</v>
      </c>
      <c r="E11">
        <v>733659</v>
      </c>
      <c r="F11">
        <v>734654</v>
      </c>
      <c r="G11">
        <v>736537</v>
      </c>
      <c r="H11">
        <v>737270</v>
      </c>
    </row>
    <row r="12" spans="1:8">
      <c r="A12" t="s">
        <v>2824</v>
      </c>
      <c r="B12">
        <v>7158104</v>
      </c>
      <c r="C12">
        <v>7186647</v>
      </c>
      <c r="D12">
        <v>7274022</v>
      </c>
      <c r="E12">
        <v>7370065</v>
      </c>
      <c r="F12">
        <v>7452073</v>
      </c>
      <c r="G12">
        <v>7556424</v>
      </c>
      <c r="H12">
        <v>7623818</v>
      </c>
    </row>
    <row r="13" spans="1:8">
      <c r="A13" t="s">
        <v>2825</v>
      </c>
      <c r="B13">
        <v>3011530</v>
      </c>
      <c r="C13">
        <v>3014399</v>
      </c>
      <c r="D13">
        <v>3027127</v>
      </c>
      <c r="E13">
        <v>3047429</v>
      </c>
      <c r="F13">
        <v>3069856</v>
      </c>
      <c r="G13">
        <v>3096080</v>
      </c>
      <c r="H13">
        <v>3114791</v>
      </c>
    </row>
    <row r="14" spans="1:8">
      <c r="A14" t="s">
        <v>2826</v>
      </c>
      <c r="B14">
        <v>39555703</v>
      </c>
      <c r="C14">
        <v>39527808</v>
      </c>
      <c r="D14">
        <v>39152927</v>
      </c>
      <c r="E14">
        <v>39125347</v>
      </c>
      <c r="F14">
        <v>39181667</v>
      </c>
      <c r="G14">
        <v>39364774</v>
      </c>
      <c r="H14">
        <v>39355309</v>
      </c>
    </row>
    <row r="15" spans="1:8">
      <c r="A15" t="s">
        <v>2827</v>
      </c>
      <c r="B15">
        <v>5775326</v>
      </c>
      <c r="C15">
        <v>5786873</v>
      </c>
      <c r="D15">
        <v>5814368</v>
      </c>
      <c r="E15">
        <v>5853355</v>
      </c>
      <c r="F15">
        <v>5912240</v>
      </c>
      <c r="G15">
        <v>5988502</v>
      </c>
      <c r="H15">
        <v>6012561</v>
      </c>
    </row>
    <row r="16" spans="1:8">
      <c r="A16" t="s">
        <v>2828</v>
      </c>
      <c r="B16">
        <v>3607750</v>
      </c>
      <c r="C16">
        <v>3579643</v>
      </c>
      <c r="D16">
        <v>3607765</v>
      </c>
      <c r="E16">
        <v>3618707</v>
      </c>
      <c r="F16">
        <v>3641369</v>
      </c>
      <c r="G16">
        <v>3674449</v>
      </c>
      <c r="H16">
        <v>3688496</v>
      </c>
    </row>
    <row r="17" spans="1:8">
      <c r="A17" t="s">
        <v>2829</v>
      </c>
      <c r="B17">
        <v>989950</v>
      </c>
      <c r="C17">
        <v>991890</v>
      </c>
      <c r="D17">
        <v>1005130</v>
      </c>
      <c r="E17">
        <v>1020279</v>
      </c>
      <c r="F17">
        <v>1035354</v>
      </c>
      <c r="G17">
        <v>1050123</v>
      </c>
      <c r="H17">
        <v>1059952</v>
      </c>
    </row>
    <row r="18" spans="1:8">
      <c r="A18" t="s">
        <v>2830</v>
      </c>
      <c r="B18">
        <v>689544</v>
      </c>
      <c r="C18">
        <v>670958</v>
      </c>
      <c r="D18">
        <v>669637</v>
      </c>
      <c r="E18">
        <v>674501</v>
      </c>
      <c r="F18">
        <v>682559</v>
      </c>
      <c r="G18">
        <v>691310</v>
      </c>
      <c r="H18">
        <v>693645</v>
      </c>
    </row>
    <row r="19" spans="1:8">
      <c r="A19" t="s">
        <v>2831</v>
      </c>
      <c r="B19">
        <v>21538207</v>
      </c>
      <c r="C19">
        <v>21591325</v>
      </c>
      <c r="D19">
        <v>21836698</v>
      </c>
      <c r="E19">
        <v>22413989</v>
      </c>
      <c r="F19">
        <v>22929248</v>
      </c>
      <c r="G19">
        <v>23265838</v>
      </c>
      <c r="H19">
        <v>23462518</v>
      </c>
    </row>
    <row r="20" spans="1:8">
      <c r="A20" t="s">
        <v>2832</v>
      </c>
      <c r="B20">
        <v>10713861</v>
      </c>
      <c r="C20">
        <v>10732595</v>
      </c>
      <c r="D20">
        <v>10793038</v>
      </c>
      <c r="E20">
        <v>10929992</v>
      </c>
      <c r="F20">
        <v>11063669</v>
      </c>
      <c r="G20">
        <v>11204208</v>
      </c>
      <c r="H20">
        <v>11302748</v>
      </c>
    </row>
    <row r="21" spans="1:8">
      <c r="A21" t="s">
        <v>2833</v>
      </c>
      <c r="B21">
        <v>1455267</v>
      </c>
      <c r="C21">
        <v>1451130</v>
      </c>
      <c r="D21">
        <v>1446909</v>
      </c>
      <c r="E21">
        <v>1437812</v>
      </c>
      <c r="F21">
        <v>1434950</v>
      </c>
      <c r="G21">
        <v>1434952</v>
      </c>
      <c r="H21">
        <v>1432820</v>
      </c>
    </row>
    <row r="22" spans="1:8">
      <c r="A22" t="s">
        <v>2834</v>
      </c>
      <c r="B22">
        <v>1839123</v>
      </c>
      <c r="C22">
        <v>1849328</v>
      </c>
      <c r="D22">
        <v>1904855</v>
      </c>
      <c r="E22">
        <v>1942951</v>
      </c>
      <c r="F22">
        <v>1970497</v>
      </c>
      <c r="G22">
        <v>2000872</v>
      </c>
      <c r="H22">
        <v>2029733</v>
      </c>
    </row>
    <row r="23" spans="1:8">
      <c r="A23" t="s">
        <v>2835</v>
      </c>
      <c r="B23">
        <v>12821741</v>
      </c>
      <c r="C23">
        <v>12795348</v>
      </c>
      <c r="D23">
        <v>12703354</v>
      </c>
      <c r="E23">
        <v>12609577</v>
      </c>
      <c r="F23">
        <v>12633389</v>
      </c>
      <c r="G23">
        <v>12703033</v>
      </c>
      <c r="H23">
        <v>12719141</v>
      </c>
    </row>
    <row r="24" spans="1:8">
      <c r="A24" t="s">
        <v>2836</v>
      </c>
      <c r="B24">
        <v>6786605</v>
      </c>
      <c r="C24">
        <v>6790290</v>
      </c>
      <c r="D24">
        <v>6814223</v>
      </c>
      <c r="E24">
        <v>6841491</v>
      </c>
      <c r="F24">
        <v>6881373</v>
      </c>
      <c r="G24">
        <v>6934754</v>
      </c>
      <c r="H24">
        <v>6973333</v>
      </c>
    </row>
    <row r="25" spans="1:8">
      <c r="A25" t="s">
        <v>2837</v>
      </c>
      <c r="B25">
        <v>3190582</v>
      </c>
      <c r="C25">
        <v>3191081</v>
      </c>
      <c r="D25">
        <v>3199037</v>
      </c>
      <c r="E25">
        <v>3201890</v>
      </c>
      <c r="F25">
        <v>3214739</v>
      </c>
      <c r="G25">
        <v>3230454</v>
      </c>
      <c r="H25">
        <v>3238387</v>
      </c>
    </row>
    <row r="26" spans="1:8">
      <c r="A26" t="s">
        <v>2838</v>
      </c>
      <c r="B26">
        <v>2937986</v>
      </c>
      <c r="C26">
        <v>2938274</v>
      </c>
      <c r="D26">
        <v>2938966</v>
      </c>
      <c r="E26">
        <v>2938034</v>
      </c>
      <c r="F26">
        <v>2949749</v>
      </c>
      <c r="G26">
        <v>2965252</v>
      </c>
      <c r="H26">
        <v>2977220</v>
      </c>
    </row>
    <row r="27" spans="1:8">
      <c r="A27" t="s">
        <v>2839</v>
      </c>
      <c r="B27">
        <v>4506287</v>
      </c>
      <c r="C27">
        <v>4508271</v>
      </c>
      <c r="D27">
        <v>4508348</v>
      </c>
      <c r="E27">
        <v>4521238</v>
      </c>
      <c r="F27">
        <v>4549953</v>
      </c>
      <c r="G27">
        <v>4584046</v>
      </c>
      <c r="H27">
        <v>4606864</v>
      </c>
    </row>
    <row r="28" spans="1:8">
      <c r="A28" t="s">
        <v>2840</v>
      </c>
      <c r="B28">
        <v>4657894</v>
      </c>
      <c r="C28">
        <v>4652145</v>
      </c>
      <c r="D28">
        <v>4628595</v>
      </c>
      <c r="E28">
        <v>4600892</v>
      </c>
      <c r="F28">
        <v>4598777</v>
      </c>
      <c r="G28">
        <v>4614878</v>
      </c>
      <c r="H28">
        <v>4618189</v>
      </c>
    </row>
    <row r="29" spans="1:8">
      <c r="A29" t="s">
        <v>2841</v>
      </c>
      <c r="B29">
        <v>1363218</v>
      </c>
      <c r="C29">
        <v>1364546</v>
      </c>
      <c r="D29">
        <v>1379009</v>
      </c>
      <c r="E29">
        <v>1391585</v>
      </c>
      <c r="F29">
        <v>1401992</v>
      </c>
      <c r="G29">
        <v>1408438</v>
      </c>
      <c r="H29">
        <v>1414874</v>
      </c>
    </row>
    <row r="30" spans="1:8">
      <c r="A30" t="s">
        <v>2842</v>
      </c>
      <c r="B30">
        <v>6181640</v>
      </c>
      <c r="C30">
        <v>6178387</v>
      </c>
      <c r="D30">
        <v>6176035</v>
      </c>
      <c r="E30">
        <v>6183257</v>
      </c>
      <c r="F30">
        <v>6204927</v>
      </c>
      <c r="G30">
        <v>6245314</v>
      </c>
      <c r="H30">
        <v>6265347</v>
      </c>
    </row>
    <row r="31" spans="1:8">
      <c r="A31" t="s">
        <v>2843</v>
      </c>
      <c r="B31">
        <v>7033112</v>
      </c>
      <c r="C31">
        <v>6985320</v>
      </c>
      <c r="D31">
        <v>6996721</v>
      </c>
      <c r="E31">
        <v>7025465</v>
      </c>
      <c r="F31">
        <v>7073479</v>
      </c>
      <c r="G31">
        <v>7138560</v>
      </c>
      <c r="H31">
        <v>7154084</v>
      </c>
    </row>
    <row r="32" spans="1:8">
      <c r="A32" t="s">
        <v>2844</v>
      </c>
      <c r="B32">
        <v>10079362</v>
      </c>
      <c r="C32">
        <v>10072294</v>
      </c>
      <c r="D32">
        <v>10042362</v>
      </c>
      <c r="E32">
        <v>10043906</v>
      </c>
      <c r="F32">
        <v>10062124</v>
      </c>
      <c r="G32">
        <v>10099962</v>
      </c>
      <c r="H32">
        <v>10127884</v>
      </c>
    </row>
    <row r="33" spans="1:8">
      <c r="A33" t="s">
        <v>2845</v>
      </c>
      <c r="B33">
        <v>5706733</v>
      </c>
      <c r="C33">
        <v>5710562</v>
      </c>
      <c r="D33">
        <v>5714055</v>
      </c>
      <c r="E33">
        <v>5727565</v>
      </c>
      <c r="F33">
        <v>5752998</v>
      </c>
      <c r="G33">
        <v>5797405</v>
      </c>
      <c r="H33">
        <v>5830405</v>
      </c>
    </row>
    <row r="34" spans="1:8">
      <c r="A34" t="s">
        <v>2846</v>
      </c>
      <c r="B34">
        <v>2961264</v>
      </c>
      <c r="C34">
        <v>2958385</v>
      </c>
      <c r="D34">
        <v>2947603</v>
      </c>
      <c r="E34">
        <v>2941237</v>
      </c>
      <c r="F34">
        <v>2942470</v>
      </c>
      <c r="G34">
        <v>2950172</v>
      </c>
      <c r="H34">
        <v>2954160</v>
      </c>
    </row>
    <row r="35" spans="1:8">
      <c r="A35" t="s">
        <v>2847</v>
      </c>
      <c r="B35">
        <v>6154913</v>
      </c>
      <c r="C35">
        <v>6155074</v>
      </c>
      <c r="D35">
        <v>6172551</v>
      </c>
      <c r="E35">
        <v>6179285</v>
      </c>
      <c r="F35">
        <v>6205956</v>
      </c>
      <c r="G35">
        <v>6243544</v>
      </c>
      <c r="H35">
        <v>6270541</v>
      </c>
    </row>
    <row r="36" spans="1:8">
      <c r="A36" t="s">
        <v>2848</v>
      </c>
      <c r="B36">
        <v>1084221</v>
      </c>
      <c r="C36">
        <v>1087156</v>
      </c>
      <c r="D36">
        <v>1106416</v>
      </c>
      <c r="E36">
        <v>1121533</v>
      </c>
      <c r="F36">
        <v>1130612</v>
      </c>
      <c r="G36">
        <v>1137557</v>
      </c>
      <c r="H36">
        <v>1144694</v>
      </c>
    </row>
    <row r="37" spans="1:8">
      <c r="A37" t="s">
        <v>2849</v>
      </c>
      <c r="B37">
        <v>1961980</v>
      </c>
      <c r="C37">
        <v>1963318</v>
      </c>
      <c r="D37">
        <v>1964697</v>
      </c>
      <c r="E37">
        <v>1972595</v>
      </c>
      <c r="F37">
        <v>1988172</v>
      </c>
      <c r="G37">
        <v>2005591</v>
      </c>
      <c r="H37">
        <v>2018006</v>
      </c>
    </row>
    <row r="38" spans="1:8">
      <c r="A38" t="s">
        <v>2850</v>
      </c>
      <c r="B38">
        <v>3105593</v>
      </c>
      <c r="C38">
        <v>3116851</v>
      </c>
      <c r="D38">
        <v>3148472</v>
      </c>
      <c r="E38">
        <v>3177672</v>
      </c>
      <c r="F38">
        <v>3211077</v>
      </c>
      <c r="G38">
        <v>3253543</v>
      </c>
      <c r="H38">
        <v>3282188</v>
      </c>
    </row>
    <row r="39" spans="1:8">
      <c r="A39" t="s">
        <v>2851</v>
      </c>
      <c r="B39">
        <v>1377573</v>
      </c>
      <c r="C39">
        <v>1378752</v>
      </c>
      <c r="D39">
        <v>1387907</v>
      </c>
      <c r="E39">
        <v>1396647</v>
      </c>
      <c r="F39">
        <v>1401530</v>
      </c>
      <c r="G39">
        <v>1408518</v>
      </c>
      <c r="H39">
        <v>1415342</v>
      </c>
    </row>
    <row r="40" spans="1:8">
      <c r="A40" t="s">
        <v>2852</v>
      </c>
      <c r="B40">
        <v>9289024</v>
      </c>
      <c r="C40">
        <v>9270476</v>
      </c>
      <c r="D40">
        <v>9266509</v>
      </c>
      <c r="E40">
        <v>9298402</v>
      </c>
      <c r="F40">
        <v>9395315</v>
      </c>
      <c r="G40">
        <v>9506354</v>
      </c>
      <c r="H40">
        <v>9548215</v>
      </c>
    </row>
    <row r="41" spans="1:8">
      <c r="A41" t="s">
        <v>2853</v>
      </c>
      <c r="B41">
        <v>2117492</v>
      </c>
      <c r="C41">
        <v>2118446</v>
      </c>
      <c r="D41">
        <v>2117300</v>
      </c>
      <c r="E41">
        <v>2112859</v>
      </c>
      <c r="F41">
        <v>2119349</v>
      </c>
      <c r="G41">
        <v>2126774</v>
      </c>
      <c r="H41">
        <v>2125498</v>
      </c>
    </row>
    <row r="42" spans="1:8">
      <c r="A42" t="s">
        <v>2854</v>
      </c>
      <c r="B42">
        <v>20203696</v>
      </c>
      <c r="C42">
        <v>20122262</v>
      </c>
      <c r="D42">
        <v>19835345</v>
      </c>
      <c r="E42">
        <v>19713025</v>
      </c>
      <c r="F42">
        <v>19786543</v>
      </c>
      <c r="G42">
        <v>20001419</v>
      </c>
      <c r="H42">
        <v>20002427</v>
      </c>
    </row>
    <row r="43" spans="1:8">
      <c r="A43" t="s">
        <v>2855</v>
      </c>
      <c r="B43">
        <v>10441392</v>
      </c>
      <c r="C43">
        <v>10450215</v>
      </c>
      <c r="D43">
        <v>10565503</v>
      </c>
      <c r="E43">
        <v>10705768</v>
      </c>
      <c r="F43">
        <v>10871849</v>
      </c>
      <c r="G43">
        <v>11052061</v>
      </c>
      <c r="H43">
        <v>11197968</v>
      </c>
    </row>
    <row r="44" spans="1:8">
      <c r="A44" t="s">
        <v>2856</v>
      </c>
      <c r="B44">
        <v>779136</v>
      </c>
      <c r="C44">
        <v>779612</v>
      </c>
      <c r="D44">
        <v>777977</v>
      </c>
      <c r="E44">
        <v>780191</v>
      </c>
      <c r="F44">
        <v>787071</v>
      </c>
      <c r="G44">
        <v>793387</v>
      </c>
      <c r="H44">
        <v>799358</v>
      </c>
    </row>
    <row r="45" spans="1:8">
      <c r="A45" t="s">
        <v>2857</v>
      </c>
      <c r="B45">
        <v>11799445</v>
      </c>
      <c r="C45">
        <v>11798534</v>
      </c>
      <c r="D45">
        <v>11761443</v>
      </c>
      <c r="E45">
        <v>11764950</v>
      </c>
      <c r="F45">
        <v>11808390</v>
      </c>
      <c r="G45">
        <v>11860621</v>
      </c>
      <c r="H45">
        <v>11900510</v>
      </c>
    </row>
    <row r="46" spans="1:8">
      <c r="A46" t="s">
        <v>2858</v>
      </c>
      <c r="B46">
        <v>3959354</v>
      </c>
      <c r="C46">
        <v>3965243</v>
      </c>
      <c r="D46">
        <v>3992760</v>
      </c>
      <c r="E46">
        <v>4025327</v>
      </c>
      <c r="F46">
        <v>4062716</v>
      </c>
      <c r="G46">
        <v>4097758</v>
      </c>
      <c r="H46">
        <v>4123288</v>
      </c>
    </row>
    <row r="47" spans="1:8">
      <c r="A47" t="s">
        <v>2859</v>
      </c>
      <c r="B47">
        <v>4237282</v>
      </c>
      <c r="C47">
        <v>4243544</v>
      </c>
      <c r="D47">
        <v>4254691</v>
      </c>
      <c r="E47">
        <v>4245964</v>
      </c>
      <c r="F47">
        <v>4250392</v>
      </c>
      <c r="G47">
        <v>4265324</v>
      </c>
      <c r="H47">
        <v>4273586</v>
      </c>
    </row>
    <row r="48" spans="1:8">
      <c r="A48" t="s">
        <v>2860</v>
      </c>
      <c r="B48">
        <v>13002753</v>
      </c>
      <c r="C48">
        <v>12995576</v>
      </c>
      <c r="D48">
        <v>13016628</v>
      </c>
      <c r="E48">
        <v>12984655</v>
      </c>
      <c r="F48">
        <v>13009406</v>
      </c>
      <c r="G48">
        <v>13045848</v>
      </c>
      <c r="H48">
        <v>13059432</v>
      </c>
    </row>
    <row r="49" spans="1:8">
      <c r="A49" t="s">
        <v>2861</v>
      </c>
      <c r="B49">
        <v>1097357</v>
      </c>
      <c r="C49">
        <v>1096487</v>
      </c>
      <c r="D49">
        <v>1097381</v>
      </c>
      <c r="E49">
        <v>1098275</v>
      </c>
      <c r="F49">
        <v>1101183</v>
      </c>
      <c r="G49">
        <v>1110415</v>
      </c>
      <c r="H49">
        <v>1114521</v>
      </c>
    </row>
    <row r="50" spans="1:8">
      <c r="A50" t="s">
        <v>2862</v>
      </c>
      <c r="B50">
        <v>5118250</v>
      </c>
      <c r="C50">
        <v>5131992</v>
      </c>
      <c r="D50">
        <v>5194346</v>
      </c>
      <c r="E50">
        <v>5288957</v>
      </c>
      <c r="F50">
        <v>5390798</v>
      </c>
      <c r="G50">
        <v>5490316</v>
      </c>
      <c r="H50">
        <v>5570274</v>
      </c>
    </row>
    <row r="51" spans="1:8">
      <c r="A51" t="s">
        <v>2863</v>
      </c>
      <c r="B51">
        <v>886656</v>
      </c>
      <c r="C51">
        <v>887808</v>
      </c>
      <c r="D51">
        <v>896303</v>
      </c>
      <c r="E51">
        <v>909156</v>
      </c>
      <c r="F51">
        <v>917739</v>
      </c>
      <c r="G51">
        <v>927110</v>
      </c>
      <c r="H51">
        <v>935094</v>
      </c>
    </row>
    <row r="52" spans="1:8">
      <c r="A52" t="s">
        <v>2864</v>
      </c>
      <c r="B52">
        <v>6912319</v>
      </c>
      <c r="C52">
        <v>6927736</v>
      </c>
      <c r="D52">
        <v>6966687</v>
      </c>
      <c r="E52">
        <v>7063325</v>
      </c>
      <c r="F52">
        <v>7153029</v>
      </c>
      <c r="G52">
        <v>7251291</v>
      </c>
      <c r="H52">
        <v>7315076</v>
      </c>
    </row>
    <row r="53" spans="1:8">
      <c r="A53" t="s">
        <v>2865</v>
      </c>
      <c r="B53">
        <v>29149498</v>
      </c>
      <c r="C53">
        <v>29237895</v>
      </c>
      <c r="D53">
        <v>29572672</v>
      </c>
      <c r="E53">
        <v>30118002</v>
      </c>
      <c r="F53">
        <v>30719247</v>
      </c>
      <c r="G53">
        <v>31318578</v>
      </c>
      <c r="H53">
        <v>31709821</v>
      </c>
    </row>
    <row r="54" spans="1:8">
      <c r="A54" t="s">
        <v>2866</v>
      </c>
      <c r="B54">
        <v>3271601</v>
      </c>
      <c r="C54">
        <v>3283970</v>
      </c>
      <c r="D54">
        <v>3339874</v>
      </c>
      <c r="E54">
        <v>3393928</v>
      </c>
      <c r="F54">
        <v>3449259</v>
      </c>
      <c r="G54">
        <v>3502983</v>
      </c>
      <c r="H54">
        <v>3538904</v>
      </c>
    </row>
    <row r="55" spans="1:8">
      <c r="A55" t="s">
        <v>2867</v>
      </c>
      <c r="B55">
        <v>643077</v>
      </c>
      <c r="C55">
        <v>642965</v>
      </c>
      <c r="D55">
        <v>647238</v>
      </c>
      <c r="E55">
        <v>647614</v>
      </c>
      <c r="F55">
        <v>647722</v>
      </c>
      <c r="G55">
        <v>646521</v>
      </c>
      <c r="H55">
        <v>644663</v>
      </c>
    </row>
    <row r="56" spans="1:8">
      <c r="A56" t="s">
        <v>2868</v>
      </c>
      <c r="B56">
        <v>8631419</v>
      </c>
      <c r="C56">
        <v>8637303</v>
      </c>
      <c r="D56">
        <v>8660007</v>
      </c>
      <c r="E56">
        <v>8681038</v>
      </c>
      <c r="F56">
        <v>8732034</v>
      </c>
      <c r="G56">
        <v>8819642</v>
      </c>
      <c r="H56">
        <v>8880107</v>
      </c>
    </row>
    <row r="57" spans="1:8">
      <c r="A57" t="s">
        <v>2869</v>
      </c>
      <c r="B57">
        <v>7707519</v>
      </c>
      <c r="C57">
        <v>7726812</v>
      </c>
      <c r="D57">
        <v>7744316</v>
      </c>
      <c r="E57">
        <v>7786828</v>
      </c>
      <c r="F57">
        <v>7838655</v>
      </c>
      <c r="G57">
        <v>7927958</v>
      </c>
      <c r="H57">
        <v>8001020</v>
      </c>
    </row>
    <row r="58" spans="1:8">
      <c r="A58" t="s">
        <v>2870</v>
      </c>
      <c r="B58">
        <v>1793759</v>
      </c>
      <c r="C58">
        <v>1791670</v>
      </c>
      <c r="D58">
        <v>1785921</v>
      </c>
      <c r="E58">
        <v>1774003</v>
      </c>
      <c r="F58">
        <v>1770036</v>
      </c>
      <c r="G58">
        <v>1767402</v>
      </c>
      <c r="H58">
        <v>1766147</v>
      </c>
    </row>
    <row r="59" spans="1:8">
      <c r="A59" t="s">
        <v>2871</v>
      </c>
      <c r="B59">
        <v>5894323</v>
      </c>
      <c r="C59">
        <v>5897371</v>
      </c>
      <c r="D59">
        <v>5882128</v>
      </c>
      <c r="E59">
        <v>5903472</v>
      </c>
      <c r="F59">
        <v>5930350</v>
      </c>
      <c r="G59">
        <v>5957168</v>
      </c>
      <c r="H59">
        <v>5972787</v>
      </c>
    </row>
    <row r="60" spans="1:8">
      <c r="A60" t="s">
        <v>2872</v>
      </c>
      <c r="B60">
        <v>576872</v>
      </c>
      <c r="C60">
        <v>577669</v>
      </c>
      <c r="D60">
        <v>579662</v>
      </c>
      <c r="E60">
        <v>581742</v>
      </c>
      <c r="F60">
        <v>584666</v>
      </c>
      <c r="G60">
        <v>586722</v>
      </c>
      <c r="H60">
        <v>588753</v>
      </c>
    </row>
    <row r="62" spans="1:8">
      <c r="A62" t="s">
        <v>2873</v>
      </c>
      <c r="B62">
        <v>3285874</v>
      </c>
      <c r="C62">
        <v>3281591</v>
      </c>
      <c r="D62">
        <v>3262731</v>
      </c>
      <c r="E62">
        <v>3220148</v>
      </c>
      <c r="F62">
        <v>3203794</v>
      </c>
      <c r="G62">
        <v>3202521</v>
      </c>
      <c r="H62">
        <v>3184835</v>
      </c>
    </row>
    <row r="63" spans="1:8">
      <c r="A63" t="s">
        <v>2874</v>
      </c>
    </row>
    <row r="64" spans="1:8">
      <c r="A64" t="s">
        <v>2875</v>
      </c>
    </row>
    <row r="65" spans="1:1">
      <c r="A65" t="s">
        <v>2876</v>
      </c>
    </row>
    <row r="66" spans="1:1">
      <c r="A66" t="s">
        <v>2877</v>
      </c>
    </row>
    <row r="67" spans="1:1">
      <c r="A67" t="s">
        <v>2878</v>
      </c>
    </row>
    <row r="68" spans="1:1">
      <c r="A68" t="s">
        <v>2879</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DB3FF-0DA0-4CF4-8F68-C7248A44CFF5}">
  <dimension ref="A1:AD22"/>
  <sheetViews>
    <sheetView workbookViewId="0">
      <selection activeCell="H12" sqref="H12"/>
    </sheetView>
  </sheetViews>
  <sheetFormatPr defaultColWidth="9.1328125" defaultRowHeight="14.25"/>
  <cols>
    <col min="4" max="4" width="11" bestFit="1" customWidth="1"/>
    <col min="5" max="6" width="12" bestFit="1" customWidth="1"/>
  </cols>
  <sheetData>
    <row r="1" spans="1:30" s="37" customFormat="1">
      <c r="A1" s="37" t="s">
        <v>2024</v>
      </c>
    </row>
    <row r="2" spans="1:30">
      <c r="B2" s="1" t="s">
        <v>142</v>
      </c>
      <c r="C2">
        <v>2023</v>
      </c>
      <c r="D2">
        <v>2024</v>
      </c>
      <c r="E2">
        <v>2025</v>
      </c>
      <c r="F2">
        <v>2026</v>
      </c>
      <c r="G2">
        <v>2027</v>
      </c>
      <c r="H2">
        <v>2028</v>
      </c>
      <c r="I2">
        <v>2029</v>
      </c>
      <c r="J2">
        <v>2030</v>
      </c>
      <c r="K2">
        <v>2031</v>
      </c>
      <c r="L2">
        <v>2032</v>
      </c>
      <c r="M2">
        <v>2033</v>
      </c>
      <c r="N2">
        <v>2034</v>
      </c>
      <c r="O2">
        <v>2035</v>
      </c>
      <c r="P2">
        <v>2036</v>
      </c>
      <c r="Q2">
        <v>2037</v>
      </c>
      <c r="R2">
        <v>2038</v>
      </c>
      <c r="S2">
        <v>2039</v>
      </c>
      <c r="T2">
        <v>2040</v>
      </c>
      <c r="U2">
        <v>2041</v>
      </c>
      <c r="V2">
        <v>2042</v>
      </c>
      <c r="W2">
        <v>2043</v>
      </c>
      <c r="X2">
        <v>2044</v>
      </c>
      <c r="Y2">
        <v>2045</v>
      </c>
      <c r="Z2">
        <v>2046</v>
      </c>
      <c r="AA2">
        <v>2047</v>
      </c>
      <c r="AB2">
        <v>2048</v>
      </c>
      <c r="AC2">
        <v>2049</v>
      </c>
      <c r="AD2">
        <v>2050</v>
      </c>
    </row>
    <row r="3" spans="1:30">
      <c r="B3" t="s">
        <v>120</v>
      </c>
      <c r="C3">
        <v>1</v>
      </c>
      <c r="D3">
        <f>INDEX('AEO 2025 Table 7'!9:9,MATCH(D2,'AEO 2025 Table 7'!5:5,0))/INDEX('AEO 2025 Table 7'!9:9,MATCH($D$2,'AEO 2025 Table 7'!5:5,0))</f>
        <v>1</v>
      </c>
      <c r="E3">
        <f>INDEX('AEO 2026 Table 7 raw'!15:15,MATCH(E2,'AEO 2026 Table 7 raw'!10:10,0))/INDEX('AEO 2026 Table 7 raw'!15:15,MATCH($E$2,'AEO 2026 Table 7 raw'!10:10,0))</f>
        <v>1</v>
      </c>
      <c r="F3">
        <f>INDEX('AEO 2026 Table 7 raw'!15:15,MATCH(F2,'AEO 2026 Table 7 raw'!10:10,0))/INDEX('AEO 2026 Table 7 raw'!15:15,MATCH($E$2,'AEO 2026 Table 7 raw'!10:10,0))</f>
        <v>1.0072233198263194</v>
      </c>
      <c r="G3">
        <f>INDEX('AEO 2026 Table 7 raw'!15:15,MATCH(G2,'AEO 2026 Table 7 raw'!10:10,0))/INDEX('AEO 2026 Table 7 raw'!15:15,MATCH($E$2,'AEO 2026 Table 7 raw'!10:10,0))</f>
        <v>1.0158864775375587</v>
      </c>
      <c r="H3">
        <f>INDEX('AEO 2026 Table 7 raw'!15:15,MATCH(H2,'AEO 2026 Table 7 raw'!10:10,0))/INDEX('AEO 2026 Table 7 raw'!15:15,MATCH($E$2,'AEO 2026 Table 7 raw'!10:10,0))</f>
        <v>1.0214719356128747</v>
      </c>
      <c r="I3">
        <f>INDEX('AEO 2026 Table 7 raw'!15:15,MATCH(I2,'AEO 2026 Table 7 raw'!10:10,0))/INDEX('AEO 2026 Table 7 raw'!15:15,MATCH($E$2,'AEO 2026 Table 7 raw'!10:10,0))</f>
        <v>1.0266537032309233</v>
      </c>
      <c r="J3">
        <f>INDEX('AEO 2026 Table 7 raw'!15:15,MATCH(J2,'AEO 2026 Table 7 raw'!10:10,0))/INDEX('AEO 2026 Table 7 raw'!15:15,MATCH($E$2,'AEO 2026 Table 7 raw'!10:10,0))</f>
        <v>1.0310951569940252</v>
      </c>
      <c r="K3">
        <f>INDEX('AEO 2026 Table 7 raw'!15:15,MATCH(K2,'AEO 2026 Table 7 raw'!10:10,0))/INDEX('AEO 2026 Table 7 raw'!15:15,MATCH($E$2,'AEO 2026 Table 7 raw'!10:10,0))</f>
        <v>1.0350232600756664</v>
      </c>
      <c r="L3">
        <f>INDEX('AEO 2026 Table 7 raw'!15:15,MATCH(L2,'AEO 2026 Table 7 raw'!10:10,0))/INDEX('AEO 2026 Table 7 raw'!15:15,MATCH($E$2,'AEO 2026 Table 7 raw'!10:10,0))</f>
        <v>1.0391198466027787</v>
      </c>
      <c r="M3">
        <f>INDEX('AEO 2026 Table 7 raw'!15:15,MATCH(M2,'AEO 2026 Table 7 raw'!10:10,0))/INDEX('AEO 2026 Table 7 raw'!15:15,MATCH($E$2,'AEO 2026 Table 7 raw'!10:10,0))</f>
        <v>1.0418110304445807</v>
      </c>
      <c r="N3">
        <f>INDEX('AEO 2026 Table 7 raw'!15:15,MATCH(N2,'AEO 2026 Table 7 raw'!10:10,0))/INDEX('AEO 2026 Table 7 raw'!15:15,MATCH($E$2,'AEO 2026 Table 7 raw'!10:10,0))</f>
        <v>1.0451077929089423</v>
      </c>
      <c r="O3">
        <f>INDEX('AEO 2026 Table 7 raw'!15:15,MATCH(O2,'AEO 2026 Table 7 raw'!10:10,0))/INDEX('AEO 2026 Table 7 raw'!15:15,MATCH($E$2,'AEO 2026 Table 7 raw'!10:10,0))</f>
        <v>1.0475481407954841</v>
      </c>
      <c r="P3">
        <f>INDEX('AEO 2026 Table 7 raw'!15:15,MATCH(P2,'AEO 2026 Table 7 raw'!10:10,0))/INDEX('AEO 2026 Table 7 raw'!15:15,MATCH($E$2,'AEO 2026 Table 7 raw'!10:10,0))</f>
        <v>1.0506947967039417</v>
      </c>
      <c r="Q3">
        <f>INDEX('AEO 2026 Table 7 raw'!15:15,MATCH(Q2,'AEO 2026 Table 7 raw'!10:10,0))/INDEX('AEO 2026 Table 7 raw'!15:15,MATCH($E$2,'AEO 2026 Table 7 raw'!10:10,0))</f>
        <v>1.0542815533555385</v>
      </c>
      <c r="R3">
        <f>INDEX('AEO 2026 Table 7 raw'!15:15,MATCH(R2,'AEO 2026 Table 7 raw'!10:10,0))/INDEX('AEO 2026 Table 7 raw'!15:15,MATCH($E$2,'AEO 2026 Table 7 raw'!10:10,0))</f>
        <v>1.0579271332284133</v>
      </c>
      <c r="S3">
        <f>INDEX('AEO 2026 Table 7 raw'!15:15,MATCH(S2,'AEO 2026 Table 7 raw'!10:10,0))/INDEX('AEO 2026 Table 7 raw'!15:15,MATCH($E$2,'AEO 2026 Table 7 raw'!10:10,0))</f>
        <v>1.0609620679531004</v>
      </c>
      <c r="T3">
        <f>INDEX('AEO 2026 Table 7 raw'!15:15,MATCH(T2,'AEO 2026 Table 7 raw'!10:10,0))/INDEX('AEO 2026 Table 7 raw'!15:15,MATCH($E$2,'AEO 2026 Table 7 raw'!10:10,0))</f>
        <v>1.0642022399023929</v>
      </c>
      <c r="U3">
        <f>INDEX('AEO 2026 Table 7 raw'!15:15,MATCH(U2,'AEO 2026 Table 7 raw'!10:10,0))/INDEX('AEO 2026 Table 7 raw'!15:15,MATCH($E$2,'AEO 2026 Table 7 raw'!10:10,0))</f>
        <v>1.0665870277536544</v>
      </c>
      <c r="V3">
        <f>INDEX('AEO 2026 Table 7 raw'!15:15,MATCH(V2,'AEO 2026 Table 7 raw'!10:10,0))/INDEX('AEO 2026 Table 7 raw'!15:15,MATCH($E$2,'AEO 2026 Table 7 raw'!10:10,0))</f>
        <v>1.0688455818307865</v>
      </c>
      <c r="W3">
        <f>INDEX('AEO 2026 Table 7 raw'!15:15,MATCH(W2,'AEO 2026 Table 7 raw'!10:10,0))/INDEX('AEO 2026 Table 7 raw'!15:15,MATCH($E$2,'AEO 2026 Table 7 raw'!10:10,0))</f>
        <v>1.0707578088255614</v>
      </c>
      <c r="X3">
        <f>INDEX('AEO 2026 Table 7 raw'!15:15,MATCH(X2,'AEO 2026 Table 7 raw'!10:10,0))/INDEX('AEO 2026 Table 7 raw'!15:15,MATCH($E$2,'AEO 2026 Table 7 raw'!10:10,0))</f>
        <v>1.072900691546399</v>
      </c>
      <c r="Y3">
        <f>INDEX('AEO 2026 Table 7 raw'!15:15,MATCH(Y2,'AEO 2026 Table 7 raw'!10:10,0))/INDEX('AEO 2026 Table 7 raw'!15:15,MATCH($E$2,'AEO 2026 Table 7 raw'!10:10,0))</f>
        <v>1.0748167828403818</v>
      </c>
      <c r="Z3">
        <f>INDEX('AEO 2026 Table 7 raw'!15:15,MATCH(Z2,'AEO 2026 Table 7 raw'!10:10,0))/INDEX('AEO 2026 Table 7 raw'!15:15,MATCH($E$2,'AEO 2026 Table 7 raw'!10:10,0))</f>
        <v>1.0764562761843841</v>
      </c>
      <c r="AA3">
        <f>INDEX('AEO 2026 Table 7 raw'!15:15,MATCH(AA2,'AEO 2026 Table 7 raw'!10:10,0))/INDEX('AEO 2026 Table 7 raw'!15:15,MATCH($E$2,'AEO 2026 Table 7 raw'!10:10,0))</f>
        <v>1.0772840090747484</v>
      </c>
      <c r="AB3">
        <f>INDEX('AEO 2026 Table 7 raw'!15:15,MATCH(AB2,'AEO 2026 Table 7 raw'!10:10,0))/INDEX('AEO 2026 Table 7 raw'!15:15,MATCH($E$2,'AEO 2026 Table 7 raw'!10:10,0))</f>
        <v>1.078237803992611</v>
      </c>
      <c r="AC3">
        <f>INDEX('AEO 2026 Table 7 raw'!15:15,MATCH(AC2,'AEO 2026 Table 7 raw'!10:10,0))/INDEX('AEO 2026 Table 7 raw'!15:15,MATCH($E$2,'AEO 2026 Table 7 raw'!10:10,0))</f>
        <v>1.0789479763137351</v>
      </c>
      <c r="AD3">
        <f>INDEX('AEO 2026 Table 7 raw'!15:15,MATCH(AD2,'AEO 2026 Table 7 raw'!10:10,0))/INDEX('AEO 2026 Table 7 raw'!15:15,MATCH($E$2,'AEO 2026 Table 7 raw'!10:10,0))</f>
        <v>1.0800628695719154</v>
      </c>
    </row>
    <row r="4" spans="1:30">
      <c r="B4" t="s">
        <v>118</v>
      </c>
      <c r="C4">
        <v>1</v>
      </c>
      <c r="D4">
        <f>INDEX('AEO 2025 Table 7'!13:13,MATCH(D2,'AEO 2025 Table 7'!5:5,0))/INDEX('AEO 2025 Table 7'!13:13,MATCH($D$2,'AEO 2025 Table 7'!5:5,0))</f>
        <v>1</v>
      </c>
      <c r="E4">
        <f>INDEX('AEO 2026 Table 7 raw'!19:19,MATCH(E2,'AEO 2026 Table 7 raw'!10:10,0))/INDEX('AEO 2026 Table 7 raw'!19:19,MATCH($E$2,'AEO 2026 Table 7 raw'!10:10,0))</f>
        <v>1</v>
      </c>
      <c r="F4">
        <f>INDEX('AEO 2026 Table 7 raw'!19:19,MATCH(F2,'AEO 2026 Table 7 raw'!10:10,0))/INDEX('AEO 2026 Table 7 raw'!19:19,MATCH($E$2,'AEO 2026 Table 7 raw'!10:10,0))</f>
        <v>1.0190449788365823</v>
      </c>
      <c r="G4">
        <f>INDEX('AEO 2026 Table 7 raw'!19:19,MATCH(G2,'AEO 2026 Table 7 raw'!10:10,0))/INDEX('AEO 2026 Table 7 raw'!19:19,MATCH($E$2,'AEO 2026 Table 7 raw'!10:10,0))</f>
        <v>1.0323155590215847</v>
      </c>
      <c r="H4">
        <f>INDEX('AEO 2026 Table 7 raw'!19:19,MATCH(H2,'AEO 2026 Table 7 raw'!10:10,0))/INDEX('AEO 2026 Table 7 raw'!19:19,MATCH($E$2,'AEO 2026 Table 7 raw'!10:10,0))</f>
        <v>1.0421306038760074</v>
      </c>
      <c r="I4">
        <f>INDEX('AEO 2026 Table 7 raw'!19:19,MATCH(I2,'AEO 2026 Table 7 raw'!10:10,0))/INDEX('AEO 2026 Table 7 raw'!19:19,MATCH($E$2,'AEO 2026 Table 7 raw'!10:10,0))</f>
        <v>1.0507403046071295</v>
      </c>
      <c r="J4">
        <f>INDEX('AEO 2026 Table 7 raw'!19:19,MATCH(J2,'AEO 2026 Table 7 raw'!10:10,0))/INDEX('AEO 2026 Table 7 raw'!19:19,MATCH($E$2,'AEO 2026 Table 7 raw'!10:10,0))</f>
        <v>1.057946508092912</v>
      </c>
      <c r="K4">
        <f>INDEX('AEO 2026 Table 7 raw'!19:19,MATCH(K2,'AEO 2026 Table 7 raw'!10:10,0))/INDEX('AEO 2026 Table 7 raw'!19:19,MATCH($E$2,'AEO 2026 Table 7 raw'!10:10,0))</f>
        <v>1.0635888046631334</v>
      </c>
      <c r="L4">
        <f>INDEX('AEO 2026 Table 7 raw'!19:19,MATCH(L2,'AEO 2026 Table 7 raw'!10:10,0))/INDEX('AEO 2026 Table 7 raw'!19:19,MATCH($E$2,'AEO 2026 Table 7 raw'!10:10,0))</f>
        <v>1.0688166222161797</v>
      </c>
      <c r="M4">
        <f>INDEX('AEO 2026 Table 7 raw'!19:19,MATCH(M2,'AEO 2026 Table 7 raw'!10:10,0))/INDEX('AEO 2026 Table 7 raw'!19:19,MATCH($E$2,'AEO 2026 Table 7 raw'!10:10,0))</f>
        <v>1.0745398225743237</v>
      </c>
      <c r="N4">
        <f>INDEX('AEO 2026 Table 7 raw'!19:19,MATCH(N2,'AEO 2026 Table 7 raw'!10:10,0))/INDEX('AEO 2026 Table 7 raw'!19:19,MATCH($E$2,'AEO 2026 Table 7 raw'!10:10,0))</f>
        <v>1.0798008403859127</v>
      </c>
      <c r="O4">
        <f>INDEX('AEO 2026 Table 7 raw'!19:19,MATCH(O2,'AEO 2026 Table 7 raw'!10:10,0))/INDEX('AEO 2026 Table 7 raw'!19:19,MATCH($E$2,'AEO 2026 Table 7 raw'!10:10,0))</f>
        <v>1.0853974429160866</v>
      </c>
      <c r="P4">
        <f>INDEX('AEO 2026 Table 7 raw'!19:19,MATCH(P2,'AEO 2026 Table 7 raw'!10:10,0))/INDEX('AEO 2026 Table 7 raw'!19:19,MATCH($E$2,'AEO 2026 Table 7 raw'!10:10,0))</f>
        <v>1.090214887799726</v>
      </c>
      <c r="Q4">
        <f>INDEX('AEO 2026 Table 7 raw'!19:19,MATCH(Q2,'AEO 2026 Table 7 raw'!10:10,0))/INDEX('AEO 2026 Table 7 raw'!19:19,MATCH($E$2,'AEO 2026 Table 7 raw'!10:10,0))</f>
        <v>1.0951717737692446</v>
      </c>
      <c r="R4">
        <f>INDEX('AEO 2026 Table 7 raw'!19:19,MATCH(R2,'AEO 2026 Table 7 raw'!10:10,0))/INDEX('AEO 2026 Table 7 raw'!19:19,MATCH($E$2,'AEO 2026 Table 7 raw'!10:10,0))</f>
        <v>1.0996301316460146</v>
      </c>
      <c r="S4">
        <f>INDEX('AEO 2026 Table 7 raw'!19:19,MATCH(S2,'AEO 2026 Table 7 raw'!10:10,0))/INDEX('AEO 2026 Table 7 raw'!19:19,MATCH($E$2,'AEO 2026 Table 7 raw'!10:10,0))</f>
        <v>1.104072850453629</v>
      </c>
      <c r="T4">
        <f>INDEX('AEO 2026 Table 7 raw'!19:19,MATCH(T2,'AEO 2026 Table 7 raw'!10:10,0))/INDEX('AEO 2026 Table 7 raw'!19:19,MATCH($E$2,'AEO 2026 Table 7 raw'!10:10,0))</f>
        <v>1.1084681278391679</v>
      </c>
      <c r="U4">
        <f>INDEX('AEO 2026 Table 7 raw'!19:19,MATCH(U2,'AEO 2026 Table 7 raw'!10:10,0))/INDEX('AEO 2026 Table 7 raw'!19:19,MATCH($E$2,'AEO 2026 Table 7 raw'!10:10,0))</f>
        <v>1.1120982266344004</v>
      </c>
      <c r="V4">
        <f>INDEX('AEO 2026 Table 7 raw'!19:19,MATCH(V2,'AEO 2026 Table 7 raw'!10:10,0))/INDEX('AEO 2026 Table 7 raw'!19:19,MATCH($E$2,'AEO 2026 Table 7 raw'!10:10,0))</f>
        <v>1.1156849903553248</v>
      </c>
      <c r="W4">
        <f>INDEX('AEO 2026 Table 7 raw'!19:19,MATCH(W2,'AEO 2026 Table 7 raw'!10:10,0))/INDEX('AEO 2026 Table 7 raw'!19:19,MATCH($E$2,'AEO 2026 Table 7 raw'!10:10,0))</f>
        <v>1.1189368683104755</v>
      </c>
      <c r="X4">
        <f>INDEX('AEO 2026 Table 7 raw'!19:19,MATCH(X2,'AEO 2026 Table 7 raw'!10:10,0))/INDEX('AEO 2026 Table 7 raw'!19:19,MATCH($E$2,'AEO 2026 Table 7 raw'!10:10,0))</f>
        <v>1.1220701863949882</v>
      </c>
      <c r="Y4">
        <f>INDEX('AEO 2026 Table 7 raw'!19:19,MATCH(Y2,'AEO 2026 Table 7 raw'!10:10,0))/INDEX('AEO 2026 Table 7 raw'!19:19,MATCH($E$2,'AEO 2026 Table 7 raw'!10:10,0))</f>
        <v>1.1250920215060789</v>
      </c>
      <c r="Z4">
        <f>INDEX('AEO 2026 Table 7 raw'!19:19,MATCH(Z2,'AEO 2026 Table 7 raw'!10:10,0))/INDEX('AEO 2026 Table 7 raw'!19:19,MATCH($E$2,'AEO 2026 Table 7 raw'!10:10,0))</f>
        <v>1.1277228798882792</v>
      </c>
      <c r="AA4">
        <f>INDEX('AEO 2026 Table 7 raw'!19:19,MATCH(AA2,'AEO 2026 Table 7 raw'!10:10,0))/INDEX('AEO 2026 Table 7 raw'!19:19,MATCH($E$2,'AEO 2026 Table 7 raw'!10:10,0))</f>
        <v>1.1302394594858116</v>
      </c>
      <c r="AB4">
        <f>INDEX('AEO 2026 Table 7 raw'!19:19,MATCH(AB2,'AEO 2026 Table 7 raw'!10:10,0))/INDEX('AEO 2026 Table 7 raw'!19:19,MATCH($E$2,'AEO 2026 Table 7 raw'!10:10,0))</f>
        <v>1.132368906594917</v>
      </c>
      <c r="AC4">
        <f>INDEX('AEO 2026 Table 7 raw'!19:19,MATCH(AC2,'AEO 2026 Table 7 raw'!10:10,0))/INDEX('AEO 2026 Table 7 raw'!19:19,MATCH($E$2,'AEO 2026 Table 7 raw'!10:10,0))</f>
        <v>1.1343181112477754</v>
      </c>
      <c r="AD4">
        <f>INDEX('AEO 2026 Table 7 raw'!19:19,MATCH(AD2,'AEO 2026 Table 7 raw'!10:10,0))/INDEX('AEO 2026 Table 7 raw'!19:19,MATCH($E$2,'AEO 2026 Table 7 raw'!10:10,0))</f>
        <v>1.1361936637481307</v>
      </c>
    </row>
    <row r="5" spans="1:30">
      <c r="B5" t="s">
        <v>116</v>
      </c>
      <c r="C5">
        <v>1</v>
      </c>
      <c r="D5">
        <f>INDEX('AEO 2025 Table 7'!16:16,MATCH(D2,'AEO 2025 Table 7'!5:5,0))/INDEX('AEO 2025 Table 7'!16:16,MATCH($D$2,'AEO 2025 Table 7'!5:5,0))</f>
        <v>1</v>
      </c>
      <c r="E5">
        <f>INDEX('AEO 2026 Table 7 raw'!22:22,MATCH(E2,'AEO 2026 Table 7 raw'!10:10,0))/INDEX('AEO 2026 Table 7 raw'!22:22,MATCH($E$2,'AEO 2026 Table 7 raw'!10:10,0))</f>
        <v>1</v>
      </c>
      <c r="F5">
        <f>INDEX('AEO 2026 Table 7 raw'!22:22,MATCH(F2,'AEO 2026 Table 7 raw'!10:10,0))/INDEX('AEO 2026 Table 7 raw'!22:22,MATCH($E$2,'AEO 2026 Table 7 raw'!10:10,0))</f>
        <v>1.032477399740966</v>
      </c>
      <c r="G5">
        <f>INDEX('AEO 2026 Table 7 raw'!22:22,MATCH(G2,'AEO 2026 Table 7 raw'!10:10,0))/INDEX('AEO 2026 Table 7 raw'!22:22,MATCH($E$2,'AEO 2026 Table 7 raw'!10:10,0))</f>
        <v>1.0524095440255241</v>
      </c>
      <c r="H5">
        <f>INDEX('AEO 2026 Table 7 raw'!22:22,MATCH(H2,'AEO 2026 Table 7 raw'!10:10,0))/INDEX('AEO 2026 Table 7 raw'!22:22,MATCH($E$2,'AEO 2026 Table 7 raw'!10:10,0))</f>
        <v>1.0615640738975591</v>
      </c>
      <c r="I5">
        <f>INDEX('AEO 2026 Table 7 raw'!22:22,MATCH(I2,'AEO 2026 Table 7 raw'!10:10,0))/INDEX('AEO 2026 Table 7 raw'!22:22,MATCH($E$2,'AEO 2026 Table 7 raw'!10:10,0))</f>
        <v>1.0755797883225811</v>
      </c>
      <c r="J5">
        <f>INDEX('AEO 2026 Table 7 raw'!22:22,MATCH(J2,'AEO 2026 Table 7 raw'!10:10,0))/INDEX('AEO 2026 Table 7 raw'!22:22,MATCH($E$2,'AEO 2026 Table 7 raw'!10:10,0))</f>
        <v>1.0937832634471882</v>
      </c>
      <c r="K5">
        <f>INDEX('AEO 2026 Table 7 raw'!22:22,MATCH(K2,'AEO 2026 Table 7 raw'!10:10,0))/INDEX('AEO 2026 Table 7 raw'!22:22,MATCH($E$2,'AEO 2026 Table 7 raw'!10:10,0))</f>
        <v>1.1111440359626363</v>
      </c>
      <c r="L5">
        <f>INDEX('AEO 2026 Table 7 raw'!22:22,MATCH(L2,'AEO 2026 Table 7 raw'!10:10,0))/INDEX('AEO 2026 Table 7 raw'!22:22,MATCH($E$2,'AEO 2026 Table 7 raw'!10:10,0))</f>
        <v>1.1329588484374851</v>
      </c>
      <c r="M5">
        <f>INDEX('AEO 2026 Table 7 raw'!22:22,MATCH(M2,'AEO 2026 Table 7 raw'!10:10,0))/INDEX('AEO 2026 Table 7 raw'!22:22,MATCH($E$2,'AEO 2026 Table 7 raw'!10:10,0))</f>
        <v>1.1567433720328146</v>
      </c>
      <c r="N5">
        <f>INDEX('AEO 2026 Table 7 raw'!22:22,MATCH(N2,'AEO 2026 Table 7 raw'!10:10,0))/INDEX('AEO 2026 Table 7 raw'!22:22,MATCH($E$2,'AEO 2026 Table 7 raw'!10:10,0))</f>
        <v>1.1829731667419781</v>
      </c>
      <c r="O5">
        <f>INDEX('AEO 2026 Table 7 raw'!22:22,MATCH(O2,'AEO 2026 Table 7 raw'!10:10,0))/INDEX('AEO 2026 Table 7 raw'!22:22,MATCH($E$2,'AEO 2026 Table 7 raw'!10:10,0))</f>
        <v>1.2118570840927412</v>
      </c>
      <c r="P5">
        <f>INDEX('AEO 2026 Table 7 raw'!22:22,MATCH(P2,'AEO 2026 Table 7 raw'!10:10,0))/INDEX('AEO 2026 Table 7 raw'!22:22,MATCH($E$2,'AEO 2026 Table 7 raw'!10:10,0))</f>
        <v>1.233787610443229</v>
      </c>
      <c r="Q5">
        <f>INDEX('AEO 2026 Table 7 raw'!22:22,MATCH(Q2,'AEO 2026 Table 7 raw'!10:10,0))/INDEX('AEO 2026 Table 7 raw'!22:22,MATCH($E$2,'AEO 2026 Table 7 raw'!10:10,0))</f>
        <v>1.2558553967990178</v>
      </c>
      <c r="R5">
        <f>INDEX('AEO 2026 Table 7 raw'!22:22,MATCH(R2,'AEO 2026 Table 7 raw'!10:10,0))/INDEX('AEO 2026 Table 7 raw'!22:22,MATCH($E$2,'AEO 2026 Table 7 raw'!10:10,0))</f>
        <v>1.2777326157928492</v>
      </c>
      <c r="S5">
        <f>INDEX('AEO 2026 Table 7 raw'!22:22,MATCH(S2,'AEO 2026 Table 7 raw'!10:10,0))/INDEX('AEO 2026 Table 7 raw'!22:22,MATCH($E$2,'AEO 2026 Table 7 raw'!10:10,0))</f>
        <v>1.2986636935869105</v>
      </c>
      <c r="T5">
        <f>INDEX('AEO 2026 Table 7 raw'!22:22,MATCH(T2,'AEO 2026 Table 7 raw'!10:10,0))/INDEX('AEO 2026 Table 7 raw'!22:22,MATCH($E$2,'AEO 2026 Table 7 raw'!10:10,0))</f>
        <v>1.3201105908755659</v>
      </c>
      <c r="U5">
        <f>INDEX('AEO 2026 Table 7 raw'!22:22,MATCH(U2,'AEO 2026 Table 7 raw'!10:10,0))/INDEX('AEO 2026 Table 7 raw'!22:22,MATCH($E$2,'AEO 2026 Table 7 raw'!10:10,0))</f>
        <v>1.3402183661612797</v>
      </c>
      <c r="V5">
        <f>INDEX('AEO 2026 Table 7 raw'!22:22,MATCH(V2,'AEO 2026 Table 7 raw'!10:10,0))/INDEX('AEO 2026 Table 7 raw'!22:22,MATCH($E$2,'AEO 2026 Table 7 raw'!10:10,0))</f>
        <v>1.3614918643187852</v>
      </c>
      <c r="W5">
        <f>INDEX('AEO 2026 Table 7 raw'!22:22,MATCH(W2,'AEO 2026 Table 7 raw'!10:10,0))/INDEX('AEO 2026 Table 7 raw'!22:22,MATCH($E$2,'AEO 2026 Table 7 raw'!10:10,0))</f>
        <v>1.3841832866586365</v>
      </c>
      <c r="X5">
        <f>INDEX('AEO 2026 Table 7 raw'!22:22,MATCH(X2,'AEO 2026 Table 7 raw'!10:10,0))/INDEX('AEO 2026 Table 7 raw'!22:22,MATCH($E$2,'AEO 2026 Table 7 raw'!10:10,0))</f>
        <v>1.4068541071215195</v>
      </c>
      <c r="Y5">
        <f>INDEX('AEO 2026 Table 7 raw'!22:22,MATCH(Y2,'AEO 2026 Table 7 raw'!10:10,0))/INDEX('AEO 2026 Table 7 raw'!22:22,MATCH($E$2,'AEO 2026 Table 7 raw'!10:10,0))</f>
        <v>1.4297236498559927</v>
      </c>
      <c r="Z5">
        <f>INDEX('AEO 2026 Table 7 raw'!22:22,MATCH(Z2,'AEO 2026 Table 7 raw'!10:10,0))/INDEX('AEO 2026 Table 7 raw'!22:22,MATCH($E$2,'AEO 2026 Table 7 raw'!10:10,0))</f>
        <v>1.4516135733406219</v>
      </c>
      <c r="AA5">
        <f>INDEX('AEO 2026 Table 7 raw'!22:22,MATCH(AA2,'AEO 2026 Table 7 raw'!10:10,0))/INDEX('AEO 2026 Table 7 raw'!22:22,MATCH($E$2,'AEO 2026 Table 7 raw'!10:10,0))</f>
        <v>1.4715409105205546</v>
      </c>
      <c r="AB5">
        <f>INDEX('AEO 2026 Table 7 raw'!22:22,MATCH(AB2,'AEO 2026 Table 7 raw'!10:10,0))/INDEX('AEO 2026 Table 7 raw'!22:22,MATCH($E$2,'AEO 2026 Table 7 raw'!10:10,0))</f>
        <v>1.4917087746140925</v>
      </c>
      <c r="AC5">
        <f>INDEX('AEO 2026 Table 7 raw'!22:22,MATCH(AC2,'AEO 2026 Table 7 raw'!10:10,0))/INDEX('AEO 2026 Table 7 raw'!22:22,MATCH($E$2,'AEO 2026 Table 7 raw'!10:10,0))</f>
        <v>1.5108346987799568</v>
      </c>
      <c r="AD5">
        <f>INDEX('AEO 2026 Table 7 raw'!22:22,MATCH(AD2,'AEO 2026 Table 7 raw'!10:10,0))/INDEX('AEO 2026 Table 7 raw'!22:22,MATCH($E$2,'AEO 2026 Table 7 raw'!10:10,0))</f>
        <v>1.5305191054939713</v>
      </c>
    </row>
    <row r="6" spans="1:30">
      <c r="B6" t="s">
        <v>121</v>
      </c>
      <c r="C6">
        <v>1</v>
      </c>
      <c r="D6">
        <v>1</v>
      </c>
      <c r="E6" s="5">
        <f>INDEX('AEO 2026 Table 7 raw'!20:20,MATCH(E2,'AEO 2026 Table 7 raw'!10:10,0))/INDEX('AEO 2026 Table 7 raw'!20:20,MATCH($E$2,'AEO 2026 Table 7 raw'!10:10,0))</f>
        <v>1</v>
      </c>
      <c r="F6">
        <f>INDEX('AEO 2026 Table 7 raw'!20:20,MATCH(F2,'AEO 2026 Table 7 raw'!10:10,0))/INDEX('AEO 2026 Table 7 raw'!20:20,MATCH($E$2,'AEO 2026 Table 7 raw'!10:10,0))</f>
        <v>1.0648734346141118</v>
      </c>
      <c r="G6">
        <f>INDEX('AEO 2026 Table 7 raw'!20:20,MATCH(G2,'AEO 2026 Table 7 raw'!10:10,0))/INDEX('AEO 2026 Table 7 raw'!20:20,MATCH($E$2,'AEO 2026 Table 7 raw'!10:10,0))</f>
        <v>1.1134850518093471</v>
      </c>
      <c r="H6">
        <f>INDEX('AEO 2026 Table 7 raw'!20:20,MATCH(H2,'AEO 2026 Table 7 raw'!10:10,0))/INDEX('AEO 2026 Table 7 raw'!20:20,MATCH($E$2,'AEO 2026 Table 7 raw'!10:10,0))</f>
        <v>1.1506462997269236</v>
      </c>
      <c r="I6">
        <f>INDEX('AEO 2026 Table 7 raw'!20:20,MATCH(I2,'AEO 2026 Table 7 raw'!10:10,0))/INDEX('AEO 2026 Table 7 raw'!20:20,MATCH($E$2,'AEO 2026 Table 7 raw'!10:10,0))</f>
        <v>1.183058879722384</v>
      </c>
      <c r="J6">
        <f>INDEX('AEO 2026 Table 7 raw'!20:20,MATCH(J2,'AEO 2026 Table 7 raw'!10:10,0))/INDEX('AEO 2026 Table 7 raw'!20:20,MATCH($E$2,'AEO 2026 Table 7 raw'!10:10,0))</f>
        <v>1.2108931455141039</v>
      </c>
      <c r="K6">
        <f>INDEX('AEO 2026 Table 7 raw'!20:20,MATCH(K2,'AEO 2026 Table 7 raw'!10:10,0))/INDEX('AEO 2026 Table 7 raw'!20:20,MATCH($E$2,'AEO 2026 Table 7 raw'!10:10,0))</f>
        <v>1.2345255463271598</v>
      </c>
      <c r="L6">
        <f>INDEX('AEO 2026 Table 7 raw'!20:20,MATCH(L2,'AEO 2026 Table 7 raw'!10:10,0))/INDEX('AEO 2026 Table 7 raw'!20:20,MATCH($E$2,'AEO 2026 Table 7 raw'!10:10,0))</f>
        <v>1.2560120473035605</v>
      </c>
      <c r="M6">
        <f>INDEX('AEO 2026 Table 7 raw'!20:20,MATCH(M2,'AEO 2026 Table 7 raw'!10:10,0))/INDEX('AEO 2026 Table 7 raw'!20:20,MATCH($E$2,'AEO 2026 Table 7 raw'!10:10,0))</f>
        <v>1.2784251657467409</v>
      </c>
      <c r="N6">
        <f>INDEX('AEO 2026 Table 7 raw'!20:20,MATCH(N2,'AEO 2026 Table 7 raw'!10:10,0))/INDEX('AEO 2026 Table 7 raw'!20:20,MATCH($E$2,'AEO 2026 Table 7 raw'!10:10,0))</f>
        <v>1.2957967192751751</v>
      </c>
      <c r="O6">
        <f>INDEX('AEO 2026 Table 7 raw'!20:20,MATCH(O2,'AEO 2026 Table 7 raw'!10:10,0))/INDEX('AEO 2026 Table 7 raw'!20:20,MATCH($E$2,'AEO 2026 Table 7 raw'!10:10,0))</f>
        <v>1.3131794131012688</v>
      </c>
      <c r="P6">
        <f>INDEX('AEO 2026 Table 7 raw'!20:20,MATCH(P2,'AEO 2026 Table 7 raw'!10:10,0))/INDEX('AEO 2026 Table 7 raw'!20:20,MATCH($E$2,'AEO 2026 Table 7 raw'!10:10,0))</f>
        <v>1.3268421758672375</v>
      </c>
      <c r="Q6">
        <f>INDEX('AEO 2026 Table 7 raw'!20:20,MATCH(Q2,'AEO 2026 Table 7 raw'!10:10,0))/INDEX('AEO 2026 Table 7 raw'!20:20,MATCH($E$2,'AEO 2026 Table 7 raw'!10:10,0))</f>
        <v>1.3414179788622134</v>
      </c>
      <c r="R6">
        <f>INDEX('AEO 2026 Table 7 raw'!20:20,MATCH(R2,'AEO 2026 Table 7 raw'!10:10,0))/INDEX('AEO 2026 Table 7 raw'!20:20,MATCH($E$2,'AEO 2026 Table 7 raw'!10:10,0))</f>
        <v>1.3547107909100742</v>
      </c>
      <c r="S6">
        <f>INDEX('AEO 2026 Table 7 raw'!20:20,MATCH(S2,'AEO 2026 Table 7 raw'!10:10,0))/INDEX('AEO 2026 Table 7 raw'!20:20,MATCH($E$2,'AEO 2026 Table 7 raw'!10:10,0))</f>
        <v>1.3652879233139041</v>
      </c>
      <c r="T6">
        <f>INDEX('AEO 2026 Table 7 raw'!20:20,MATCH(T2,'AEO 2026 Table 7 raw'!10:10,0))/INDEX('AEO 2026 Table 7 raw'!20:20,MATCH($E$2,'AEO 2026 Table 7 raw'!10:10,0))</f>
        <v>1.3762506724794263</v>
      </c>
      <c r="U6">
        <f>INDEX('AEO 2026 Table 7 raw'!20:20,MATCH(U2,'AEO 2026 Table 7 raw'!10:10,0))/INDEX('AEO 2026 Table 7 raw'!20:20,MATCH($E$2,'AEO 2026 Table 7 raw'!10:10,0))</f>
        <v>1.3857035631777888</v>
      </c>
      <c r="V6">
        <f>INDEX('AEO 2026 Table 7 raw'!20:20,MATCH(V2,'AEO 2026 Table 7 raw'!10:10,0))/INDEX('AEO 2026 Table 7 raw'!20:20,MATCH($E$2,'AEO 2026 Table 7 raw'!10:10,0))</f>
        <v>1.3952048445441088</v>
      </c>
      <c r="W6">
        <f>INDEX('AEO 2026 Table 7 raw'!20:20,MATCH(W2,'AEO 2026 Table 7 raw'!10:10,0))/INDEX('AEO 2026 Table 7 raw'!20:20,MATCH($E$2,'AEO 2026 Table 7 raw'!10:10,0))</f>
        <v>1.4031384771491606</v>
      </c>
      <c r="X6">
        <f>INDEX('AEO 2026 Table 7 raw'!20:20,MATCH(X2,'AEO 2026 Table 7 raw'!10:10,0))/INDEX('AEO 2026 Table 7 raw'!20:20,MATCH($E$2,'AEO 2026 Table 7 raw'!10:10,0))</f>
        <v>1.4119216734955145</v>
      </c>
      <c r="Y6">
        <f>INDEX('AEO 2026 Table 7 raw'!20:20,MATCH(Y2,'AEO 2026 Table 7 raw'!10:10,0))/INDEX('AEO 2026 Table 7 raw'!20:20,MATCH($E$2,'AEO 2026 Table 7 raw'!10:10,0))</f>
        <v>1.4213966126996609</v>
      </c>
      <c r="Z6">
        <f>INDEX('AEO 2026 Table 7 raw'!20:20,MATCH(Z2,'AEO 2026 Table 7 raw'!10:10,0))/INDEX('AEO 2026 Table 7 raw'!20:20,MATCH($E$2,'AEO 2026 Table 7 raw'!10:10,0))</f>
        <v>1.4292179139699797</v>
      </c>
      <c r="AA6">
        <f>INDEX('AEO 2026 Table 7 raw'!20:20,MATCH(AA2,'AEO 2026 Table 7 raw'!10:10,0))/INDEX('AEO 2026 Table 7 raw'!20:20,MATCH($E$2,'AEO 2026 Table 7 raw'!10:10,0))</f>
        <v>1.4378002368241611</v>
      </c>
      <c r="AB6">
        <f>INDEX('AEO 2026 Table 7 raw'!20:20,MATCH(AB2,'AEO 2026 Table 7 raw'!10:10,0))/INDEX('AEO 2026 Table 7 raw'!20:20,MATCH($E$2,'AEO 2026 Table 7 raw'!10:10,0))</f>
        <v>1.4440223251565096</v>
      </c>
      <c r="AC6">
        <f>INDEX('AEO 2026 Table 7 raw'!20:20,MATCH(AC2,'AEO 2026 Table 7 raw'!10:10,0))/INDEX('AEO 2026 Table 7 raw'!20:20,MATCH($E$2,'AEO 2026 Table 7 raw'!10:10,0))</f>
        <v>1.449828160908603</v>
      </c>
      <c r="AD6">
        <f>INDEX('AEO 2026 Table 7 raw'!20:20,MATCH(AD2,'AEO 2026 Table 7 raw'!10:10,0))/INDEX('AEO 2026 Table 7 raw'!20:20,MATCH($E$2,'AEO 2026 Table 7 raw'!10:10,0))</f>
        <v>1.4553276384750604</v>
      </c>
    </row>
    <row r="7" spans="1:30">
      <c r="B7" t="s">
        <v>122</v>
      </c>
      <c r="C7">
        <v>1</v>
      </c>
      <c r="D7">
        <f>INDEX('AEO 2025 Table 7'!53:53,MATCH(D2,'AEO 2025 Table 7'!5:5,0))/INDEX('AEO 2025 Table 7'!53:53,MATCH($D$2,'AEO 2025 Table 7'!5:5,0))</f>
        <v>1</v>
      </c>
      <c r="E7">
        <f>INDEX('AEO 2026 Table 7 raw'!61:61,MATCH(E2,'AEO 2026 Table 7 raw'!10:10,0))/INDEX('AEO 2026 Table 7 raw'!61:61,MATCH($E$2,'AEO 2026 Table 7 raw'!10:10,0))</f>
        <v>1</v>
      </c>
      <c r="F7">
        <f>INDEX('AEO 2026 Table 7 raw'!61:61,MATCH(F2,'AEO 2026 Table 7 raw'!10:10,0))/INDEX('AEO 2026 Table 7 raw'!61:61,MATCH($E$2,'AEO 2026 Table 7 raw'!10:10,0))</f>
        <v>1.0030389227215093</v>
      </c>
      <c r="G7">
        <f>INDEX('AEO 2026 Table 7 raw'!61:61,MATCH(G2,'AEO 2026 Table 7 raw'!10:10,0))/INDEX('AEO 2026 Table 7 raw'!61:61,MATCH($E$2,'AEO 2026 Table 7 raw'!10:10,0))</f>
        <v>0.99897884121779124</v>
      </c>
      <c r="H7">
        <f>INDEX('AEO 2026 Table 7 raw'!61:61,MATCH(H2,'AEO 2026 Table 7 raw'!10:10,0))/INDEX('AEO 2026 Table 7 raw'!61:61,MATCH($E$2,'AEO 2026 Table 7 raw'!10:10,0))</f>
        <v>0.98892123254330333</v>
      </c>
      <c r="I7">
        <f>INDEX('AEO 2026 Table 7 raw'!61:61,MATCH(I2,'AEO 2026 Table 7 raw'!10:10,0))/INDEX('AEO 2026 Table 7 raw'!61:61,MATCH($E$2,'AEO 2026 Table 7 raw'!10:10,0))</f>
        <v>0.98128147588619274</v>
      </c>
      <c r="J7">
        <f>INDEX('AEO 2026 Table 7 raw'!61:61,MATCH(J2,'AEO 2026 Table 7 raw'!10:10,0))/INDEX('AEO 2026 Table 7 raw'!61:61,MATCH($E$2,'AEO 2026 Table 7 raw'!10:10,0))</f>
        <v>0.97591640142070291</v>
      </c>
      <c r="K7">
        <f>INDEX('AEO 2026 Table 7 raw'!61:61,MATCH(K2,'AEO 2026 Table 7 raw'!10:10,0))/INDEX('AEO 2026 Table 7 raw'!61:61,MATCH($E$2,'AEO 2026 Table 7 raw'!10:10,0))</f>
        <v>0.97011193875996593</v>
      </c>
      <c r="L7">
        <f>INDEX('AEO 2026 Table 7 raw'!61:61,MATCH(L2,'AEO 2026 Table 7 raw'!10:10,0))/INDEX('AEO 2026 Table 7 raw'!61:61,MATCH($E$2,'AEO 2026 Table 7 raw'!10:10,0))</f>
        <v>0.96663133712599758</v>
      </c>
      <c r="M7">
        <f>INDEX('AEO 2026 Table 7 raw'!61:61,MATCH(M2,'AEO 2026 Table 7 raw'!10:10,0))/INDEX('AEO 2026 Table 7 raw'!61:61,MATCH($E$2,'AEO 2026 Table 7 raw'!10:10,0))</f>
        <v>0.96433611006438047</v>
      </c>
      <c r="N7">
        <f>INDEX('AEO 2026 Table 7 raw'!61:61,MATCH(N2,'AEO 2026 Table 7 raw'!10:10,0))/INDEX('AEO 2026 Table 7 raw'!61:61,MATCH($E$2,'AEO 2026 Table 7 raw'!10:10,0))</f>
        <v>0.9632758659197399</v>
      </c>
      <c r="O7">
        <f>INDEX('AEO 2026 Table 7 raw'!61:61,MATCH(O2,'AEO 2026 Table 7 raw'!10:10,0))/INDEX('AEO 2026 Table 7 raw'!61:61,MATCH($E$2,'AEO 2026 Table 7 raw'!10:10,0))</f>
        <v>0.96351259722662863</v>
      </c>
      <c r="P7">
        <f>INDEX('AEO 2026 Table 7 raw'!61:61,MATCH(P2,'AEO 2026 Table 7 raw'!10:10,0))/INDEX('AEO 2026 Table 7 raw'!61:61,MATCH($E$2,'AEO 2026 Table 7 raw'!10:10,0))</f>
        <v>0.96073975562628777</v>
      </c>
      <c r="Q7">
        <f>INDEX('AEO 2026 Table 7 raw'!61:61,MATCH(Q2,'AEO 2026 Table 7 raw'!10:10,0))/INDEX('AEO 2026 Table 7 raw'!61:61,MATCH($E$2,'AEO 2026 Table 7 raw'!10:10,0))</f>
        <v>0.95798903376402622</v>
      </c>
      <c r="R7">
        <f>INDEX('AEO 2026 Table 7 raw'!61:61,MATCH(R2,'AEO 2026 Table 7 raw'!10:10,0))/INDEX('AEO 2026 Table 7 raw'!61:61,MATCH($E$2,'AEO 2026 Table 7 raw'!10:10,0))</f>
        <v>0.9550563430532284</v>
      </c>
      <c r="S7">
        <f>INDEX('AEO 2026 Table 7 raw'!61:61,MATCH(S2,'AEO 2026 Table 7 raw'!10:10,0))/INDEX('AEO 2026 Table 7 raw'!61:61,MATCH($E$2,'AEO 2026 Table 7 raw'!10:10,0))</f>
        <v>0.95203596082415454</v>
      </c>
      <c r="T7">
        <f>INDEX('AEO 2026 Table 7 raw'!61:61,MATCH(T2,'AEO 2026 Table 7 raw'!10:10,0))/INDEX('AEO 2026 Table 7 raw'!61:61,MATCH($E$2,'AEO 2026 Table 7 raw'!10:10,0))</f>
        <v>0.94909346298029151</v>
      </c>
      <c r="U7">
        <f>INDEX('AEO 2026 Table 7 raw'!61:61,MATCH(U2,'AEO 2026 Table 7 raw'!10:10,0))/INDEX('AEO 2026 Table 7 raw'!61:61,MATCH($E$2,'AEO 2026 Table 7 raw'!10:10,0))</f>
        <v>0.94538450547424147</v>
      </c>
      <c r="V7">
        <f>INDEX('AEO 2026 Table 7 raw'!61:61,MATCH(V2,'AEO 2026 Table 7 raw'!10:10,0))/INDEX('AEO 2026 Table 7 raw'!61:61,MATCH($E$2,'AEO 2026 Table 7 raw'!10:10,0))</f>
        <v>0.94209095521762398</v>
      </c>
      <c r="W7">
        <f>INDEX('AEO 2026 Table 7 raw'!61:61,MATCH(W2,'AEO 2026 Table 7 raw'!10:10,0))/INDEX('AEO 2026 Table 7 raw'!61:61,MATCH($E$2,'AEO 2026 Table 7 raw'!10:10,0))</f>
        <v>0.93908310034830356</v>
      </c>
      <c r="X7">
        <f>INDEX('AEO 2026 Table 7 raw'!61:61,MATCH(X2,'AEO 2026 Table 7 raw'!10:10,0))/INDEX('AEO 2026 Table 7 raw'!61:61,MATCH($E$2,'AEO 2026 Table 7 raw'!10:10,0))</f>
        <v>0.93606171593044951</v>
      </c>
      <c r="Y7">
        <f>INDEX('AEO 2026 Table 7 raw'!61:61,MATCH(Y2,'AEO 2026 Table 7 raw'!10:10,0))/INDEX('AEO 2026 Table 7 raw'!61:61,MATCH($E$2,'AEO 2026 Table 7 raw'!10:10,0))</f>
        <v>0.93299344339465984</v>
      </c>
      <c r="Z7">
        <f>INDEX('AEO 2026 Table 7 raw'!61:61,MATCH(Z2,'AEO 2026 Table 7 raw'!10:10,0))/INDEX('AEO 2026 Table 7 raw'!61:61,MATCH($E$2,'AEO 2026 Table 7 raw'!10:10,0))</f>
        <v>0.92943259507335452</v>
      </c>
      <c r="AA7">
        <f>INDEX('AEO 2026 Table 7 raw'!61:61,MATCH(AA2,'AEO 2026 Table 7 raw'!10:10,0))/INDEX('AEO 2026 Table 7 raw'!61:61,MATCH($E$2,'AEO 2026 Table 7 raw'!10:10,0))</f>
        <v>0.92519276385339866</v>
      </c>
      <c r="AB7">
        <f>INDEX('AEO 2026 Table 7 raw'!61:61,MATCH(AB2,'AEO 2026 Table 7 raw'!10:10,0))/INDEX('AEO 2026 Table 7 raw'!61:61,MATCH($E$2,'AEO 2026 Table 7 raw'!10:10,0))</f>
        <v>0.92079186657946654</v>
      </c>
      <c r="AC7">
        <f>INDEX('AEO 2026 Table 7 raw'!61:61,MATCH(AC2,'AEO 2026 Table 7 raw'!10:10,0))/INDEX('AEO 2026 Table 7 raw'!61:61,MATCH($E$2,'AEO 2026 Table 7 raw'!10:10,0))</f>
        <v>0.9159893063593747</v>
      </c>
      <c r="AD7">
        <f>INDEX('AEO 2026 Table 7 raw'!61:61,MATCH(AD2,'AEO 2026 Table 7 raw'!10:10,0))/INDEX('AEO 2026 Table 7 raw'!61:61,MATCH($E$2,'AEO 2026 Table 7 raw'!10:10,0))</f>
        <v>0.91144795948637547</v>
      </c>
    </row>
    <row r="8" spans="1:30">
      <c r="B8" t="s">
        <v>123</v>
      </c>
      <c r="C8">
        <v>1</v>
      </c>
      <c r="D8">
        <f>INDEX('AEO 2025 Table 35'!11:11,MATCH(D2,'AEO 2025 Table 35'!5:5,0))/INDEX('AEO 2025 Table 35'!11:11,MATCH($D$2,'AEO 2025 Table 35'!5:5,0))</f>
        <v>1</v>
      </c>
      <c r="E8">
        <f>INDEX('AEO 2026 Table 35 raw'!8:8,MATCH(E2,'AEO 2026 Table 35 raw'!1:1,0))/INDEX('AEO 2026 Table 35 raw'!8:8,MATCH($E$2,'AEO 2026 Table 35 raw'!1:1,0))</f>
        <v>1</v>
      </c>
      <c r="F8">
        <f>INDEX('AEO 2026 Table 35 raw'!8:8,MATCH(F2,'AEO 2026 Table 35 raw'!1:1,0))/INDEX('AEO 2026 Table 35 raw'!8:8,MATCH($E$2,'AEO 2026 Table 35 raw'!1:1,0))</f>
        <v>1.0069874254767137</v>
      </c>
      <c r="G8">
        <f>INDEX('AEO 2026 Table 35 raw'!8:8,MATCH(G2,'AEO 2026 Table 35 raw'!1:1,0))/INDEX('AEO 2026 Table 35 raw'!8:8,MATCH($E$2,'AEO 2026 Table 35 raw'!1:1,0))</f>
        <v>1.0161839026320174</v>
      </c>
      <c r="H8">
        <f>INDEX('AEO 2026 Table 35 raw'!8:8,MATCH(H2,'AEO 2026 Table 35 raw'!1:1,0))/INDEX('AEO 2026 Table 35 raw'!8:8,MATCH($E$2,'AEO 2026 Table 35 raw'!1:1,0))</f>
        <v>1.0224479516998086</v>
      </c>
      <c r="I8">
        <f>INDEX('AEO 2026 Table 35 raw'!8:8,MATCH(I2,'AEO 2026 Table 35 raw'!1:1,0))/INDEX('AEO 2026 Table 35 raw'!8:8,MATCH($E$2,'AEO 2026 Table 35 raw'!1:1,0))</f>
        <v>1.028511418050944</v>
      </c>
      <c r="J8">
        <f>INDEX('AEO 2026 Table 35 raw'!8:8,MATCH(J2,'AEO 2026 Table 35 raw'!1:1,0))/INDEX('AEO 2026 Table 35 raw'!8:8,MATCH($E$2,'AEO 2026 Table 35 raw'!1:1,0))</f>
        <v>1.0335455352531038</v>
      </c>
      <c r="K8">
        <f>INDEX('AEO 2026 Table 35 raw'!8:8,MATCH(K2,'AEO 2026 Table 35 raw'!1:1,0))/INDEX('AEO 2026 Table 35 raw'!8:8,MATCH($E$2,'AEO 2026 Table 35 raw'!1:1,0))</f>
        <v>1.0387351837548324</v>
      </c>
      <c r="L8">
        <f>INDEX('AEO 2026 Table 35 raw'!8:8,MATCH(L2,'AEO 2026 Table 35 raw'!1:1,0))/INDEX('AEO 2026 Table 35 raw'!8:8,MATCH($E$2,'AEO 2026 Table 35 raw'!1:1,0))</f>
        <v>1.0439840260848761</v>
      </c>
      <c r="M8">
        <f>INDEX('AEO 2026 Table 35 raw'!8:8,MATCH(M2,'AEO 2026 Table 35 raw'!1:1,0))/INDEX('AEO 2026 Table 35 raw'!8:8,MATCH($E$2,'AEO 2026 Table 35 raw'!1:1,0))</f>
        <v>1.0476920676818111</v>
      </c>
      <c r="N8">
        <f>INDEX('AEO 2026 Table 35 raw'!8:8,MATCH(N2,'AEO 2026 Table 35 raw'!1:1,0))/INDEX('AEO 2026 Table 35 raw'!8:8,MATCH($E$2,'AEO 2026 Table 35 raw'!1:1,0))</f>
        <v>1.0517649236077315</v>
      </c>
      <c r="O8">
        <f>INDEX('AEO 2026 Table 35 raw'!8:8,MATCH(O2,'AEO 2026 Table 35 raw'!1:1,0))/INDEX('AEO 2026 Table 35 raw'!8:8,MATCH($E$2,'AEO 2026 Table 35 raw'!1:1,0))</f>
        <v>1.0549224502729573</v>
      </c>
      <c r="P8">
        <f>INDEX('AEO 2026 Table 35 raw'!8:8,MATCH(P2,'AEO 2026 Table 35 raw'!1:1,0))/INDEX('AEO 2026 Table 35 raw'!8:8,MATCH($E$2,'AEO 2026 Table 35 raw'!1:1,0))</f>
        <v>1.0588988806677784</v>
      </c>
      <c r="Q8">
        <f>INDEX('AEO 2026 Table 35 raw'!8:8,MATCH(Q2,'AEO 2026 Table 35 raw'!1:1,0))/INDEX('AEO 2026 Table 35 raw'!8:8,MATCH($E$2,'AEO 2026 Table 35 raw'!1:1,0))</f>
        <v>1.0633378894323395</v>
      </c>
      <c r="R8">
        <f>INDEX('AEO 2026 Table 35 raw'!8:8,MATCH(R2,'AEO 2026 Table 35 raw'!1:1,0))/INDEX('AEO 2026 Table 35 raw'!8:8,MATCH($E$2,'AEO 2026 Table 35 raw'!1:1,0))</f>
        <v>1.0677536503976219</v>
      </c>
      <c r="S8">
        <f>INDEX('AEO 2026 Table 35 raw'!8:8,MATCH(S2,'AEO 2026 Table 35 raw'!1:1,0))/INDEX('AEO 2026 Table 35 raw'!8:8,MATCH($E$2,'AEO 2026 Table 35 raw'!1:1,0))</f>
        <v>1.0714377573284815</v>
      </c>
      <c r="T8">
        <f>INDEX('AEO 2026 Table 35 raw'!8:8,MATCH(T2,'AEO 2026 Table 35 raw'!1:1,0))/INDEX('AEO 2026 Table 35 raw'!8:8,MATCH($E$2,'AEO 2026 Table 35 raw'!1:1,0))</f>
        <v>1.0753604536054238</v>
      </c>
      <c r="U8">
        <f>INDEX('AEO 2026 Table 35 raw'!8:8,MATCH(U2,'AEO 2026 Table 35 raw'!1:1,0))/INDEX('AEO 2026 Table 35 raw'!8:8,MATCH($E$2,'AEO 2026 Table 35 raw'!1:1,0))</f>
        <v>1.0787205531398196</v>
      </c>
      <c r="V8">
        <f>INDEX('AEO 2026 Table 35 raw'!8:8,MATCH(V2,'AEO 2026 Table 35 raw'!1:1,0))/INDEX('AEO 2026 Table 35 raw'!8:8,MATCH($E$2,'AEO 2026 Table 35 raw'!1:1,0))</f>
        <v>1.0818120349207305</v>
      </c>
      <c r="W8">
        <f>INDEX('AEO 2026 Table 35 raw'!8:8,MATCH(W2,'AEO 2026 Table 35 raw'!1:1,0))/INDEX('AEO 2026 Table 35 raw'!8:8,MATCH($E$2,'AEO 2026 Table 35 raw'!1:1,0))</f>
        <v>1.0846685025852962</v>
      </c>
      <c r="X8">
        <f>INDEX('AEO 2026 Table 35 raw'!8:8,MATCH(X2,'AEO 2026 Table 35 raw'!1:1,0))/INDEX('AEO 2026 Table 35 raw'!8:8,MATCH($E$2,'AEO 2026 Table 35 raw'!1:1,0))</f>
        <v>1.0878748848529458</v>
      </c>
      <c r="Y8">
        <f>INDEX('AEO 2026 Table 35 raw'!8:8,MATCH(Y2,'AEO 2026 Table 35 raw'!1:1,0))/INDEX('AEO 2026 Table 35 raw'!8:8,MATCH($E$2,'AEO 2026 Table 35 raw'!1:1,0))</f>
        <v>1.0909496352631638</v>
      </c>
      <c r="Z8">
        <f>INDEX('AEO 2026 Table 35 raw'!8:8,MATCH(Z2,'AEO 2026 Table 35 raw'!1:1,0))/INDEX('AEO 2026 Table 35 raw'!8:8,MATCH($E$2,'AEO 2026 Table 35 raw'!1:1,0))</f>
        <v>1.093549478925236</v>
      </c>
      <c r="AA8">
        <f>INDEX('AEO 2026 Table 35 raw'!8:8,MATCH(AA2,'AEO 2026 Table 35 raw'!1:1,0))/INDEX('AEO 2026 Table 35 raw'!8:8,MATCH($E$2,'AEO 2026 Table 35 raw'!1:1,0))</f>
        <v>1.0953931526918275</v>
      </c>
      <c r="AB8">
        <f>INDEX('AEO 2026 Table 35 raw'!8:8,MATCH(AB2,'AEO 2026 Table 35 raw'!1:1,0))/INDEX('AEO 2026 Table 35 raw'!8:8,MATCH($E$2,'AEO 2026 Table 35 raw'!1:1,0))</f>
        <v>1.097183145176448</v>
      </c>
      <c r="AC8">
        <f>INDEX('AEO 2026 Table 35 raw'!8:8,MATCH(AC2,'AEO 2026 Table 35 raw'!1:1,0))/INDEX('AEO 2026 Table 35 raw'!8:8,MATCH($E$2,'AEO 2026 Table 35 raw'!1:1,0))</f>
        <v>1.0988109490371607</v>
      </c>
      <c r="AD8">
        <f>INDEX('AEO 2026 Table 35 raw'!8:8,MATCH(AD2,'AEO 2026 Table 35 raw'!1:1,0))/INDEX('AEO 2026 Table 35 raw'!8:8,MATCH($E$2,'AEO 2026 Table 35 raw'!1:1,0))</f>
        <v>1.100854219250136</v>
      </c>
    </row>
    <row r="10" spans="1:30" s="37" customFormat="1">
      <c r="A10" s="37" t="s">
        <v>2025</v>
      </c>
    </row>
    <row r="11" spans="1:30">
      <c r="B11" s="1" t="s">
        <v>142</v>
      </c>
      <c r="C11">
        <v>2023</v>
      </c>
      <c r="D11">
        <v>2024</v>
      </c>
      <c r="E11">
        <v>2025</v>
      </c>
      <c r="F11">
        <v>2026</v>
      </c>
      <c r="G11">
        <v>2027</v>
      </c>
      <c r="H11">
        <v>2028</v>
      </c>
      <c r="I11">
        <v>2029</v>
      </c>
      <c r="J11">
        <v>2030</v>
      </c>
      <c r="K11">
        <v>2031</v>
      </c>
      <c r="L11">
        <v>2032</v>
      </c>
      <c r="M11">
        <v>2033</v>
      </c>
      <c r="N11">
        <v>2034</v>
      </c>
      <c r="O11">
        <v>2035</v>
      </c>
      <c r="P11">
        <v>2036</v>
      </c>
      <c r="Q11">
        <v>2037</v>
      </c>
      <c r="R11">
        <v>2038</v>
      </c>
      <c r="S11">
        <v>2039</v>
      </c>
      <c r="T11">
        <v>2040</v>
      </c>
      <c r="U11">
        <v>2041</v>
      </c>
      <c r="V11">
        <v>2042</v>
      </c>
      <c r="W11">
        <v>2043</v>
      </c>
      <c r="X11">
        <v>2044</v>
      </c>
      <c r="Y11">
        <v>2045</v>
      </c>
      <c r="Z11">
        <v>2046</v>
      </c>
      <c r="AA11">
        <v>2047</v>
      </c>
      <c r="AB11">
        <v>2048</v>
      </c>
      <c r="AC11">
        <v>2049</v>
      </c>
      <c r="AD11">
        <v>2050</v>
      </c>
    </row>
    <row r="12" spans="1:30">
      <c r="B12" t="s">
        <v>120</v>
      </c>
      <c r="C12">
        <v>1</v>
      </c>
      <c r="D12">
        <f>SUM(INDEX('AEO 2025 Table 49'!21:21,MATCH(D11,'AEO 2025 Table 49'!5:5,0)),INDEX('AEO 2025 Table 49'!35:35,MATCH(D11,'AEO 2025 Table 49'!5:5,0)),INDEX('AEO 2025 Table 7'!10:10,MATCH(D11,'AEO 2025 Table 7'!5:5,0)))
/SUM(INDEX('AEO 2025 Table 49'!21:21,MATCH($D$11,'AEO 2025 Table 49'!5:5,0)),INDEX('AEO 2025 Table 49'!35:35,MATCH($D$11,'AEO 2025 Table 49'!5:5,0)),INDEX('AEO 2025 Table 7'!10:10,MATCH($D$11,'AEO 2025 Table 7'!5:5,0)))</f>
        <v>1</v>
      </c>
      <c r="E12">
        <f>SUM('AEO 2026 Table 49 raw'!D$19,'AEO 2026 Table 49 raw'!D$33,'AEO 2026 Table 7 raw'!C$16)/
SUM('AEO 2026 Table 49 raw'!$D$19,'AEO 2026 Table 49 raw'!$D$33,'AEO 2026 Table 7 raw'!$C$16)</f>
        <v>1</v>
      </c>
      <c r="F12">
        <f>SUM('AEO 2026 Table 49 raw'!E$19,'AEO 2026 Table 49 raw'!E$33,'AEO 2026 Table 7 raw'!D$16)/
SUM('AEO 2026 Table 49 raw'!$D$19,'AEO 2026 Table 49 raw'!$D$33,'AEO 2026 Table 7 raw'!$C$16)</f>
        <v>0.99717440675315006</v>
      </c>
      <c r="G12">
        <f>SUM('AEO 2026 Table 49 raw'!F$19,'AEO 2026 Table 49 raw'!F$33,'AEO 2026 Table 7 raw'!E$16)/
SUM('AEO 2026 Table 49 raw'!$D$19,'AEO 2026 Table 49 raw'!$D$33,'AEO 2026 Table 7 raw'!$C$16)</f>
        <v>0.99980810015275634</v>
      </c>
      <c r="H12">
        <f>SUM('AEO 2026 Table 49 raw'!G$19,'AEO 2026 Table 49 raw'!G$33,'AEO 2026 Table 7 raw'!F$16)/
SUM('AEO 2026 Table 49 raw'!$D$19,'AEO 2026 Table 49 raw'!$D$33,'AEO 2026 Table 7 raw'!$C$16)</f>
        <v>1.0020683381155304</v>
      </c>
      <c r="I12">
        <f>SUM('AEO 2026 Table 49 raw'!H$19,'AEO 2026 Table 49 raw'!H$33,'AEO 2026 Table 7 raw'!G$16)/
SUM('AEO 2026 Table 49 raw'!$D$19,'AEO 2026 Table 49 raw'!$D$33,'AEO 2026 Table 7 raw'!$C$16)</f>
        <v>1.0055012235551142</v>
      </c>
      <c r="J12">
        <f>SUM('AEO 2026 Table 49 raw'!I$19,'AEO 2026 Table 49 raw'!I$33,'AEO 2026 Table 7 raw'!H$16)/
SUM('AEO 2026 Table 49 raw'!$D$19,'AEO 2026 Table 49 raw'!$D$33,'AEO 2026 Table 7 raw'!$C$16)</f>
        <v>1.0137509172823871</v>
      </c>
      <c r="K12">
        <f>SUM('AEO 2026 Table 49 raw'!J$19,'AEO 2026 Table 49 raw'!J$33,'AEO 2026 Table 7 raw'!I$16)/
SUM('AEO 2026 Table 49 raw'!$D$19,'AEO 2026 Table 49 raw'!$D$33,'AEO 2026 Table 7 raw'!$C$16)</f>
        <v>1.0206527199202642</v>
      </c>
      <c r="L12">
        <f>SUM('AEO 2026 Table 49 raw'!K$19,'AEO 2026 Table 49 raw'!K$33,'AEO 2026 Table 7 raw'!J$16)/
SUM('AEO 2026 Table 49 raw'!$D$19,'AEO 2026 Table 49 raw'!$D$33,'AEO 2026 Table 7 raw'!$C$16)</f>
        <v>1.0294005157247725</v>
      </c>
      <c r="M12">
        <f>SUM('AEO 2026 Table 49 raw'!L$19,'AEO 2026 Table 49 raw'!L$33,'AEO 2026 Table 7 raw'!K$16)/
SUM('AEO 2026 Table 49 raw'!$D$19,'AEO 2026 Table 49 raw'!$D$33,'AEO 2026 Table 7 raw'!$C$16)</f>
        <v>1.036868831445916</v>
      </c>
      <c r="N12">
        <f>SUM('AEO 2026 Table 49 raw'!M$19,'AEO 2026 Table 49 raw'!M$33,'AEO 2026 Table 7 raw'!L$16)/
SUM('AEO 2026 Table 49 raw'!$D$19,'AEO 2026 Table 49 raw'!$D$33,'AEO 2026 Table 7 raw'!$C$16)</f>
        <v>1.0463355248361006</v>
      </c>
      <c r="O12">
        <f>SUM('AEO 2026 Table 49 raw'!N$19,'AEO 2026 Table 49 raw'!N$33,'AEO 2026 Table 7 raw'!M$16)/
SUM('AEO 2026 Table 49 raw'!$D$19,'AEO 2026 Table 49 raw'!$D$33,'AEO 2026 Table 7 raw'!$C$16)</f>
        <v>1.0565664402520012</v>
      </c>
      <c r="P12">
        <f>SUM('AEO 2026 Table 49 raw'!O$19,'AEO 2026 Table 49 raw'!O$33,'AEO 2026 Table 7 raw'!N$16)/
SUM('AEO 2026 Table 49 raw'!$D$19,'AEO 2026 Table 49 raw'!$D$33,'AEO 2026 Table 7 raw'!$C$16)</f>
        <v>1.0671911454600669</v>
      </c>
      <c r="Q12">
        <f>SUM('AEO 2026 Table 49 raw'!P$19,'AEO 2026 Table 49 raw'!P$33,'AEO 2026 Table 7 raw'!O$16)/
SUM('AEO 2026 Table 49 raw'!$D$19,'AEO 2026 Table 49 raw'!$D$33,'AEO 2026 Table 7 raw'!$C$16)</f>
        <v>1.0791621864617669</v>
      </c>
      <c r="R12">
        <f>SUM('AEO 2026 Table 49 raw'!Q$19,'AEO 2026 Table 49 raw'!Q$33,'AEO 2026 Table 7 raw'!P$16)/
SUM('AEO 2026 Table 49 raw'!$D$19,'AEO 2026 Table 49 raw'!$D$33,'AEO 2026 Table 7 raw'!$C$16)</f>
        <v>1.0924589587202271</v>
      </c>
      <c r="S12">
        <f>SUM('AEO 2026 Table 49 raw'!R$19,'AEO 2026 Table 49 raw'!R$33,'AEO 2026 Table 7 raw'!Q$16)/
SUM('AEO 2026 Table 49 raw'!$D$19,'AEO 2026 Table 49 raw'!$D$33,'AEO 2026 Table 7 raw'!$C$16)</f>
        <v>1.1061966875043128</v>
      </c>
      <c r="T12">
        <f>SUM('AEO 2026 Table 49 raw'!S$19,'AEO 2026 Table 49 raw'!S$33,'AEO 2026 Table 7 raw'!R$16)/
SUM('AEO 2026 Table 49 raw'!$D$19,'AEO 2026 Table 49 raw'!$D$33,'AEO 2026 Table 7 raw'!$C$16)</f>
        <v>1.1205317162873141</v>
      </c>
      <c r="U12">
        <f>SUM('AEO 2026 Table 49 raw'!T$19,'AEO 2026 Table 49 raw'!T$33,'AEO 2026 Table 7 raw'!S$16)/
SUM('AEO 2026 Table 49 raw'!$D$19,'AEO 2026 Table 49 raw'!$D$33,'AEO 2026 Table 7 raw'!$C$16)</f>
        <v>1.1339171845415872</v>
      </c>
      <c r="V12">
        <f>SUM('AEO 2026 Table 49 raw'!U$19,'AEO 2026 Table 49 raw'!U$33,'AEO 2026 Table 7 raw'!T$16)/
SUM('AEO 2026 Table 49 raw'!$D$19,'AEO 2026 Table 49 raw'!$D$33,'AEO 2026 Table 7 raw'!$C$16)</f>
        <v>1.1467271095371714</v>
      </c>
      <c r="W12">
        <f>SUM('AEO 2026 Table 49 raw'!V$19,'AEO 2026 Table 49 raw'!V$33,'AEO 2026 Table 7 raw'!U$16)/
SUM('AEO 2026 Table 49 raw'!$D$19,'AEO 2026 Table 49 raw'!$D$33,'AEO 2026 Table 7 raw'!$C$16)</f>
        <v>1.1569171797109685</v>
      </c>
      <c r="X12">
        <f>SUM('AEO 2026 Table 49 raw'!W$19,'AEO 2026 Table 49 raw'!W$33,'AEO 2026 Table 7 raw'!V$16)/
SUM('AEO 2026 Table 49 raw'!$D$19,'AEO 2026 Table 49 raw'!$D$33,'AEO 2026 Table 7 raw'!$C$16)</f>
        <v>1.1668712768343033</v>
      </c>
      <c r="Y12">
        <f>SUM('AEO 2026 Table 49 raw'!X$19,'AEO 2026 Table 49 raw'!X$33,'AEO 2026 Table 7 raw'!W$16)/
SUM('AEO 2026 Table 49 raw'!$D$19,'AEO 2026 Table 49 raw'!$D$33,'AEO 2026 Table 7 raw'!$C$16)</f>
        <v>1.1782998511102292</v>
      </c>
      <c r="Z12">
        <f>SUM('AEO 2026 Table 49 raw'!Y$19,'AEO 2026 Table 49 raw'!Y$33,'AEO 2026 Table 7 raw'!X$16)/
SUM('AEO 2026 Table 49 raw'!$D$19,'AEO 2026 Table 49 raw'!$D$33,'AEO 2026 Table 7 raw'!$C$16)</f>
        <v>1.1902743222628023</v>
      </c>
      <c r="AA12">
        <f>SUM('AEO 2026 Table 49 raw'!Z$19,'AEO 2026 Table 49 raw'!Z$33,'AEO 2026 Table 7 raw'!Y$16)/
SUM('AEO 2026 Table 49 raw'!$D$19,'AEO 2026 Table 49 raw'!$D$33,'AEO 2026 Table 7 raw'!$C$16)</f>
        <v>1.2030274135108141</v>
      </c>
      <c r="AB12">
        <f>SUM('AEO 2026 Table 49 raw'!AA$19,'AEO 2026 Table 49 raw'!AA$33,'AEO 2026 Table 7 raw'!Z$16)/
SUM('AEO 2026 Table 49 raw'!$D$19,'AEO 2026 Table 49 raw'!$D$33,'AEO 2026 Table 7 raw'!$C$16)</f>
        <v>1.2144890076400834</v>
      </c>
      <c r="AC12">
        <f>SUM('AEO 2026 Table 49 raw'!AB$19,'AEO 2026 Table 49 raw'!AB$33,'AEO 2026 Table 7 raw'!AA$16)/
SUM('AEO 2026 Table 49 raw'!$D$19,'AEO 2026 Table 49 raw'!$D$33,'AEO 2026 Table 7 raw'!$C$16)</f>
        <v>1.2268305880502479</v>
      </c>
      <c r="AD12">
        <f>SUM('AEO 2026 Table 49 raw'!AC$19,'AEO 2026 Table 49 raw'!AC$33,'AEO 2026 Table 7 raw'!AB$16)/
SUM('AEO 2026 Table 49 raw'!$D$19,'AEO 2026 Table 49 raw'!$D$33,'AEO 2026 Table 7 raw'!$C$16)</f>
        <v>1.2384229047256823</v>
      </c>
    </row>
    <row r="13" spans="1:30">
      <c r="B13" t="s">
        <v>118</v>
      </c>
      <c r="C13">
        <v>1</v>
      </c>
      <c r="D13">
        <f>INDEX('AEO 2025 Table 49'!49:49,MATCH(D11,'AEO 2025 Table 49'!5:5,0))/INDEX('AEO 2025 Table 49'!49:49,MATCH($D$11,'AEO 2025 Table 49'!5:5,0))</f>
        <v>1</v>
      </c>
      <c r="E13">
        <f>'AEO 2026 Table 49 raw'!D$47/'AEO 2026 Table 49 raw'!$D$47</f>
        <v>1</v>
      </c>
      <c r="F13">
        <f>'AEO 2026 Table 49 raw'!E$47/'AEO 2026 Table 49 raw'!$D$47</f>
        <v>1.0118345589310906</v>
      </c>
      <c r="G13">
        <f>'AEO 2026 Table 49 raw'!F$47/'AEO 2026 Table 49 raw'!$D$47</f>
        <v>1.0279382469470737</v>
      </c>
      <c r="H13">
        <f>'AEO 2026 Table 49 raw'!G$47/'AEO 2026 Table 49 raw'!$D$47</f>
        <v>1.0432056747612115</v>
      </c>
      <c r="I13">
        <f>'AEO 2026 Table 49 raw'!H$47/'AEO 2026 Table 49 raw'!$D$47</f>
        <v>1.0558925120220481</v>
      </c>
      <c r="J13">
        <f>'AEO 2026 Table 49 raw'!I$47/'AEO 2026 Table 49 raw'!$D$47</f>
        <v>1.0709939093297061</v>
      </c>
      <c r="K13">
        <f>'AEO 2026 Table 49 raw'!J$47/'AEO 2026 Table 49 raw'!$D$47</f>
        <v>1.0816952318621904</v>
      </c>
      <c r="L13">
        <f>'AEO 2026 Table 49 raw'!K$47/'AEO 2026 Table 49 raw'!$D$47</f>
        <v>1.0933613446455177</v>
      </c>
      <c r="M13">
        <f>'AEO 2026 Table 49 raw'!L$47/'AEO 2026 Table 49 raw'!$D$47</f>
        <v>1.1028465394728153</v>
      </c>
      <c r="N13">
        <f>'AEO 2026 Table 49 raw'!M$47/'AEO 2026 Table 49 raw'!$D$47</f>
        <v>1.1136451627703663</v>
      </c>
      <c r="O13">
        <f>'AEO 2026 Table 49 raw'!N$47/'AEO 2026 Table 49 raw'!$D$47</f>
        <v>1.1243448713591111</v>
      </c>
      <c r="P13">
        <f>'AEO 2026 Table 49 raw'!O$47/'AEO 2026 Table 49 raw'!$D$47</f>
        <v>1.1342618383313927</v>
      </c>
      <c r="Q13">
        <f>'AEO 2026 Table 49 raw'!P$47/'AEO 2026 Table 49 raw'!$D$47</f>
        <v>1.1434960121639037</v>
      </c>
      <c r="R13">
        <f>'AEO 2026 Table 49 raw'!Q$47/'AEO 2026 Table 49 raw'!$D$47</f>
        <v>1.1517187970758314</v>
      </c>
      <c r="S13">
        <f>'AEO 2026 Table 49 raw'!R$47/'AEO 2026 Table 49 raw'!$D$47</f>
        <v>1.1593785476929368</v>
      </c>
      <c r="T13">
        <f>'AEO 2026 Table 49 raw'!S$47/'AEO 2026 Table 49 raw'!$D$47</f>
        <v>1.1672452101169357</v>
      </c>
      <c r="U13">
        <f>'AEO 2026 Table 49 raw'!T$47/'AEO 2026 Table 49 raw'!$D$47</f>
        <v>1.174878478343462</v>
      </c>
      <c r="V13">
        <f>'AEO 2026 Table 49 raw'!U$47/'AEO 2026 Table 49 raw'!$D$47</f>
        <v>1.1819847675673385</v>
      </c>
      <c r="W13">
        <f>'AEO 2026 Table 49 raw'!V$47/'AEO 2026 Table 49 raw'!$D$47</f>
        <v>1.188051096846978</v>
      </c>
      <c r="X13">
        <f>'AEO 2026 Table 49 raw'!W$47/'AEO 2026 Table 49 raw'!$D$47</f>
        <v>1.1944659799568125</v>
      </c>
      <c r="Y13">
        <f>'AEO 2026 Table 49 raw'!X$47/'AEO 2026 Table 49 raw'!$D$47</f>
        <v>1.2028692839485959</v>
      </c>
      <c r="Z13">
        <f>'AEO 2026 Table 49 raw'!Y$47/'AEO 2026 Table 49 raw'!$D$47</f>
        <v>1.2115239201203969</v>
      </c>
      <c r="AA13">
        <f>'AEO 2026 Table 49 raw'!Z$47/'AEO 2026 Table 49 raw'!$D$47</f>
        <v>1.2201089457383518</v>
      </c>
      <c r="AB13">
        <f>'AEO 2026 Table 49 raw'!AA$47/'AEO 2026 Table 49 raw'!$D$47</f>
        <v>1.226474176343723</v>
      </c>
      <c r="AC13">
        <f>'AEO 2026 Table 49 raw'!AB$47/'AEO 2026 Table 49 raw'!$D$47</f>
        <v>1.2327767901514537</v>
      </c>
      <c r="AD13">
        <f>'AEO 2026 Table 49 raw'!AC$47/'AEO 2026 Table 49 raw'!$D$47</f>
        <v>1.2384968968529664</v>
      </c>
    </row>
    <row r="14" spans="1:30">
      <c r="B14" t="s">
        <v>116</v>
      </c>
      <c r="C14">
        <f>C5</f>
        <v>1</v>
      </c>
      <c r="D14">
        <f t="shared" ref="D14" si="0">D5</f>
        <v>1</v>
      </c>
      <c r="E14">
        <f>'AEO 2026 Table 47'!E68/'AEO 2026 Table 47'!$E$68</f>
        <v>1</v>
      </c>
      <c r="F14">
        <f>'AEO 2026 Table 47'!F68/'AEO 2026 Table 47'!$E$68</f>
        <v>1.0279218016294767</v>
      </c>
      <c r="G14">
        <f>'AEO 2026 Table 47'!G68/'AEO 2026 Table 47'!$E$68</f>
        <v>1.0481178519788865</v>
      </c>
      <c r="H14">
        <f>'AEO 2026 Table 47'!H68/'AEO 2026 Table 47'!$E$68</f>
        <v>1.0618686335044238</v>
      </c>
      <c r="I14">
        <f>'AEO 2026 Table 47'!I68/'AEO 2026 Table 47'!$E$68</f>
        <v>1.0793618569090695</v>
      </c>
      <c r="J14">
        <f>'AEO 2026 Table 47'!J68/'AEO 2026 Table 47'!$E$68</f>
        <v>1.0998907712006247</v>
      </c>
      <c r="K14">
        <f>'AEO 2026 Table 47'!K68/'AEO 2026 Table 47'!$E$68</f>
        <v>1.1201259539281085</v>
      </c>
      <c r="L14">
        <f>'AEO 2026 Table 47'!L68/'AEO 2026 Table 47'!$E$68</f>
        <v>1.1435838188132317</v>
      </c>
      <c r="M14">
        <f>'AEO 2026 Table 47'!M68/'AEO 2026 Table 47'!$E$68</f>
        <v>1.1686173109914255</v>
      </c>
      <c r="N14">
        <f>'AEO 2026 Table 47'!N68/'AEO 2026 Table 47'!$E$68</f>
        <v>1.1955486566622358</v>
      </c>
      <c r="O14">
        <f>'AEO 2026 Table 47'!O68/'AEO 2026 Table 47'!$E$68</f>
        <v>1.2245081061030982</v>
      </c>
      <c r="P14">
        <f>'AEO 2026 Table 47'!P68/'AEO 2026 Table 47'!$E$68</f>
        <v>1.2489892950887451</v>
      </c>
      <c r="Q14">
        <f>'AEO 2026 Table 47'!Q68/'AEO 2026 Table 47'!$E$68</f>
        <v>1.2737559269844445</v>
      </c>
      <c r="R14">
        <f>'AEO 2026 Table 47'!R68/'AEO 2026 Table 47'!$E$68</f>
        <v>1.2985784977456294</v>
      </c>
      <c r="S14">
        <f>'AEO 2026 Table 47'!S68/'AEO 2026 Table 47'!$E$68</f>
        <v>1.3229276794119746</v>
      </c>
      <c r="T14">
        <f>'AEO 2026 Table 47'!T68/'AEO 2026 Table 47'!$E$68</f>
        <v>1.3478206273391931</v>
      </c>
      <c r="U14">
        <f>'AEO 2026 Table 47'!U68/'AEO 2026 Table 47'!$E$68</f>
        <v>1.3719509427035714</v>
      </c>
      <c r="V14">
        <f>'AEO 2026 Table 47'!V68/'AEO 2026 Table 47'!$E$68</f>
        <v>1.3970490634651733</v>
      </c>
      <c r="W14">
        <f>'AEO 2026 Table 47'!W68/'AEO 2026 Table 47'!$E$68</f>
        <v>1.4232973973072531</v>
      </c>
      <c r="X14">
        <f>'AEO 2026 Table 47'!X68/'AEO 2026 Table 47'!$E$68</f>
        <v>1.4497092124359678</v>
      </c>
      <c r="Y14">
        <f>'AEO 2026 Table 47'!Y68/'AEO 2026 Table 47'!$E$68</f>
        <v>1.4764340101961522</v>
      </c>
      <c r="Z14">
        <f>'AEO 2026 Table 47'!Z68/'AEO 2026 Table 47'!$E$68</f>
        <v>1.5026578600417988</v>
      </c>
      <c r="AA14">
        <f>'AEO 2026 Table 47'!AA68/'AEO 2026 Table 47'!$E$68</f>
        <v>1.5276866158462679</v>
      </c>
      <c r="AB14">
        <f>'AEO 2026 Table 47'!AB68/'AEO 2026 Table 47'!$E$68</f>
        <v>1.5530653667510728</v>
      </c>
      <c r="AC14">
        <f>'AEO 2026 Table 47'!AC68/'AEO 2026 Table 47'!$E$68</f>
        <v>1.5778981550926723</v>
      </c>
      <c r="AD14">
        <f>'AEO 2026 Table 47'!AD68/'AEO 2026 Table 47'!$E$68</f>
        <v>1.6033284713565792</v>
      </c>
    </row>
    <row r="15" spans="1:30">
      <c r="B15" t="s">
        <v>121</v>
      </c>
      <c r="C15">
        <v>1</v>
      </c>
      <c r="D15">
        <f>INDEX('AEO 2025 Table 7'!18:18,MATCH(D11,'AEO 2025 Table 7'!5:5,0))/INDEX('AEO 2025 Table 7'!18:18,MATCH($D$11,'AEO 2025 Table 7'!5:5,0))</f>
        <v>1</v>
      </c>
      <c r="E15">
        <f>INDEX('AEO 2026 Table 7 raw'!24:24,MATCH(E11,'AEO 2026 Table 7 raw'!10:10,0))/INDEX('AEO 2026 Table 7 raw'!24:24,MATCH($E$11,'AEO 2026 Table 7 raw'!10:10,0))</f>
        <v>1</v>
      </c>
      <c r="F15">
        <f>INDEX('AEO 2026 Table 7 raw'!24:24,MATCH(F11,'AEO 2026 Table 7 raw'!10:10,0))/INDEX('AEO 2026 Table 7 raw'!24:24,MATCH($E$11,'AEO 2026 Table 7 raw'!10:10,0))</f>
        <v>0.97830978545667635</v>
      </c>
      <c r="G15">
        <f>INDEX('AEO 2026 Table 7 raw'!24:24,MATCH(G11,'AEO 2026 Table 7 raw'!10:10,0))/INDEX('AEO 2026 Table 7 raw'!24:24,MATCH($E$11,'AEO 2026 Table 7 raw'!10:10,0))</f>
        <v>1.0109039236457087</v>
      </c>
      <c r="H15">
        <f>INDEX('AEO 2026 Table 7 raw'!24:24,MATCH(H11,'AEO 2026 Table 7 raw'!10:10,0))/INDEX('AEO 2026 Table 7 raw'!24:24,MATCH($E$11,'AEO 2026 Table 7 raw'!10:10,0))</f>
        <v>0.99119527359943416</v>
      </c>
      <c r="I15">
        <f>INDEX('AEO 2026 Table 7 raw'!24:24,MATCH(I11,'AEO 2026 Table 7 raw'!10:10,0))/INDEX('AEO 2026 Table 7 raw'!24:24,MATCH($E$11,'AEO 2026 Table 7 raw'!10:10,0))</f>
        <v>0.98437935774986285</v>
      </c>
      <c r="J15">
        <f>INDEX('AEO 2026 Table 7 raw'!24:24,MATCH(J11,'AEO 2026 Table 7 raw'!10:10,0))/INDEX('AEO 2026 Table 7 raw'!24:24,MATCH($E$11,'AEO 2026 Table 7 raw'!10:10,0))</f>
        <v>0.99194246509830231</v>
      </c>
      <c r="K15">
        <f>INDEX('AEO 2026 Table 7 raw'!24:24,MATCH(K11,'AEO 2026 Table 7 raw'!10:10,0))/INDEX('AEO 2026 Table 7 raw'!24:24,MATCH($E$11,'AEO 2026 Table 7 raw'!10:10,0))</f>
        <v>0.9675376012385507</v>
      </c>
      <c r="L15">
        <f>INDEX('AEO 2026 Table 7 raw'!24:24,MATCH(L11,'AEO 2026 Table 7 raw'!10:10,0))/INDEX('AEO 2026 Table 7 raw'!24:24,MATCH($E$11,'AEO 2026 Table 7 raw'!10:10,0))</f>
        <v>0.97263496893215862</v>
      </c>
      <c r="M15">
        <f>INDEX('AEO 2026 Table 7 raw'!24:24,MATCH(M11,'AEO 2026 Table 7 raw'!10:10,0))/INDEX('AEO 2026 Table 7 raw'!24:24,MATCH($E$11,'AEO 2026 Table 7 raw'!10:10,0))</f>
        <v>0.97789036227032156</v>
      </c>
      <c r="N15">
        <f>INDEX('AEO 2026 Table 7 raw'!24:24,MATCH(N11,'AEO 2026 Table 7 raw'!10:10,0))/INDEX('AEO 2026 Table 7 raw'!24:24,MATCH($E$11,'AEO 2026 Table 7 raw'!10:10,0))</f>
        <v>0.97614984469547994</v>
      </c>
      <c r="O15">
        <f>INDEX('AEO 2026 Table 7 raw'!24:24,MATCH(O11,'AEO 2026 Table 7 raw'!10:10,0))/INDEX('AEO 2026 Table 7 raw'!24:24,MATCH($E$11,'AEO 2026 Table 7 raw'!10:10,0))</f>
        <v>0.9803742170600166</v>
      </c>
      <c r="P15">
        <f>INDEX('AEO 2026 Table 7 raw'!24:24,MATCH(P11,'AEO 2026 Table 7 raw'!10:10,0))/INDEX('AEO 2026 Table 7 raw'!24:24,MATCH($E$11,'AEO 2026 Table 7 raw'!10:10,0))</f>
        <v>0.98373314849215043</v>
      </c>
      <c r="Q15">
        <f>INDEX('AEO 2026 Table 7 raw'!24:24,MATCH(Q11,'AEO 2026 Table 7 raw'!10:10,0))/INDEX('AEO 2026 Table 7 raw'!24:24,MATCH($E$11,'AEO 2026 Table 7 raw'!10:10,0))</f>
        <v>0.98849473096249618</v>
      </c>
      <c r="R15">
        <f>INDEX('AEO 2026 Table 7 raw'!24:24,MATCH(R11,'AEO 2026 Table 7 raw'!10:10,0))/INDEX('AEO 2026 Table 7 raw'!24:24,MATCH($E$11,'AEO 2026 Table 7 raw'!10:10,0))</f>
        <v>0.98993183929979067</v>
      </c>
      <c r="S15">
        <f>INDEX('AEO 2026 Table 7 raw'!24:24,MATCH(S11,'AEO 2026 Table 7 raw'!10:10,0))/INDEX('AEO 2026 Table 7 raw'!24:24,MATCH($E$11,'AEO 2026 Table 7 raw'!10:10,0))</f>
        <v>0.99296315659077172</v>
      </c>
      <c r="T15">
        <f>INDEX('AEO 2026 Table 7 raw'!24:24,MATCH(T11,'AEO 2026 Table 7 raw'!10:10,0))/INDEX('AEO 2026 Table 7 raw'!24:24,MATCH($E$11,'AEO 2026 Table 7 raw'!10:10,0))</f>
        <v>0.994984111870439</v>
      </c>
      <c r="U15">
        <f>INDEX('AEO 2026 Table 7 raw'!24:24,MATCH(U11,'AEO 2026 Table 7 raw'!10:10,0))/INDEX('AEO 2026 Table 7 raw'!24:24,MATCH($E$11,'AEO 2026 Table 7 raw'!10:10,0))</f>
        <v>0.9951249474082946</v>
      </c>
      <c r="V15">
        <f>INDEX('AEO 2026 Table 7 raw'!24:24,MATCH(V11,'AEO 2026 Table 7 raw'!10:10,0))/INDEX('AEO 2026 Table 7 raw'!24:24,MATCH($E$11,'AEO 2026 Table 7 raw'!10:10,0))</f>
        <v>0.99309019379185848</v>
      </c>
      <c r="W15">
        <f>INDEX('AEO 2026 Table 7 raw'!24:24,MATCH(W11,'AEO 2026 Table 7 raw'!10:10,0))/INDEX('AEO 2026 Table 7 raw'!24:24,MATCH($E$11,'AEO 2026 Table 7 raw'!10:10,0))</f>
        <v>0.99169895143432552</v>
      </c>
      <c r="X15">
        <f>INDEX('AEO 2026 Table 7 raw'!24:24,MATCH(X11,'AEO 2026 Table 7 raw'!10:10,0))/INDEX('AEO 2026 Table 7 raw'!24:24,MATCH($E$11,'AEO 2026 Table 7 raw'!10:10,0))</f>
        <v>0.99283789236033149</v>
      </c>
      <c r="Y15">
        <f>INDEX('AEO 2026 Table 7 raw'!24:24,MATCH(Y11,'AEO 2026 Table 7 raw'!10:10,0))/INDEX('AEO 2026 Table 7 raw'!24:24,MATCH($E$11,'AEO 2026 Table 7 raw'!10:10,0))</f>
        <v>0.99336292292865769</v>
      </c>
      <c r="Z15">
        <f>INDEX('AEO 2026 Table 7 raw'!24:24,MATCH(Z11,'AEO 2026 Table 7 raw'!10:10,0))/INDEX('AEO 2026 Table 7 raw'!24:24,MATCH($E$11,'AEO 2026 Table 7 raw'!10:10,0))</f>
        <v>0.99647764692569207</v>
      </c>
      <c r="AA15">
        <f>INDEX('AEO 2026 Table 7 raw'!24:24,MATCH(AA11,'AEO 2026 Table 7 raw'!10:10,0))/INDEX('AEO 2026 Table 7 raw'!24:24,MATCH($E$11,'AEO 2026 Table 7 raw'!10:10,0))</f>
        <v>1.0033896115328811</v>
      </c>
      <c r="AB15">
        <f>INDEX('AEO 2026 Table 7 raw'!24:24,MATCH(AB11,'AEO 2026 Table 7 raw'!10:10,0))/INDEX('AEO 2026 Table 7 raw'!24:24,MATCH($E$11,'AEO 2026 Table 7 raw'!10:10,0))</f>
        <v>1.0076129817835746</v>
      </c>
      <c r="AC15">
        <f>INDEX('AEO 2026 Table 7 raw'!24:24,MATCH(AC11,'AEO 2026 Table 7 raw'!10:10,0))/INDEX('AEO 2026 Table 7 raw'!24:24,MATCH($E$11,'AEO 2026 Table 7 raw'!10:10,0))</f>
        <v>1.0057834302480202</v>
      </c>
      <c r="AD15">
        <f>INDEX('AEO 2026 Table 7 raw'!24:24,MATCH(AD11,'AEO 2026 Table 7 raw'!10:10,0))/INDEX('AEO 2026 Table 7 raw'!24:24,MATCH($E$11,'AEO 2026 Table 7 raw'!10:10,0))</f>
        <v>1.0046351619547016</v>
      </c>
    </row>
    <row r="16" spans="1:30">
      <c r="B16" t="s">
        <v>122</v>
      </c>
      <c r="C16">
        <v>1</v>
      </c>
      <c r="D16" s="42">
        <f>('AEO 2025 Table 7'!F42*SUM('AEO 2025 Table 7'!F51:F52))/('AEO 2025 Table 7'!$F$42*SUM('AEO 2025 Table 7'!$F$51:$F$52))</f>
        <v>1</v>
      </c>
      <c r="E16" s="42">
        <f>(INDEX('AEO 2026 Table 7 raw'!49:49,MATCH(E11,'AEO 2026 Table 7 raw'!10:10,0))*SUM(INDEX('AEO 2026 Table 7 raw'!59:59,MATCH(E11,'AEO 2026 Table 7 raw'!10:10,0)),INDEX('AEO 2026 Table 7 raw'!60:60,MATCH(E11,'AEO 2026 Table 7 raw'!10:10,0))))/(INDEX('AEO 2026 Table 7 raw'!49:49,MATCH($E$11,'AEO 2026 Table 7 raw'!10:10,0))*SUM(INDEX('AEO 2026 Table 7 raw'!59:59,MATCH($E$11,'AEO 2026 Table 7 raw'!10:10,0)),INDEX('AEO 2026 Table 7 raw'!60:60,MATCH($E$11,'AEO 2026 Table 7 raw'!10:10,0))))</f>
        <v>1</v>
      </c>
      <c r="F16" s="42">
        <f>(INDEX('AEO 2026 Table 7 raw'!49:49,MATCH(F11,'AEO 2026 Table 7 raw'!10:10,0))*SUM(INDEX('AEO 2026 Table 7 raw'!59:59,MATCH(F11,'AEO 2026 Table 7 raw'!10:10,0)),INDEX('AEO 2026 Table 7 raw'!60:60,MATCH(F11,'AEO 2026 Table 7 raw'!10:10,0))))/(INDEX('AEO 2026 Table 7 raw'!49:49,MATCH($E$11,'AEO 2026 Table 7 raw'!10:10,0))*SUM(INDEX('AEO 2026 Table 7 raw'!59:59,MATCH($E$11,'AEO 2026 Table 7 raw'!10:10,0)),INDEX('AEO 2026 Table 7 raw'!60:60,MATCH($E$11,'AEO 2026 Table 7 raw'!10:10,0))))</f>
        <v>0.99319693740094372</v>
      </c>
      <c r="G16" s="42">
        <f>(INDEX('AEO 2026 Table 7 raw'!49:49,MATCH(G11,'AEO 2026 Table 7 raw'!10:10,0))*SUM(INDEX('AEO 2026 Table 7 raw'!59:59,MATCH(G11,'AEO 2026 Table 7 raw'!10:10,0)),INDEX('AEO 2026 Table 7 raw'!60:60,MATCH(G11,'AEO 2026 Table 7 raw'!10:10,0))))/(INDEX('AEO 2026 Table 7 raw'!49:49,MATCH($E$11,'AEO 2026 Table 7 raw'!10:10,0))*SUM(INDEX('AEO 2026 Table 7 raw'!59:59,MATCH($E$11,'AEO 2026 Table 7 raw'!10:10,0)),INDEX('AEO 2026 Table 7 raw'!60:60,MATCH($E$11,'AEO 2026 Table 7 raw'!10:10,0))))</f>
        <v>1.0134258591050325</v>
      </c>
      <c r="H16" s="42">
        <f>(INDEX('AEO 2026 Table 7 raw'!49:49,MATCH(H11,'AEO 2026 Table 7 raw'!10:10,0))*SUM(INDEX('AEO 2026 Table 7 raw'!59:59,MATCH(H11,'AEO 2026 Table 7 raw'!10:10,0)),INDEX('AEO 2026 Table 7 raw'!60:60,MATCH(H11,'AEO 2026 Table 7 raw'!10:10,0))))/(INDEX('AEO 2026 Table 7 raw'!49:49,MATCH($E$11,'AEO 2026 Table 7 raw'!10:10,0))*SUM(INDEX('AEO 2026 Table 7 raw'!59:59,MATCH($E$11,'AEO 2026 Table 7 raw'!10:10,0)),INDEX('AEO 2026 Table 7 raw'!60:60,MATCH($E$11,'AEO 2026 Table 7 raw'!10:10,0))))</f>
        <v>1.0357190120736635</v>
      </c>
      <c r="I16" s="42">
        <f>(INDEX('AEO 2026 Table 7 raw'!49:49,MATCH(I11,'AEO 2026 Table 7 raw'!10:10,0))*SUM(INDEX('AEO 2026 Table 7 raw'!59:59,MATCH(I11,'AEO 2026 Table 7 raw'!10:10,0)),INDEX('AEO 2026 Table 7 raw'!60:60,MATCH(I11,'AEO 2026 Table 7 raw'!10:10,0))))/(INDEX('AEO 2026 Table 7 raw'!49:49,MATCH($E$11,'AEO 2026 Table 7 raw'!10:10,0))*SUM(INDEX('AEO 2026 Table 7 raw'!59:59,MATCH($E$11,'AEO 2026 Table 7 raw'!10:10,0)),INDEX('AEO 2026 Table 7 raw'!60:60,MATCH($E$11,'AEO 2026 Table 7 raw'!10:10,0))))</f>
        <v>1.0546663961168747</v>
      </c>
      <c r="J16" s="42">
        <f>(INDEX('AEO 2026 Table 7 raw'!49:49,MATCH(J11,'AEO 2026 Table 7 raw'!10:10,0))*SUM(INDEX('AEO 2026 Table 7 raw'!59:59,MATCH(J11,'AEO 2026 Table 7 raw'!10:10,0)),INDEX('AEO 2026 Table 7 raw'!60:60,MATCH(J11,'AEO 2026 Table 7 raw'!10:10,0))))/(INDEX('AEO 2026 Table 7 raw'!49:49,MATCH($E$11,'AEO 2026 Table 7 raw'!10:10,0))*SUM(INDEX('AEO 2026 Table 7 raw'!59:59,MATCH($E$11,'AEO 2026 Table 7 raw'!10:10,0)),INDEX('AEO 2026 Table 7 raw'!60:60,MATCH($E$11,'AEO 2026 Table 7 raw'!10:10,0))))</f>
        <v>1.0745722380166023</v>
      </c>
      <c r="K16" s="42">
        <f>(INDEX('AEO 2026 Table 7 raw'!49:49,MATCH(K11,'AEO 2026 Table 7 raw'!10:10,0))*SUM(INDEX('AEO 2026 Table 7 raw'!59:59,MATCH(K11,'AEO 2026 Table 7 raw'!10:10,0)),INDEX('AEO 2026 Table 7 raw'!60:60,MATCH(K11,'AEO 2026 Table 7 raw'!10:10,0))))/(INDEX('AEO 2026 Table 7 raw'!49:49,MATCH($E$11,'AEO 2026 Table 7 raw'!10:10,0))*SUM(INDEX('AEO 2026 Table 7 raw'!59:59,MATCH($E$11,'AEO 2026 Table 7 raw'!10:10,0)),INDEX('AEO 2026 Table 7 raw'!60:60,MATCH($E$11,'AEO 2026 Table 7 raw'!10:10,0))))</f>
        <v>1.0931099384970953</v>
      </c>
      <c r="L16" s="42">
        <f>(INDEX('AEO 2026 Table 7 raw'!49:49,MATCH(L11,'AEO 2026 Table 7 raw'!10:10,0))*SUM(INDEX('AEO 2026 Table 7 raw'!59:59,MATCH(L11,'AEO 2026 Table 7 raw'!10:10,0)),INDEX('AEO 2026 Table 7 raw'!60:60,MATCH(L11,'AEO 2026 Table 7 raw'!10:10,0))))/(INDEX('AEO 2026 Table 7 raw'!49:49,MATCH($E$11,'AEO 2026 Table 7 raw'!10:10,0))*SUM(INDEX('AEO 2026 Table 7 raw'!59:59,MATCH($E$11,'AEO 2026 Table 7 raw'!10:10,0)),INDEX('AEO 2026 Table 7 raw'!60:60,MATCH($E$11,'AEO 2026 Table 7 raw'!10:10,0))))</f>
        <v>1.1137564446020281</v>
      </c>
      <c r="M16" s="42">
        <f>(INDEX('AEO 2026 Table 7 raw'!49:49,MATCH(M11,'AEO 2026 Table 7 raw'!10:10,0))*SUM(INDEX('AEO 2026 Table 7 raw'!59:59,MATCH(M11,'AEO 2026 Table 7 raw'!10:10,0)),INDEX('AEO 2026 Table 7 raw'!60:60,MATCH(M11,'AEO 2026 Table 7 raw'!10:10,0))))/(INDEX('AEO 2026 Table 7 raw'!49:49,MATCH($E$11,'AEO 2026 Table 7 raw'!10:10,0))*SUM(INDEX('AEO 2026 Table 7 raw'!59:59,MATCH($E$11,'AEO 2026 Table 7 raw'!10:10,0)),INDEX('AEO 2026 Table 7 raw'!60:60,MATCH($E$11,'AEO 2026 Table 7 raw'!10:10,0))))</f>
        <v>1.1347453982779299</v>
      </c>
      <c r="N16" s="42">
        <f>(INDEX('AEO 2026 Table 7 raw'!49:49,MATCH(N11,'AEO 2026 Table 7 raw'!10:10,0))*SUM(INDEX('AEO 2026 Table 7 raw'!59:59,MATCH(N11,'AEO 2026 Table 7 raw'!10:10,0)),INDEX('AEO 2026 Table 7 raw'!60:60,MATCH(N11,'AEO 2026 Table 7 raw'!10:10,0))))/(INDEX('AEO 2026 Table 7 raw'!49:49,MATCH($E$11,'AEO 2026 Table 7 raw'!10:10,0))*SUM(INDEX('AEO 2026 Table 7 raw'!59:59,MATCH($E$11,'AEO 2026 Table 7 raw'!10:10,0)),INDEX('AEO 2026 Table 7 raw'!60:60,MATCH($E$11,'AEO 2026 Table 7 raw'!10:10,0))))</f>
        <v>1.1565095869382649</v>
      </c>
      <c r="O16" s="42">
        <f>(INDEX('AEO 2026 Table 7 raw'!49:49,MATCH(O11,'AEO 2026 Table 7 raw'!10:10,0))*SUM(INDEX('AEO 2026 Table 7 raw'!59:59,MATCH(O11,'AEO 2026 Table 7 raw'!10:10,0)),INDEX('AEO 2026 Table 7 raw'!60:60,MATCH(O11,'AEO 2026 Table 7 raw'!10:10,0))))/(INDEX('AEO 2026 Table 7 raw'!49:49,MATCH($E$11,'AEO 2026 Table 7 raw'!10:10,0))*SUM(INDEX('AEO 2026 Table 7 raw'!59:59,MATCH($E$11,'AEO 2026 Table 7 raw'!10:10,0)),INDEX('AEO 2026 Table 7 raw'!60:60,MATCH($E$11,'AEO 2026 Table 7 raw'!10:10,0))))</f>
        <v>1.1793453842668205</v>
      </c>
      <c r="P16" s="42">
        <f>(INDEX('AEO 2026 Table 7 raw'!49:49,MATCH(P11,'AEO 2026 Table 7 raw'!10:10,0))*SUM(INDEX('AEO 2026 Table 7 raw'!59:59,MATCH(P11,'AEO 2026 Table 7 raw'!10:10,0)),INDEX('AEO 2026 Table 7 raw'!60:60,MATCH(P11,'AEO 2026 Table 7 raw'!10:10,0))))/(INDEX('AEO 2026 Table 7 raw'!49:49,MATCH($E$11,'AEO 2026 Table 7 raw'!10:10,0))*SUM(INDEX('AEO 2026 Table 7 raw'!59:59,MATCH($E$11,'AEO 2026 Table 7 raw'!10:10,0)),INDEX('AEO 2026 Table 7 raw'!60:60,MATCH($E$11,'AEO 2026 Table 7 raw'!10:10,0))))</f>
        <v>1.1981501246446953</v>
      </c>
      <c r="Q16" s="42">
        <f>(INDEX('AEO 2026 Table 7 raw'!49:49,MATCH(Q11,'AEO 2026 Table 7 raw'!10:10,0))*SUM(INDEX('AEO 2026 Table 7 raw'!59:59,MATCH(Q11,'AEO 2026 Table 7 raw'!10:10,0)),INDEX('AEO 2026 Table 7 raw'!60:60,MATCH(Q11,'AEO 2026 Table 7 raw'!10:10,0))))/(INDEX('AEO 2026 Table 7 raw'!49:49,MATCH($E$11,'AEO 2026 Table 7 raw'!10:10,0))*SUM(INDEX('AEO 2026 Table 7 raw'!59:59,MATCH($E$11,'AEO 2026 Table 7 raw'!10:10,0)),INDEX('AEO 2026 Table 7 raw'!60:60,MATCH($E$11,'AEO 2026 Table 7 raw'!10:10,0))))</f>
        <v>1.2135853367929397</v>
      </c>
      <c r="R16" s="42">
        <f>(INDEX('AEO 2026 Table 7 raw'!49:49,MATCH(R11,'AEO 2026 Table 7 raw'!10:10,0))*SUM(INDEX('AEO 2026 Table 7 raw'!59:59,MATCH(R11,'AEO 2026 Table 7 raw'!10:10,0)),INDEX('AEO 2026 Table 7 raw'!60:60,MATCH(R11,'AEO 2026 Table 7 raw'!10:10,0))))/(INDEX('AEO 2026 Table 7 raw'!49:49,MATCH($E$11,'AEO 2026 Table 7 raw'!10:10,0))*SUM(INDEX('AEO 2026 Table 7 raw'!59:59,MATCH($E$11,'AEO 2026 Table 7 raw'!10:10,0)),INDEX('AEO 2026 Table 7 raw'!60:60,MATCH($E$11,'AEO 2026 Table 7 raw'!10:10,0))))</f>
        <v>1.229039792743259</v>
      </c>
      <c r="S16" s="42">
        <f>(INDEX('AEO 2026 Table 7 raw'!49:49,MATCH(S11,'AEO 2026 Table 7 raw'!10:10,0))*SUM(INDEX('AEO 2026 Table 7 raw'!59:59,MATCH(S11,'AEO 2026 Table 7 raw'!10:10,0)),INDEX('AEO 2026 Table 7 raw'!60:60,MATCH(S11,'AEO 2026 Table 7 raw'!10:10,0))))/(INDEX('AEO 2026 Table 7 raw'!49:49,MATCH($E$11,'AEO 2026 Table 7 raw'!10:10,0))*SUM(INDEX('AEO 2026 Table 7 raw'!59:59,MATCH($E$11,'AEO 2026 Table 7 raw'!10:10,0)),INDEX('AEO 2026 Table 7 raw'!60:60,MATCH($E$11,'AEO 2026 Table 7 raw'!10:10,0))))</f>
        <v>1.2433137272282648</v>
      </c>
      <c r="T16" s="42">
        <f>(INDEX('AEO 2026 Table 7 raw'!49:49,MATCH(T11,'AEO 2026 Table 7 raw'!10:10,0))*SUM(INDEX('AEO 2026 Table 7 raw'!59:59,MATCH(T11,'AEO 2026 Table 7 raw'!10:10,0)),INDEX('AEO 2026 Table 7 raw'!60:60,MATCH(T11,'AEO 2026 Table 7 raw'!10:10,0))))/(INDEX('AEO 2026 Table 7 raw'!49:49,MATCH($E$11,'AEO 2026 Table 7 raw'!10:10,0))*SUM(INDEX('AEO 2026 Table 7 raw'!59:59,MATCH($E$11,'AEO 2026 Table 7 raw'!10:10,0)),INDEX('AEO 2026 Table 7 raw'!60:60,MATCH($E$11,'AEO 2026 Table 7 raw'!10:10,0))))</f>
        <v>1.257696150719166</v>
      </c>
      <c r="U16" s="42">
        <f>(INDEX('AEO 2026 Table 7 raw'!49:49,MATCH(U11,'AEO 2026 Table 7 raw'!10:10,0))*SUM(INDEX('AEO 2026 Table 7 raw'!59:59,MATCH(U11,'AEO 2026 Table 7 raw'!10:10,0)),INDEX('AEO 2026 Table 7 raw'!60:60,MATCH(U11,'AEO 2026 Table 7 raw'!10:10,0))))/(INDEX('AEO 2026 Table 7 raw'!49:49,MATCH($E$11,'AEO 2026 Table 7 raw'!10:10,0))*SUM(INDEX('AEO 2026 Table 7 raw'!59:59,MATCH($E$11,'AEO 2026 Table 7 raw'!10:10,0)),INDEX('AEO 2026 Table 7 raw'!60:60,MATCH($E$11,'AEO 2026 Table 7 raw'!10:10,0))))</f>
        <v>1.2717168800396377</v>
      </c>
      <c r="V16" s="42">
        <f>(INDEX('AEO 2026 Table 7 raw'!49:49,MATCH(V11,'AEO 2026 Table 7 raw'!10:10,0))*SUM(INDEX('AEO 2026 Table 7 raw'!59:59,MATCH(V11,'AEO 2026 Table 7 raw'!10:10,0)),INDEX('AEO 2026 Table 7 raw'!60:60,MATCH(V11,'AEO 2026 Table 7 raw'!10:10,0))))/(INDEX('AEO 2026 Table 7 raw'!49:49,MATCH($E$11,'AEO 2026 Table 7 raw'!10:10,0))*SUM(INDEX('AEO 2026 Table 7 raw'!59:59,MATCH($E$11,'AEO 2026 Table 7 raw'!10:10,0)),INDEX('AEO 2026 Table 7 raw'!60:60,MATCH($E$11,'AEO 2026 Table 7 raw'!10:10,0))))</f>
        <v>1.2868615449786298</v>
      </c>
      <c r="W16" s="42">
        <f>(INDEX('AEO 2026 Table 7 raw'!49:49,MATCH(W11,'AEO 2026 Table 7 raw'!10:10,0))*SUM(INDEX('AEO 2026 Table 7 raw'!59:59,MATCH(W11,'AEO 2026 Table 7 raw'!10:10,0)),INDEX('AEO 2026 Table 7 raw'!60:60,MATCH(W11,'AEO 2026 Table 7 raw'!10:10,0))))/(INDEX('AEO 2026 Table 7 raw'!49:49,MATCH($E$11,'AEO 2026 Table 7 raw'!10:10,0))*SUM(INDEX('AEO 2026 Table 7 raw'!59:59,MATCH($E$11,'AEO 2026 Table 7 raw'!10:10,0)),INDEX('AEO 2026 Table 7 raw'!60:60,MATCH($E$11,'AEO 2026 Table 7 raw'!10:10,0))))</f>
        <v>1.3016046084626953</v>
      </c>
      <c r="X16" s="42">
        <f>(INDEX('AEO 2026 Table 7 raw'!49:49,MATCH(X11,'AEO 2026 Table 7 raw'!10:10,0))*SUM(INDEX('AEO 2026 Table 7 raw'!59:59,MATCH(X11,'AEO 2026 Table 7 raw'!10:10,0)),INDEX('AEO 2026 Table 7 raw'!60:60,MATCH(X11,'AEO 2026 Table 7 raw'!10:10,0))))/(INDEX('AEO 2026 Table 7 raw'!49:49,MATCH($E$11,'AEO 2026 Table 7 raw'!10:10,0))*SUM(INDEX('AEO 2026 Table 7 raw'!59:59,MATCH($E$11,'AEO 2026 Table 7 raw'!10:10,0)),INDEX('AEO 2026 Table 7 raw'!60:60,MATCH($E$11,'AEO 2026 Table 7 raw'!10:10,0))))</f>
        <v>1.3162247191222873</v>
      </c>
      <c r="Y16" s="42">
        <f>(INDEX('AEO 2026 Table 7 raw'!49:49,MATCH(Y11,'AEO 2026 Table 7 raw'!10:10,0))*SUM(INDEX('AEO 2026 Table 7 raw'!59:59,MATCH(Y11,'AEO 2026 Table 7 raw'!10:10,0)),INDEX('AEO 2026 Table 7 raw'!60:60,MATCH(Y11,'AEO 2026 Table 7 raw'!10:10,0))))/(INDEX('AEO 2026 Table 7 raw'!49:49,MATCH($E$11,'AEO 2026 Table 7 raw'!10:10,0))*SUM(INDEX('AEO 2026 Table 7 raw'!59:59,MATCH($E$11,'AEO 2026 Table 7 raw'!10:10,0)),INDEX('AEO 2026 Table 7 raw'!60:60,MATCH($E$11,'AEO 2026 Table 7 raw'!10:10,0))))</f>
        <v>1.3322726988196882</v>
      </c>
      <c r="Z16" s="42">
        <f>(INDEX('AEO 2026 Table 7 raw'!49:49,MATCH(Z11,'AEO 2026 Table 7 raw'!10:10,0))*SUM(INDEX('AEO 2026 Table 7 raw'!59:59,MATCH(Z11,'AEO 2026 Table 7 raw'!10:10,0)),INDEX('AEO 2026 Table 7 raw'!60:60,MATCH(Z11,'AEO 2026 Table 7 raw'!10:10,0))))/(INDEX('AEO 2026 Table 7 raw'!49:49,MATCH($E$11,'AEO 2026 Table 7 raw'!10:10,0))*SUM(INDEX('AEO 2026 Table 7 raw'!59:59,MATCH($E$11,'AEO 2026 Table 7 raw'!10:10,0)),INDEX('AEO 2026 Table 7 raw'!60:60,MATCH($E$11,'AEO 2026 Table 7 raw'!10:10,0))))</f>
        <v>1.3485166507384947</v>
      </c>
      <c r="AA16" s="42">
        <f>(INDEX('AEO 2026 Table 7 raw'!49:49,MATCH(AA11,'AEO 2026 Table 7 raw'!10:10,0))*SUM(INDEX('AEO 2026 Table 7 raw'!59:59,MATCH(AA11,'AEO 2026 Table 7 raw'!10:10,0)),INDEX('AEO 2026 Table 7 raw'!60:60,MATCH(AA11,'AEO 2026 Table 7 raw'!10:10,0))))/(INDEX('AEO 2026 Table 7 raw'!49:49,MATCH($E$11,'AEO 2026 Table 7 raw'!10:10,0))*SUM(INDEX('AEO 2026 Table 7 raw'!59:59,MATCH($E$11,'AEO 2026 Table 7 raw'!10:10,0)),INDEX('AEO 2026 Table 7 raw'!60:60,MATCH($E$11,'AEO 2026 Table 7 raw'!10:10,0))))</f>
        <v>1.3649936752655762</v>
      </c>
      <c r="AB16" s="42">
        <f>(INDEX('AEO 2026 Table 7 raw'!49:49,MATCH(AB11,'AEO 2026 Table 7 raw'!10:10,0))*SUM(INDEX('AEO 2026 Table 7 raw'!59:59,MATCH(AB11,'AEO 2026 Table 7 raw'!10:10,0)),INDEX('AEO 2026 Table 7 raw'!60:60,MATCH(AB11,'AEO 2026 Table 7 raw'!10:10,0))))/(INDEX('AEO 2026 Table 7 raw'!49:49,MATCH($E$11,'AEO 2026 Table 7 raw'!10:10,0))*SUM(INDEX('AEO 2026 Table 7 raw'!59:59,MATCH($E$11,'AEO 2026 Table 7 raw'!10:10,0)),INDEX('AEO 2026 Table 7 raw'!60:60,MATCH($E$11,'AEO 2026 Table 7 raw'!10:10,0))))</f>
        <v>1.3807063961992092</v>
      </c>
      <c r="AC16" s="42">
        <f>(INDEX('AEO 2026 Table 7 raw'!49:49,MATCH(AC11,'AEO 2026 Table 7 raw'!10:10,0))*SUM(INDEX('AEO 2026 Table 7 raw'!59:59,MATCH(AC11,'AEO 2026 Table 7 raw'!10:10,0)),INDEX('AEO 2026 Table 7 raw'!60:60,MATCH(AC11,'AEO 2026 Table 7 raw'!10:10,0))))/(INDEX('AEO 2026 Table 7 raw'!49:49,MATCH($E$11,'AEO 2026 Table 7 raw'!10:10,0))*SUM(INDEX('AEO 2026 Table 7 raw'!59:59,MATCH($E$11,'AEO 2026 Table 7 raw'!10:10,0)),INDEX('AEO 2026 Table 7 raw'!60:60,MATCH($E$11,'AEO 2026 Table 7 raw'!10:10,0))))</f>
        <v>1.3961314575920318</v>
      </c>
      <c r="AD16" s="42">
        <f>(INDEX('AEO 2026 Table 7 raw'!49:49,MATCH(AD11,'AEO 2026 Table 7 raw'!10:10,0))*SUM(INDEX('AEO 2026 Table 7 raw'!59:59,MATCH(AD11,'AEO 2026 Table 7 raw'!10:10,0)),INDEX('AEO 2026 Table 7 raw'!60:60,MATCH(AD11,'AEO 2026 Table 7 raw'!10:10,0))))/(INDEX('AEO 2026 Table 7 raw'!49:49,MATCH($E$11,'AEO 2026 Table 7 raw'!10:10,0))*SUM(INDEX('AEO 2026 Table 7 raw'!59:59,MATCH($E$11,'AEO 2026 Table 7 raw'!10:10,0)),INDEX('AEO 2026 Table 7 raw'!60:60,MATCH($E$11,'AEO 2026 Table 7 raw'!10:10,0))))</f>
        <v>1.4130871380414847</v>
      </c>
    </row>
    <row r="17" spans="2:30">
      <c r="B17" t="s">
        <v>123</v>
      </c>
      <c r="C17">
        <v>1</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row>
    <row r="21" spans="2:30">
      <c r="C21" s="17"/>
      <c r="E21" s="16"/>
    </row>
    <row r="22" spans="2:30">
      <c r="C22" s="18"/>
      <c r="D22" s="18"/>
      <c r="E22" s="18"/>
    </row>
  </sheetData>
  <pageMargins left="0.7" right="0.7" top="0.75" bottom="0.75" header="0.3" footer="0.3"/>
  <legacy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B7"/>
  <sheetViews>
    <sheetView workbookViewId="0">
      <selection sqref="A1:AB7"/>
    </sheetView>
  </sheetViews>
  <sheetFormatPr defaultColWidth="9.1328125" defaultRowHeight="14.25"/>
  <cols>
    <col min="1" max="1" width="16.59765625" customWidth="1"/>
    <col min="3" max="3" width="12" bestFit="1" customWidth="1"/>
  </cols>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'US-calcs'!D3</f>
        <v>1</v>
      </c>
      <c r="C2">
        <f>'US-calcs'!E3</f>
        <v>1</v>
      </c>
      <c r="D2">
        <f>'US-calcs'!F3</f>
        <v>1.0072233198263194</v>
      </c>
      <c r="E2">
        <f>'US-calcs'!G3</f>
        <v>1.0158864775375587</v>
      </c>
      <c r="F2">
        <f>'US-calcs'!H3</f>
        <v>1.0214719356128747</v>
      </c>
      <c r="G2">
        <f>'US-calcs'!I3</f>
        <v>1.0266537032309233</v>
      </c>
      <c r="H2">
        <f>'US-calcs'!J3</f>
        <v>1.0310951569940252</v>
      </c>
      <c r="I2">
        <f>'US-calcs'!K3</f>
        <v>1.0350232600756664</v>
      </c>
      <c r="J2">
        <f>'US-calcs'!L3</f>
        <v>1.0391198466027787</v>
      </c>
      <c r="K2">
        <f>'US-calcs'!M3</f>
        <v>1.0418110304445807</v>
      </c>
      <c r="L2">
        <f>'US-calcs'!N3</f>
        <v>1.0451077929089423</v>
      </c>
      <c r="M2">
        <f>'US-calcs'!O3</f>
        <v>1.0475481407954841</v>
      </c>
      <c r="N2">
        <f>'US-calcs'!P3</f>
        <v>1.0506947967039417</v>
      </c>
      <c r="O2">
        <f>'US-calcs'!Q3</f>
        <v>1.0542815533555385</v>
      </c>
      <c r="P2">
        <f>'US-calcs'!R3</f>
        <v>1.0579271332284133</v>
      </c>
      <c r="Q2">
        <f>'US-calcs'!S3</f>
        <v>1.0609620679531004</v>
      </c>
      <c r="R2">
        <f>'US-calcs'!T3</f>
        <v>1.0642022399023929</v>
      </c>
      <c r="S2">
        <f>'US-calcs'!U3</f>
        <v>1.0665870277536544</v>
      </c>
      <c r="T2">
        <f>'US-calcs'!V3</f>
        <v>1.0688455818307865</v>
      </c>
      <c r="U2">
        <f>'US-calcs'!W3</f>
        <v>1.0707578088255614</v>
      </c>
      <c r="V2">
        <f>'US-calcs'!X3</f>
        <v>1.072900691546399</v>
      </c>
      <c r="W2">
        <f>'US-calcs'!Y3</f>
        <v>1.0748167828403818</v>
      </c>
      <c r="X2">
        <f>'US-calcs'!Z3</f>
        <v>1.0764562761843841</v>
      </c>
      <c r="Y2">
        <f>'US-calcs'!AA3</f>
        <v>1.0772840090747484</v>
      </c>
      <c r="Z2">
        <f>'US-calcs'!AB3</f>
        <v>1.078237803992611</v>
      </c>
      <c r="AA2">
        <f>'US-calcs'!AC3</f>
        <v>1.0789479763137351</v>
      </c>
      <c r="AB2">
        <f>'US-calcs'!AD3</f>
        <v>1.0800628695719154</v>
      </c>
    </row>
    <row r="3" spans="1:28">
      <c r="A3" t="s">
        <v>118</v>
      </c>
      <c r="B3">
        <f>'US-calcs'!D4</f>
        <v>1</v>
      </c>
      <c r="C3">
        <f>'US-calcs'!E4</f>
        <v>1</v>
      </c>
      <c r="D3">
        <f>'US-calcs'!F4</f>
        <v>1.0190449788365823</v>
      </c>
      <c r="E3">
        <f>'US-calcs'!G4</f>
        <v>1.0323155590215847</v>
      </c>
      <c r="F3">
        <f>'US-calcs'!H4</f>
        <v>1.0421306038760074</v>
      </c>
      <c r="G3">
        <f>'US-calcs'!I4</f>
        <v>1.0507403046071295</v>
      </c>
      <c r="H3">
        <f>'US-calcs'!J4</f>
        <v>1.057946508092912</v>
      </c>
      <c r="I3">
        <f>'US-calcs'!K4</f>
        <v>1.0635888046631334</v>
      </c>
      <c r="J3">
        <f>'US-calcs'!L4</f>
        <v>1.0688166222161797</v>
      </c>
      <c r="K3">
        <f>'US-calcs'!M4</f>
        <v>1.0745398225743237</v>
      </c>
      <c r="L3">
        <f>'US-calcs'!N4</f>
        <v>1.0798008403859127</v>
      </c>
      <c r="M3">
        <f>'US-calcs'!O4</f>
        <v>1.0853974429160866</v>
      </c>
      <c r="N3">
        <f>'US-calcs'!P4</f>
        <v>1.090214887799726</v>
      </c>
      <c r="O3">
        <f>'US-calcs'!Q4</f>
        <v>1.0951717737692446</v>
      </c>
      <c r="P3">
        <f>'US-calcs'!R4</f>
        <v>1.0996301316460146</v>
      </c>
      <c r="Q3">
        <f>'US-calcs'!S4</f>
        <v>1.104072850453629</v>
      </c>
      <c r="R3">
        <f>'US-calcs'!T4</f>
        <v>1.1084681278391679</v>
      </c>
      <c r="S3">
        <f>'US-calcs'!U4</f>
        <v>1.1120982266344004</v>
      </c>
      <c r="T3">
        <f>'US-calcs'!V4</f>
        <v>1.1156849903553248</v>
      </c>
      <c r="U3">
        <f>'US-calcs'!W4</f>
        <v>1.1189368683104755</v>
      </c>
      <c r="V3">
        <f>'US-calcs'!X4</f>
        <v>1.1220701863949882</v>
      </c>
      <c r="W3">
        <f>'US-calcs'!Y4</f>
        <v>1.1250920215060789</v>
      </c>
      <c r="X3">
        <f>'US-calcs'!Z4</f>
        <v>1.1277228798882792</v>
      </c>
      <c r="Y3">
        <f>'US-calcs'!AA4</f>
        <v>1.1302394594858116</v>
      </c>
      <c r="Z3">
        <f>'US-calcs'!AB4</f>
        <v>1.132368906594917</v>
      </c>
      <c r="AA3">
        <f>'US-calcs'!AC4</f>
        <v>1.1343181112477754</v>
      </c>
      <c r="AB3">
        <f>'US-calcs'!AD4</f>
        <v>1.1361936637481307</v>
      </c>
    </row>
    <row r="4" spans="1:28">
      <c r="A4" t="s">
        <v>116</v>
      </c>
      <c r="B4">
        <f>'US-calcs'!D5</f>
        <v>1</v>
      </c>
      <c r="C4">
        <f>'US-calcs'!E5</f>
        <v>1</v>
      </c>
      <c r="D4">
        <f>'US-calcs'!F5</f>
        <v>1.032477399740966</v>
      </c>
      <c r="E4">
        <f>'US-calcs'!G5</f>
        <v>1.0524095440255241</v>
      </c>
      <c r="F4">
        <f>'US-calcs'!H5</f>
        <v>1.0615640738975591</v>
      </c>
      <c r="G4">
        <f>'US-calcs'!I5</f>
        <v>1.0755797883225811</v>
      </c>
      <c r="H4">
        <f>'US-calcs'!J5</f>
        <v>1.0937832634471882</v>
      </c>
      <c r="I4">
        <f>'US-calcs'!K5</f>
        <v>1.1111440359626363</v>
      </c>
      <c r="J4">
        <f>'US-calcs'!L5</f>
        <v>1.1329588484374851</v>
      </c>
      <c r="K4">
        <f>'US-calcs'!M5</f>
        <v>1.1567433720328146</v>
      </c>
      <c r="L4">
        <f>'US-calcs'!N5</f>
        <v>1.1829731667419781</v>
      </c>
      <c r="M4">
        <f>'US-calcs'!O5</f>
        <v>1.2118570840927412</v>
      </c>
      <c r="N4">
        <f>'US-calcs'!P5</f>
        <v>1.233787610443229</v>
      </c>
      <c r="O4">
        <f>'US-calcs'!Q5</f>
        <v>1.2558553967990178</v>
      </c>
      <c r="P4">
        <f>'US-calcs'!R5</f>
        <v>1.2777326157928492</v>
      </c>
      <c r="Q4">
        <f>'US-calcs'!S5</f>
        <v>1.2986636935869105</v>
      </c>
      <c r="R4">
        <f>'US-calcs'!T5</f>
        <v>1.3201105908755659</v>
      </c>
      <c r="S4">
        <f>'US-calcs'!U5</f>
        <v>1.3402183661612797</v>
      </c>
      <c r="T4">
        <f>'US-calcs'!V5</f>
        <v>1.3614918643187852</v>
      </c>
      <c r="U4">
        <f>'US-calcs'!W5</f>
        <v>1.3841832866586365</v>
      </c>
      <c r="V4">
        <f>'US-calcs'!X5</f>
        <v>1.4068541071215195</v>
      </c>
      <c r="W4">
        <f>'US-calcs'!Y5</f>
        <v>1.4297236498559927</v>
      </c>
      <c r="X4">
        <f>'US-calcs'!Z5</f>
        <v>1.4516135733406219</v>
      </c>
      <c r="Y4">
        <f>'US-calcs'!AA5</f>
        <v>1.4715409105205546</v>
      </c>
      <c r="Z4">
        <f>'US-calcs'!AB5</f>
        <v>1.4917087746140925</v>
      </c>
      <c r="AA4">
        <f>'US-calcs'!AC5</f>
        <v>1.5108346987799568</v>
      </c>
      <c r="AB4">
        <f>'US-calcs'!AD5</f>
        <v>1.5305191054939713</v>
      </c>
    </row>
    <row r="5" spans="1:28">
      <c r="A5" t="s">
        <v>121</v>
      </c>
      <c r="B5">
        <f>'US-calcs'!D6</f>
        <v>1</v>
      </c>
      <c r="C5">
        <f>'US-calcs'!E6</f>
        <v>1</v>
      </c>
      <c r="D5">
        <f>'US-calcs'!F6</f>
        <v>1.0648734346141118</v>
      </c>
      <c r="E5">
        <f>'US-calcs'!G6</f>
        <v>1.1134850518093471</v>
      </c>
      <c r="F5">
        <f>'US-calcs'!H6</f>
        <v>1.1506462997269236</v>
      </c>
      <c r="G5">
        <f>'US-calcs'!I6</f>
        <v>1.183058879722384</v>
      </c>
      <c r="H5">
        <f>'US-calcs'!J6</f>
        <v>1.2108931455141039</v>
      </c>
      <c r="I5">
        <f>'US-calcs'!K6</f>
        <v>1.2345255463271598</v>
      </c>
      <c r="J5">
        <f>'US-calcs'!L6</f>
        <v>1.2560120473035605</v>
      </c>
      <c r="K5">
        <f>'US-calcs'!M6</f>
        <v>1.2784251657467409</v>
      </c>
      <c r="L5">
        <f>'US-calcs'!N6</f>
        <v>1.2957967192751751</v>
      </c>
      <c r="M5">
        <f>'US-calcs'!O6</f>
        <v>1.3131794131012688</v>
      </c>
      <c r="N5">
        <f>'US-calcs'!P6</f>
        <v>1.3268421758672375</v>
      </c>
      <c r="O5">
        <f>'US-calcs'!Q6</f>
        <v>1.3414179788622134</v>
      </c>
      <c r="P5">
        <f>'US-calcs'!R6</f>
        <v>1.3547107909100742</v>
      </c>
      <c r="Q5">
        <f>'US-calcs'!S6</f>
        <v>1.3652879233139041</v>
      </c>
      <c r="R5">
        <f>'US-calcs'!T6</f>
        <v>1.3762506724794263</v>
      </c>
      <c r="S5">
        <f>'US-calcs'!U6</f>
        <v>1.3857035631777888</v>
      </c>
      <c r="T5">
        <f>'US-calcs'!V6</f>
        <v>1.3952048445441088</v>
      </c>
      <c r="U5">
        <f>'US-calcs'!W6</f>
        <v>1.4031384771491606</v>
      </c>
      <c r="V5">
        <f>'US-calcs'!X6</f>
        <v>1.4119216734955145</v>
      </c>
      <c r="W5">
        <f>'US-calcs'!Y6</f>
        <v>1.4213966126996609</v>
      </c>
      <c r="X5">
        <f>'US-calcs'!Z6</f>
        <v>1.4292179139699797</v>
      </c>
      <c r="Y5">
        <f>'US-calcs'!AA6</f>
        <v>1.4378002368241611</v>
      </c>
      <c r="Z5">
        <f>'US-calcs'!AB6</f>
        <v>1.4440223251565096</v>
      </c>
      <c r="AA5">
        <f>'US-calcs'!AC6</f>
        <v>1.449828160908603</v>
      </c>
      <c r="AB5">
        <f>'US-calcs'!AD6</f>
        <v>1.4553276384750604</v>
      </c>
    </row>
    <row r="6" spans="1:28">
      <c r="A6" t="s">
        <v>122</v>
      </c>
      <c r="B6">
        <f>'US-calcs'!D7</f>
        <v>1</v>
      </c>
      <c r="C6">
        <f>'US-calcs'!E7</f>
        <v>1</v>
      </c>
      <c r="D6">
        <f>'US-calcs'!F7</f>
        <v>1.0030389227215093</v>
      </c>
      <c r="E6">
        <f>'US-calcs'!G7</f>
        <v>0.99897884121779124</v>
      </c>
      <c r="F6">
        <f>'US-calcs'!H7</f>
        <v>0.98892123254330333</v>
      </c>
      <c r="G6">
        <f>'US-calcs'!I7</f>
        <v>0.98128147588619274</v>
      </c>
      <c r="H6">
        <f>'US-calcs'!J7</f>
        <v>0.97591640142070291</v>
      </c>
      <c r="I6">
        <f>'US-calcs'!K7</f>
        <v>0.97011193875996593</v>
      </c>
      <c r="J6">
        <f>'US-calcs'!L7</f>
        <v>0.96663133712599758</v>
      </c>
      <c r="K6">
        <f>'US-calcs'!M7</f>
        <v>0.96433611006438047</v>
      </c>
      <c r="L6">
        <f>'US-calcs'!N7</f>
        <v>0.9632758659197399</v>
      </c>
      <c r="M6">
        <f>'US-calcs'!O7</f>
        <v>0.96351259722662863</v>
      </c>
      <c r="N6">
        <f>'US-calcs'!P7</f>
        <v>0.96073975562628777</v>
      </c>
      <c r="O6">
        <f>'US-calcs'!Q7</f>
        <v>0.95798903376402622</v>
      </c>
      <c r="P6">
        <f>'US-calcs'!R7</f>
        <v>0.9550563430532284</v>
      </c>
      <c r="Q6">
        <f>'US-calcs'!S7</f>
        <v>0.95203596082415454</v>
      </c>
      <c r="R6">
        <f>'US-calcs'!T7</f>
        <v>0.94909346298029151</v>
      </c>
      <c r="S6">
        <f>'US-calcs'!U7</f>
        <v>0.94538450547424147</v>
      </c>
      <c r="T6">
        <f>'US-calcs'!V7</f>
        <v>0.94209095521762398</v>
      </c>
      <c r="U6">
        <f>'US-calcs'!W7</f>
        <v>0.93908310034830356</v>
      </c>
      <c r="V6">
        <f>'US-calcs'!X7</f>
        <v>0.93606171593044951</v>
      </c>
      <c r="W6">
        <f>'US-calcs'!Y7</f>
        <v>0.93299344339465984</v>
      </c>
      <c r="X6">
        <f>'US-calcs'!Z7</f>
        <v>0.92943259507335452</v>
      </c>
      <c r="Y6">
        <f>'US-calcs'!AA7</f>
        <v>0.92519276385339866</v>
      </c>
      <c r="Z6">
        <f>'US-calcs'!AB7</f>
        <v>0.92079186657946654</v>
      </c>
      <c r="AA6">
        <f>'US-calcs'!AC7</f>
        <v>0.9159893063593747</v>
      </c>
      <c r="AB6">
        <f>'US-calcs'!AD7</f>
        <v>0.91144795948637547</v>
      </c>
    </row>
    <row r="7" spans="1:28">
      <c r="A7" t="s">
        <v>123</v>
      </c>
      <c r="B7">
        <f>'US-calcs'!D8</f>
        <v>1</v>
      </c>
      <c r="C7">
        <f>'US-calcs'!E8</f>
        <v>1</v>
      </c>
      <c r="D7">
        <f>'US-calcs'!F8</f>
        <v>1.0069874254767137</v>
      </c>
      <c r="E7">
        <f>'US-calcs'!G8</f>
        <v>1.0161839026320174</v>
      </c>
      <c r="F7">
        <f>'US-calcs'!H8</f>
        <v>1.0224479516998086</v>
      </c>
      <c r="G7">
        <f>'US-calcs'!I8</f>
        <v>1.028511418050944</v>
      </c>
      <c r="H7">
        <f>'US-calcs'!J8</f>
        <v>1.0335455352531038</v>
      </c>
      <c r="I7">
        <f>'US-calcs'!K8</f>
        <v>1.0387351837548324</v>
      </c>
      <c r="J7">
        <f>'US-calcs'!L8</f>
        <v>1.0439840260848761</v>
      </c>
      <c r="K7">
        <f>'US-calcs'!M8</f>
        <v>1.0476920676818111</v>
      </c>
      <c r="L7">
        <f>'US-calcs'!N8</f>
        <v>1.0517649236077315</v>
      </c>
      <c r="M7">
        <f>'US-calcs'!O8</f>
        <v>1.0549224502729573</v>
      </c>
      <c r="N7">
        <f>'US-calcs'!P8</f>
        <v>1.0588988806677784</v>
      </c>
      <c r="O7">
        <f>'US-calcs'!Q8</f>
        <v>1.0633378894323395</v>
      </c>
      <c r="P7">
        <f>'US-calcs'!R8</f>
        <v>1.0677536503976219</v>
      </c>
      <c r="Q7">
        <f>'US-calcs'!S8</f>
        <v>1.0714377573284815</v>
      </c>
      <c r="R7">
        <f>'US-calcs'!T8</f>
        <v>1.0753604536054238</v>
      </c>
      <c r="S7">
        <f>'US-calcs'!U8</f>
        <v>1.0787205531398196</v>
      </c>
      <c r="T7">
        <f>'US-calcs'!V8</f>
        <v>1.0818120349207305</v>
      </c>
      <c r="U7">
        <f>'US-calcs'!W8</f>
        <v>1.0846685025852962</v>
      </c>
      <c r="V7">
        <f>'US-calcs'!X8</f>
        <v>1.0878748848529458</v>
      </c>
      <c r="W7">
        <f>'US-calcs'!Y8</f>
        <v>1.0909496352631638</v>
      </c>
      <c r="X7">
        <f>'US-calcs'!Z8</f>
        <v>1.093549478925236</v>
      </c>
      <c r="Y7">
        <f>'US-calcs'!AA8</f>
        <v>1.0953931526918275</v>
      </c>
      <c r="Z7">
        <f>'US-calcs'!AB8</f>
        <v>1.097183145176448</v>
      </c>
      <c r="AA7">
        <f>'US-calcs'!AC8</f>
        <v>1.0988109490371607</v>
      </c>
      <c r="AB7">
        <f>'US-calcs'!AD8</f>
        <v>1.100854219250136</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7"/>
  <sheetViews>
    <sheetView workbookViewId="0">
      <selection activeCell="G2" sqref="G2"/>
    </sheetView>
  </sheetViews>
  <sheetFormatPr defaultColWidth="9.1328125" defaultRowHeight="14.25"/>
  <cols>
    <col min="1" max="1" width="16.59765625" customWidth="1"/>
  </cols>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'US-calcs'!D12</f>
        <v>1</v>
      </c>
      <c r="C2">
        <f>'US-calcs'!E12</f>
        <v>1</v>
      </c>
      <c r="D2">
        <f>'US-calcs'!F12</f>
        <v>0.99717440675315006</v>
      </c>
      <c r="E2">
        <f>'US-calcs'!G12</f>
        <v>0.99980810015275634</v>
      </c>
      <c r="F2">
        <f>'US-calcs'!H12</f>
        <v>1.0020683381155304</v>
      </c>
      <c r="G2">
        <f>'US-calcs'!I12</f>
        <v>1.0055012235551142</v>
      </c>
      <c r="H2">
        <f>'US-calcs'!J12</f>
        <v>1.0137509172823871</v>
      </c>
      <c r="I2">
        <f>'US-calcs'!K12</f>
        <v>1.0206527199202642</v>
      </c>
      <c r="J2">
        <f>'US-calcs'!L12</f>
        <v>1.0294005157247725</v>
      </c>
      <c r="K2">
        <f>'US-calcs'!M12</f>
        <v>1.036868831445916</v>
      </c>
      <c r="L2">
        <f>'US-calcs'!N12</f>
        <v>1.0463355248361006</v>
      </c>
      <c r="M2">
        <f>'US-calcs'!O12</f>
        <v>1.0565664402520012</v>
      </c>
      <c r="N2">
        <f>'US-calcs'!P12</f>
        <v>1.0671911454600669</v>
      </c>
      <c r="O2">
        <f>'US-calcs'!Q12</f>
        <v>1.0791621864617669</v>
      </c>
      <c r="P2">
        <f>'US-calcs'!R12</f>
        <v>1.0924589587202271</v>
      </c>
      <c r="Q2">
        <f>'US-calcs'!S12</f>
        <v>1.1061966875043128</v>
      </c>
      <c r="R2">
        <f>'US-calcs'!T12</f>
        <v>1.1205317162873141</v>
      </c>
      <c r="S2">
        <f>'US-calcs'!U12</f>
        <v>1.1339171845415872</v>
      </c>
      <c r="T2">
        <f>'US-calcs'!V12</f>
        <v>1.1467271095371714</v>
      </c>
      <c r="U2">
        <f>'US-calcs'!W12</f>
        <v>1.1569171797109685</v>
      </c>
      <c r="V2">
        <f>'US-calcs'!X12</f>
        <v>1.1668712768343033</v>
      </c>
      <c r="W2">
        <f>'US-calcs'!Y12</f>
        <v>1.1782998511102292</v>
      </c>
      <c r="X2">
        <f>'US-calcs'!Z12</f>
        <v>1.1902743222628023</v>
      </c>
      <c r="Y2">
        <f>'US-calcs'!AA12</f>
        <v>1.2030274135108141</v>
      </c>
      <c r="Z2">
        <f>'US-calcs'!AB12</f>
        <v>1.2144890076400834</v>
      </c>
      <c r="AA2">
        <f>'US-calcs'!AC12</f>
        <v>1.2268305880502479</v>
      </c>
      <c r="AB2">
        <f>'US-calcs'!AD12</f>
        <v>1.2384229047256823</v>
      </c>
    </row>
    <row r="3" spans="1:28">
      <c r="A3" t="s">
        <v>118</v>
      </c>
      <c r="B3">
        <f>'US-calcs'!D13</f>
        <v>1</v>
      </c>
      <c r="C3">
        <f>'US-calcs'!E13</f>
        <v>1</v>
      </c>
      <c r="D3">
        <f>'US-calcs'!F13</f>
        <v>1.0118345589310906</v>
      </c>
      <c r="E3">
        <f>'US-calcs'!G13</f>
        <v>1.0279382469470737</v>
      </c>
      <c r="F3">
        <f>'US-calcs'!H13</f>
        <v>1.0432056747612115</v>
      </c>
      <c r="G3">
        <f>'US-calcs'!I13</f>
        <v>1.0558925120220481</v>
      </c>
      <c r="H3">
        <f>'US-calcs'!J13</f>
        <v>1.0709939093297061</v>
      </c>
      <c r="I3">
        <f>'US-calcs'!K13</f>
        <v>1.0816952318621904</v>
      </c>
      <c r="J3">
        <f>'US-calcs'!L13</f>
        <v>1.0933613446455177</v>
      </c>
      <c r="K3">
        <f>'US-calcs'!M13</f>
        <v>1.1028465394728153</v>
      </c>
      <c r="L3">
        <f>'US-calcs'!N13</f>
        <v>1.1136451627703663</v>
      </c>
      <c r="M3">
        <f>'US-calcs'!O13</f>
        <v>1.1243448713591111</v>
      </c>
      <c r="N3">
        <f>'US-calcs'!P13</f>
        <v>1.1342618383313927</v>
      </c>
      <c r="O3">
        <f>'US-calcs'!Q13</f>
        <v>1.1434960121639037</v>
      </c>
      <c r="P3">
        <f>'US-calcs'!R13</f>
        <v>1.1517187970758314</v>
      </c>
      <c r="Q3">
        <f>'US-calcs'!S13</f>
        <v>1.1593785476929368</v>
      </c>
      <c r="R3">
        <f>'US-calcs'!T13</f>
        <v>1.1672452101169357</v>
      </c>
      <c r="S3">
        <f>'US-calcs'!U13</f>
        <v>1.174878478343462</v>
      </c>
      <c r="T3">
        <f>'US-calcs'!V13</f>
        <v>1.1819847675673385</v>
      </c>
      <c r="U3">
        <f>'US-calcs'!W13</f>
        <v>1.188051096846978</v>
      </c>
      <c r="V3">
        <f>'US-calcs'!X13</f>
        <v>1.1944659799568125</v>
      </c>
      <c r="W3">
        <f>'US-calcs'!Y13</f>
        <v>1.2028692839485959</v>
      </c>
      <c r="X3">
        <f>'US-calcs'!Z13</f>
        <v>1.2115239201203969</v>
      </c>
      <c r="Y3">
        <f>'US-calcs'!AA13</f>
        <v>1.2201089457383518</v>
      </c>
      <c r="Z3">
        <f>'US-calcs'!AB13</f>
        <v>1.226474176343723</v>
      </c>
      <c r="AA3">
        <f>'US-calcs'!AC13</f>
        <v>1.2327767901514537</v>
      </c>
      <c r="AB3">
        <f>'US-calcs'!AD13</f>
        <v>1.2384968968529664</v>
      </c>
    </row>
    <row r="4" spans="1:28">
      <c r="A4" t="s">
        <v>116</v>
      </c>
      <c r="B4">
        <f>'US-calcs'!D14</f>
        <v>1</v>
      </c>
      <c r="C4">
        <f>'US-calcs'!E14</f>
        <v>1</v>
      </c>
      <c r="D4">
        <f>'US-calcs'!F14</f>
        <v>1.0279218016294767</v>
      </c>
      <c r="E4">
        <f>'US-calcs'!G14</f>
        <v>1.0481178519788865</v>
      </c>
      <c r="F4">
        <f>'US-calcs'!H14</f>
        <v>1.0618686335044238</v>
      </c>
      <c r="G4">
        <f>'US-calcs'!I14</f>
        <v>1.0793618569090695</v>
      </c>
      <c r="H4">
        <f>'US-calcs'!J14</f>
        <v>1.0998907712006247</v>
      </c>
      <c r="I4">
        <f>'US-calcs'!K14</f>
        <v>1.1201259539281085</v>
      </c>
      <c r="J4">
        <f>'US-calcs'!L14</f>
        <v>1.1435838188132317</v>
      </c>
      <c r="K4">
        <f>'US-calcs'!M14</f>
        <v>1.1686173109914255</v>
      </c>
      <c r="L4">
        <f>'US-calcs'!N14</f>
        <v>1.1955486566622358</v>
      </c>
      <c r="M4">
        <f>'US-calcs'!O14</f>
        <v>1.2245081061030982</v>
      </c>
      <c r="N4">
        <f>'US-calcs'!P14</f>
        <v>1.2489892950887451</v>
      </c>
      <c r="O4">
        <f>'US-calcs'!Q14</f>
        <v>1.2737559269844445</v>
      </c>
      <c r="P4">
        <f>'US-calcs'!R14</f>
        <v>1.2985784977456294</v>
      </c>
      <c r="Q4">
        <f>'US-calcs'!S14</f>
        <v>1.3229276794119746</v>
      </c>
      <c r="R4">
        <f>'US-calcs'!T14</f>
        <v>1.3478206273391931</v>
      </c>
      <c r="S4">
        <f>'US-calcs'!U14</f>
        <v>1.3719509427035714</v>
      </c>
      <c r="T4">
        <f>'US-calcs'!V14</f>
        <v>1.3970490634651733</v>
      </c>
      <c r="U4">
        <f>'US-calcs'!W14</f>
        <v>1.4232973973072531</v>
      </c>
      <c r="V4">
        <f>'US-calcs'!X14</f>
        <v>1.4497092124359678</v>
      </c>
      <c r="W4">
        <f>'US-calcs'!Y14</f>
        <v>1.4764340101961522</v>
      </c>
      <c r="X4">
        <f>'US-calcs'!Z14</f>
        <v>1.5026578600417988</v>
      </c>
      <c r="Y4">
        <f>'US-calcs'!AA14</f>
        <v>1.5276866158462679</v>
      </c>
      <c r="Z4">
        <f>'US-calcs'!AB14</f>
        <v>1.5530653667510728</v>
      </c>
      <c r="AA4">
        <f>'US-calcs'!AC14</f>
        <v>1.5778981550926723</v>
      </c>
      <c r="AB4">
        <f>'US-calcs'!AD14</f>
        <v>1.6033284713565792</v>
      </c>
    </row>
    <row r="5" spans="1:28">
      <c r="A5" t="s">
        <v>121</v>
      </c>
      <c r="B5">
        <f>'US-calcs'!D15</f>
        <v>1</v>
      </c>
      <c r="C5">
        <f>'US-calcs'!E15</f>
        <v>1</v>
      </c>
      <c r="D5">
        <f>'US-calcs'!F15</f>
        <v>0.97830978545667635</v>
      </c>
      <c r="E5">
        <f>'US-calcs'!G15</f>
        <v>1.0109039236457087</v>
      </c>
      <c r="F5">
        <f>'US-calcs'!H15</f>
        <v>0.99119527359943416</v>
      </c>
      <c r="G5">
        <f>'US-calcs'!I15</f>
        <v>0.98437935774986285</v>
      </c>
      <c r="H5">
        <f>'US-calcs'!J15</f>
        <v>0.99194246509830231</v>
      </c>
      <c r="I5">
        <f>'US-calcs'!K15</f>
        <v>0.9675376012385507</v>
      </c>
      <c r="J5">
        <f>'US-calcs'!L15</f>
        <v>0.97263496893215862</v>
      </c>
      <c r="K5">
        <f>'US-calcs'!M15</f>
        <v>0.97789036227032156</v>
      </c>
      <c r="L5">
        <f>'US-calcs'!N15</f>
        <v>0.97614984469547994</v>
      </c>
      <c r="M5">
        <f>'US-calcs'!O15</f>
        <v>0.9803742170600166</v>
      </c>
      <c r="N5">
        <f>'US-calcs'!P15</f>
        <v>0.98373314849215043</v>
      </c>
      <c r="O5">
        <f>'US-calcs'!Q15</f>
        <v>0.98849473096249618</v>
      </c>
      <c r="P5">
        <f>'US-calcs'!R15</f>
        <v>0.98993183929979067</v>
      </c>
      <c r="Q5">
        <f>'US-calcs'!S15</f>
        <v>0.99296315659077172</v>
      </c>
      <c r="R5">
        <f>'US-calcs'!T15</f>
        <v>0.994984111870439</v>
      </c>
      <c r="S5">
        <f>'US-calcs'!U15</f>
        <v>0.9951249474082946</v>
      </c>
      <c r="T5">
        <f>'US-calcs'!V15</f>
        <v>0.99309019379185848</v>
      </c>
      <c r="U5">
        <f>'US-calcs'!W15</f>
        <v>0.99169895143432552</v>
      </c>
      <c r="V5">
        <f>'US-calcs'!X15</f>
        <v>0.99283789236033149</v>
      </c>
      <c r="W5">
        <f>'US-calcs'!Y15</f>
        <v>0.99336292292865769</v>
      </c>
      <c r="X5">
        <f>'US-calcs'!Z15</f>
        <v>0.99647764692569207</v>
      </c>
      <c r="Y5">
        <f>'US-calcs'!AA15</f>
        <v>1.0033896115328811</v>
      </c>
      <c r="Z5">
        <f>'US-calcs'!AB15</f>
        <v>1.0076129817835746</v>
      </c>
      <c r="AA5">
        <f>'US-calcs'!AC15</f>
        <v>1.0057834302480202</v>
      </c>
      <c r="AB5">
        <f>'US-calcs'!AD15</f>
        <v>1.0046351619547016</v>
      </c>
    </row>
    <row r="6" spans="1:28">
      <c r="A6" t="s">
        <v>122</v>
      </c>
      <c r="B6">
        <f>'US-calcs'!D16</f>
        <v>1</v>
      </c>
      <c r="C6">
        <f>'US-calcs'!E16</f>
        <v>1</v>
      </c>
      <c r="D6">
        <f>'US-calcs'!F16</f>
        <v>0.99319693740094372</v>
      </c>
      <c r="E6">
        <f>'US-calcs'!G16</f>
        <v>1.0134258591050325</v>
      </c>
      <c r="F6">
        <f>'US-calcs'!H16</f>
        <v>1.0357190120736635</v>
      </c>
      <c r="G6">
        <f>'US-calcs'!I16</f>
        <v>1.0546663961168747</v>
      </c>
      <c r="H6">
        <f>'US-calcs'!J16</f>
        <v>1.0745722380166023</v>
      </c>
      <c r="I6">
        <f>'US-calcs'!K16</f>
        <v>1.0931099384970953</v>
      </c>
      <c r="J6">
        <f>'US-calcs'!L16</f>
        <v>1.1137564446020281</v>
      </c>
      <c r="K6">
        <f>'US-calcs'!M16</f>
        <v>1.1347453982779299</v>
      </c>
      <c r="L6">
        <f>'US-calcs'!N16</f>
        <v>1.1565095869382649</v>
      </c>
      <c r="M6">
        <f>'US-calcs'!O16</f>
        <v>1.1793453842668205</v>
      </c>
      <c r="N6">
        <f>'US-calcs'!P16</f>
        <v>1.1981501246446953</v>
      </c>
      <c r="O6">
        <f>'US-calcs'!Q16</f>
        <v>1.2135853367929397</v>
      </c>
      <c r="P6">
        <f>'US-calcs'!R16</f>
        <v>1.229039792743259</v>
      </c>
      <c r="Q6">
        <f>'US-calcs'!S16</f>
        <v>1.2433137272282648</v>
      </c>
      <c r="R6">
        <f>'US-calcs'!T16</f>
        <v>1.257696150719166</v>
      </c>
      <c r="S6">
        <f>'US-calcs'!U16</f>
        <v>1.2717168800396377</v>
      </c>
      <c r="T6">
        <f>'US-calcs'!V16</f>
        <v>1.2868615449786298</v>
      </c>
      <c r="U6">
        <f>'US-calcs'!W16</f>
        <v>1.3016046084626953</v>
      </c>
      <c r="V6">
        <f>'US-calcs'!X16</f>
        <v>1.3162247191222873</v>
      </c>
      <c r="W6">
        <f>'US-calcs'!Y16</f>
        <v>1.3322726988196882</v>
      </c>
      <c r="X6">
        <f>'US-calcs'!Z16</f>
        <v>1.3485166507384947</v>
      </c>
      <c r="Y6">
        <f>'US-calcs'!AA16</f>
        <v>1.3649936752655762</v>
      </c>
      <c r="Z6">
        <f>'US-calcs'!AB16</f>
        <v>1.3807063961992092</v>
      </c>
      <c r="AA6">
        <f>'US-calcs'!AC16</f>
        <v>1.3961314575920318</v>
      </c>
      <c r="AB6">
        <f>'US-calcs'!AD16</f>
        <v>1.4130871380414847</v>
      </c>
    </row>
    <row r="7" spans="1:28">
      <c r="A7" t="s">
        <v>123</v>
      </c>
      <c r="B7">
        <f>'US-calcs'!D17</f>
        <v>0</v>
      </c>
      <c r="C7">
        <f>'US-calcs'!E17</f>
        <v>0</v>
      </c>
      <c r="D7">
        <f>'US-calcs'!F17</f>
        <v>0</v>
      </c>
      <c r="E7">
        <f>'US-calcs'!G17</f>
        <v>0</v>
      </c>
      <c r="F7">
        <f>'US-calcs'!H17</f>
        <v>0</v>
      </c>
      <c r="G7">
        <f>'US-calcs'!I17</f>
        <v>0</v>
      </c>
      <c r="H7">
        <f>'US-calcs'!J17</f>
        <v>0</v>
      </c>
      <c r="I7">
        <f>'US-calcs'!K17</f>
        <v>0</v>
      </c>
      <c r="J7">
        <f>'US-calcs'!L17</f>
        <v>0</v>
      </c>
      <c r="K7">
        <f>'US-calcs'!M17</f>
        <v>0</v>
      </c>
      <c r="L7">
        <f>'US-calcs'!N17</f>
        <v>0</v>
      </c>
      <c r="M7">
        <f>'US-calcs'!O17</f>
        <v>0</v>
      </c>
      <c r="N7">
        <f>'US-calcs'!P17</f>
        <v>0</v>
      </c>
      <c r="O7">
        <f>'US-calcs'!Q17</f>
        <v>0</v>
      </c>
      <c r="P7">
        <f>'US-calcs'!R17</f>
        <v>0</v>
      </c>
      <c r="Q7">
        <f>'US-calcs'!S17</f>
        <v>0</v>
      </c>
      <c r="R7">
        <f>'US-calcs'!T17</f>
        <v>0</v>
      </c>
      <c r="S7">
        <f>'US-calcs'!U17</f>
        <v>0</v>
      </c>
      <c r="T7">
        <f>'US-calcs'!V17</f>
        <v>0</v>
      </c>
      <c r="U7">
        <f>'US-calcs'!W17</f>
        <v>0</v>
      </c>
      <c r="V7">
        <f>'US-calcs'!X17</f>
        <v>0</v>
      </c>
      <c r="W7">
        <f>'US-calcs'!Y17</f>
        <v>0</v>
      </c>
      <c r="X7">
        <f>'US-calcs'!Z17</f>
        <v>0</v>
      </c>
      <c r="Y7">
        <f>'US-calcs'!AA17</f>
        <v>0</v>
      </c>
      <c r="Z7">
        <f>'US-calcs'!AB17</f>
        <v>0</v>
      </c>
      <c r="AA7">
        <f>'US-calcs'!AC17</f>
        <v>0</v>
      </c>
      <c r="AB7">
        <f>'US-calcs'!AD17</f>
        <v>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BAFC9-FAB9-4A49-B6C7-DB48B65723FB}">
  <dimension ref="A1:AB22"/>
  <sheetViews>
    <sheetView workbookViewId="0">
      <selection activeCell="K31" sqref="K31"/>
    </sheetView>
  </sheetViews>
  <sheetFormatPr defaultRowHeight="14.25"/>
  <cols>
    <col min="1" max="1" width="18.73046875" customWidth="1"/>
    <col min="2" max="28" width="10.73046875" customWidth="1"/>
  </cols>
  <sheetData>
    <row r="1" spans="1:28">
      <c r="A1" s="1" t="s">
        <v>2956</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c r="A2" s="15" t="s">
        <v>2957</v>
      </c>
      <c r="B2" s="1" t="str">
        <f>About!B1</f>
        <v>Connecticut</v>
      </c>
    </row>
    <row r="4" spans="1:28">
      <c r="A4" s="1" t="s">
        <v>2024</v>
      </c>
    </row>
    <row r="5" spans="1:28">
      <c r="A5" t="s">
        <v>120</v>
      </c>
      <c r="B5" s="66">
        <f>'BCDTRtSY-psgr-US'!B2</f>
        <v>1</v>
      </c>
      <c r="C5" s="66">
        <f>'BCDTRtSY-psgr-US'!C2*(INDEX(Pop_yearly_lookup!C:C, MATCH(About!$B$1, Pop_yearly_lookup!$A:$A, 0))/INDEX(Pop_yearly_lookup!$C:$C, MATCH(About!$B$1, Pop_yearly_lookup!$A:$A, 0)))/(INDEX(Pop_yearly_lookup!C:C, MATCH("United States", Pop_yearly_lookup!$A:$A, 0))/INDEX(Pop_yearly_lookup!$C:$C, MATCH("United States", Pop_yearly_lookup!$A:$A, 0)))</f>
        <v>1</v>
      </c>
      <c r="D5" s="66">
        <f>'BCDTRtSY-psgr-US'!D2*(INDEX(Pop_yearly_lookup!D:D, MATCH(About!$B$1, Pop_yearly_lookup!$A:$A, 0))/INDEX(Pop_yearly_lookup!$C:$C, MATCH(About!$B$1, Pop_yearly_lookup!$A:$A, 0)))/(INDEX(Pop_yearly_lookup!D:D, MATCH("United States", Pop_yearly_lookup!$A:$A, 0))/INDEX(Pop_yearly_lookup!$C:$C, MATCH("United States", Pop_yearly_lookup!$A:$A, 0)))</f>
        <v>0.99940056719860015</v>
      </c>
      <c r="E5" s="66">
        <f>'BCDTRtSY-psgr-US'!E2*(INDEX(Pop_yearly_lookup!E:E, MATCH(About!$B$1, Pop_yearly_lookup!$A:$A, 0))/INDEX(Pop_yearly_lookup!$C:$C, MATCH(About!$B$1, Pop_yearly_lookup!$A:$A, 0)))/(INDEX(Pop_yearly_lookup!E:E, MATCH("United States", Pop_yearly_lookup!$A:$A, 0))/INDEX(Pop_yearly_lookup!$C:$C, MATCH("United States", Pop_yearly_lookup!$A:$A, 0)))</f>
        <v>1.0001787843287111</v>
      </c>
      <c r="F5" s="66">
        <f>'BCDTRtSY-psgr-US'!F2*(INDEX(Pop_yearly_lookup!F:F, MATCH(About!$B$1, Pop_yearly_lookup!$A:$A, 0))/INDEX(Pop_yearly_lookup!$C:$C, MATCH(About!$B$1, Pop_yearly_lookup!$A:$A, 0)))/(INDEX(Pop_yearly_lookup!F:F, MATCH("United States", Pop_yearly_lookup!$A:$A, 0))/INDEX(Pop_yearly_lookup!$C:$C, MATCH("United States", Pop_yearly_lookup!$A:$A, 0)))</f>
        <v>0.99788902111693367</v>
      </c>
      <c r="G5" s="66">
        <f>'BCDTRtSY-psgr-US'!G2*(INDEX(Pop_yearly_lookup!G:G, MATCH(About!$B$1, Pop_yearly_lookup!$A:$A, 0))/INDEX(Pop_yearly_lookup!$C:$C, MATCH(About!$B$1, Pop_yearly_lookup!$A:$A, 0)))/(INDEX(Pop_yearly_lookup!G:G, MATCH("United States", Pop_yearly_lookup!$A:$A, 0))/INDEX(Pop_yearly_lookup!$C:$C, MATCH("United States", Pop_yearly_lookup!$A:$A, 0)))</f>
        <v>0.99519394701403596</v>
      </c>
      <c r="H5" s="66">
        <f>'BCDTRtSY-psgr-US'!H2*(INDEX(Pop_yearly_lookup!H:H, MATCH(About!$B$1, Pop_yearly_lookup!$A:$A, 0))/INDEX(Pop_yearly_lookup!$C:$C, MATCH(About!$B$1, Pop_yearly_lookup!$A:$A, 0)))/(INDEX(Pop_yearly_lookup!H:H, MATCH("United States", Pop_yearly_lookup!$A:$A, 0))/INDEX(Pop_yearly_lookup!$C:$C, MATCH("United States", Pop_yearly_lookup!$A:$A, 0)))</f>
        <v>0.99177903195976458</v>
      </c>
      <c r="I5" s="66">
        <f>'BCDTRtSY-psgr-US'!I2*(INDEX(Pop_yearly_lookup!I:I, MATCH(About!$B$1, Pop_yearly_lookup!$A:$A, 0))/INDEX(Pop_yearly_lookup!$C:$C, MATCH(About!$B$1, Pop_yearly_lookup!$A:$A, 0)))/(INDEX(Pop_yearly_lookup!I:I, MATCH("United States", Pop_yearly_lookup!$A:$A, 0))/INDEX(Pop_yearly_lookup!$C:$C, MATCH("United States", Pop_yearly_lookup!$A:$A, 0)))</f>
        <v>0.989009393315751</v>
      </c>
      <c r="J5" s="66">
        <f>'BCDTRtSY-psgr-US'!J2*(INDEX(Pop_yearly_lookup!J:J, MATCH(About!$B$1, Pop_yearly_lookup!$A:$A, 0))/INDEX(Pop_yearly_lookup!$C:$C, MATCH(About!$B$1, Pop_yearly_lookup!$A:$A, 0)))/(INDEX(Pop_yearly_lookup!J:J, MATCH("United States", Pop_yearly_lookup!$A:$A, 0))/INDEX(Pop_yearly_lookup!$C:$C, MATCH("United States", Pop_yearly_lookup!$A:$A, 0)))</f>
        <v>0.98639700582891976</v>
      </c>
      <c r="K5" s="66">
        <f>'BCDTRtSY-psgr-US'!K2*(INDEX(Pop_yearly_lookup!K:K, MATCH(About!$B$1, Pop_yearly_lookup!$A:$A, 0))/INDEX(Pop_yearly_lookup!$C:$C, MATCH(About!$B$1, Pop_yearly_lookup!$A:$A, 0)))/(INDEX(Pop_yearly_lookup!K:K, MATCH("United States", Pop_yearly_lookup!$A:$A, 0))/INDEX(Pop_yearly_lookup!$C:$C, MATCH("United States", Pop_yearly_lookup!$A:$A, 0)))</f>
        <v>0.98245453101922187</v>
      </c>
      <c r="L5" s="66">
        <f>'BCDTRtSY-psgr-US'!L2*(INDEX(Pop_yearly_lookup!L:L, MATCH(About!$B$1, Pop_yearly_lookup!$A:$A, 0))/INDEX(Pop_yearly_lookup!$C:$C, MATCH(About!$B$1, Pop_yearly_lookup!$A:$A, 0)))/(INDEX(Pop_yearly_lookup!L:L, MATCH("United States", Pop_yearly_lookup!$A:$A, 0))/INDEX(Pop_yearly_lookup!$C:$C, MATCH("United States", Pop_yearly_lookup!$A:$A, 0)))</f>
        <v>0.97909208144967064</v>
      </c>
      <c r="M5" s="66">
        <f>'BCDTRtSY-psgr-US'!M2*(INDEX(Pop_yearly_lookup!M:M, MATCH(About!$B$1, Pop_yearly_lookup!$A:$A, 0))/INDEX(Pop_yearly_lookup!$C:$C, MATCH(About!$B$1, Pop_yearly_lookup!$A:$A, 0)))/(INDEX(Pop_yearly_lookup!M:M, MATCH("United States", Pop_yearly_lookup!$A:$A, 0))/INDEX(Pop_yearly_lookup!$C:$C, MATCH("United States", Pop_yearly_lookup!$A:$A, 0)))</f>
        <v>0.97493769692965282</v>
      </c>
      <c r="N5" s="66">
        <f>'BCDTRtSY-psgr-US'!N2*(INDEX(Pop_yearly_lookup!N:N, MATCH(About!$B$1, Pop_yearly_lookup!$A:$A, 0))/INDEX(Pop_yearly_lookup!$C:$C, MATCH(About!$B$1, Pop_yearly_lookup!$A:$A, 0)))/(INDEX(Pop_yearly_lookup!N:N, MATCH("United States", Pop_yearly_lookup!$A:$A, 0))/INDEX(Pop_yearly_lookup!$C:$C, MATCH("United States", Pop_yearly_lookup!$A:$A, 0)))</f>
        <v>0.97145187103262098</v>
      </c>
      <c r="O5" s="66">
        <f>'BCDTRtSY-psgr-US'!O2*(INDEX(Pop_yearly_lookup!O:O, MATCH(About!$B$1, Pop_yearly_lookup!$A:$A, 0))/INDEX(Pop_yearly_lookup!$C:$C, MATCH(About!$B$1, Pop_yearly_lookup!$A:$A, 0)))/(INDEX(Pop_yearly_lookup!O:O, MATCH("United States", Pop_yearly_lookup!$A:$A, 0))/INDEX(Pop_yearly_lookup!$C:$C, MATCH("United States", Pop_yearly_lookup!$A:$A, 0)))</f>
        <v>0.96837707896938219</v>
      </c>
      <c r="P5" s="66">
        <f>'BCDTRtSY-psgr-US'!P2*(INDEX(Pop_yearly_lookup!P:P, MATCH(About!$B$1, Pop_yearly_lookup!$A:$A, 0))/INDEX(Pop_yearly_lookup!$C:$C, MATCH(About!$B$1, Pop_yearly_lookup!$A:$A, 0)))/(INDEX(Pop_yearly_lookup!P:P, MATCH("United States", Pop_yearly_lookup!$A:$A, 0))/INDEX(Pop_yearly_lookup!$C:$C, MATCH("United States", Pop_yearly_lookup!$A:$A, 0)))</f>
        <v>0.96535738644631952</v>
      </c>
      <c r="Q5" s="66">
        <f>'BCDTRtSY-psgr-US'!Q2*(INDEX(Pop_yearly_lookup!Q:Q, MATCH(About!$B$1, Pop_yearly_lookup!$A:$A, 0))/INDEX(Pop_yearly_lookup!$C:$C, MATCH(About!$B$1, Pop_yearly_lookup!$A:$A, 0)))/(INDEX(Pop_yearly_lookup!Q:Q, MATCH("United States", Pop_yearly_lookup!$A:$A, 0))/INDEX(Pop_yearly_lookup!$C:$C, MATCH("United States", Pop_yearly_lookup!$A:$A, 0)))</f>
        <v>0.96178483629745415</v>
      </c>
      <c r="R5" s="66">
        <f>'BCDTRtSY-psgr-US'!R2*(INDEX(Pop_yearly_lookup!R:R, MATCH(About!$B$1, Pop_yearly_lookup!$A:$A, 0))/INDEX(Pop_yearly_lookup!$C:$C, MATCH(About!$B$1, Pop_yearly_lookup!$A:$A, 0)))/(INDEX(Pop_yearly_lookup!R:R, MATCH("United States", Pop_yearly_lookup!$A:$A, 0))/INDEX(Pop_yearly_lookup!$C:$C, MATCH("United States", Pop_yearly_lookup!$A:$A, 0)))</f>
        <v>0.95840506725273211</v>
      </c>
      <c r="S5" s="66">
        <f>'BCDTRtSY-psgr-US'!S2*(INDEX(Pop_yearly_lookup!S:S, MATCH(About!$B$1, Pop_yearly_lookup!$A:$A, 0))/INDEX(Pop_yearly_lookup!$C:$C, MATCH(About!$B$1, Pop_yearly_lookup!$A:$A, 0)))/(INDEX(Pop_yearly_lookup!S:S, MATCH("United States", Pop_yearly_lookup!$A:$A, 0))/INDEX(Pop_yearly_lookup!$C:$C, MATCH("United States", Pop_yearly_lookup!$A:$A, 0)))</f>
        <v>0.95408599393395699</v>
      </c>
      <c r="T5" s="66">
        <f>'BCDTRtSY-psgr-US'!T2*(INDEX(Pop_yearly_lookup!T:T, MATCH(About!$B$1, Pop_yearly_lookup!$A:$A, 0))/INDEX(Pop_yearly_lookup!$C:$C, MATCH(About!$B$1, Pop_yearly_lookup!$A:$A, 0)))/(INDEX(Pop_yearly_lookup!T:T, MATCH("United States", Pop_yearly_lookup!$A:$A, 0))/INDEX(Pop_yearly_lookup!$C:$C, MATCH("United States", Pop_yearly_lookup!$A:$A, 0)))</f>
        <v>0.94965956371731663</v>
      </c>
      <c r="U5" s="66">
        <f>'BCDTRtSY-psgr-US'!U2*(INDEX(Pop_yearly_lookup!U:U, MATCH(About!$B$1, Pop_yearly_lookup!$A:$A, 0))/INDEX(Pop_yearly_lookup!$C:$C, MATCH(About!$B$1, Pop_yearly_lookup!$A:$A, 0)))/(INDEX(Pop_yearly_lookup!U:U, MATCH("United States", Pop_yearly_lookup!$A:$A, 0))/INDEX(Pop_yearly_lookup!$C:$C, MATCH("United States", Pop_yearly_lookup!$A:$A, 0)))</f>
        <v>0.94493378123445482</v>
      </c>
      <c r="V5" s="66">
        <f>'BCDTRtSY-psgr-US'!V2*(INDEX(Pop_yearly_lookup!V:V, MATCH(About!$B$1, Pop_yearly_lookup!$A:$A, 0))/INDEX(Pop_yearly_lookup!$C:$C, MATCH(About!$B$1, Pop_yearly_lookup!$A:$A, 0)))/(INDEX(Pop_yearly_lookup!V:V, MATCH("United States", Pop_yearly_lookup!$A:$A, 0))/INDEX(Pop_yearly_lookup!$C:$C, MATCH("United States", Pop_yearly_lookup!$A:$A, 0)))</f>
        <v>0.94042053743682197</v>
      </c>
      <c r="W5" s="66">
        <f>'BCDTRtSY-psgr-US'!W2*(INDEX(Pop_yearly_lookup!W:W, MATCH(About!$B$1, Pop_yearly_lookup!$A:$A, 0))/INDEX(Pop_yearly_lookup!$C:$C, MATCH(About!$B$1, Pop_yearly_lookup!$A:$A, 0)))/(INDEX(Pop_yearly_lookup!W:W, MATCH("United States", Pop_yearly_lookup!$A:$A, 0))/INDEX(Pop_yearly_lookup!$C:$C, MATCH("United States", Pop_yearly_lookup!$A:$A, 0)))</f>
        <v>0.93571739714023872</v>
      </c>
      <c r="X5" s="66">
        <f>'BCDTRtSY-psgr-US'!X2*(INDEX(Pop_yearly_lookup!X:X, MATCH(About!$B$1, Pop_yearly_lookup!$A:$A, 0))/INDEX(Pop_yearly_lookup!$C:$C, MATCH(About!$B$1, Pop_yearly_lookup!$A:$A, 0)))/(INDEX(Pop_yearly_lookup!X:X, MATCH("United States", Pop_yearly_lookup!$A:$A, 0))/INDEX(Pop_yearly_lookup!$C:$C, MATCH("United States", Pop_yearly_lookup!$A:$A, 0)))</f>
        <v>0.93078525509728494</v>
      </c>
      <c r="Y5" s="66">
        <f>'BCDTRtSY-psgr-US'!Y2*(INDEX(Pop_yearly_lookup!Y:Y, MATCH(About!$B$1, Pop_yearly_lookup!$A:$A, 0))/INDEX(Pop_yearly_lookup!$C:$C, MATCH(About!$B$1, Pop_yearly_lookup!$A:$A, 0)))/(INDEX(Pop_yearly_lookup!Y:Y, MATCH("United States", Pop_yearly_lookup!$A:$A, 0))/INDEX(Pop_yearly_lookup!$C:$C, MATCH("United States", Pop_yearly_lookup!$A:$A, 0)))</f>
        <v>0.92516931358250154</v>
      </c>
      <c r="Z5" s="66">
        <f>'BCDTRtSY-psgr-US'!Z2*(INDEX(Pop_yearly_lookup!Z:Z, MATCH(About!$B$1, Pop_yearly_lookup!$A:$A, 0))/INDEX(Pop_yearly_lookup!$C:$C, MATCH(About!$B$1, Pop_yearly_lookup!$A:$A, 0)))/(INDEX(Pop_yearly_lookup!Z:Z, MATCH("United States", Pop_yearly_lookup!$A:$A, 0))/INDEX(Pop_yearly_lookup!$C:$C, MATCH("United States", Pop_yearly_lookup!$A:$A, 0)))</f>
        <v>0.919683626265278</v>
      </c>
      <c r="AA5" s="66">
        <f>'BCDTRtSY-psgr-US'!AA2*(INDEX(Pop_yearly_lookup!AA:AA, MATCH(About!$B$1, Pop_yearly_lookup!$A:$A, 0))/INDEX(Pop_yearly_lookup!$C:$C, MATCH(About!$B$1, Pop_yearly_lookup!$A:$A, 0)))/(INDEX(Pop_yearly_lookup!AA:AA, MATCH("United States", Pop_yearly_lookup!$A:$A, 0))/INDEX(Pop_yearly_lookup!$C:$C, MATCH("United States", Pop_yearly_lookup!$A:$A, 0)))</f>
        <v>0.91401264674698512</v>
      </c>
      <c r="AB5" s="66">
        <f>'BCDTRtSY-psgr-US'!AB2*(INDEX(Pop_yearly_lookup!AB:AB, MATCH(About!$B$1, Pop_yearly_lookup!$A:$A, 0))/INDEX(Pop_yearly_lookup!$C:$C, MATCH(About!$B$1, Pop_yearly_lookup!$A:$A, 0)))/(INDEX(Pop_yearly_lookup!AB:AB, MATCH("United States", Pop_yearly_lookup!$A:$A, 0))/INDEX(Pop_yearly_lookup!$C:$C, MATCH("United States", Pop_yearly_lookup!$A:$A, 0)))</f>
        <v>0.90870592477446699</v>
      </c>
    </row>
    <row r="6" spans="1:28">
      <c r="A6" t="s">
        <v>118</v>
      </c>
      <c r="B6" s="66">
        <f>'BCDTRtSY-psgr-US'!B3</f>
        <v>1</v>
      </c>
      <c r="C6" s="66">
        <f>'BCDTRtSY-psgr-US'!C3*(INDEX(Pop_yearly_lookup!C:C, MATCH(About!$B$1, Pop_yearly_lookup!$A:$A, 0))/INDEX(Pop_yearly_lookup!$C:$C, MATCH(About!$B$1, Pop_yearly_lookup!$A:$A, 0)))/(INDEX(Pop_yearly_lookup!C:C, MATCH("United States", Pop_yearly_lookup!$A:$A, 0))/INDEX(Pop_yearly_lookup!$C:$C, MATCH("United States", Pop_yearly_lookup!$A:$A, 0)))</f>
        <v>1</v>
      </c>
      <c r="D6" s="66">
        <f>'BCDTRtSY-psgr-US'!D3*(INDEX(Pop_yearly_lookup!D:D, MATCH(About!$B$1, Pop_yearly_lookup!$A:$A, 0))/INDEX(Pop_yearly_lookup!$C:$C, MATCH(About!$B$1, Pop_yearly_lookup!$A:$A, 0)))/(INDEX(Pop_yearly_lookup!D:D, MATCH("United States", Pop_yearly_lookup!$A:$A, 0))/INDEX(Pop_yearly_lookup!$C:$C, MATCH("United States", Pop_yearly_lookup!$A:$A, 0)))</f>
        <v>1.0111304115017705</v>
      </c>
      <c r="E6" s="66">
        <f>'BCDTRtSY-psgr-US'!E3*(INDEX(Pop_yearly_lookup!E:E, MATCH(About!$B$1, Pop_yearly_lookup!$A:$A, 0))/INDEX(Pop_yearly_lookup!$C:$C, MATCH(About!$B$1, Pop_yearly_lookup!$A:$A, 0)))/(INDEX(Pop_yearly_lookup!E:E, MATCH("United States", Pop_yearly_lookup!$A:$A, 0))/INDEX(Pop_yearly_lookup!$C:$C, MATCH("United States", Pop_yearly_lookup!$A:$A, 0)))</f>
        <v>1.0163538384412143</v>
      </c>
      <c r="F6" s="66">
        <f>'BCDTRtSY-psgr-US'!F3*(INDEX(Pop_yearly_lookup!F:F, MATCH(About!$B$1, Pop_yearly_lookup!$A:$A, 0))/INDEX(Pop_yearly_lookup!$C:$C, MATCH(About!$B$1, Pop_yearly_lookup!$A:$A, 0)))/(INDEX(Pop_yearly_lookup!F:F, MATCH("United States", Pop_yearly_lookup!$A:$A, 0))/INDEX(Pop_yearly_lookup!$C:$C, MATCH("United States", Pop_yearly_lookup!$A:$A, 0)))</f>
        <v>1.0180707388244381</v>
      </c>
      <c r="G6" s="66">
        <f>'BCDTRtSY-psgr-US'!G3*(INDEX(Pop_yearly_lookup!G:G, MATCH(About!$B$1, Pop_yearly_lookup!$A:$A, 0))/INDEX(Pop_yearly_lookup!$C:$C, MATCH(About!$B$1, Pop_yearly_lookup!$A:$A, 0)))/(INDEX(Pop_yearly_lookup!G:G, MATCH("United States", Pop_yearly_lookup!$A:$A, 0))/INDEX(Pop_yearly_lookup!$C:$C, MATCH("United States", Pop_yearly_lookup!$A:$A, 0)))</f>
        <v>1.0185424625049975</v>
      </c>
      <c r="H6" s="66">
        <f>'BCDTRtSY-psgr-US'!H3*(INDEX(Pop_yearly_lookup!H:H, MATCH(About!$B$1, Pop_yearly_lookup!$A:$A, 0))/INDEX(Pop_yearly_lookup!$C:$C, MATCH(About!$B$1, Pop_yearly_lookup!$A:$A, 0)))/(INDEX(Pop_yearly_lookup!H:H, MATCH("United States", Pop_yearly_lookup!$A:$A, 0))/INDEX(Pop_yearly_lookup!$C:$C, MATCH("United States", Pop_yearly_lookup!$A:$A, 0)))</f>
        <v>1.0176065288876934</v>
      </c>
      <c r="I6" s="66">
        <f>'BCDTRtSY-psgr-US'!I3*(INDEX(Pop_yearly_lookup!I:I, MATCH(About!$B$1, Pop_yearly_lookup!$A:$A, 0))/INDEX(Pop_yearly_lookup!$C:$C, MATCH(About!$B$1, Pop_yearly_lookup!$A:$A, 0)))/(INDEX(Pop_yearly_lookup!I:I, MATCH("United States", Pop_yearly_lookup!$A:$A, 0))/INDEX(Pop_yearly_lookup!$C:$C, MATCH("United States", Pop_yearly_lookup!$A:$A, 0)))</f>
        <v>1.0163050039671671</v>
      </c>
      <c r="J6" s="66">
        <f>'BCDTRtSY-psgr-US'!J3*(INDEX(Pop_yearly_lookup!J:J, MATCH(About!$B$1, Pop_yearly_lookup!$A:$A, 0))/INDEX(Pop_yearly_lookup!$C:$C, MATCH(About!$B$1, Pop_yearly_lookup!$A:$A, 0)))/(INDEX(Pop_yearly_lookup!J:J, MATCH("United States", Pop_yearly_lookup!$A:$A, 0))/INDEX(Pop_yearly_lookup!$C:$C, MATCH("United States", Pop_yearly_lookup!$A:$A, 0)))</f>
        <v>1.014587027070069</v>
      </c>
      <c r="K6" s="66">
        <f>'BCDTRtSY-psgr-US'!K3*(INDEX(Pop_yearly_lookup!K:K, MATCH(About!$B$1, Pop_yearly_lookup!$A:$A, 0))/INDEX(Pop_yearly_lookup!$C:$C, MATCH(About!$B$1, Pop_yearly_lookup!$A:$A, 0)))/(INDEX(Pop_yearly_lookup!K:K, MATCH("United States", Pop_yearly_lookup!$A:$A, 0))/INDEX(Pop_yearly_lookup!$C:$C, MATCH("United States", Pop_yearly_lookup!$A:$A, 0)))</f>
        <v>1.013318621706504</v>
      </c>
      <c r="L6" s="66">
        <f>'BCDTRtSY-psgr-US'!L3*(INDEX(Pop_yearly_lookup!L:L, MATCH(About!$B$1, Pop_yearly_lookup!$A:$A, 0))/INDEX(Pop_yearly_lookup!$C:$C, MATCH(About!$B$1, Pop_yearly_lookup!$A:$A, 0)))/(INDEX(Pop_yearly_lookup!L:L, MATCH("United States", Pop_yearly_lookup!$A:$A, 0))/INDEX(Pop_yearly_lookup!$C:$C, MATCH("United States", Pop_yearly_lookup!$A:$A, 0)))</f>
        <v>1.0115936935288552</v>
      </c>
      <c r="M6" s="66">
        <f>'BCDTRtSY-psgr-US'!M3*(INDEX(Pop_yearly_lookup!M:M, MATCH(About!$B$1, Pop_yearly_lookup!$A:$A, 0))/INDEX(Pop_yearly_lookup!$C:$C, MATCH(About!$B$1, Pop_yearly_lookup!$A:$A, 0)))/(INDEX(Pop_yearly_lookup!M:M, MATCH("United States", Pop_yearly_lookup!$A:$A, 0))/INDEX(Pop_yearly_lookup!$C:$C, MATCH("United States", Pop_yearly_lookup!$A:$A, 0)))</f>
        <v>1.0101634875189363</v>
      </c>
      <c r="N6" s="66">
        <f>'BCDTRtSY-psgr-US'!N3*(INDEX(Pop_yearly_lookup!N:N, MATCH(About!$B$1, Pop_yearly_lookup!$A:$A, 0))/INDEX(Pop_yearly_lookup!$C:$C, MATCH(About!$B$1, Pop_yearly_lookup!$A:$A, 0)))/(INDEX(Pop_yearly_lookup!N:N, MATCH("United States", Pop_yearly_lookup!$A:$A, 0))/INDEX(Pop_yearly_lookup!$C:$C, MATCH("United States", Pop_yearly_lookup!$A:$A, 0)))</f>
        <v>1.0079913747579801</v>
      </c>
      <c r="O6" s="66">
        <f>'BCDTRtSY-psgr-US'!O3*(INDEX(Pop_yearly_lookup!O:O, MATCH(About!$B$1, Pop_yearly_lookup!$A:$A, 0))/INDEX(Pop_yearly_lookup!$C:$C, MATCH(About!$B$1, Pop_yearly_lookup!$A:$A, 0)))/(INDEX(Pop_yearly_lookup!O:O, MATCH("United States", Pop_yearly_lookup!$A:$A, 0))/INDEX(Pop_yearly_lookup!$C:$C, MATCH("United States", Pop_yearly_lookup!$A:$A, 0)))</f>
        <v>1.0059355016474705</v>
      </c>
      <c r="P6" s="66">
        <f>'BCDTRtSY-psgr-US'!P3*(INDEX(Pop_yearly_lookup!P:P, MATCH(About!$B$1, Pop_yearly_lookup!$A:$A, 0))/INDEX(Pop_yearly_lookup!$C:$C, MATCH(About!$B$1, Pop_yearly_lookup!$A:$A, 0)))/(INDEX(Pop_yearly_lookup!P:P, MATCH("United States", Pop_yearly_lookup!$A:$A, 0))/INDEX(Pop_yearly_lookup!$C:$C, MATCH("United States", Pop_yearly_lookup!$A:$A, 0)))</f>
        <v>1.0034113282490378</v>
      </c>
      <c r="Q6" s="66">
        <f>'BCDTRtSY-psgr-US'!Q3*(INDEX(Pop_yearly_lookup!Q:Q, MATCH(About!$B$1, Pop_yearly_lookup!$A:$A, 0))/INDEX(Pop_yearly_lookup!$C:$C, MATCH(About!$B$1, Pop_yearly_lookup!$A:$A, 0)))/(INDEX(Pop_yearly_lookup!Q:Q, MATCH("United States", Pop_yearly_lookup!$A:$A, 0))/INDEX(Pop_yearly_lookup!$C:$C, MATCH("United States", Pop_yearly_lookup!$A:$A, 0)))</f>
        <v>1.0008656839001595</v>
      </c>
      <c r="R6" s="66">
        <f>'BCDTRtSY-psgr-US'!R3*(INDEX(Pop_yearly_lookup!R:R, MATCH(About!$B$1, Pop_yearly_lookup!$A:$A, 0))/INDEX(Pop_yearly_lookup!$C:$C, MATCH(About!$B$1, Pop_yearly_lookup!$A:$A, 0)))/(INDEX(Pop_yearly_lookup!R:R, MATCH("United States", Pop_yearly_lookup!$A:$A, 0))/INDEX(Pop_yearly_lookup!$C:$C, MATCH("United States", Pop_yearly_lookup!$A:$A, 0)))</f>
        <v>0.99827028244804861</v>
      </c>
      <c r="S6" s="66">
        <f>'BCDTRtSY-psgr-US'!S3*(INDEX(Pop_yearly_lookup!S:S, MATCH(About!$B$1, Pop_yearly_lookup!$A:$A, 0))/INDEX(Pop_yearly_lookup!$C:$C, MATCH(About!$B$1, Pop_yearly_lookup!$A:$A, 0)))/(INDEX(Pop_yearly_lookup!S:S, MATCH("United States", Pop_yearly_lookup!$A:$A, 0))/INDEX(Pop_yearly_lookup!$C:$C, MATCH("United States", Pop_yearly_lookup!$A:$A, 0)))</f>
        <v>0.99479678104217173</v>
      </c>
      <c r="T6" s="66">
        <f>'BCDTRtSY-psgr-US'!T3*(INDEX(Pop_yearly_lookup!T:T, MATCH(About!$B$1, Pop_yearly_lookup!$A:$A, 0))/INDEX(Pop_yearly_lookup!$C:$C, MATCH(About!$B$1, Pop_yearly_lookup!$A:$A, 0)))/(INDEX(Pop_yearly_lookup!T:T, MATCH("United States", Pop_yearly_lookup!$A:$A, 0))/INDEX(Pop_yearly_lookup!$C:$C, MATCH("United States", Pop_yearly_lookup!$A:$A, 0)))</f>
        <v>0.99127595154763315</v>
      </c>
      <c r="U6" s="66">
        <f>'BCDTRtSY-psgr-US'!U3*(INDEX(Pop_yearly_lookup!U:U, MATCH(About!$B$1, Pop_yearly_lookup!$A:$A, 0))/INDEX(Pop_yearly_lookup!$C:$C, MATCH(About!$B$1, Pop_yearly_lookup!$A:$A, 0)))/(INDEX(Pop_yearly_lookup!U:U, MATCH("United States", Pop_yearly_lookup!$A:$A, 0))/INDEX(Pop_yearly_lookup!$C:$C, MATCH("United States", Pop_yearly_lookup!$A:$A, 0)))</f>
        <v>0.98745135194947387</v>
      </c>
      <c r="V6" s="66">
        <f>'BCDTRtSY-psgr-US'!V3*(INDEX(Pop_yearly_lookup!V:V, MATCH(About!$B$1, Pop_yearly_lookup!$A:$A, 0))/INDEX(Pop_yearly_lookup!$C:$C, MATCH(About!$B$1, Pop_yearly_lookup!$A:$A, 0)))/(INDEX(Pop_yearly_lookup!V:V, MATCH("United States", Pop_yearly_lookup!$A:$A, 0))/INDEX(Pop_yearly_lookup!$C:$C, MATCH("United States", Pop_yearly_lookup!$A:$A, 0)))</f>
        <v>0.98351865745421185</v>
      </c>
      <c r="W6" s="66">
        <f>'BCDTRtSY-psgr-US'!W3*(INDEX(Pop_yearly_lookup!W:W, MATCH(About!$B$1, Pop_yearly_lookup!$A:$A, 0))/INDEX(Pop_yearly_lookup!$C:$C, MATCH(About!$B$1, Pop_yearly_lookup!$A:$A, 0)))/(INDEX(Pop_yearly_lookup!W:W, MATCH("United States", Pop_yearly_lookup!$A:$A, 0))/INDEX(Pop_yearly_lookup!$C:$C, MATCH("United States", Pop_yearly_lookup!$A:$A, 0)))</f>
        <v>0.97948617356420764</v>
      </c>
      <c r="X6" s="66">
        <f>'BCDTRtSY-psgr-US'!X3*(INDEX(Pop_yearly_lookup!X:X, MATCH(About!$B$1, Pop_yearly_lookup!$A:$A, 0))/INDEX(Pop_yearly_lookup!$C:$C, MATCH(About!$B$1, Pop_yearly_lookup!$A:$A, 0)))/(INDEX(Pop_yearly_lookup!X:X, MATCH("United States", Pop_yearly_lookup!$A:$A, 0))/INDEX(Pop_yearly_lookup!$C:$C, MATCH("United States", Pop_yearly_lookup!$A:$A, 0)))</f>
        <v>0.97511422587131735</v>
      </c>
      <c r="Y6" s="66">
        <f>'BCDTRtSY-psgr-US'!Y3*(INDEX(Pop_yearly_lookup!Y:Y, MATCH(About!$B$1, Pop_yearly_lookup!$A:$A, 0))/INDEX(Pop_yearly_lookup!$C:$C, MATCH(About!$B$1, Pop_yearly_lookup!$A:$A, 0)))/(INDEX(Pop_yearly_lookup!Y:Y, MATCH("United States", Pop_yearly_lookup!$A:$A, 0))/INDEX(Pop_yearly_lookup!$C:$C, MATCH("United States", Pop_yearly_lookup!$A:$A, 0)))</f>
        <v>0.97064734657524421</v>
      </c>
      <c r="Z6" s="66">
        <f>'BCDTRtSY-psgr-US'!Z3*(INDEX(Pop_yearly_lookup!Z:Z, MATCH(About!$B$1, Pop_yearly_lookup!$A:$A, 0))/INDEX(Pop_yearly_lookup!$C:$C, MATCH(About!$B$1, Pop_yearly_lookup!$A:$A, 0)))/(INDEX(Pop_yearly_lookup!Z:Z, MATCH("United States", Pop_yearly_lookup!$A:$A, 0))/INDEX(Pop_yearly_lookup!$C:$C, MATCH("United States", Pop_yearly_lookup!$A:$A, 0)))</f>
        <v>0.96585478493795962</v>
      </c>
      <c r="AA6" s="66">
        <f>'BCDTRtSY-psgr-US'!AA3*(INDEX(Pop_yearly_lookup!AA:AA, MATCH(About!$B$1, Pop_yearly_lookup!$A:$A, 0))/INDEX(Pop_yearly_lookup!$C:$C, MATCH(About!$B$1, Pop_yearly_lookup!$A:$A, 0)))/(INDEX(Pop_yearly_lookup!AA:AA, MATCH("United States", Pop_yearly_lookup!$A:$A, 0))/INDEX(Pop_yearly_lookup!$C:$C, MATCH("United States", Pop_yearly_lookup!$A:$A, 0)))</f>
        <v>0.96091852607835693</v>
      </c>
      <c r="AB6" s="66">
        <f>'BCDTRtSY-psgr-US'!AB3*(INDEX(Pop_yearly_lookup!AB:AB, MATCH(About!$B$1, Pop_yearly_lookup!$A:$A, 0))/INDEX(Pop_yearly_lookup!$C:$C, MATCH(About!$B$1, Pop_yearly_lookup!$A:$A, 0)))/(INDEX(Pop_yearly_lookup!AB:AB, MATCH("United States", Pop_yearly_lookup!$A:$A, 0))/INDEX(Pop_yearly_lookup!$C:$C, MATCH("United States", Pop_yearly_lookup!$A:$A, 0)))</f>
        <v>0.95593131013600563</v>
      </c>
    </row>
    <row r="7" spans="1:28">
      <c r="A7" t="s">
        <v>116</v>
      </c>
      <c r="B7" s="66">
        <f>'BCDTRtSY-psgr-US'!B4</f>
        <v>1</v>
      </c>
      <c r="C7" s="66">
        <f>'BCDTRtSY-psgr-US'!C4*(INDEX(Pop_yearly_lookup!C:C, MATCH(About!$B$1, Pop_yearly_lookup!$A:$A, 0))/INDEX(Pop_yearly_lookup!$C:$C, MATCH(About!$B$1, Pop_yearly_lookup!$A:$A, 0)))/(INDEX(Pop_yearly_lookup!C:C, MATCH("United States", Pop_yearly_lookup!$A:$A, 0))/INDEX(Pop_yearly_lookup!$C:$C, MATCH("United States", Pop_yearly_lookup!$A:$A, 0)))</f>
        <v>1</v>
      </c>
      <c r="D7" s="66">
        <f>'BCDTRtSY-psgr-US'!D4*(INDEX(Pop_yearly_lookup!D:D, MATCH(About!$B$1, Pop_yearly_lookup!$A:$A, 0))/INDEX(Pop_yearly_lookup!$C:$C, MATCH(About!$B$1, Pop_yearly_lookup!$A:$A, 0)))/(INDEX(Pop_yearly_lookup!D:D, MATCH("United States", Pop_yearly_lookup!$A:$A, 0))/INDEX(Pop_yearly_lookup!$C:$C, MATCH("United States", Pop_yearly_lookup!$A:$A, 0)))</f>
        <v>1.0244585074725889</v>
      </c>
      <c r="E7" s="66">
        <f>'BCDTRtSY-psgr-US'!E4*(INDEX(Pop_yearly_lookup!E:E, MATCH(About!$B$1, Pop_yearly_lookup!$A:$A, 0))/INDEX(Pop_yearly_lookup!$C:$C, MATCH(About!$B$1, Pop_yearly_lookup!$A:$A, 0)))/(INDEX(Pop_yearly_lookup!E:E, MATCH("United States", Pop_yearly_lookup!$A:$A, 0))/INDEX(Pop_yearly_lookup!$C:$C, MATCH("United States", Pop_yearly_lookup!$A:$A, 0)))</f>
        <v>1.0361371291316022</v>
      </c>
      <c r="F7" s="66">
        <f>'BCDTRtSY-psgr-US'!F4*(INDEX(Pop_yearly_lookup!F:F, MATCH(About!$B$1, Pop_yearly_lookup!$A:$A, 0))/INDEX(Pop_yearly_lookup!$C:$C, MATCH(About!$B$1, Pop_yearly_lookup!$A:$A, 0)))/(INDEX(Pop_yearly_lookup!F:F, MATCH("United States", Pop_yearly_lookup!$A:$A, 0))/INDEX(Pop_yearly_lookup!$C:$C, MATCH("United States", Pop_yearly_lookup!$A:$A, 0)))</f>
        <v>1.0370555446723599</v>
      </c>
      <c r="G7" s="66">
        <f>'BCDTRtSY-psgr-US'!G4*(INDEX(Pop_yearly_lookup!G:G, MATCH(About!$B$1, Pop_yearly_lookup!$A:$A, 0))/INDEX(Pop_yearly_lookup!$C:$C, MATCH(About!$B$1, Pop_yearly_lookup!$A:$A, 0)))/(INDEX(Pop_yearly_lookup!G:G, MATCH("United States", Pop_yearly_lookup!$A:$A, 0))/INDEX(Pop_yearly_lookup!$C:$C, MATCH("United States", Pop_yearly_lookup!$A:$A, 0)))</f>
        <v>1.0426207897567046</v>
      </c>
      <c r="H7" s="66">
        <f>'BCDTRtSY-psgr-US'!H4*(INDEX(Pop_yearly_lookup!H:H, MATCH(About!$B$1, Pop_yearly_lookup!$A:$A, 0))/INDEX(Pop_yearly_lookup!$C:$C, MATCH(About!$B$1, Pop_yearly_lookup!$A:$A, 0)))/(INDEX(Pop_yearly_lookup!H:H, MATCH("United States", Pop_yearly_lookup!$A:$A, 0))/INDEX(Pop_yearly_lookup!$C:$C, MATCH("United States", Pop_yearly_lookup!$A:$A, 0)))</f>
        <v>1.0520768125397473</v>
      </c>
      <c r="I7" s="66">
        <f>'BCDTRtSY-psgr-US'!I4*(INDEX(Pop_yearly_lookup!I:I, MATCH(About!$B$1, Pop_yearly_lookup!$A:$A, 0))/INDEX(Pop_yearly_lookup!$C:$C, MATCH(About!$B$1, Pop_yearly_lookup!$A:$A, 0)))/(INDEX(Pop_yearly_lookup!I:I, MATCH("United States", Pop_yearly_lookup!$A:$A, 0))/INDEX(Pop_yearly_lookup!$C:$C, MATCH("United States", Pop_yearly_lookup!$A:$A, 0)))</f>
        <v>1.0617460798064418</v>
      </c>
      <c r="J7" s="66">
        <f>'BCDTRtSY-psgr-US'!J4*(INDEX(Pop_yearly_lookup!J:J, MATCH(About!$B$1, Pop_yearly_lookup!$A:$A, 0))/INDEX(Pop_yearly_lookup!$C:$C, MATCH(About!$B$1, Pop_yearly_lookup!$A:$A, 0)))/(INDEX(Pop_yearly_lookup!J:J, MATCH("United States", Pop_yearly_lookup!$A:$A, 0))/INDEX(Pop_yearly_lookup!$C:$C, MATCH("United States", Pop_yearly_lookup!$A:$A, 0)))</f>
        <v>1.0754748063755515</v>
      </c>
      <c r="K7" s="66">
        <f>'BCDTRtSY-psgr-US'!K4*(INDEX(Pop_yearly_lookup!K:K, MATCH(About!$B$1, Pop_yearly_lookup!$A:$A, 0))/INDEX(Pop_yearly_lookup!$C:$C, MATCH(About!$B$1, Pop_yearly_lookup!$A:$A, 0)))/(INDEX(Pop_yearly_lookup!K:K, MATCH("United States", Pop_yearly_lookup!$A:$A, 0))/INDEX(Pop_yearly_lookup!$C:$C, MATCH("United States", Pop_yearly_lookup!$A:$A, 0)))</f>
        <v>1.0908386779079566</v>
      </c>
      <c r="L7" s="66">
        <f>'BCDTRtSY-psgr-US'!L4*(INDEX(Pop_yearly_lookup!L:L, MATCH(About!$B$1, Pop_yearly_lookup!$A:$A, 0))/INDEX(Pop_yearly_lookup!$C:$C, MATCH(About!$B$1, Pop_yearly_lookup!$A:$A, 0)))/(INDEX(Pop_yearly_lookup!L:L, MATCH("United States", Pop_yearly_lookup!$A:$A, 0))/INDEX(Pop_yearly_lookup!$C:$C, MATCH("United States", Pop_yearly_lookup!$A:$A, 0)))</f>
        <v>1.1082489940111144</v>
      </c>
      <c r="M7" s="66">
        <f>'BCDTRtSY-psgr-US'!M4*(INDEX(Pop_yearly_lookup!M:M, MATCH(About!$B$1, Pop_yearly_lookup!$A:$A, 0))/INDEX(Pop_yearly_lookup!$C:$C, MATCH(About!$B$1, Pop_yearly_lookup!$A:$A, 0)))/(INDEX(Pop_yearly_lookup!M:M, MATCH("United States", Pop_yearly_lookup!$A:$A, 0))/INDEX(Pop_yearly_lookup!$C:$C, MATCH("United States", Pop_yearly_lookup!$A:$A, 0)))</f>
        <v>1.1278576215848839</v>
      </c>
      <c r="N7" s="66">
        <f>'BCDTRtSY-psgr-US'!N4*(INDEX(Pop_yearly_lookup!N:N, MATCH(About!$B$1, Pop_yearly_lookup!$A:$A, 0))/INDEX(Pop_yearly_lookup!$C:$C, MATCH(About!$B$1, Pop_yearly_lookup!$A:$A, 0)))/(INDEX(Pop_yearly_lookup!N:N, MATCH("United States", Pop_yearly_lookup!$A:$A, 0))/INDEX(Pop_yearly_lookup!$C:$C, MATCH("United States", Pop_yearly_lookup!$A:$A, 0)))</f>
        <v>1.1407359076887726</v>
      </c>
      <c r="O7" s="66">
        <f>'BCDTRtSY-psgr-US'!O4*(INDEX(Pop_yearly_lookup!O:O, MATCH(About!$B$1, Pop_yearly_lookup!$A:$A, 0))/INDEX(Pop_yearly_lookup!$C:$C, MATCH(About!$B$1, Pop_yearly_lookup!$A:$A, 0)))/(INDEX(Pop_yearly_lookup!O:O, MATCH("United States", Pop_yearly_lookup!$A:$A, 0))/INDEX(Pop_yearly_lookup!$C:$C, MATCH("United States", Pop_yearly_lookup!$A:$A, 0)))</f>
        <v>1.153526377170752</v>
      </c>
      <c r="P7" s="66">
        <f>'BCDTRtSY-psgr-US'!P4*(INDEX(Pop_yearly_lookup!P:P, MATCH(About!$B$1, Pop_yearly_lookup!$A:$A, 0))/INDEX(Pop_yearly_lookup!$C:$C, MATCH(About!$B$1, Pop_yearly_lookup!$A:$A, 0)))/(INDEX(Pop_yearly_lookup!P:P, MATCH("United States", Pop_yearly_lookup!$A:$A, 0))/INDEX(Pop_yearly_lookup!$C:$C, MATCH("United States", Pop_yearly_lookup!$A:$A, 0)))</f>
        <v>1.1659296560386927</v>
      </c>
      <c r="Q7" s="66">
        <f>'BCDTRtSY-psgr-US'!Q4*(INDEX(Pop_yearly_lookup!Q:Q, MATCH(About!$B$1, Pop_yearly_lookup!$A:$A, 0))/INDEX(Pop_yearly_lookup!$C:$C, MATCH(About!$B$1, Pop_yearly_lookup!$A:$A, 0)))/(INDEX(Pop_yearly_lookup!Q:Q, MATCH("United States", Pop_yearly_lookup!$A:$A, 0))/INDEX(Pop_yearly_lookup!$C:$C, MATCH("United States", Pop_yearly_lookup!$A:$A, 0)))</f>
        <v>1.1772664505826116</v>
      </c>
      <c r="R7" s="66">
        <f>'BCDTRtSY-psgr-US'!R4*(INDEX(Pop_yearly_lookup!R:R, MATCH(About!$B$1, Pop_yearly_lookup!$A:$A, 0))/INDEX(Pop_yearly_lookup!$C:$C, MATCH(About!$B$1, Pop_yearly_lookup!$A:$A, 0)))/(INDEX(Pop_yearly_lookup!R:R, MATCH("United States", Pop_yearly_lookup!$A:$A, 0))/INDEX(Pop_yearly_lookup!$C:$C, MATCH("United States", Pop_yearly_lookup!$A:$A, 0)))</f>
        <v>1.1888724080727202</v>
      </c>
      <c r="S7" s="66">
        <f>'BCDTRtSY-psgr-US'!S4*(INDEX(Pop_yearly_lookup!S:S, MATCH(About!$B$1, Pop_yearly_lookup!$A:$A, 0))/INDEX(Pop_yearly_lookup!$C:$C, MATCH(About!$B$1, Pop_yearly_lookup!$A:$A, 0)))/(INDEX(Pop_yearly_lookup!S:S, MATCH("United States", Pop_yearly_lookup!$A:$A, 0))/INDEX(Pop_yearly_lookup!$C:$C, MATCH("United States", Pop_yearly_lookup!$A:$A, 0)))</f>
        <v>1.1988553570359577</v>
      </c>
      <c r="T7" s="66">
        <f>'BCDTRtSY-psgr-US'!T4*(INDEX(Pop_yearly_lookup!T:T, MATCH(About!$B$1, Pop_yearly_lookup!$A:$A, 0))/INDEX(Pop_yearly_lookup!$C:$C, MATCH(About!$B$1, Pop_yearly_lookup!$A:$A, 0)))/(INDEX(Pop_yearly_lookup!T:T, MATCH("United States", Pop_yearly_lookup!$A:$A, 0))/INDEX(Pop_yearly_lookup!$C:$C, MATCH("United States", Pop_yearly_lookup!$A:$A, 0)))</f>
        <v>1.2096731200956086</v>
      </c>
      <c r="U7" s="66">
        <f>'BCDTRtSY-psgr-US'!U4*(INDEX(Pop_yearly_lookup!U:U, MATCH(About!$B$1, Pop_yearly_lookup!$A:$A, 0))/INDEX(Pop_yearly_lookup!$C:$C, MATCH(About!$B$1, Pop_yearly_lookup!$A:$A, 0)))/(INDEX(Pop_yearly_lookup!U:U, MATCH("United States", Pop_yearly_lookup!$A:$A, 0))/INDEX(Pop_yearly_lookup!$C:$C, MATCH("United States", Pop_yearly_lookup!$A:$A, 0)))</f>
        <v>1.221528842660033</v>
      </c>
      <c r="V7" s="66">
        <f>'BCDTRtSY-psgr-US'!V4*(INDEX(Pop_yearly_lookup!V:V, MATCH(About!$B$1, Pop_yearly_lookup!$A:$A, 0))/INDEX(Pop_yearly_lookup!$C:$C, MATCH(About!$B$1, Pop_yearly_lookup!$A:$A, 0)))/(INDEX(Pop_yearly_lookup!V:V, MATCH("United States", Pop_yearly_lookup!$A:$A, 0))/INDEX(Pop_yearly_lookup!$C:$C, MATCH("United States", Pop_yearly_lookup!$A:$A, 0)))</f>
        <v>1.23313789052321</v>
      </c>
      <c r="W7" s="66">
        <f>'BCDTRtSY-psgr-US'!W4*(INDEX(Pop_yearly_lookup!W:W, MATCH(About!$B$1, Pop_yearly_lookup!$A:$A, 0))/INDEX(Pop_yearly_lookup!$C:$C, MATCH(About!$B$1, Pop_yearly_lookup!$A:$A, 0)))/(INDEX(Pop_yearly_lookup!W:W, MATCH("United States", Pop_yearly_lookup!$A:$A, 0))/INDEX(Pop_yearly_lookup!$C:$C, MATCH("United States", Pop_yearly_lookup!$A:$A, 0)))</f>
        <v>1.2446933408852132</v>
      </c>
      <c r="X7" s="66">
        <f>'BCDTRtSY-psgr-US'!X4*(INDEX(Pop_yearly_lookup!X:X, MATCH(About!$B$1, Pop_yearly_lookup!$A:$A, 0))/INDEX(Pop_yearly_lookup!$C:$C, MATCH(About!$B$1, Pop_yearly_lookup!$A:$A, 0)))/(INDEX(Pop_yearly_lookup!X:X, MATCH("United States", Pop_yearly_lookup!$A:$A, 0))/INDEX(Pop_yearly_lookup!$C:$C, MATCH("United States", Pop_yearly_lookup!$A:$A, 0)))</f>
        <v>1.2551745389546112</v>
      </c>
      <c r="Y7" s="66">
        <f>'BCDTRtSY-psgr-US'!Y4*(INDEX(Pop_yearly_lookup!Y:Y, MATCH(About!$B$1, Pop_yearly_lookup!$A:$A, 0))/INDEX(Pop_yearly_lookup!$C:$C, MATCH(About!$B$1, Pop_yearly_lookup!$A:$A, 0)))/(INDEX(Pop_yearly_lookup!Y:Y, MATCH("United States", Pop_yearly_lookup!$A:$A, 0))/INDEX(Pop_yearly_lookup!$C:$C, MATCH("United States", Pop_yearly_lookup!$A:$A, 0)))</f>
        <v>1.2637563378149121</v>
      </c>
      <c r="Z7" s="66">
        <f>'BCDTRtSY-psgr-US'!Z4*(INDEX(Pop_yearly_lookup!Z:Z, MATCH(About!$B$1, Pop_yearly_lookup!$A:$A, 0))/INDEX(Pop_yearly_lookup!$C:$C, MATCH(About!$B$1, Pop_yearly_lookup!$A:$A, 0)))/(INDEX(Pop_yearly_lookup!Z:Z, MATCH("United States", Pop_yearly_lookup!$A:$A, 0))/INDEX(Pop_yearly_lookup!$C:$C, MATCH("United States", Pop_yearly_lookup!$A:$A, 0)))</f>
        <v>1.2723539557682066</v>
      </c>
      <c r="AA7" s="66">
        <f>'BCDTRtSY-psgr-US'!AA4*(INDEX(Pop_yearly_lookup!AA:AA, MATCH(About!$B$1, Pop_yearly_lookup!$A:$A, 0))/INDEX(Pop_yearly_lookup!$C:$C, MATCH(About!$B$1, Pop_yearly_lookup!$A:$A, 0)))/(INDEX(Pop_yearly_lookup!AA:AA, MATCH("United States", Pop_yearly_lookup!$A:$A, 0))/INDEX(Pop_yearly_lookup!$C:$C, MATCH("United States", Pop_yearly_lookup!$A:$A, 0)))</f>
        <v>1.2798782259613875</v>
      </c>
      <c r="AB7" s="66">
        <f>'BCDTRtSY-psgr-US'!AB4*(INDEX(Pop_yearly_lookup!AB:AB, MATCH(About!$B$1, Pop_yearly_lookup!$A:$A, 0))/INDEX(Pop_yearly_lookup!$C:$C, MATCH(About!$B$1, Pop_yearly_lookup!$A:$A, 0)))/(INDEX(Pop_yearly_lookup!AB:AB, MATCH("United States", Pop_yearly_lookup!$A:$A, 0))/INDEX(Pop_yearly_lookup!$C:$C, MATCH("United States", Pop_yearly_lookup!$A:$A, 0)))</f>
        <v>1.2876952058301305</v>
      </c>
    </row>
    <row r="8" spans="1:28">
      <c r="A8" t="s">
        <v>121</v>
      </c>
      <c r="B8" s="66">
        <f>'BCDTRtSY-psgr-US'!B5</f>
        <v>1</v>
      </c>
      <c r="C8" s="66">
        <f>'BCDTRtSY-psgr-US'!C5*(INDEX(Pop_yearly_lookup!C:C, MATCH(About!$B$1, Pop_yearly_lookup!$A:$A, 0))/INDEX(Pop_yearly_lookup!$C:$C, MATCH(About!$B$1, Pop_yearly_lookup!$A:$A, 0)))/(INDEX(Pop_yearly_lookup!C:C, MATCH("United States", Pop_yearly_lookup!$A:$A, 0))/INDEX(Pop_yearly_lookup!$C:$C, MATCH("United States", Pop_yearly_lookup!$A:$A, 0)))</f>
        <v>1</v>
      </c>
      <c r="D8" s="66">
        <f>'BCDTRtSY-psgr-US'!D5*(INDEX(Pop_yearly_lookup!D:D, MATCH(About!$B$1, Pop_yearly_lookup!$A:$A, 0))/INDEX(Pop_yearly_lookup!$C:$C, MATCH(About!$B$1, Pop_yearly_lookup!$A:$A, 0)))/(INDEX(Pop_yearly_lookup!D:D, MATCH("United States", Pop_yearly_lookup!$A:$A, 0))/INDEX(Pop_yearly_lookup!$C:$C, MATCH("United States", Pop_yearly_lookup!$A:$A, 0)))</f>
        <v>1.056602933629035</v>
      </c>
      <c r="E8" s="66">
        <f>'BCDTRtSY-psgr-US'!E5*(INDEX(Pop_yearly_lookup!E:E, MATCH(About!$B$1, Pop_yearly_lookup!$A:$A, 0))/INDEX(Pop_yearly_lookup!$C:$C, MATCH(About!$B$1, Pop_yearly_lookup!$A:$A, 0)))/(INDEX(Pop_yearly_lookup!E:E, MATCH("United States", Pop_yearly_lookup!$A:$A, 0))/INDEX(Pop_yearly_lookup!$C:$C, MATCH("United States", Pop_yearly_lookup!$A:$A, 0)))</f>
        <v>1.0962682840176798</v>
      </c>
      <c r="F8" s="66">
        <f>'BCDTRtSY-psgr-US'!F5*(INDEX(Pop_yearly_lookup!F:F, MATCH(About!$B$1, Pop_yearly_lookup!$A:$A, 0))/INDEX(Pop_yearly_lookup!$C:$C, MATCH(About!$B$1, Pop_yearly_lookup!$A:$A, 0)))/(INDEX(Pop_yearly_lookup!F:F, MATCH("United States", Pop_yearly_lookup!$A:$A, 0))/INDEX(Pop_yearly_lookup!$C:$C, MATCH("United States", Pop_yearly_lookup!$A:$A, 0)))</f>
        <v>1.1240811124168584</v>
      </c>
      <c r="G8" s="66">
        <f>'BCDTRtSY-psgr-US'!G5*(INDEX(Pop_yearly_lookup!G:G, MATCH(About!$B$1, Pop_yearly_lookup!$A:$A, 0))/INDEX(Pop_yearly_lookup!$C:$C, MATCH(About!$B$1, Pop_yearly_lookup!$A:$A, 0)))/(INDEX(Pop_yearly_lookup!G:G, MATCH("United States", Pop_yearly_lookup!$A:$A, 0))/INDEX(Pop_yearly_lookup!$C:$C, MATCH("United States", Pop_yearly_lookup!$A:$A, 0)))</f>
        <v>1.1468063986480341</v>
      </c>
      <c r="H8" s="66">
        <f>'BCDTRtSY-psgr-US'!H5*(INDEX(Pop_yearly_lookup!H:H, MATCH(About!$B$1, Pop_yearly_lookup!$A:$A, 0))/INDEX(Pop_yearly_lookup!$C:$C, MATCH(About!$B$1, Pop_yearly_lookup!$A:$A, 0)))/(INDEX(Pop_yearly_lookup!H:H, MATCH("United States", Pop_yearly_lookup!$A:$A, 0))/INDEX(Pop_yearly_lookup!$C:$C, MATCH("United States", Pop_yearly_lookup!$A:$A, 0)))</f>
        <v>1.1647212417967463</v>
      </c>
      <c r="I8" s="66">
        <f>'BCDTRtSY-psgr-US'!I5*(INDEX(Pop_yearly_lookup!I:I, MATCH(About!$B$1, Pop_yearly_lookup!$A:$A, 0))/INDEX(Pop_yearly_lookup!$C:$C, MATCH(About!$B$1, Pop_yearly_lookup!$A:$A, 0)))/(INDEX(Pop_yearly_lookup!I:I, MATCH("United States", Pop_yearly_lookup!$A:$A, 0))/INDEX(Pop_yearly_lookup!$C:$C, MATCH("United States", Pop_yearly_lookup!$A:$A, 0)))</f>
        <v>1.179642437713488</v>
      </c>
      <c r="J8" s="66">
        <f>'BCDTRtSY-psgr-US'!J5*(INDEX(Pop_yearly_lookup!J:J, MATCH(About!$B$1, Pop_yearly_lookup!$A:$A, 0))/INDEX(Pop_yearly_lookup!$C:$C, MATCH(About!$B$1, Pop_yearly_lookup!$A:$A, 0)))/(INDEX(Pop_yearly_lookup!J:J, MATCH("United States", Pop_yearly_lookup!$A:$A, 0))/INDEX(Pop_yearly_lookup!$C:$C, MATCH("United States", Pop_yearly_lookup!$A:$A, 0)))</f>
        <v>1.1922845346431772</v>
      </c>
      <c r="K8" s="66">
        <f>'BCDTRtSY-psgr-US'!K5*(INDEX(Pop_yearly_lookup!K:K, MATCH(About!$B$1, Pop_yearly_lookup!$A:$A, 0))/INDEX(Pop_yearly_lookup!$C:$C, MATCH(About!$B$1, Pop_yearly_lookup!$A:$A, 0)))/(INDEX(Pop_yearly_lookup!K:K, MATCH("United States", Pop_yearly_lookup!$A:$A, 0))/INDEX(Pop_yearly_lookup!$C:$C, MATCH("United States", Pop_yearly_lookup!$A:$A, 0)))</f>
        <v>1.2055877313190899</v>
      </c>
      <c r="L8" s="66">
        <f>'BCDTRtSY-psgr-US'!L5*(INDEX(Pop_yearly_lookup!L:L, MATCH(About!$B$1, Pop_yearly_lookup!$A:$A, 0))/INDEX(Pop_yearly_lookup!$C:$C, MATCH(About!$B$1, Pop_yearly_lookup!$A:$A, 0)))/(INDEX(Pop_yearly_lookup!L:L, MATCH("United States", Pop_yearly_lookup!$A:$A, 0))/INDEX(Pop_yearly_lookup!$C:$C, MATCH("United States", Pop_yearly_lookup!$A:$A, 0)))</f>
        <v>1.2139458873227682</v>
      </c>
      <c r="M8" s="66">
        <f>'BCDTRtSY-psgr-US'!M5*(INDEX(Pop_yearly_lookup!M:M, MATCH(About!$B$1, Pop_yearly_lookup!$A:$A, 0))/INDEX(Pop_yearly_lookup!$C:$C, MATCH(About!$B$1, Pop_yearly_lookup!$A:$A, 0)))/(INDEX(Pop_yearly_lookup!M:M, MATCH("United States", Pop_yearly_lookup!$A:$A, 0))/INDEX(Pop_yearly_lookup!$C:$C, MATCH("United States", Pop_yearly_lookup!$A:$A, 0)))</f>
        <v>1.2221568277446209</v>
      </c>
      <c r="N8" s="66">
        <f>'BCDTRtSY-psgr-US'!N5*(INDEX(Pop_yearly_lookup!N:N, MATCH(About!$B$1, Pop_yearly_lookup!$A:$A, 0))/INDEX(Pop_yearly_lookup!$C:$C, MATCH(About!$B$1, Pop_yearly_lookup!$A:$A, 0)))/(INDEX(Pop_yearly_lookup!N:N, MATCH("United States", Pop_yearly_lookup!$A:$A, 0))/INDEX(Pop_yearly_lookup!$C:$C, MATCH("United States", Pop_yearly_lookup!$A:$A, 0)))</f>
        <v>1.2267723399361403</v>
      </c>
      <c r="O8" s="66">
        <f>'BCDTRtSY-psgr-US'!O5*(INDEX(Pop_yearly_lookup!O:O, MATCH(About!$B$1, Pop_yearly_lookup!$A:$A, 0))/INDEX(Pop_yearly_lookup!$C:$C, MATCH(About!$B$1, Pop_yearly_lookup!$A:$A, 0)))/(INDEX(Pop_yearly_lookup!O:O, MATCH("United States", Pop_yearly_lookup!$A:$A, 0))/INDEX(Pop_yearly_lookup!$C:$C, MATCH("United States", Pop_yearly_lookup!$A:$A, 0)))</f>
        <v>1.2321171891068243</v>
      </c>
      <c r="P8" s="66">
        <f>'BCDTRtSY-psgr-US'!P5*(INDEX(Pop_yearly_lookup!P:P, MATCH(About!$B$1, Pop_yearly_lookup!$A:$A, 0))/INDEX(Pop_yearly_lookup!$C:$C, MATCH(About!$B$1, Pop_yearly_lookup!$A:$A, 0)))/(INDEX(Pop_yearly_lookup!P:P, MATCH("United States", Pop_yearly_lookup!$A:$A, 0))/INDEX(Pop_yearly_lookup!$C:$C, MATCH("United States", Pop_yearly_lookup!$A:$A, 0)))</f>
        <v>1.2361721591473895</v>
      </c>
      <c r="Q8" s="66">
        <f>'BCDTRtSY-psgr-US'!Q5*(INDEX(Pop_yearly_lookup!Q:Q, MATCH(About!$B$1, Pop_yearly_lookup!$A:$A, 0))/INDEX(Pop_yearly_lookup!$C:$C, MATCH(About!$B$1, Pop_yearly_lookup!$A:$A, 0)))/(INDEX(Pop_yearly_lookup!Q:Q, MATCH("United States", Pop_yearly_lookup!$A:$A, 0))/INDEX(Pop_yearly_lookup!$C:$C, MATCH("United States", Pop_yearly_lookup!$A:$A, 0)))</f>
        <v>1.2376627416630699</v>
      </c>
      <c r="R8" s="66">
        <f>'BCDTRtSY-psgr-US'!R5*(INDEX(Pop_yearly_lookup!R:R, MATCH(About!$B$1, Pop_yearly_lookup!$A:$A, 0))/INDEX(Pop_yearly_lookup!$C:$C, MATCH(About!$B$1, Pop_yearly_lookup!$A:$A, 0)))/(INDEX(Pop_yearly_lookup!R:R, MATCH("United States", Pop_yearly_lookup!$A:$A, 0))/INDEX(Pop_yearly_lookup!$C:$C, MATCH("United States", Pop_yearly_lookup!$A:$A, 0)))</f>
        <v>1.239431349472859</v>
      </c>
      <c r="S8" s="66">
        <f>'BCDTRtSY-psgr-US'!S5*(INDEX(Pop_yearly_lookup!S:S, MATCH(About!$B$1, Pop_yearly_lookup!$A:$A, 0))/INDEX(Pop_yearly_lookup!$C:$C, MATCH(About!$B$1, Pop_yearly_lookup!$A:$A, 0)))/(INDEX(Pop_yearly_lookup!S:S, MATCH("United States", Pop_yearly_lookup!$A:$A, 0))/INDEX(Pop_yearly_lookup!$C:$C, MATCH("United States", Pop_yearly_lookup!$A:$A, 0)))</f>
        <v>1.2395428848940233</v>
      </c>
      <c r="T8" s="66">
        <f>'BCDTRtSY-psgr-US'!T5*(INDEX(Pop_yearly_lookup!T:T, MATCH(About!$B$1, Pop_yearly_lookup!$A:$A, 0))/INDEX(Pop_yearly_lookup!$C:$C, MATCH(About!$B$1, Pop_yearly_lookup!$A:$A, 0)))/(INDEX(Pop_yearly_lookup!T:T, MATCH("United States", Pop_yearly_lookup!$A:$A, 0))/INDEX(Pop_yearly_lookup!$C:$C, MATCH("United States", Pop_yearly_lookup!$A:$A, 0)))</f>
        <v>1.239626795946102</v>
      </c>
      <c r="U8" s="66">
        <f>'BCDTRtSY-psgr-US'!U5*(INDEX(Pop_yearly_lookup!U:U, MATCH(About!$B$1, Pop_yearly_lookup!$A:$A, 0))/INDEX(Pop_yearly_lookup!$C:$C, MATCH(About!$B$1, Pop_yearly_lookup!$A:$A, 0)))/(INDEX(Pop_yearly_lookup!U:U, MATCH("United States", Pop_yearly_lookup!$A:$A, 0))/INDEX(Pop_yearly_lookup!$C:$C, MATCH("United States", Pop_yearly_lookup!$A:$A, 0)))</f>
        <v>1.238256621506564</v>
      </c>
      <c r="V8" s="66">
        <f>'BCDTRtSY-psgr-US'!V5*(INDEX(Pop_yearly_lookup!V:V, MATCH(About!$B$1, Pop_yearly_lookup!$A:$A, 0))/INDEX(Pop_yearly_lookup!$C:$C, MATCH(About!$B$1, Pop_yearly_lookup!$A:$A, 0)))/(INDEX(Pop_yearly_lookup!V:V, MATCH("United States", Pop_yearly_lookup!$A:$A, 0))/INDEX(Pop_yearly_lookup!$C:$C, MATCH("United States", Pop_yearly_lookup!$A:$A, 0)))</f>
        <v>1.2375797214684954</v>
      </c>
      <c r="W8" s="66">
        <f>'BCDTRtSY-psgr-US'!W5*(INDEX(Pop_yearly_lookup!W:W, MATCH(About!$B$1, Pop_yearly_lookup!$A:$A, 0))/INDEX(Pop_yearly_lookup!$C:$C, MATCH(About!$B$1, Pop_yearly_lookup!$A:$A, 0)))/(INDEX(Pop_yearly_lookup!W:W, MATCH("United States", Pop_yearly_lookup!$A:$A, 0))/INDEX(Pop_yearly_lookup!$C:$C, MATCH("United States", Pop_yearly_lookup!$A:$A, 0)))</f>
        <v>1.2374439625183982</v>
      </c>
      <c r="X8" s="66">
        <f>'BCDTRtSY-psgr-US'!X5*(INDEX(Pop_yearly_lookup!X:X, MATCH(About!$B$1, Pop_yearly_lookup!$A:$A, 0))/INDEX(Pop_yearly_lookup!$C:$C, MATCH(About!$B$1, Pop_yearly_lookup!$A:$A, 0)))/(INDEX(Pop_yearly_lookup!X:X, MATCH("United States", Pop_yearly_lookup!$A:$A, 0))/INDEX(Pop_yearly_lookup!$C:$C, MATCH("United States", Pop_yearly_lookup!$A:$A, 0)))</f>
        <v>1.2358095633568431</v>
      </c>
      <c r="Y8" s="66">
        <f>'BCDTRtSY-psgr-US'!Y5*(INDEX(Pop_yearly_lookup!Y:Y, MATCH(About!$B$1, Pop_yearly_lookup!$A:$A, 0))/INDEX(Pop_yearly_lookup!$C:$C, MATCH(About!$B$1, Pop_yearly_lookup!$A:$A, 0)))/(INDEX(Pop_yearly_lookup!Y:Y, MATCH("United States", Pop_yearly_lookup!$A:$A, 0))/INDEX(Pop_yearly_lookup!$C:$C, MATCH("United States", Pop_yearly_lookup!$A:$A, 0)))</f>
        <v>1.2347799159423607</v>
      </c>
      <c r="Z8" s="66">
        <f>'BCDTRtSY-psgr-US'!Z5*(INDEX(Pop_yearly_lookup!Z:Z, MATCH(About!$B$1, Pop_yearly_lookup!$A:$A, 0))/INDEX(Pop_yearly_lookup!$C:$C, MATCH(About!$B$1, Pop_yearly_lookup!$A:$A, 0)))/(INDEX(Pop_yearly_lookup!Z:Z, MATCH("United States", Pop_yearly_lookup!$A:$A, 0))/INDEX(Pop_yearly_lookup!$C:$C, MATCH("United States", Pop_yearly_lookup!$A:$A, 0)))</f>
        <v>1.2316797681275309</v>
      </c>
      <c r="AA8" s="66">
        <f>'BCDTRtSY-psgr-US'!AA5*(INDEX(Pop_yearly_lookup!AA:AA, MATCH(About!$B$1, Pop_yearly_lookup!$A:$A, 0))/INDEX(Pop_yearly_lookup!$C:$C, MATCH(About!$B$1, Pop_yearly_lookup!$A:$A, 0)))/(INDEX(Pop_yearly_lookup!AA:AA, MATCH("United States", Pop_yearly_lookup!$A:$A, 0))/INDEX(Pop_yearly_lookup!$C:$C, MATCH("United States", Pop_yearly_lookup!$A:$A, 0)))</f>
        <v>1.2281975625996793</v>
      </c>
      <c r="AB8" s="66">
        <f>'BCDTRtSY-psgr-US'!AB5*(INDEX(Pop_yearly_lookup!AB:AB, MATCH(About!$B$1, Pop_yearly_lookup!$A:$A, 0))/INDEX(Pop_yearly_lookup!$C:$C, MATCH(About!$B$1, Pop_yearly_lookup!$A:$A, 0)))/(INDEX(Pop_yearly_lookup!AB:AB, MATCH("United States", Pop_yearly_lookup!$A:$A, 0))/INDEX(Pop_yearly_lookup!$C:$C, MATCH("United States", Pop_yearly_lookup!$A:$A, 0)))</f>
        <v>1.2244332110912042</v>
      </c>
    </row>
    <row r="9" spans="1:28">
      <c r="A9" t="s">
        <v>122</v>
      </c>
      <c r="B9" s="66">
        <f>'BCDTRtSY-psgr-US'!B6</f>
        <v>1</v>
      </c>
      <c r="C9" s="66">
        <f>'BCDTRtSY-psgr-US'!C6*(INDEX(Pop_yearly_lookup!C:C, MATCH(About!$B$1, Pop_yearly_lookup!$A:$A, 0))/INDEX(Pop_yearly_lookup!$C:$C, MATCH(About!$B$1, Pop_yearly_lookup!$A:$A, 0)))/(INDEX(Pop_yearly_lookup!C:C, MATCH("United States", Pop_yearly_lookup!$A:$A, 0))/INDEX(Pop_yearly_lookup!$C:$C, MATCH("United States", Pop_yearly_lookup!$A:$A, 0)))</f>
        <v>1</v>
      </c>
      <c r="D9" s="66">
        <f>'BCDTRtSY-psgr-US'!D6*(INDEX(Pop_yearly_lookup!D:D, MATCH(About!$B$1, Pop_yearly_lookup!$A:$A, 0))/INDEX(Pop_yearly_lookup!$C:$C, MATCH(About!$B$1, Pop_yearly_lookup!$A:$A, 0)))/(INDEX(Pop_yearly_lookup!D:D, MATCH("United States", Pop_yearly_lookup!$A:$A, 0))/INDEX(Pop_yearly_lookup!$C:$C, MATCH("United States", Pop_yearly_lookup!$A:$A, 0)))</f>
        <v>0.99524866884833907</v>
      </c>
      <c r="E9" s="66">
        <f>'BCDTRtSY-psgr-US'!E6*(INDEX(Pop_yearly_lookup!E:E, MATCH(About!$B$1, Pop_yearly_lookup!$A:$A, 0))/INDEX(Pop_yearly_lookup!$C:$C, MATCH(About!$B$1, Pop_yearly_lookup!$A:$A, 0)))/(INDEX(Pop_yearly_lookup!E:E, MATCH("United States", Pop_yearly_lookup!$A:$A, 0))/INDEX(Pop_yearly_lookup!$C:$C, MATCH("United States", Pop_yearly_lookup!$A:$A, 0)))</f>
        <v>0.98353257482194867</v>
      </c>
      <c r="F9" s="66">
        <f>'BCDTRtSY-psgr-US'!F6*(INDEX(Pop_yearly_lookup!F:F, MATCH(About!$B$1, Pop_yearly_lookup!$A:$A, 0))/INDEX(Pop_yearly_lookup!$C:$C, MATCH(About!$B$1, Pop_yearly_lookup!$A:$A, 0)))/(INDEX(Pop_yearly_lookup!F:F, MATCH("United States", Pop_yearly_lookup!$A:$A, 0))/INDEX(Pop_yearly_lookup!$C:$C, MATCH("United States", Pop_yearly_lookup!$A:$A, 0)))</f>
        <v>0.9660898222448927</v>
      </c>
      <c r="G9" s="66">
        <f>'BCDTRtSY-psgr-US'!G6*(INDEX(Pop_yearly_lookup!G:G, MATCH(About!$B$1, Pop_yearly_lookup!$A:$A, 0))/INDEX(Pop_yearly_lookup!$C:$C, MATCH(About!$B$1, Pop_yearly_lookup!$A:$A, 0)))/(INDEX(Pop_yearly_lookup!G:G, MATCH("United States", Pop_yearly_lookup!$A:$A, 0))/INDEX(Pop_yearly_lookup!$C:$C, MATCH("United States", Pop_yearly_lookup!$A:$A, 0)))</f>
        <v>0.95121206113185519</v>
      </c>
      <c r="H9" s="66">
        <f>'BCDTRtSY-psgr-US'!H6*(INDEX(Pop_yearly_lookup!H:H, MATCH(About!$B$1, Pop_yearly_lookup!$A:$A, 0))/INDEX(Pop_yearly_lookup!$C:$C, MATCH(About!$B$1, Pop_yearly_lookup!$A:$A, 0)))/(INDEX(Pop_yearly_lookup!H:H, MATCH("United States", Pop_yearly_lookup!$A:$A, 0))/INDEX(Pop_yearly_lookup!$C:$C, MATCH("United States", Pop_yearly_lookup!$A:$A, 0)))</f>
        <v>0.93870426731166401</v>
      </c>
      <c r="I9" s="66">
        <f>'BCDTRtSY-psgr-US'!I6*(INDEX(Pop_yearly_lookup!I:I, MATCH(About!$B$1, Pop_yearly_lookup!$A:$A, 0))/INDEX(Pop_yearly_lookup!$C:$C, MATCH(About!$B$1, Pop_yearly_lookup!$A:$A, 0)))/(INDEX(Pop_yearly_lookup!I:I, MATCH("United States", Pop_yearly_lookup!$A:$A, 0))/INDEX(Pop_yearly_lookup!$C:$C, MATCH("United States", Pop_yearly_lookup!$A:$A, 0)))</f>
        <v>0.92698382443233163</v>
      </c>
      <c r="J9" s="66">
        <f>'BCDTRtSY-psgr-US'!J6*(INDEX(Pop_yearly_lookup!J:J, MATCH(About!$B$1, Pop_yearly_lookup!$A:$A, 0))/INDEX(Pop_yearly_lookup!$C:$C, MATCH(About!$B$1, Pop_yearly_lookup!$A:$A, 0)))/(INDEX(Pop_yearly_lookup!J:J, MATCH("United States", Pop_yearly_lookup!$A:$A, 0))/INDEX(Pop_yearly_lookup!$C:$C, MATCH("United States", Pop_yearly_lookup!$A:$A, 0)))</f>
        <v>0.91758641681104769</v>
      </c>
      <c r="K9" s="66">
        <f>'BCDTRtSY-psgr-US'!K6*(INDEX(Pop_yearly_lookup!K:K, MATCH(About!$B$1, Pop_yearly_lookup!$A:$A, 0))/INDEX(Pop_yearly_lookup!$C:$C, MATCH(About!$B$1, Pop_yearly_lookup!$A:$A, 0)))/(INDEX(Pop_yearly_lookup!K:K, MATCH("United States", Pop_yearly_lookup!$A:$A, 0))/INDEX(Pop_yearly_lookup!$C:$C, MATCH("United States", Pop_yearly_lookup!$A:$A, 0)))</f>
        <v>0.9093936933590564</v>
      </c>
      <c r="L9" s="66">
        <f>'BCDTRtSY-psgr-US'!L6*(INDEX(Pop_yearly_lookup!L:L, MATCH(About!$B$1, Pop_yearly_lookup!$A:$A, 0))/INDEX(Pop_yearly_lookup!$C:$C, MATCH(About!$B$1, Pop_yearly_lookup!$A:$A, 0)))/(INDEX(Pop_yearly_lookup!L:L, MATCH("United States", Pop_yearly_lookup!$A:$A, 0))/INDEX(Pop_yearly_lookup!$C:$C, MATCH("United States", Pop_yearly_lookup!$A:$A, 0)))</f>
        <v>0.90242918383421256</v>
      </c>
      <c r="M9" s="66">
        <f>'BCDTRtSY-psgr-US'!M6*(INDEX(Pop_yearly_lookup!M:M, MATCH(About!$B$1, Pop_yearly_lookup!$A:$A, 0))/INDEX(Pop_yearly_lookup!$C:$C, MATCH(About!$B$1, Pop_yearly_lookup!$A:$A, 0)))/(INDEX(Pop_yearly_lookup!M:M, MATCH("United States", Pop_yearly_lookup!$A:$A, 0))/INDEX(Pop_yearly_lookup!$C:$C, MATCH("United States", Pop_yearly_lookup!$A:$A, 0)))</f>
        <v>0.89672704854356899</v>
      </c>
      <c r="N9" s="66">
        <f>'BCDTRtSY-psgr-US'!N6*(INDEX(Pop_yearly_lookup!N:N, MATCH(About!$B$1, Pop_yearly_lookup!$A:$A, 0))/INDEX(Pop_yearly_lookup!$C:$C, MATCH(About!$B$1, Pop_yearly_lookup!$A:$A, 0)))/(INDEX(Pop_yearly_lookup!N:N, MATCH("United States", Pop_yearly_lookup!$A:$A, 0))/INDEX(Pop_yearly_lookup!$C:$C, MATCH("United States", Pop_yearly_lookup!$A:$A, 0)))</f>
        <v>0.88828119840928776</v>
      </c>
      <c r="O9" s="66">
        <f>'BCDTRtSY-psgr-US'!O6*(INDEX(Pop_yearly_lookup!O:O, MATCH(About!$B$1, Pop_yearly_lookup!$A:$A, 0))/INDEX(Pop_yearly_lookup!$C:$C, MATCH(About!$B$1, Pop_yearly_lookup!$A:$A, 0)))/(INDEX(Pop_yearly_lookup!O:O, MATCH("United States", Pop_yearly_lookup!$A:$A, 0))/INDEX(Pop_yearly_lookup!$C:$C, MATCH("United States", Pop_yearly_lookup!$A:$A, 0)))</f>
        <v>0.87993062123534971</v>
      </c>
      <c r="P9" s="66">
        <f>'BCDTRtSY-psgr-US'!P6*(INDEX(Pop_yearly_lookup!P:P, MATCH(About!$B$1, Pop_yearly_lookup!$A:$A, 0))/INDEX(Pop_yearly_lookup!$C:$C, MATCH(About!$B$1, Pop_yearly_lookup!$A:$A, 0)))/(INDEX(Pop_yearly_lookup!P:P, MATCH("United States", Pop_yearly_lookup!$A:$A, 0))/INDEX(Pop_yearly_lookup!$C:$C, MATCH("United States", Pop_yearly_lookup!$A:$A, 0)))</f>
        <v>0.87148789957331085</v>
      </c>
      <c r="Q9" s="66">
        <f>'BCDTRtSY-psgr-US'!Q6*(INDEX(Pop_yearly_lookup!Q:Q, MATCH(About!$B$1, Pop_yearly_lookup!$A:$A, 0))/INDEX(Pop_yearly_lookup!$C:$C, MATCH(About!$B$1, Pop_yearly_lookup!$A:$A, 0)))/(INDEX(Pop_yearly_lookup!Q:Q, MATCH("United States", Pop_yearly_lookup!$A:$A, 0))/INDEX(Pop_yearly_lookup!$C:$C, MATCH("United States", Pop_yearly_lookup!$A:$A, 0)))</f>
        <v>0.86304098740976409</v>
      </c>
      <c r="R9" s="66">
        <f>'BCDTRtSY-psgr-US'!R6*(INDEX(Pop_yearly_lookup!R:R, MATCH(About!$B$1, Pop_yearly_lookup!$A:$A, 0))/INDEX(Pop_yearly_lookup!$C:$C, MATCH(About!$B$1, Pop_yearly_lookup!$A:$A, 0)))/(INDEX(Pop_yearly_lookup!R:R, MATCH("United States", Pop_yearly_lookup!$A:$A, 0))/INDEX(Pop_yearly_lookup!$C:$C, MATCH("United States", Pop_yearly_lookup!$A:$A, 0)))</f>
        <v>0.85473977606003093</v>
      </c>
      <c r="S9" s="66">
        <f>'BCDTRtSY-psgr-US'!S6*(INDEX(Pop_yearly_lookup!S:S, MATCH(About!$B$1, Pop_yearly_lookup!$A:$A, 0))/INDEX(Pop_yearly_lookup!$C:$C, MATCH(About!$B$1, Pop_yearly_lookup!$A:$A, 0)))/(INDEX(Pop_yearly_lookup!S:S, MATCH("United States", Pop_yearly_lookup!$A:$A, 0))/INDEX(Pop_yearly_lookup!$C:$C, MATCH("United States", Pop_yearly_lookup!$A:$A, 0)))</f>
        <v>0.84566762213001578</v>
      </c>
      <c r="T9" s="66">
        <f>'BCDTRtSY-psgr-US'!T6*(INDEX(Pop_yearly_lookup!T:T, MATCH(About!$B$1, Pop_yearly_lookup!$A:$A, 0))/INDEX(Pop_yearly_lookup!$C:$C, MATCH(About!$B$1, Pop_yearly_lookup!$A:$A, 0)))/(INDEX(Pop_yearly_lookup!T:T, MATCH("United States", Pop_yearly_lookup!$A:$A, 0))/INDEX(Pop_yearly_lookup!$C:$C, MATCH("United States", Pop_yearly_lookup!$A:$A, 0)))</f>
        <v>0.83703923253493628</v>
      </c>
      <c r="U9" s="66">
        <f>'BCDTRtSY-psgr-US'!U6*(INDEX(Pop_yearly_lookup!U:U, MATCH(About!$B$1, Pop_yearly_lookup!$A:$A, 0))/INDEX(Pop_yearly_lookup!$C:$C, MATCH(About!$B$1, Pop_yearly_lookup!$A:$A, 0)))/(INDEX(Pop_yearly_lookup!U:U, MATCH("United States", Pop_yearly_lookup!$A:$A, 0))/INDEX(Pop_yearly_lookup!$C:$C, MATCH("United States", Pop_yearly_lookup!$A:$A, 0)))</f>
        <v>0.82873207889914191</v>
      </c>
      <c r="V9" s="66">
        <f>'BCDTRtSY-psgr-US'!V6*(INDEX(Pop_yearly_lookup!V:V, MATCH(About!$B$1, Pop_yearly_lookup!$A:$A, 0))/INDEX(Pop_yearly_lookup!$C:$C, MATCH(About!$B$1, Pop_yearly_lookup!$A:$A, 0)))/(INDEX(Pop_yearly_lookup!V:V, MATCH("United States", Pop_yearly_lookup!$A:$A, 0))/INDEX(Pop_yearly_lookup!$C:$C, MATCH("United States", Pop_yearly_lookup!$A:$A, 0)))</f>
        <v>0.82047823149462262</v>
      </c>
      <c r="W9" s="66">
        <f>'BCDTRtSY-psgr-US'!W6*(INDEX(Pop_yearly_lookup!W:W, MATCH(About!$B$1, Pop_yearly_lookup!$A:$A, 0))/INDEX(Pop_yearly_lookup!$C:$C, MATCH(About!$B$1, Pop_yearly_lookup!$A:$A, 0)))/(INDEX(Pop_yearly_lookup!W:W, MATCH("United States", Pop_yearly_lookup!$A:$A, 0))/INDEX(Pop_yearly_lookup!$C:$C, MATCH("United States", Pop_yearly_lookup!$A:$A, 0)))</f>
        <v>0.81224838534346688</v>
      </c>
      <c r="X9" s="66">
        <f>'BCDTRtSY-psgr-US'!X6*(INDEX(Pop_yearly_lookup!X:X, MATCH(About!$B$1, Pop_yearly_lookup!$A:$A, 0))/INDEX(Pop_yearly_lookup!$C:$C, MATCH(About!$B$1, Pop_yearly_lookup!$A:$A, 0)))/(INDEX(Pop_yearly_lookup!X:X, MATCH("United States", Pop_yearly_lookup!$A:$A, 0))/INDEX(Pop_yearly_lookup!$C:$C, MATCH("United States", Pop_yearly_lookup!$A:$A, 0)))</f>
        <v>0.80365749565558964</v>
      </c>
      <c r="Y9" s="66">
        <f>'BCDTRtSY-psgr-US'!Y6*(INDEX(Pop_yearly_lookup!Y:Y, MATCH(About!$B$1, Pop_yearly_lookup!$A:$A, 0))/INDEX(Pop_yearly_lookup!$C:$C, MATCH(About!$B$1, Pop_yearly_lookup!$A:$A, 0)))/(INDEX(Pop_yearly_lookup!Y:Y, MATCH("United States", Pop_yearly_lookup!$A:$A, 0))/INDEX(Pop_yearly_lookup!$C:$C, MATCH("United States", Pop_yearly_lookup!$A:$A, 0)))</f>
        <v>0.79455366185274423</v>
      </c>
      <c r="Z9" s="66">
        <f>'BCDTRtSY-psgr-US'!Z6*(INDEX(Pop_yearly_lookup!Z:Z, MATCH(About!$B$1, Pop_yearly_lookup!$A:$A, 0))/INDEX(Pop_yearly_lookup!$C:$C, MATCH(About!$B$1, Pop_yearly_lookup!$A:$A, 0)))/(INDEX(Pop_yearly_lookup!Z:Z, MATCH("United States", Pop_yearly_lookup!$A:$A, 0))/INDEX(Pop_yearly_lookup!$C:$C, MATCH("United States", Pop_yearly_lookup!$A:$A, 0)))</f>
        <v>0.78539001299678146</v>
      </c>
      <c r="AA9" s="66">
        <f>'BCDTRtSY-psgr-US'!AA6*(INDEX(Pop_yearly_lookup!AA:AA, MATCH(About!$B$1, Pop_yearly_lookup!$A:$A, 0))/INDEX(Pop_yearly_lookup!$C:$C, MATCH(About!$B$1, Pop_yearly_lookup!$A:$A, 0)))/(INDEX(Pop_yearly_lookup!AA:AA, MATCH("United States", Pop_yearly_lookup!$A:$A, 0))/INDEX(Pop_yearly_lookup!$C:$C, MATCH("United States", Pop_yearly_lookup!$A:$A, 0)))</f>
        <v>0.7759649479652202</v>
      </c>
      <c r="AB9" s="66">
        <f>'BCDTRtSY-psgr-US'!AB6*(INDEX(Pop_yearly_lookup!AB:AB, MATCH(About!$B$1, Pop_yearly_lookup!$A:$A, 0))/INDEX(Pop_yearly_lookup!$C:$C, MATCH(About!$B$1, Pop_yearly_lookup!$A:$A, 0)))/(INDEX(Pop_yearly_lookup!AB:AB, MATCH("United States", Pop_yearly_lookup!$A:$A, 0))/INDEX(Pop_yearly_lookup!$C:$C, MATCH("United States", Pop_yearly_lookup!$A:$A, 0)))</f>
        <v>0.76684254615394853</v>
      </c>
    </row>
    <row r="10" spans="1:28">
      <c r="A10" t="s">
        <v>123</v>
      </c>
      <c r="B10" s="66">
        <f>'BCDTRtSY-psgr-US'!B7</f>
        <v>1</v>
      </c>
      <c r="C10" s="66">
        <f>'BCDTRtSY-psgr-US'!C7*(INDEX(Pop_yearly_lookup!C:C, MATCH(About!$B$1, Pop_yearly_lookup!$A:$A, 0))/INDEX(Pop_yearly_lookup!$C:$C, MATCH(About!$B$1, Pop_yearly_lookup!$A:$A, 0)))/(INDEX(Pop_yearly_lookup!C:C, MATCH("United States", Pop_yearly_lookup!$A:$A, 0))/INDEX(Pop_yearly_lookup!$C:$C, MATCH("United States", Pop_yearly_lookup!$A:$A, 0)))</f>
        <v>1</v>
      </c>
      <c r="D10" s="66">
        <f>'BCDTRtSY-psgr-US'!D7*(INDEX(Pop_yearly_lookup!D:D, MATCH(About!$B$1, Pop_yearly_lookup!$A:$A, 0))/INDEX(Pop_yearly_lookup!$C:$C, MATCH(About!$B$1, Pop_yearly_lookup!$A:$A, 0)))/(INDEX(Pop_yearly_lookup!D:D, MATCH("United States", Pop_yearly_lookup!$A:$A, 0))/INDEX(Pop_yearly_lookup!$C:$C, MATCH("United States", Pop_yearly_lookup!$A:$A, 0)))</f>
        <v>0.9991665049582269</v>
      </c>
      <c r="E10" s="66">
        <f>'BCDTRtSY-psgr-US'!E7*(INDEX(Pop_yearly_lookup!E:E, MATCH(About!$B$1, Pop_yearly_lookup!$A:$A, 0))/INDEX(Pop_yearly_lookup!$C:$C, MATCH(About!$B$1, Pop_yearly_lookup!$A:$A, 0)))/(INDEX(Pop_yearly_lookup!E:E, MATCH("United States", Pop_yearly_lookup!$A:$A, 0))/INDEX(Pop_yearly_lookup!$C:$C, MATCH("United States", Pop_yearly_lookup!$A:$A, 0)))</f>
        <v>1.0004716106198195</v>
      </c>
      <c r="F10" s="66">
        <f>'BCDTRtSY-psgr-US'!F7*(INDEX(Pop_yearly_lookup!F:F, MATCH(About!$B$1, Pop_yearly_lookup!$A:$A, 0))/INDEX(Pop_yearly_lookup!$C:$C, MATCH(About!$B$1, Pop_yearly_lookup!$A:$A, 0)))/(INDEX(Pop_yearly_lookup!F:F, MATCH("United States", Pop_yearly_lookup!$A:$A, 0))/INDEX(Pop_yearly_lookup!$C:$C, MATCH("United States", Pop_yearly_lookup!$A:$A, 0)))</f>
        <v>0.9988425037370906</v>
      </c>
      <c r="G10" s="66">
        <f>'BCDTRtSY-psgr-US'!G7*(INDEX(Pop_yearly_lookup!G:G, MATCH(About!$B$1, Pop_yearly_lookup!$A:$A, 0))/INDEX(Pop_yearly_lookup!$C:$C, MATCH(About!$B$1, Pop_yearly_lookup!$A:$A, 0)))/(INDEX(Pop_yearly_lookup!G:G, MATCH("United States", Pop_yearly_lookup!$A:$A, 0))/INDEX(Pop_yearly_lookup!$C:$C, MATCH("United States", Pop_yearly_lookup!$A:$A, 0)))</f>
        <v>0.99699473586654241</v>
      </c>
      <c r="H10" s="66">
        <f>'BCDTRtSY-psgr-US'!H7*(INDEX(Pop_yearly_lookup!H:H, MATCH(About!$B$1, Pop_yearly_lookup!$A:$A, 0))/INDEX(Pop_yearly_lookup!$C:$C, MATCH(About!$B$1, Pop_yearly_lookup!$A:$A, 0)))/(INDEX(Pop_yearly_lookup!H:H, MATCH("United States", Pop_yearly_lookup!$A:$A, 0))/INDEX(Pop_yearly_lookup!$C:$C, MATCH("United States", Pop_yearly_lookup!$A:$A, 0)))</f>
        <v>0.99413597618672522</v>
      </c>
      <c r="I10" s="66">
        <f>'BCDTRtSY-psgr-US'!I7*(INDEX(Pop_yearly_lookup!I:I, MATCH(About!$B$1, Pop_yearly_lookup!$A:$A, 0))/INDEX(Pop_yearly_lookup!$C:$C, MATCH(About!$B$1, Pop_yearly_lookup!$A:$A, 0)))/(INDEX(Pop_yearly_lookup!I:I, MATCH("United States", Pop_yearly_lookup!$A:$A, 0))/INDEX(Pop_yearly_lookup!$C:$C, MATCH("United States", Pop_yearly_lookup!$A:$A, 0)))</f>
        <v>0.99255629658601963</v>
      </c>
      <c r="J10" s="66">
        <f>'BCDTRtSY-psgr-US'!J7*(INDEX(Pop_yearly_lookup!J:J, MATCH(About!$B$1, Pop_yearly_lookup!$A:$A, 0))/INDEX(Pop_yearly_lookup!$C:$C, MATCH(About!$B$1, Pop_yearly_lookup!$A:$A, 0)))/(INDEX(Pop_yearly_lookup!J:J, MATCH("United States", Pop_yearly_lookup!$A:$A, 0))/INDEX(Pop_yearly_lookup!$C:$C, MATCH("United States", Pop_yearly_lookup!$A:$A, 0)))</f>
        <v>0.99101438667545205</v>
      </c>
      <c r="K10" s="66">
        <f>'BCDTRtSY-psgr-US'!K7*(INDEX(Pop_yearly_lookup!K:K, MATCH(About!$B$1, Pop_yearly_lookup!$A:$A, 0))/INDEX(Pop_yearly_lookup!$C:$C, MATCH(About!$B$1, Pop_yearly_lookup!$A:$A, 0)))/(INDEX(Pop_yearly_lookup!K:K, MATCH("United States", Pop_yearly_lookup!$A:$A, 0))/INDEX(Pop_yearly_lookup!$C:$C, MATCH("United States", Pop_yearly_lookup!$A:$A, 0)))</f>
        <v>0.98800050002124351</v>
      </c>
      <c r="L10" s="66">
        <f>'BCDTRtSY-psgr-US'!L7*(INDEX(Pop_yearly_lookup!L:L, MATCH(About!$B$1, Pop_yearly_lookup!$A:$A, 0))/INDEX(Pop_yearly_lookup!$C:$C, MATCH(About!$B$1, Pop_yearly_lookup!$A:$A, 0)))/(INDEX(Pop_yearly_lookup!L:L, MATCH("United States", Pop_yearly_lookup!$A:$A, 0))/INDEX(Pop_yearly_lookup!$C:$C, MATCH("United States", Pop_yearly_lookup!$A:$A, 0)))</f>
        <v>0.98532870507508452</v>
      </c>
      <c r="M10" s="66">
        <f>'BCDTRtSY-psgr-US'!M7*(INDEX(Pop_yearly_lookup!M:M, MATCH(About!$B$1, Pop_yearly_lookup!$A:$A, 0))/INDEX(Pop_yearly_lookup!$C:$C, MATCH(About!$B$1, Pop_yearly_lookup!$A:$A, 0)))/(INDEX(Pop_yearly_lookup!M:M, MATCH("United States", Pop_yearly_lookup!$A:$A, 0))/INDEX(Pop_yearly_lookup!$C:$C, MATCH("United States", Pop_yearly_lookup!$A:$A, 0)))</f>
        <v>0.98180085864836364</v>
      </c>
      <c r="N10" s="66">
        <f>'BCDTRtSY-psgr-US'!N7*(INDEX(Pop_yearly_lookup!N:N, MATCH(About!$B$1, Pop_yearly_lookup!$A:$A, 0))/INDEX(Pop_yearly_lookup!$C:$C, MATCH(About!$B$1, Pop_yearly_lookup!$A:$A, 0)))/(INDEX(Pop_yearly_lookup!N:N, MATCH("United States", Pop_yearly_lookup!$A:$A, 0))/INDEX(Pop_yearly_lookup!$C:$C, MATCH("United States", Pop_yearly_lookup!$A:$A, 0)))</f>
        <v>0.97903720669981908</v>
      </c>
      <c r="O10" s="66">
        <f>'BCDTRtSY-psgr-US'!O7*(INDEX(Pop_yearly_lookup!O:O, MATCH(About!$B$1, Pop_yearly_lookup!$A:$A, 0))/INDEX(Pop_yearly_lookup!$C:$C, MATCH(About!$B$1, Pop_yearly_lookup!$A:$A, 0)))/(INDEX(Pop_yearly_lookup!O:O, MATCH("United States", Pop_yearly_lookup!$A:$A, 0))/INDEX(Pop_yearly_lookup!$C:$C, MATCH("United States", Pop_yearly_lookup!$A:$A, 0)))</f>
        <v>0.97669549092329033</v>
      </c>
      <c r="P10" s="66">
        <f>'BCDTRtSY-psgr-US'!P7*(INDEX(Pop_yearly_lookup!P:P, MATCH(About!$B$1, Pop_yearly_lookup!$A:$A, 0))/INDEX(Pop_yearly_lookup!$C:$C, MATCH(About!$B$1, Pop_yearly_lookup!$A:$A, 0)))/(INDEX(Pop_yearly_lookup!P:P, MATCH("United States", Pop_yearly_lookup!$A:$A, 0))/INDEX(Pop_yearly_lookup!$C:$C, MATCH("United States", Pop_yearly_lookup!$A:$A, 0)))</f>
        <v>0.97432407293576517</v>
      </c>
      <c r="Q10" s="66">
        <f>'BCDTRtSY-psgr-US'!Q7*(INDEX(Pop_yearly_lookup!Q:Q, MATCH(About!$B$1, Pop_yearly_lookup!$A:$A, 0))/INDEX(Pop_yearly_lookup!$C:$C, MATCH(About!$B$1, Pop_yearly_lookup!$A:$A, 0)))/(INDEX(Pop_yearly_lookup!Q:Q, MATCH("United States", Pop_yearly_lookup!$A:$A, 0))/INDEX(Pop_yearly_lookup!$C:$C, MATCH("United States", Pop_yearly_lookup!$A:$A, 0)))</f>
        <v>0.97128127306492706</v>
      </c>
      <c r="R10" s="66">
        <f>'BCDTRtSY-psgr-US'!R7*(INDEX(Pop_yearly_lookup!R:R, MATCH(About!$B$1, Pop_yearly_lookup!$A:$A, 0))/INDEX(Pop_yearly_lookup!$C:$C, MATCH(About!$B$1, Pop_yearly_lookup!$A:$A, 0)))/(INDEX(Pop_yearly_lookup!R:R, MATCH("United States", Pop_yearly_lookup!$A:$A, 0))/INDEX(Pop_yearly_lookup!$C:$C, MATCH("United States", Pop_yearly_lookup!$A:$A, 0)))</f>
        <v>0.96845399230992268</v>
      </c>
      <c r="S10" s="66">
        <f>'BCDTRtSY-psgr-US'!S7*(INDEX(Pop_yearly_lookup!S:S, MATCH(About!$B$1, Pop_yearly_lookup!$A:$A, 0))/INDEX(Pop_yearly_lookup!$C:$C, MATCH(About!$B$1, Pop_yearly_lookup!$A:$A, 0)))/(INDEX(Pop_yearly_lookup!S:S, MATCH("United States", Pop_yearly_lookup!$A:$A, 0))/INDEX(Pop_yearly_lookup!$C:$C, MATCH("United States", Pop_yearly_lookup!$A:$A, 0)))</f>
        <v>0.96493970425177644</v>
      </c>
      <c r="T10" s="66">
        <f>'BCDTRtSY-psgr-US'!T7*(INDEX(Pop_yearly_lookup!T:T, MATCH(About!$B$1, Pop_yearly_lookup!$A:$A, 0))/INDEX(Pop_yearly_lookup!$C:$C, MATCH(About!$B$1, Pop_yearly_lookup!$A:$A, 0)))/(INDEX(Pop_yearly_lookup!T:T, MATCH("United States", Pop_yearly_lookup!$A:$A, 0))/INDEX(Pop_yearly_lookup!$C:$C, MATCH("United States", Pop_yearly_lookup!$A:$A, 0)))</f>
        <v>0.96118013918086076</v>
      </c>
      <c r="U10" s="66">
        <f>'BCDTRtSY-psgr-US'!U7*(INDEX(Pop_yearly_lookup!U:U, MATCH(About!$B$1, Pop_yearly_lookup!$A:$A, 0))/INDEX(Pop_yearly_lookup!$C:$C, MATCH(About!$B$1, Pop_yearly_lookup!$A:$A, 0)))/(INDEX(Pop_yearly_lookup!U:U, MATCH("United States", Pop_yearly_lookup!$A:$A, 0))/INDEX(Pop_yearly_lookup!$C:$C, MATCH("United States", Pop_yearly_lookup!$A:$A, 0)))</f>
        <v>0.95720983875711563</v>
      </c>
      <c r="V10" s="66">
        <f>'BCDTRtSY-psgr-US'!V7*(INDEX(Pop_yearly_lookup!V:V, MATCH(About!$B$1, Pop_yearly_lookup!$A:$A, 0))/INDEX(Pop_yearly_lookup!$C:$C, MATCH(About!$B$1, Pop_yearly_lookup!$A:$A, 0)))/(INDEX(Pop_yearly_lookup!V:V, MATCH("United States", Pop_yearly_lookup!$A:$A, 0))/INDEX(Pop_yearly_lookup!$C:$C, MATCH("United States", Pop_yearly_lookup!$A:$A, 0)))</f>
        <v>0.95354574000960513</v>
      </c>
      <c r="W10" s="66">
        <f>'BCDTRtSY-psgr-US'!W7*(INDEX(Pop_yearly_lookup!W:W, MATCH(About!$B$1, Pop_yearly_lookup!$A:$A, 0))/INDEX(Pop_yearly_lookup!$C:$C, MATCH(About!$B$1, Pop_yearly_lookup!$A:$A, 0)))/(INDEX(Pop_yearly_lookup!W:W, MATCH("United States", Pop_yearly_lookup!$A:$A, 0))/INDEX(Pop_yearly_lookup!$C:$C, MATCH("United States", Pop_yearly_lookup!$A:$A, 0)))</f>
        <v>0.94976238687104653</v>
      </c>
      <c r="X10" s="66">
        <f>'BCDTRtSY-psgr-US'!X7*(INDEX(Pop_yearly_lookup!X:X, MATCH(About!$B$1, Pop_yearly_lookup!$A:$A, 0))/INDEX(Pop_yearly_lookup!$C:$C, MATCH(About!$B$1, Pop_yearly_lookup!$A:$A, 0)))/(INDEX(Pop_yearly_lookup!X:X, MATCH("United States", Pop_yearly_lookup!$A:$A, 0))/INDEX(Pop_yearly_lookup!$C:$C, MATCH("United States", Pop_yearly_lookup!$A:$A, 0)))</f>
        <v>0.94556532691772943</v>
      </c>
      <c r="Y10" s="66">
        <f>'BCDTRtSY-psgr-US'!Y7*(INDEX(Pop_yearly_lookup!Y:Y, MATCH(About!$B$1, Pop_yearly_lookup!$A:$A, 0))/INDEX(Pop_yearly_lookup!$C:$C, MATCH(About!$B$1, Pop_yearly_lookup!$A:$A, 0)))/(INDEX(Pop_yearly_lookup!Y:Y, MATCH("United States", Pop_yearly_lookup!$A:$A, 0))/INDEX(Pop_yearly_lookup!$C:$C, MATCH("United States", Pop_yearly_lookup!$A:$A, 0)))</f>
        <v>0.94072140924961301</v>
      </c>
      <c r="Z10" s="66">
        <f>'BCDTRtSY-psgr-US'!Z7*(INDEX(Pop_yearly_lookup!Z:Z, MATCH(About!$B$1, Pop_yearly_lookup!$A:$A, 0))/INDEX(Pop_yearly_lookup!$C:$C, MATCH(About!$B$1, Pop_yearly_lookup!$A:$A, 0)))/(INDEX(Pop_yearly_lookup!Z:Z, MATCH("United States", Pop_yearly_lookup!$A:$A, 0))/INDEX(Pop_yearly_lookup!$C:$C, MATCH("United States", Pop_yearly_lookup!$A:$A, 0)))</f>
        <v>0.93584306717549826</v>
      </c>
      <c r="AA10" s="66">
        <f>'BCDTRtSY-psgr-US'!AA7*(INDEX(Pop_yearly_lookup!AA:AA, MATCH(About!$B$1, Pop_yearly_lookup!$A:$A, 0))/INDEX(Pop_yearly_lookup!$C:$C, MATCH(About!$B$1, Pop_yearly_lookup!$A:$A, 0)))/(INDEX(Pop_yearly_lookup!AA:AA, MATCH("United States", Pop_yearly_lookup!$A:$A, 0))/INDEX(Pop_yearly_lookup!$C:$C, MATCH("United States", Pop_yearly_lookup!$A:$A, 0)))</f>
        <v>0.93083923029851889</v>
      </c>
      <c r="AB10" s="66">
        <f>'BCDTRtSY-psgr-US'!AB7*(INDEX(Pop_yearly_lookup!AB:AB, MATCH(About!$B$1, Pop_yearly_lookup!$A:$A, 0))/INDEX(Pop_yearly_lookup!$C:$C, MATCH(About!$B$1, Pop_yearly_lookup!$A:$A, 0)))/(INDEX(Pop_yearly_lookup!AB:AB, MATCH("United States", Pop_yearly_lookup!$A:$A, 0))/INDEX(Pop_yearly_lookup!$C:$C, MATCH("United States", Pop_yearly_lookup!$A:$A, 0)))</f>
        <v>0.92619863114270373</v>
      </c>
    </row>
    <row r="12" spans="1:28">
      <c r="A12" s="1" t="s">
        <v>2025</v>
      </c>
    </row>
    <row r="13" spans="1:28">
      <c r="A13" t="s">
        <v>120</v>
      </c>
      <c r="B13" s="66">
        <f>'BCDTRtSY-frgt-US'!B2</f>
        <v>1</v>
      </c>
      <c r="C13" s="66">
        <f>'BCDTRtSY-frgt-US'!C2*(INDEX(Pop_yearly_lookup!C:C, MATCH(About!$B$1, Pop_yearly_lookup!$A:$A, 0))/INDEX(Pop_yearly_lookup!$C:$C, MATCH(About!$B$1, Pop_yearly_lookup!$A:$A, 0)))/(INDEX(Pop_yearly_lookup!C:C, MATCH("United States", Pop_yearly_lookup!$A:$A, 0))/INDEX(Pop_yearly_lookup!$C:$C, MATCH("United States", Pop_yearly_lookup!$A:$A, 0)))</f>
        <v>1</v>
      </c>
      <c r="D13" s="66">
        <f>'BCDTRtSY-frgt-US'!D2*(INDEX(Pop_yearly_lookup!D:D, MATCH(About!$B$1, Pop_yearly_lookup!$A:$A, 0))/INDEX(Pop_yearly_lookup!$C:$C, MATCH(About!$B$1, Pop_yearly_lookup!$A:$A, 0)))/(INDEX(Pop_yearly_lookup!D:D, MATCH("United States", Pop_yearly_lookup!$A:$A, 0))/INDEX(Pop_yearly_lookup!$C:$C, MATCH("United States", Pop_yearly_lookup!$A:$A, 0)))</f>
        <v>0.98942970053242074</v>
      </c>
      <c r="E13" s="66">
        <f>'BCDTRtSY-frgt-US'!E2*(INDEX(Pop_yearly_lookup!E:E, MATCH(About!$B$1, Pop_yearly_lookup!$A:$A, 0))/INDEX(Pop_yearly_lookup!$C:$C, MATCH(About!$B$1, Pop_yearly_lookup!$A:$A, 0)))/(INDEX(Pop_yearly_lookup!E:E, MATCH("United States", Pop_yearly_lookup!$A:$A, 0))/INDEX(Pop_yearly_lookup!$C:$C, MATCH("United States", Pop_yearly_lookup!$A:$A, 0)))</f>
        <v>0.98434901170914646</v>
      </c>
      <c r="F13" s="66">
        <f>'BCDTRtSY-frgt-US'!F2*(INDEX(Pop_yearly_lookup!F:F, MATCH(About!$B$1, Pop_yearly_lookup!$A:$A, 0))/INDEX(Pop_yearly_lookup!$C:$C, MATCH(About!$B$1, Pop_yearly_lookup!$A:$A, 0)))/(INDEX(Pop_yearly_lookup!F:F, MATCH("United States", Pop_yearly_lookup!$A:$A, 0))/INDEX(Pop_yearly_lookup!$C:$C, MATCH("United States", Pop_yearly_lookup!$A:$A, 0)))</f>
        <v>0.97893339812064029</v>
      </c>
      <c r="G13" s="66">
        <f>'BCDTRtSY-frgt-US'!G2*(INDEX(Pop_yearly_lookup!G:G, MATCH(About!$B$1, Pop_yearly_lookup!$A:$A, 0))/INDEX(Pop_yearly_lookup!$C:$C, MATCH(About!$B$1, Pop_yearly_lookup!$A:$A, 0)))/(INDEX(Pop_yearly_lookup!G:G, MATCH("United States", Pop_yearly_lookup!$A:$A, 0))/INDEX(Pop_yearly_lookup!$C:$C, MATCH("United States", Pop_yearly_lookup!$A:$A, 0)))</f>
        <v>0.97468964291280391</v>
      </c>
      <c r="H13" s="66">
        <f>'BCDTRtSY-frgt-US'!H2*(INDEX(Pop_yearly_lookup!H:H, MATCH(About!$B$1, Pop_yearly_lookup!$A:$A, 0))/INDEX(Pop_yearly_lookup!$C:$C, MATCH(About!$B$1, Pop_yearly_lookup!$A:$A, 0)))/(INDEX(Pop_yearly_lookup!H:H, MATCH("United States", Pop_yearly_lookup!$A:$A, 0))/INDEX(Pop_yearly_lookup!$C:$C, MATCH("United States", Pop_yearly_lookup!$A:$A, 0)))</f>
        <v>0.97509613595874456</v>
      </c>
      <c r="I13" s="66">
        <f>'BCDTRtSY-frgt-US'!I2*(INDEX(Pop_yearly_lookup!I:I, MATCH(About!$B$1, Pop_yearly_lookup!$A:$A, 0))/INDEX(Pop_yearly_lookup!$C:$C, MATCH(About!$B$1, Pop_yearly_lookup!$A:$A, 0)))/(INDEX(Pop_yearly_lookup!I:I, MATCH("United States", Pop_yearly_lookup!$A:$A, 0))/INDEX(Pop_yearly_lookup!$C:$C, MATCH("United States", Pop_yearly_lookup!$A:$A, 0)))</f>
        <v>0.97527772201043661</v>
      </c>
      <c r="J13" s="66">
        <f>'BCDTRtSY-frgt-US'!J2*(INDEX(Pop_yearly_lookup!J:J, MATCH(About!$B$1, Pop_yearly_lookup!$A:$A, 0))/INDEX(Pop_yearly_lookup!$C:$C, MATCH(About!$B$1, Pop_yearly_lookup!$A:$A, 0)))/(INDEX(Pop_yearly_lookup!J:J, MATCH("United States", Pop_yearly_lookup!$A:$A, 0))/INDEX(Pop_yearly_lookup!$C:$C, MATCH("United States", Pop_yearly_lookup!$A:$A, 0)))</f>
        <v>0.97717081415519791</v>
      </c>
      <c r="K13" s="66">
        <f>'BCDTRtSY-frgt-US'!K2*(INDEX(Pop_yearly_lookup!K:K, MATCH(About!$B$1, Pop_yearly_lookup!$A:$A, 0))/INDEX(Pop_yearly_lookup!$C:$C, MATCH(About!$B$1, Pop_yearly_lookup!$A:$A, 0)))/(INDEX(Pop_yearly_lookup!K:K, MATCH("United States", Pop_yearly_lookup!$A:$A, 0))/INDEX(Pop_yearly_lookup!$C:$C, MATCH("United States", Pop_yearly_lookup!$A:$A, 0)))</f>
        <v>0.97779391056354792</v>
      </c>
      <c r="L13" s="66">
        <f>'BCDTRtSY-frgt-US'!L2*(INDEX(Pop_yearly_lookup!L:L, MATCH(About!$B$1, Pop_yearly_lookup!$A:$A, 0))/INDEX(Pop_yearly_lookup!$C:$C, MATCH(About!$B$1, Pop_yearly_lookup!$A:$A, 0)))/(INDEX(Pop_yearly_lookup!L:L, MATCH("United States", Pop_yearly_lookup!$A:$A, 0))/INDEX(Pop_yearly_lookup!$C:$C, MATCH("United States", Pop_yearly_lookup!$A:$A, 0)))</f>
        <v>0.98024226195371</v>
      </c>
      <c r="M13" s="66">
        <f>'BCDTRtSY-frgt-US'!M2*(INDEX(Pop_yearly_lookup!M:M, MATCH(About!$B$1, Pop_yearly_lookup!$A:$A, 0))/INDEX(Pop_yearly_lookup!$C:$C, MATCH(About!$B$1, Pop_yearly_lookup!$A:$A, 0)))/(INDEX(Pop_yearly_lookup!M:M, MATCH("United States", Pop_yearly_lookup!$A:$A, 0))/INDEX(Pop_yearly_lookup!$C:$C, MATCH("United States", Pop_yearly_lookup!$A:$A, 0)))</f>
        <v>0.98333089601994195</v>
      </c>
      <c r="N13" s="66">
        <f>'BCDTRtSY-frgt-US'!N2*(INDEX(Pop_yearly_lookup!N:N, MATCH(About!$B$1, Pop_yearly_lookup!$A:$A, 0))/INDEX(Pop_yearly_lookup!$C:$C, MATCH(About!$B$1, Pop_yearly_lookup!$A:$A, 0)))/(INDEX(Pop_yearly_lookup!N:N, MATCH("United States", Pop_yearly_lookup!$A:$A, 0))/INDEX(Pop_yearly_lookup!$C:$C, MATCH("United States", Pop_yearly_lookup!$A:$A, 0)))</f>
        <v>0.9867040726373274</v>
      </c>
      <c r="O13" s="66">
        <f>'BCDTRtSY-frgt-US'!O2*(INDEX(Pop_yearly_lookup!O:O, MATCH(About!$B$1, Pop_yearly_lookup!$A:$A, 0))/INDEX(Pop_yearly_lookup!$C:$C, MATCH(About!$B$1, Pop_yearly_lookup!$A:$A, 0)))/(INDEX(Pop_yearly_lookup!O:O, MATCH("United States", Pop_yearly_lookup!$A:$A, 0))/INDEX(Pop_yearly_lookup!$C:$C, MATCH("United States", Pop_yearly_lookup!$A:$A, 0)))</f>
        <v>0.99123040001406237</v>
      </c>
      <c r="P13" s="66">
        <f>'BCDTRtSY-frgt-US'!P2*(INDEX(Pop_yearly_lookup!P:P, MATCH(About!$B$1, Pop_yearly_lookup!$A:$A, 0))/INDEX(Pop_yearly_lookup!$C:$C, MATCH(About!$B$1, Pop_yearly_lookup!$A:$A, 0)))/(INDEX(Pop_yearly_lookup!P:P, MATCH("United States", Pop_yearly_lookup!$A:$A, 0))/INDEX(Pop_yearly_lookup!$C:$C, MATCH("United States", Pop_yearly_lookup!$A:$A, 0)))</f>
        <v>0.99686764056398236</v>
      </c>
      <c r="Q13" s="66">
        <f>'BCDTRtSY-frgt-US'!Q2*(INDEX(Pop_yearly_lookup!Q:Q, MATCH(About!$B$1, Pop_yearly_lookup!$A:$A, 0))/INDEX(Pop_yearly_lookup!$C:$C, MATCH(About!$B$1, Pop_yearly_lookup!$A:$A, 0)))/(INDEX(Pop_yearly_lookup!Q:Q, MATCH("United States", Pop_yearly_lookup!$A:$A, 0))/INDEX(Pop_yearly_lookup!$C:$C, MATCH("United States", Pop_yearly_lookup!$A:$A, 0)))</f>
        <v>1.0027909876709673</v>
      </c>
      <c r="R13" s="66">
        <f>'BCDTRtSY-frgt-US'!R2*(INDEX(Pop_yearly_lookup!R:R, MATCH(About!$B$1, Pop_yearly_lookup!$A:$A, 0))/INDEX(Pop_yearly_lookup!$C:$C, MATCH(About!$B$1, Pop_yearly_lookup!$A:$A, 0)))/(INDEX(Pop_yearly_lookup!R:R, MATCH("United States", Pop_yearly_lookup!$A:$A, 0))/INDEX(Pop_yearly_lookup!$C:$C, MATCH("United States", Pop_yearly_lookup!$A:$A, 0)))</f>
        <v>1.0091345748395164</v>
      </c>
      <c r="S13" s="66">
        <f>'BCDTRtSY-frgt-US'!S2*(INDEX(Pop_yearly_lookup!S:S, MATCH(About!$B$1, Pop_yearly_lookup!$A:$A, 0))/INDEX(Pop_yearly_lookup!$C:$C, MATCH(About!$B$1, Pop_yearly_lookup!$A:$A, 0)))/(INDEX(Pop_yearly_lookup!S:S, MATCH("United States", Pop_yearly_lookup!$A:$A, 0))/INDEX(Pop_yearly_lookup!$C:$C, MATCH("United States", Pop_yearly_lookup!$A:$A, 0)))</f>
        <v>1.014314327758753</v>
      </c>
      <c r="T13" s="66">
        <f>'BCDTRtSY-frgt-US'!T2*(INDEX(Pop_yearly_lookup!T:T, MATCH(About!$B$1, Pop_yearly_lookup!$A:$A, 0))/INDEX(Pop_yearly_lookup!$C:$C, MATCH(About!$B$1, Pop_yearly_lookup!$A:$A, 0)))/(INDEX(Pop_yearly_lookup!T:T, MATCH("United States", Pop_yearly_lookup!$A:$A, 0))/INDEX(Pop_yearly_lookup!$C:$C, MATCH("United States", Pop_yearly_lookup!$A:$A, 0)))</f>
        <v>1.0188565916889332</v>
      </c>
      <c r="U13" s="66">
        <f>'BCDTRtSY-frgt-US'!U2*(INDEX(Pop_yearly_lookup!U:U, MATCH(About!$B$1, Pop_yearly_lookup!$A:$A, 0))/INDEX(Pop_yearly_lookup!$C:$C, MATCH(About!$B$1, Pop_yearly_lookup!$A:$A, 0)))/(INDEX(Pop_yearly_lookup!U:U, MATCH("United States", Pop_yearly_lookup!$A:$A, 0))/INDEX(Pop_yearly_lookup!$C:$C, MATCH("United States", Pop_yearly_lookup!$A:$A, 0)))</f>
        <v>1.0209686225855794</v>
      </c>
      <c r="V13" s="66">
        <f>'BCDTRtSY-frgt-US'!V2*(INDEX(Pop_yearly_lookup!V:V, MATCH(About!$B$1, Pop_yearly_lookup!$A:$A, 0))/INDEX(Pop_yearly_lookup!$C:$C, MATCH(About!$B$1, Pop_yearly_lookup!$A:$A, 0)))/(INDEX(Pop_yearly_lookup!V:V, MATCH("United States", Pop_yearly_lookup!$A:$A, 0))/INDEX(Pop_yearly_lookup!$C:$C, MATCH("United States", Pop_yearly_lookup!$A:$A, 0)))</f>
        <v>1.0227877770294547</v>
      </c>
      <c r="W13" s="66">
        <f>'BCDTRtSY-frgt-US'!W2*(INDEX(Pop_yearly_lookup!W:W, MATCH(About!$B$1, Pop_yearly_lookup!$A:$A, 0))/INDEX(Pop_yearly_lookup!$C:$C, MATCH(About!$B$1, Pop_yearly_lookup!$A:$A, 0)))/(INDEX(Pop_yearly_lookup!W:W, MATCH("United States", Pop_yearly_lookup!$A:$A, 0))/INDEX(Pop_yearly_lookup!$C:$C, MATCH("United States", Pop_yearly_lookup!$A:$A, 0)))</f>
        <v>1.0258080142904988</v>
      </c>
      <c r="X13" s="66">
        <f>'BCDTRtSY-frgt-US'!X2*(INDEX(Pop_yearly_lookup!X:X, MATCH(About!$B$1, Pop_yearly_lookup!$A:$A, 0))/INDEX(Pop_yearly_lookup!$C:$C, MATCH(About!$B$1, Pop_yearly_lookup!$A:$A, 0)))/(INDEX(Pop_yearly_lookup!X:X, MATCH("United States", Pop_yearly_lookup!$A:$A, 0))/INDEX(Pop_yearly_lookup!$C:$C, MATCH("United States", Pop_yearly_lookup!$A:$A, 0)))</f>
        <v>1.0292009189729152</v>
      </c>
      <c r="Y13" s="66">
        <f>'BCDTRtSY-frgt-US'!Y2*(INDEX(Pop_yearly_lookup!Y:Y, MATCH(About!$B$1, Pop_yearly_lookup!$A:$A, 0))/INDEX(Pop_yearly_lookup!$C:$C, MATCH(About!$B$1, Pop_yearly_lookup!$A:$A, 0)))/(INDEX(Pop_yearly_lookup!Y:Y, MATCH("United States", Pop_yearly_lookup!$A:$A, 0))/INDEX(Pop_yearly_lookup!$C:$C, MATCH("United States", Pop_yearly_lookup!$A:$A, 0)))</f>
        <v>1.0331574932915439</v>
      </c>
      <c r="Z13" s="66">
        <f>'BCDTRtSY-frgt-US'!Z2*(INDEX(Pop_yearly_lookup!Z:Z, MATCH(About!$B$1, Pop_yearly_lookup!$A:$A, 0))/INDEX(Pop_yearly_lookup!$C:$C, MATCH(About!$B$1, Pop_yearly_lookup!$A:$A, 0)))/(INDEX(Pop_yearly_lookup!Z:Z, MATCH("United States", Pop_yearly_lookup!$A:$A, 0))/INDEX(Pop_yearly_lookup!$C:$C, MATCH("United States", Pop_yearly_lookup!$A:$A, 0)))</f>
        <v>1.0358991777786017</v>
      </c>
      <c r="AA13" s="66">
        <f>'BCDTRtSY-frgt-US'!AA2*(INDEX(Pop_yearly_lookup!AA:AA, MATCH(About!$B$1, Pop_yearly_lookup!$A:$A, 0))/INDEX(Pop_yearly_lookup!$C:$C, MATCH(About!$B$1, Pop_yearly_lookup!$A:$A, 0)))/(INDEX(Pop_yearly_lookup!AA:AA, MATCH("United States", Pop_yearly_lookup!$A:$A, 0))/INDEX(Pop_yearly_lookup!$C:$C, MATCH("United States", Pop_yearly_lookup!$A:$A, 0)))</f>
        <v>1.0392889161579981</v>
      </c>
      <c r="AB13" s="66">
        <f>'BCDTRtSY-frgt-US'!AB2*(INDEX(Pop_yearly_lookup!AB:AB, MATCH(About!$B$1, Pop_yearly_lookup!$A:$A, 0))/INDEX(Pop_yearly_lookup!$C:$C, MATCH(About!$B$1, Pop_yearly_lookup!$A:$A, 0)))/(INDEX(Pop_yearly_lookup!AB:AB, MATCH("United States", Pop_yearly_lookup!$A:$A, 0))/INDEX(Pop_yearly_lookup!$C:$C, MATCH("United States", Pop_yearly_lookup!$A:$A, 0)))</f>
        <v>1.0419414115649321</v>
      </c>
    </row>
    <row r="14" spans="1:28">
      <c r="A14" t="s">
        <v>118</v>
      </c>
      <c r="B14" s="66">
        <f>'BCDTRtSY-frgt-US'!B3</f>
        <v>1</v>
      </c>
      <c r="C14" s="66">
        <f>'BCDTRtSY-frgt-US'!C3*(INDEX(Pop_yearly_lookup!C:C, MATCH(About!$B$1, Pop_yearly_lookup!$A:$A, 0))/INDEX(Pop_yearly_lookup!$C:$C, MATCH(About!$B$1, Pop_yearly_lookup!$A:$A, 0)))/(INDEX(Pop_yearly_lookup!C:C, MATCH("United States", Pop_yearly_lookup!$A:$A, 0))/INDEX(Pop_yearly_lookup!$C:$C, MATCH("United States", Pop_yearly_lookup!$A:$A, 0)))</f>
        <v>1</v>
      </c>
      <c r="D14" s="66">
        <f>'BCDTRtSY-frgt-US'!D3*(INDEX(Pop_yearly_lookup!D:D, MATCH(About!$B$1, Pop_yearly_lookup!$A:$A, 0))/INDEX(Pop_yearly_lookup!$C:$C, MATCH(About!$B$1, Pop_yearly_lookup!$A:$A, 0)))/(INDEX(Pop_yearly_lookup!D:D, MATCH("United States", Pop_yearly_lookup!$A:$A, 0))/INDEX(Pop_yearly_lookup!$C:$C, MATCH("United States", Pop_yearly_lookup!$A:$A, 0)))</f>
        <v>1.0039759924157123</v>
      </c>
      <c r="E14" s="66">
        <f>'BCDTRtSY-frgt-US'!E3*(INDEX(Pop_yearly_lookup!E:E, MATCH(About!$B$1, Pop_yearly_lookup!$A:$A, 0))/INDEX(Pop_yearly_lookup!$C:$C, MATCH(About!$B$1, Pop_yearly_lookup!$A:$A, 0)))/(INDEX(Pop_yearly_lookup!E:E, MATCH("United States", Pop_yearly_lookup!$A:$A, 0))/INDEX(Pop_yearly_lookup!$C:$C, MATCH("United States", Pop_yearly_lookup!$A:$A, 0)))</f>
        <v>1.0120442086094208</v>
      </c>
      <c r="F14" s="66">
        <f>'BCDTRtSY-frgt-US'!F3*(INDEX(Pop_yearly_lookup!F:F, MATCH(About!$B$1, Pop_yearly_lookup!$A:$A, 0))/INDEX(Pop_yearly_lookup!$C:$C, MATCH(About!$B$1, Pop_yearly_lookup!$A:$A, 0)))/(INDEX(Pop_yearly_lookup!F:F, MATCH("United States", Pop_yearly_lookup!$A:$A, 0))/INDEX(Pop_yearly_lookup!$C:$C, MATCH("United States", Pop_yearly_lookup!$A:$A, 0)))</f>
        <v>1.0191209893461266</v>
      </c>
      <c r="G14" s="66">
        <f>'BCDTRtSY-frgt-US'!G3*(INDEX(Pop_yearly_lookup!G:G, MATCH(About!$B$1, Pop_yearly_lookup!$A:$A, 0))/INDEX(Pop_yearly_lookup!$C:$C, MATCH(About!$B$1, Pop_yearly_lookup!$A:$A, 0)))/(INDEX(Pop_yearly_lookup!G:G, MATCH("United States", Pop_yearly_lookup!$A:$A, 0))/INDEX(Pop_yearly_lookup!$C:$C, MATCH("United States", Pop_yearly_lookup!$A:$A, 0)))</f>
        <v>1.0235367907940316</v>
      </c>
      <c r="H14" s="66">
        <f>'BCDTRtSY-frgt-US'!H3*(INDEX(Pop_yearly_lookup!H:H, MATCH(About!$B$1, Pop_yearly_lookup!$A:$A, 0))/INDEX(Pop_yearly_lookup!$C:$C, MATCH(About!$B$1, Pop_yearly_lookup!$A:$A, 0)))/(INDEX(Pop_yearly_lookup!H:H, MATCH("United States", Pop_yearly_lookup!$A:$A, 0))/INDEX(Pop_yearly_lookup!$C:$C, MATCH("United States", Pop_yearly_lookup!$A:$A, 0)))</f>
        <v>1.030156426809766</v>
      </c>
      <c r="I14" s="66">
        <f>'BCDTRtSY-frgt-US'!I3*(INDEX(Pop_yearly_lookup!I:I, MATCH(About!$B$1, Pop_yearly_lookup!$A:$A, 0))/INDEX(Pop_yearly_lookup!$C:$C, MATCH(About!$B$1, Pop_yearly_lookup!$A:$A, 0)))/(INDEX(Pop_yearly_lookup!I:I, MATCH("United States", Pop_yearly_lookup!$A:$A, 0))/INDEX(Pop_yearly_lookup!$C:$C, MATCH("United States", Pop_yearly_lookup!$A:$A, 0)))</f>
        <v>1.0336064765717017</v>
      </c>
      <c r="J14" s="66">
        <f>'BCDTRtSY-frgt-US'!J3*(INDEX(Pop_yearly_lookup!J:J, MATCH(About!$B$1, Pop_yearly_lookup!$A:$A, 0))/INDEX(Pop_yearly_lookup!$C:$C, MATCH(About!$B$1, Pop_yearly_lookup!$A:$A, 0)))/(INDEX(Pop_yearly_lookup!J:J, MATCH("United States", Pop_yearly_lookup!$A:$A, 0))/INDEX(Pop_yearly_lookup!$C:$C, MATCH("United States", Pop_yearly_lookup!$A:$A, 0)))</f>
        <v>1.037886399892515</v>
      </c>
      <c r="K14" s="66">
        <f>'BCDTRtSY-frgt-US'!K3*(INDEX(Pop_yearly_lookup!K:K, MATCH(About!$B$1, Pop_yearly_lookup!$A:$A, 0))/INDEX(Pop_yearly_lookup!$C:$C, MATCH(About!$B$1, Pop_yearly_lookup!$A:$A, 0)))/(INDEX(Pop_yearly_lookup!K:K, MATCH("United States", Pop_yearly_lookup!$A:$A, 0))/INDEX(Pop_yearly_lookup!$C:$C, MATCH("United States", Pop_yearly_lookup!$A:$A, 0)))</f>
        <v>1.0400125819953807</v>
      </c>
      <c r="L14" s="66">
        <f>'BCDTRtSY-frgt-US'!L3*(INDEX(Pop_yearly_lookup!L:L, MATCH(About!$B$1, Pop_yearly_lookup!$A:$A, 0))/INDEX(Pop_yearly_lookup!$C:$C, MATCH(About!$B$1, Pop_yearly_lookup!$A:$A, 0)))/(INDEX(Pop_yearly_lookup!L:L, MATCH("United States", Pop_yearly_lookup!$A:$A, 0))/INDEX(Pop_yearly_lookup!$C:$C, MATCH("United States", Pop_yearly_lookup!$A:$A, 0)))</f>
        <v>1.0433001914360385</v>
      </c>
      <c r="M14" s="66">
        <f>'BCDTRtSY-frgt-US'!M3*(INDEX(Pop_yearly_lookup!M:M, MATCH(About!$B$1, Pop_yearly_lookup!$A:$A, 0))/INDEX(Pop_yearly_lookup!$C:$C, MATCH(About!$B$1, Pop_yearly_lookup!$A:$A, 0)))/(INDEX(Pop_yearly_lookup!M:M, MATCH("United States", Pop_yearly_lookup!$A:$A, 0))/INDEX(Pop_yearly_lookup!$C:$C, MATCH("United States", Pop_yearly_lookup!$A:$A, 0)))</f>
        <v>1.0464112881772814</v>
      </c>
      <c r="N14" s="66">
        <f>'BCDTRtSY-frgt-US'!N3*(INDEX(Pop_yearly_lookup!N:N, MATCH(About!$B$1, Pop_yearly_lookup!$A:$A, 0))/INDEX(Pop_yearly_lookup!$C:$C, MATCH(About!$B$1, Pop_yearly_lookup!$A:$A, 0)))/(INDEX(Pop_yearly_lookup!N:N, MATCH("United States", Pop_yearly_lookup!$A:$A, 0))/INDEX(Pop_yearly_lookup!$C:$C, MATCH("United States", Pop_yearly_lookup!$A:$A, 0)))</f>
        <v>1.0487163242309392</v>
      </c>
      <c r="O14" s="66">
        <f>'BCDTRtSY-frgt-US'!O3*(INDEX(Pop_yearly_lookup!O:O, MATCH(About!$B$1, Pop_yearly_lookup!$A:$A, 0))/INDEX(Pop_yearly_lookup!$C:$C, MATCH(About!$B$1, Pop_yearly_lookup!$A:$A, 0)))/(INDEX(Pop_yearly_lookup!O:O, MATCH("United States", Pop_yearly_lookup!$A:$A, 0))/INDEX(Pop_yearly_lookup!$C:$C, MATCH("United States", Pop_yearly_lookup!$A:$A, 0)))</f>
        <v>1.0503222071447815</v>
      </c>
      <c r="P14" s="66">
        <f>'BCDTRtSY-frgt-US'!P3*(INDEX(Pop_yearly_lookup!P:P, MATCH(About!$B$1, Pop_yearly_lookup!$A:$A, 0))/INDEX(Pop_yearly_lookup!$C:$C, MATCH(About!$B$1, Pop_yearly_lookup!$A:$A, 0)))/(INDEX(Pop_yearly_lookup!P:P, MATCH("United States", Pop_yearly_lookup!$A:$A, 0))/INDEX(Pop_yearly_lookup!$C:$C, MATCH("United States", Pop_yearly_lookup!$A:$A, 0)))</f>
        <v>1.0509421801796006</v>
      </c>
      <c r="Q14" s="66">
        <f>'BCDTRtSY-frgt-US'!Q3*(INDEX(Pop_yearly_lookup!Q:Q, MATCH(About!$B$1, Pop_yearly_lookup!$A:$A, 0))/INDEX(Pop_yearly_lookup!$C:$C, MATCH(About!$B$1, Pop_yearly_lookup!$A:$A, 0)))/(INDEX(Pop_yearly_lookup!Q:Q, MATCH("United States", Pop_yearly_lookup!$A:$A, 0))/INDEX(Pop_yearly_lookup!$C:$C, MATCH("United States", Pop_yearly_lookup!$A:$A, 0)))</f>
        <v>1.051001482881406</v>
      </c>
      <c r="R14" s="66">
        <f>'BCDTRtSY-frgt-US'!R3*(INDEX(Pop_yearly_lookup!R:R, MATCH(About!$B$1, Pop_yearly_lookup!$A:$A, 0))/INDEX(Pop_yearly_lookup!$C:$C, MATCH(About!$B$1, Pop_yearly_lookup!$A:$A, 0)))/(INDEX(Pop_yearly_lookup!R:R, MATCH("United States", Pop_yearly_lookup!$A:$A, 0))/INDEX(Pop_yearly_lookup!$C:$C, MATCH("United States", Pop_yearly_lookup!$A:$A, 0)))</f>
        <v>1.0512040683217845</v>
      </c>
      <c r="S14" s="66">
        <f>'BCDTRtSY-frgt-US'!S3*(INDEX(Pop_yearly_lookup!S:S, MATCH(About!$B$1, Pop_yearly_lookup!$A:$A, 0))/INDEX(Pop_yearly_lookup!$C:$C, MATCH(About!$B$1, Pop_yearly_lookup!$A:$A, 0)))/(INDEX(Pop_yearly_lookup!S:S, MATCH("United States", Pop_yearly_lookup!$A:$A, 0))/INDEX(Pop_yearly_lookup!$C:$C, MATCH("United States", Pop_yearly_lookup!$A:$A, 0)))</f>
        <v>1.0509551228301972</v>
      </c>
      <c r="T14" s="66">
        <f>'BCDTRtSY-frgt-US'!T3*(INDEX(Pop_yearly_lookup!T:T, MATCH(About!$B$1, Pop_yearly_lookup!$A:$A, 0))/INDEX(Pop_yearly_lookup!$C:$C, MATCH(About!$B$1, Pop_yearly_lookup!$A:$A, 0)))/(INDEX(Pop_yearly_lookup!T:T, MATCH("United States", Pop_yearly_lookup!$A:$A, 0))/INDEX(Pop_yearly_lookup!$C:$C, MATCH("United States", Pop_yearly_lookup!$A:$A, 0)))</f>
        <v>1.0501826996991019</v>
      </c>
      <c r="U14" s="66">
        <f>'BCDTRtSY-frgt-US'!U3*(INDEX(Pop_yearly_lookup!U:U, MATCH(About!$B$1, Pop_yearly_lookup!$A:$A, 0))/INDEX(Pop_yearly_lookup!$C:$C, MATCH(About!$B$1, Pop_yearly_lookup!$A:$A, 0)))/(INDEX(Pop_yearly_lookup!U:U, MATCH("United States", Pop_yearly_lookup!$A:$A, 0))/INDEX(Pop_yearly_lookup!$C:$C, MATCH("United States", Pop_yearly_lookup!$A:$A, 0)))</f>
        <v>1.0484440141274238</v>
      </c>
      <c r="V14" s="66">
        <f>'BCDTRtSY-frgt-US'!V3*(INDEX(Pop_yearly_lookup!V:V, MATCH(About!$B$1, Pop_yearly_lookup!$A:$A, 0))/INDEX(Pop_yearly_lookup!$C:$C, MATCH(About!$B$1, Pop_yearly_lookup!$A:$A, 0)))/(INDEX(Pop_yearly_lookup!V:V, MATCH("United States", Pop_yearly_lookup!$A:$A, 0))/INDEX(Pop_yearly_lookup!$C:$C, MATCH("United States", Pop_yearly_lookup!$A:$A, 0)))</f>
        <v>1.0469751279607662</v>
      </c>
      <c r="W14" s="66">
        <f>'BCDTRtSY-frgt-US'!W3*(INDEX(Pop_yearly_lookup!W:W, MATCH(About!$B$1, Pop_yearly_lookup!$A:$A, 0))/INDEX(Pop_yearly_lookup!$C:$C, MATCH(About!$B$1, Pop_yearly_lookup!$A:$A, 0)))/(INDEX(Pop_yearly_lookup!W:W, MATCH("United States", Pop_yearly_lookup!$A:$A, 0))/INDEX(Pop_yearly_lookup!$C:$C, MATCH("United States", Pop_yearly_lookup!$A:$A, 0)))</f>
        <v>1.0471977489055218</v>
      </c>
      <c r="X14" s="66">
        <f>'BCDTRtSY-frgt-US'!X3*(INDEX(Pop_yearly_lookup!X:X, MATCH(About!$B$1, Pop_yearly_lookup!$A:$A, 0))/INDEX(Pop_yearly_lookup!$C:$C, MATCH(About!$B$1, Pop_yearly_lookup!$A:$A, 0)))/(INDEX(Pop_yearly_lookup!X:X, MATCH("United States", Pop_yearly_lookup!$A:$A, 0))/INDEX(Pop_yearly_lookup!$C:$C, MATCH("United States", Pop_yearly_lookup!$A:$A, 0)))</f>
        <v>1.0475749233799534</v>
      </c>
      <c r="Y14" s="66">
        <f>'BCDTRtSY-frgt-US'!Y3*(INDEX(Pop_yearly_lookup!Y:Y, MATCH(About!$B$1, Pop_yearly_lookup!$A:$A, 0))/INDEX(Pop_yearly_lookup!$C:$C, MATCH(About!$B$1, Pop_yearly_lookup!$A:$A, 0)))/(INDEX(Pop_yearly_lookup!Y:Y, MATCH("United States", Pop_yearly_lookup!$A:$A, 0))/INDEX(Pop_yearly_lookup!$C:$C, MATCH("United States", Pop_yearly_lookup!$A:$A, 0)))</f>
        <v>1.047827078389592</v>
      </c>
      <c r="Z14" s="66">
        <f>'BCDTRtSY-frgt-US'!Z3*(INDEX(Pop_yearly_lookup!Z:Z, MATCH(About!$B$1, Pop_yearly_lookup!$A:$A, 0))/INDEX(Pop_yearly_lookup!$C:$C, MATCH(About!$B$1, Pop_yearly_lookup!$A:$A, 0)))/(INDEX(Pop_yearly_lookup!Z:Z, MATCH("United States", Pop_yearly_lookup!$A:$A, 0))/INDEX(Pop_yearly_lookup!$C:$C, MATCH("United States", Pop_yearly_lookup!$A:$A, 0)))</f>
        <v>1.0461219351090802</v>
      </c>
      <c r="AA14" s="66">
        <f>'BCDTRtSY-frgt-US'!AA3*(INDEX(Pop_yearly_lookup!AA:AA, MATCH(About!$B$1, Pop_yearly_lookup!$A:$A, 0))/INDEX(Pop_yearly_lookup!$C:$C, MATCH(About!$B$1, Pop_yearly_lookup!$A:$A, 0)))/(INDEX(Pop_yearly_lookup!AA:AA, MATCH("United States", Pop_yearly_lookup!$A:$A, 0))/INDEX(Pop_yearly_lookup!$C:$C, MATCH("United States", Pop_yearly_lookup!$A:$A, 0)))</f>
        <v>1.0443261413439466</v>
      </c>
      <c r="AB14" s="66">
        <f>'BCDTRtSY-frgt-US'!AB3*(INDEX(Pop_yearly_lookup!AB:AB, MATCH(About!$B$1, Pop_yearly_lookup!$A:$A, 0))/INDEX(Pop_yearly_lookup!$C:$C, MATCH(About!$B$1, Pop_yearly_lookup!$A:$A, 0)))/(INDEX(Pop_yearly_lookup!AB:AB, MATCH("United States", Pop_yearly_lookup!$A:$A, 0))/INDEX(Pop_yearly_lookup!$C:$C, MATCH("United States", Pop_yearly_lookup!$A:$A, 0)))</f>
        <v>1.0420036645007045</v>
      </c>
    </row>
    <row r="15" spans="1:28">
      <c r="A15" t="s">
        <v>116</v>
      </c>
      <c r="B15" s="66">
        <f>'BCDTRtSY-frgt-US'!B4</f>
        <v>1</v>
      </c>
      <c r="C15" s="66">
        <f>'BCDTRtSY-frgt-US'!C4*(INDEX(Pop_yearly_lookup!C:C, MATCH(About!$B$1, Pop_yearly_lookup!$A:$A, 0))/INDEX(Pop_yearly_lookup!$C:$C, MATCH(About!$B$1, Pop_yearly_lookup!$A:$A, 0)))/(INDEX(Pop_yearly_lookup!C:C, MATCH("United States", Pop_yearly_lookup!$A:$A, 0))/INDEX(Pop_yearly_lookup!$C:$C, MATCH("United States", Pop_yearly_lookup!$A:$A, 0)))</f>
        <v>1</v>
      </c>
      <c r="D15" s="66">
        <f>'BCDTRtSY-frgt-US'!D4*(INDEX(Pop_yearly_lookup!D:D, MATCH(About!$B$1, Pop_yearly_lookup!$A:$A, 0))/INDEX(Pop_yearly_lookup!$C:$C, MATCH(About!$B$1, Pop_yearly_lookup!$A:$A, 0)))/(INDEX(Pop_yearly_lookup!D:D, MATCH("United States", Pop_yearly_lookup!$A:$A, 0))/INDEX(Pop_yearly_lookup!$C:$C, MATCH("United States", Pop_yearly_lookup!$A:$A, 0)))</f>
        <v>1.0199382911045483</v>
      </c>
      <c r="E15" s="66">
        <f>'BCDTRtSY-frgt-US'!E4*(INDEX(Pop_yearly_lookup!E:E, MATCH(About!$B$1, Pop_yearly_lookup!$A:$A, 0))/INDEX(Pop_yearly_lookup!$C:$C, MATCH(About!$B$1, Pop_yearly_lookup!$A:$A, 0)))/(INDEX(Pop_yearly_lookup!E:E, MATCH("United States", Pop_yearly_lookup!$A:$A, 0))/INDEX(Pop_yearly_lookup!$C:$C, MATCH("United States", Pop_yearly_lookup!$A:$A, 0)))</f>
        <v>1.0319117954660493</v>
      </c>
      <c r="F15" s="66">
        <f>'BCDTRtSY-frgt-US'!F4*(INDEX(Pop_yearly_lookup!F:F, MATCH(About!$B$1, Pop_yearly_lookup!$A:$A, 0))/INDEX(Pop_yearly_lookup!$C:$C, MATCH(About!$B$1, Pop_yearly_lookup!$A:$A, 0)))/(INDEX(Pop_yearly_lookup!F:F, MATCH("United States", Pop_yearly_lookup!$A:$A, 0))/INDEX(Pop_yearly_lookup!$C:$C, MATCH("United States", Pop_yearly_lookup!$A:$A, 0)))</f>
        <v>1.037353072854359</v>
      </c>
      <c r="G15" s="66">
        <f>'BCDTRtSY-frgt-US'!G4*(INDEX(Pop_yearly_lookup!G:G, MATCH(About!$B$1, Pop_yearly_lookup!$A:$A, 0))/INDEX(Pop_yearly_lookup!$C:$C, MATCH(About!$B$1, Pop_yearly_lookup!$A:$A, 0)))/(INDEX(Pop_yearly_lookup!G:G, MATCH("United States", Pop_yearly_lookup!$A:$A, 0))/INDEX(Pop_yearly_lookup!$C:$C, MATCH("United States", Pop_yearly_lookup!$A:$A, 0)))</f>
        <v>1.046286964390488</v>
      </c>
      <c r="H15" s="66">
        <f>'BCDTRtSY-frgt-US'!H4*(INDEX(Pop_yearly_lookup!H:H, MATCH(About!$B$1, Pop_yearly_lookup!$A:$A, 0))/INDEX(Pop_yearly_lookup!$C:$C, MATCH(About!$B$1, Pop_yearly_lookup!$A:$A, 0)))/(INDEX(Pop_yearly_lookup!H:H, MATCH("United States", Pop_yearly_lookup!$A:$A, 0))/INDEX(Pop_yearly_lookup!$C:$C, MATCH("United States", Pop_yearly_lookup!$A:$A, 0)))</f>
        <v>1.0579514382581428</v>
      </c>
      <c r="I15" s="66">
        <f>'BCDTRtSY-frgt-US'!I4*(INDEX(Pop_yearly_lookup!I:I, MATCH(About!$B$1, Pop_yearly_lookup!$A:$A, 0))/INDEX(Pop_yearly_lookup!$C:$C, MATCH(About!$B$1, Pop_yearly_lookup!$A:$A, 0)))/(INDEX(Pop_yearly_lookup!I:I, MATCH("United States", Pop_yearly_lookup!$A:$A, 0))/INDEX(Pop_yearly_lookup!$C:$C, MATCH("United States", Pop_yearly_lookup!$A:$A, 0)))</f>
        <v>1.0703286900534754</v>
      </c>
      <c r="J15" s="66">
        <f>'BCDTRtSY-frgt-US'!J4*(INDEX(Pop_yearly_lookup!J:J, MATCH(About!$B$1, Pop_yearly_lookup!$A:$A, 0))/INDEX(Pop_yearly_lookup!$C:$C, MATCH(About!$B$1, Pop_yearly_lookup!$A:$A, 0)))/(INDEX(Pop_yearly_lookup!J:J, MATCH("United States", Pop_yearly_lookup!$A:$A, 0))/INDEX(Pop_yearly_lookup!$C:$C, MATCH("United States", Pop_yearly_lookup!$A:$A, 0)))</f>
        <v>1.0855606872293544</v>
      </c>
      <c r="K15" s="66">
        <f>'BCDTRtSY-frgt-US'!K4*(INDEX(Pop_yearly_lookup!K:K, MATCH(About!$B$1, Pop_yearly_lookup!$A:$A, 0))/INDEX(Pop_yearly_lookup!$C:$C, MATCH(About!$B$1, Pop_yearly_lookup!$A:$A, 0)))/(INDEX(Pop_yearly_lookup!K:K, MATCH("United States", Pop_yearly_lookup!$A:$A, 0))/INDEX(Pop_yearly_lookup!$C:$C, MATCH("United States", Pop_yearly_lookup!$A:$A, 0)))</f>
        <v>1.1020361069906135</v>
      </c>
      <c r="L15" s="66">
        <f>'BCDTRtSY-frgt-US'!L4*(INDEX(Pop_yearly_lookup!L:L, MATCH(About!$B$1, Pop_yearly_lookup!$A:$A, 0))/INDEX(Pop_yearly_lookup!$C:$C, MATCH(About!$B$1, Pop_yearly_lookup!$A:$A, 0)))/(INDEX(Pop_yearly_lookup!L:L, MATCH("United States", Pop_yearly_lookup!$A:$A, 0))/INDEX(Pop_yearly_lookup!$C:$C, MATCH("United States", Pop_yearly_lookup!$A:$A, 0)))</f>
        <v>1.1200301353295652</v>
      </c>
      <c r="M15" s="66">
        <f>'BCDTRtSY-frgt-US'!M4*(INDEX(Pop_yearly_lookup!M:M, MATCH(About!$B$1, Pop_yearly_lookup!$A:$A, 0))/INDEX(Pop_yearly_lookup!$C:$C, MATCH(About!$B$1, Pop_yearly_lookup!$A:$A, 0)))/(INDEX(Pop_yearly_lookup!M:M, MATCH("United States", Pop_yearly_lookup!$A:$A, 0))/INDEX(Pop_yearly_lookup!$C:$C, MATCH("United States", Pop_yearly_lookup!$A:$A, 0)))</f>
        <v>1.1396317422980546</v>
      </c>
      <c r="N15" s="66">
        <f>'BCDTRtSY-frgt-US'!N4*(INDEX(Pop_yearly_lookup!N:N, MATCH(About!$B$1, Pop_yearly_lookup!$A:$A, 0))/INDEX(Pop_yearly_lookup!$C:$C, MATCH(About!$B$1, Pop_yearly_lookup!$A:$A, 0)))/(INDEX(Pop_yearly_lookup!N:N, MATCH("United States", Pop_yearly_lookup!$A:$A, 0))/INDEX(Pop_yearly_lookup!$C:$C, MATCH("United States", Pop_yearly_lookup!$A:$A, 0)))</f>
        <v>1.1547910881636938</v>
      </c>
      <c r="O15" s="66">
        <f>'BCDTRtSY-frgt-US'!O4*(INDEX(Pop_yearly_lookup!O:O, MATCH(About!$B$1, Pop_yearly_lookup!$A:$A, 0))/INDEX(Pop_yearly_lookup!$C:$C, MATCH(About!$B$1, Pop_yearly_lookup!$A:$A, 0)))/(INDEX(Pop_yearly_lookup!O:O, MATCH("United States", Pop_yearly_lookup!$A:$A, 0))/INDEX(Pop_yearly_lookup!$C:$C, MATCH("United States", Pop_yearly_lookup!$A:$A, 0)))</f>
        <v>1.1699683447626112</v>
      </c>
      <c r="P15" s="66">
        <f>'BCDTRtSY-frgt-US'!P4*(INDEX(Pop_yearly_lookup!P:P, MATCH(About!$B$1, Pop_yearly_lookup!$A:$A, 0))/INDEX(Pop_yearly_lookup!$C:$C, MATCH(About!$B$1, Pop_yearly_lookup!$A:$A, 0)))/(INDEX(Pop_yearly_lookup!P:P, MATCH("United States", Pop_yearly_lookup!$A:$A, 0))/INDEX(Pop_yearly_lookup!$C:$C, MATCH("United States", Pop_yearly_lookup!$A:$A, 0)))</f>
        <v>1.1849515011998939</v>
      </c>
      <c r="Q15" s="66">
        <f>'BCDTRtSY-frgt-US'!Q4*(INDEX(Pop_yearly_lookup!Q:Q, MATCH(About!$B$1, Pop_yearly_lookup!$A:$A, 0))/INDEX(Pop_yearly_lookup!$C:$C, MATCH(About!$B$1, Pop_yearly_lookup!$A:$A, 0)))/(INDEX(Pop_yearly_lookup!Q:Q, MATCH("United States", Pop_yearly_lookup!$A:$A, 0))/INDEX(Pop_yearly_lookup!$C:$C, MATCH("United States", Pop_yearly_lookup!$A:$A, 0)))</f>
        <v>1.1992622733736245</v>
      </c>
      <c r="R15" s="66">
        <f>'BCDTRtSY-frgt-US'!R4*(INDEX(Pop_yearly_lookup!R:R, MATCH(About!$B$1, Pop_yearly_lookup!$A:$A, 0))/INDEX(Pop_yearly_lookup!$C:$C, MATCH(About!$B$1, Pop_yearly_lookup!$A:$A, 0)))/(INDEX(Pop_yearly_lookup!R:R, MATCH("United States", Pop_yearly_lookup!$A:$A, 0))/INDEX(Pop_yearly_lookup!$C:$C, MATCH("United States", Pop_yearly_lookup!$A:$A, 0)))</f>
        <v>1.213827664098994</v>
      </c>
      <c r="S15" s="66">
        <f>'BCDTRtSY-frgt-US'!S4*(INDEX(Pop_yearly_lookup!S:S, MATCH(About!$B$1, Pop_yearly_lookup!$A:$A, 0))/INDEX(Pop_yearly_lookup!$C:$C, MATCH(About!$B$1, Pop_yearly_lookup!$A:$A, 0)))/(INDEX(Pop_yearly_lookup!S:S, MATCH("United States", Pop_yearly_lookup!$A:$A, 0))/INDEX(Pop_yearly_lookup!$C:$C, MATCH("United States", Pop_yearly_lookup!$A:$A, 0)))</f>
        <v>1.2272408577430134</v>
      </c>
      <c r="T15" s="66">
        <f>'BCDTRtSY-frgt-US'!T4*(INDEX(Pop_yearly_lookup!T:T, MATCH(About!$B$1, Pop_yearly_lookup!$A:$A, 0))/INDEX(Pop_yearly_lookup!$C:$C, MATCH(About!$B$1, Pop_yearly_lookup!$A:$A, 0)))/(INDEX(Pop_yearly_lookup!T:T, MATCH("United States", Pop_yearly_lookup!$A:$A, 0))/INDEX(Pop_yearly_lookup!$C:$C, MATCH("United States", Pop_yearly_lookup!$A:$A, 0)))</f>
        <v>1.241265367659125</v>
      </c>
      <c r="U15" s="66">
        <f>'BCDTRtSY-frgt-US'!U4*(INDEX(Pop_yearly_lookup!U:U, MATCH(About!$B$1, Pop_yearly_lookup!$A:$A, 0))/INDEX(Pop_yearly_lookup!$C:$C, MATCH(About!$B$1, Pop_yearly_lookup!$A:$A, 0)))/(INDEX(Pop_yearly_lookup!U:U, MATCH("United States", Pop_yearly_lookup!$A:$A, 0))/INDEX(Pop_yearly_lookup!$C:$C, MATCH("United States", Pop_yearly_lookup!$A:$A, 0)))</f>
        <v>1.2560466805596782</v>
      </c>
      <c r="V15" s="66">
        <f>'BCDTRtSY-frgt-US'!V4*(INDEX(Pop_yearly_lookup!V:V, MATCH(About!$B$1, Pop_yearly_lookup!$A:$A, 0))/INDEX(Pop_yearly_lookup!$C:$C, MATCH(About!$B$1, Pop_yearly_lookup!$A:$A, 0)))/(INDEX(Pop_yearly_lookup!V:V, MATCH("United States", Pop_yearly_lookup!$A:$A, 0))/INDEX(Pop_yearly_lookup!$C:$C, MATCH("United States", Pop_yearly_lookup!$A:$A, 0)))</f>
        <v>1.2707013122725583</v>
      </c>
      <c r="W15" s="66">
        <f>'BCDTRtSY-frgt-US'!W4*(INDEX(Pop_yearly_lookup!W:W, MATCH(About!$B$1, Pop_yearly_lookup!$A:$A, 0))/INDEX(Pop_yearly_lookup!$C:$C, MATCH(About!$B$1, Pop_yearly_lookup!$A:$A, 0)))/(INDEX(Pop_yearly_lookup!W:W, MATCH("United States", Pop_yearly_lookup!$A:$A, 0))/INDEX(Pop_yearly_lookup!$C:$C, MATCH("United States", Pop_yearly_lookup!$A:$A, 0)))</f>
        <v>1.285358594251905</v>
      </c>
      <c r="X15" s="66">
        <f>'BCDTRtSY-frgt-US'!X4*(INDEX(Pop_yearly_lookup!X:X, MATCH(About!$B$1, Pop_yearly_lookup!$A:$A, 0))/INDEX(Pop_yearly_lookup!$C:$C, MATCH(About!$B$1, Pop_yearly_lookup!$A:$A, 0)))/(INDEX(Pop_yearly_lookup!X:X, MATCH("United States", Pop_yearly_lookup!$A:$A, 0))/INDEX(Pop_yearly_lookup!$C:$C, MATCH("United States", Pop_yearly_lookup!$A:$A, 0)))</f>
        <v>1.2993112776866504</v>
      </c>
      <c r="Y15" s="66">
        <f>'BCDTRtSY-frgt-US'!Y4*(INDEX(Pop_yearly_lookup!Y:Y, MATCH(About!$B$1, Pop_yearly_lookup!$A:$A, 0))/INDEX(Pop_yearly_lookup!$C:$C, MATCH(About!$B$1, Pop_yearly_lookup!$A:$A, 0)))/(INDEX(Pop_yearly_lookup!Y:Y, MATCH("United States", Pop_yearly_lookup!$A:$A, 0))/INDEX(Pop_yearly_lookup!$C:$C, MATCH("United States", Pop_yearly_lookup!$A:$A, 0)))</f>
        <v>1.3119741552328179</v>
      </c>
      <c r="Z15" s="66">
        <f>'BCDTRtSY-frgt-US'!Z4*(INDEX(Pop_yearly_lookup!Z:Z, MATCH(About!$B$1, Pop_yearly_lookup!$A:$A, 0))/INDEX(Pop_yearly_lookup!$C:$C, MATCH(About!$B$1, Pop_yearly_lookup!$A:$A, 0)))/(INDEX(Pop_yearly_lookup!Z:Z, MATCH("United States", Pop_yearly_lookup!$A:$A, 0))/INDEX(Pop_yearly_lookup!$C:$C, MATCH("United States", Pop_yearly_lookup!$A:$A, 0)))</f>
        <v>1.3246881003723634</v>
      </c>
      <c r="AA15" s="66">
        <f>'BCDTRtSY-frgt-US'!AA4*(INDEX(Pop_yearly_lookup!AA:AA, MATCH(About!$B$1, Pop_yearly_lookup!$A:$A, 0))/INDEX(Pop_yearly_lookup!$C:$C, MATCH(About!$B$1, Pop_yearly_lookup!$A:$A, 0)))/(INDEX(Pop_yearly_lookup!AA:AA, MATCH("United States", Pop_yearly_lookup!$A:$A, 0))/INDEX(Pop_yearly_lookup!$C:$C, MATCH("United States", Pop_yearly_lookup!$A:$A, 0)))</f>
        <v>1.3366899059960529</v>
      </c>
      <c r="AB15" s="66">
        <f>'BCDTRtSY-frgt-US'!AB4*(INDEX(Pop_yearly_lookup!AB:AB, MATCH(About!$B$1, Pop_yearly_lookup!$A:$A, 0))/INDEX(Pop_yearly_lookup!$C:$C, MATCH(About!$B$1, Pop_yearly_lookup!$A:$A, 0)))/(INDEX(Pop_yearly_lookup!AB:AB, MATCH("United States", Pop_yearly_lookup!$A:$A, 0))/INDEX(Pop_yearly_lookup!$C:$C, MATCH("United States", Pop_yearly_lookup!$A:$A, 0)))</f>
        <v>1.3489530307238307</v>
      </c>
    </row>
    <row r="16" spans="1:28">
      <c r="A16" t="s">
        <v>121</v>
      </c>
      <c r="B16" s="66">
        <f>'BCDTRtSY-frgt-US'!B5</f>
        <v>1</v>
      </c>
      <c r="C16" s="66">
        <f>'BCDTRtSY-frgt-US'!C5*(INDEX(Pop_yearly_lookup!C:C, MATCH(About!$B$1, Pop_yearly_lookup!$A:$A, 0))/INDEX(Pop_yearly_lookup!$C:$C, MATCH(About!$B$1, Pop_yearly_lookup!$A:$A, 0)))/(INDEX(Pop_yearly_lookup!C:C, MATCH("United States", Pop_yearly_lookup!$A:$A, 0))/INDEX(Pop_yearly_lookup!$C:$C, MATCH("United States", Pop_yearly_lookup!$A:$A, 0)))</f>
        <v>1</v>
      </c>
      <c r="D16" s="66">
        <f>'BCDTRtSY-frgt-US'!D5*(INDEX(Pop_yearly_lookup!D:D, MATCH(About!$B$1, Pop_yearly_lookup!$A:$A, 0))/INDEX(Pop_yearly_lookup!$C:$C, MATCH(About!$B$1, Pop_yearly_lookup!$A:$A, 0)))/(INDEX(Pop_yearly_lookup!D:D, MATCH("United States", Pop_yearly_lookup!$A:$A, 0))/INDEX(Pop_yearly_lookup!$C:$C, MATCH("United States", Pop_yearly_lookup!$A:$A, 0)))</f>
        <v>0.97071159417748287</v>
      </c>
      <c r="E16" s="66">
        <f>'BCDTRtSY-frgt-US'!E5*(INDEX(Pop_yearly_lookup!E:E, MATCH(About!$B$1, Pop_yearly_lookup!$A:$A, 0))/INDEX(Pop_yearly_lookup!$C:$C, MATCH(About!$B$1, Pop_yearly_lookup!$A:$A, 0)))/(INDEX(Pop_yearly_lookup!E:E, MATCH("United States", Pop_yearly_lookup!$A:$A, 0))/INDEX(Pop_yearly_lookup!$C:$C, MATCH("United States", Pop_yearly_lookup!$A:$A, 0)))</f>
        <v>0.9952732709622153</v>
      </c>
      <c r="F16" s="66">
        <f>'BCDTRtSY-frgt-US'!F5*(INDEX(Pop_yearly_lookup!F:F, MATCH(About!$B$1, Pop_yearly_lookup!$A:$A, 0))/INDEX(Pop_yearly_lookup!$C:$C, MATCH(About!$B$1, Pop_yearly_lookup!$A:$A, 0)))/(INDEX(Pop_yearly_lookup!F:F, MATCH("United States", Pop_yearly_lookup!$A:$A, 0))/INDEX(Pop_yearly_lookup!$C:$C, MATCH("United States", Pop_yearly_lookup!$A:$A, 0)))</f>
        <v>0.96831136208790414</v>
      </c>
      <c r="G16" s="66">
        <f>'BCDTRtSY-frgt-US'!G5*(INDEX(Pop_yearly_lookup!G:G, MATCH(About!$B$1, Pop_yearly_lookup!$A:$A, 0))/INDEX(Pop_yearly_lookup!$C:$C, MATCH(About!$B$1, Pop_yearly_lookup!$A:$A, 0)))/(INDEX(Pop_yearly_lookup!G:G, MATCH("United States", Pop_yearly_lookup!$A:$A, 0))/INDEX(Pop_yearly_lookup!$C:$C, MATCH("United States", Pop_yearly_lookup!$A:$A, 0)))</f>
        <v>0.95421501458109204</v>
      </c>
      <c r="H16" s="66">
        <f>'BCDTRtSY-frgt-US'!H5*(INDEX(Pop_yearly_lookup!H:H, MATCH(About!$B$1, Pop_yearly_lookup!$A:$A, 0))/INDEX(Pop_yearly_lookup!$C:$C, MATCH(About!$B$1, Pop_yearly_lookup!$A:$A, 0)))/(INDEX(Pop_yearly_lookup!H:H, MATCH("United States", Pop_yearly_lookup!$A:$A, 0))/INDEX(Pop_yearly_lookup!$C:$C, MATCH("United States", Pop_yearly_lookup!$A:$A, 0)))</f>
        <v>0.95411924992746078</v>
      </c>
      <c r="I16" s="66">
        <f>'BCDTRtSY-frgt-US'!I5*(INDEX(Pop_yearly_lookup!I:I, MATCH(About!$B$1, Pop_yearly_lookup!$A:$A, 0))/INDEX(Pop_yearly_lookup!$C:$C, MATCH(About!$B$1, Pop_yearly_lookup!$A:$A, 0)))/(INDEX(Pop_yearly_lookup!I:I, MATCH("United States", Pop_yearly_lookup!$A:$A, 0))/INDEX(Pop_yearly_lookup!$C:$C, MATCH("United States", Pop_yearly_lookup!$A:$A, 0)))</f>
        <v>0.92452393383039599</v>
      </c>
      <c r="J16" s="66">
        <f>'BCDTRtSY-frgt-US'!J5*(INDEX(Pop_yearly_lookup!J:J, MATCH(About!$B$1, Pop_yearly_lookup!$A:$A, 0))/INDEX(Pop_yearly_lookup!$C:$C, MATCH(About!$B$1, Pop_yearly_lookup!$A:$A, 0)))/(INDEX(Pop_yearly_lookup!J:J, MATCH("United States", Pop_yearly_lookup!$A:$A, 0))/INDEX(Pop_yearly_lookup!$C:$C, MATCH("United States", Pop_yearly_lookup!$A:$A, 0)))</f>
        <v>0.92328543647375294</v>
      </c>
      <c r="K16" s="66">
        <f>'BCDTRtSY-frgt-US'!K5*(INDEX(Pop_yearly_lookup!K:K, MATCH(About!$B$1, Pop_yearly_lookup!$A:$A, 0))/INDEX(Pop_yearly_lookup!$C:$C, MATCH(About!$B$1, Pop_yearly_lookup!$A:$A, 0)))/(INDEX(Pop_yearly_lookup!K:K, MATCH("United States", Pop_yearly_lookup!$A:$A, 0))/INDEX(Pop_yearly_lookup!$C:$C, MATCH("United States", Pop_yearly_lookup!$A:$A, 0)))</f>
        <v>0.9221757009450402</v>
      </c>
      <c r="L16" s="66">
        <f>'BCDTRtSY-frgt-US'!L5*(INDEX(Pop_yearly_lookup!L:L, MATCH(About!$B$1, Pop_yearly_lookup!$A:$A, 0))/INDEX(Pop_yearly_lookup!$C:$C, MATCH(About!$B$1, Pop_yearly_lookup!$A:$A, 0)))/(INDEX(Pop_yearly_lookup!L:L, MATCH("United States", Pop_yearly_lookup!$A:$A, 0))/INDEX(Pop_yearly_lookup!$C:$C, MATCH("United States", Pop_yearly_lookup!$A:$A, 0)))</f>
        <v>0.91448995953754353</v>
      </c>
      <c r="M16" s="66">
        <f>'BCDTRtSY-frgt-US'!M5*(INDEX(Pop_yearly_lookup!M:M, MATCH(About!$B$1, Pop_yearly_lookup!$A:$A, 0))/INDEX(Pop_yearly_lookup!$C:$C, MATCH(About!$B$1, Pop_yearly_lookup!$A:$A, 0)))/(INDEX(Pop_yearly_lookup!M:M, MATCH("United States", Pop_yearly_lookup!$A:$A, 0))/INDEX(Pop_yearly_lookup!$C:$C, MATCH("United States", Pop_yearly_lookup!$A:$A, 0)))</f>
        <v>0.91241991092064623</v>
      </c>
      <c r="N16" s="66">
        <f>'BCDTRtSY-frgt-US'!N5*(INDEX(Pop_yearly_lookup!N:N, MATCH(About!$B$1, Pop_yearly_lookup!$A:$A, 0))/INDEX(Pop_yearly_lookup!$C:$C, MATCH(About!$B$1, Pop_yearly_lookup!$A:$A, 0)))/(INDEX(Pop_yearly_lookup!N:N, MATCH("United States", Pop_yearly_lookup!$A:$A, 0))/INDEX(Pop_yearly_lookup!$C:$C, MATCH("United States", Pop_yearly_lookup!$A:$A, 0)))</f>
        <v>0.90954043999971168</v>
      </c>
      <c r="O16" s="66">
        <f>'BCDTRtSY-frgt-US'!O5*(INDEX(Pop_yearly_lookup!O:O, MATCH(About!$B$1, Pop_yearly_lookup!$A:$A, 0))/INDEX(Pop_yearly_lookup!$C:$C, MATCH(About!$B$1, Pop_yearly_lookup!$A:$A, 0)))/(INDEX(Pop_yearly_lookup!O:O, MATCH("United States", Pop_yearly_lookup!$A:$A, 0))/INDEX(Pop_yearly_lookup!$C:$C, MATCH("United States", Pop_yearly_lookup!$A:$A, 0)))</f>
        <v>0.90795066754172438</v>
      </c>
      <c r="P16" s="66">
        <f>'BCDTRtSY-frgt-US'!P5*(INDEX(Pop_yearly_lookup!P:P, MATCH(About!$B$1, Pop_yearly_lookup!$A:$A, 0))/INDEX(Pop_yearly_lookup!$C:$C, MATCH(About!$B$1, Pop_yearly_lookup!$A:$A, 0)))/(INDEX(Pop_yearly_lookup!P:P, MATCH("United States", Pop_yearly_lookup!$A:$A, 0))/INDEX(Pop_yearly_lookup!$C:$C, MATCH("United States", Pop_yearly_lookup!$A:$A, 0)))</f>
        <v>0.90331175288999377</v>
      </c>
      <c r="Q16" s="66">
        <f>'BCDTRtSY-frgt-US'!Q5*(INDEX(Pop_yearly_lookup!Q:Q, MATCH(About!$B$1, Pop_yearly_lookup!$A:$A, 0))/INDEX(Pop_yearly_lookup!$C:$C, MATCH(About!$B$1, Pop_yearly_lookup!$A:$A, 0)))/(INDEX(Pop_yearly_lookup!Q:Q, MATCH("United States", Pop_yearly_lookup!$A:$A, 0))/INDEX(Pop_yearly_lookup!$C:$C, MATCH("United States", Pop_yearly_lookup!$A:$A, 0)))</f>
        <v>0.90014236687420868</v>
      </c>
      <c r="R16" s="66">
        <f>'BCDTRtSY-frgt-US'!R5*(INDEX(Pop_yearly_lookup!R:R, MATCH(About!$B$1, Pop_yearly_lookup!$A:$A, 0))/INDEX(Pop_yearly_lookup!$C:$C, MATCH(About!$B$1, Pop_yearly_lookup!$A:$A, 0)))/(INDEX(Pop_yearly_lookup!R:R, MATCH("United States", Pop_yearly_lookup!$A:$A, 0))/INDEX(Pop_yearly_lookup!$C:$C, MATCH("United States", Pop_yearly_lookup!$A:$A, 0)))</f>
        <v>0.89606822735126979</v>
      </c>
      <c r="S16" s="66">
        <f>'BCDTRtSY-frgt-US'!S5*(INDEX(Pop_yearly_lookup!S:S, MATCH(About!$B$1, Pop_yearly_lookup!$A:$A, 0))/INDEX(Pop_yearly_lookup!$C:$C, MATCH(About!$B$1, Pop_yearly_lookup!$A:$A, 0)))/(INDEX(Pop_yearly_lookup!S:S, MATCH("United States", Pop_yearly_lookup!$A:$A, 0))/INDEX(Pop_yearly_lookup!$C:$C, MATCH("United States", Pop_yearly_lookup!$A:$A, 0)))</f>
        <v>0.89016156190848295</v>
      </c>
      <c r="T16" s="66">
        <f>'BCDTRtSY-frgt-US'!T5*(INDEX(Pop_yearly_lookup!T:T, MATCH(About!$B$1, Pop_yearly_lookup!$A:$A, 0))/INDEX(Pop_yearly_lookup!$C:$C, MATCH(About!$B$1, Pop_yearly_lookup!$A:$A, 0)))/(INDEX(Pop_yearly_lookup!T:T, MATCH("United States", Pop_yearly_lookup!$A:$A, 0))/INDEX(Pop_yearly_lookup!$C:$C, MATCH("United States", Pop_yearly_lookup!$A:$A, 0)))</f>
        <v>0.88235159147397557</v>
      </c>
      <c r="U16" s="66">
        <f>'BCDTRtSY-frgt-US'!U5*(INDEX(Pop_yearly_lookup!U:U, MATCH(About!$B$1, Pop_yearly_lookup!$A:$A, 0))/INDEX(Pop_yearly_lookup!$C:$C, MATCH(About!$B$1, Pop_yearly_lookup!$A:$A, 0)))/(INDEX(Pop_yearly_lookup!U:U, MATCH("United States", Pop_yearly_lookup!$A:$A, 0))/INDEX(Pop_yearly_lookup!$C:$C, MATCH("United States", Pop_yearly_lookup!$A:$A, 0)))</f>
        <v>0.87516507682807265</v>
      </c>
      <c r="V16" s="66">
        <f>'BCDTRtSY-frgt-US'!V5*(INDEX(Pop_yearly_lookup!V:V, MATCH(About!$B$1, Pop_yearly_lookup!$A:$A, 0))/INDEX(Pop_yearly_lookup!$C:$C, MATCH(About!$B$1, Pop_yearly_lookup!$A:$A, 0)))/(INDEX(Pop_yearly_lookup!V:V, MATCH("United States", Pop_yearly_lookup!$A:$A, 0))/INDEX(Pop_yearly_lookup!$C:$C, MATCH("United States", Pop_yearly_lookup!$A:$A, 0)))</f>
        <v>0.87024377156044175</v>
      </c>
      <c r="W16" s="66">
        <f>'BCDTRtSY-frgt-US'!W5*(INDEX(Pop_yearly_lookup!W:W, MATCH(About!$B$1, Pop_yearly_lookup!$A:$A, 0))/INDEX(Pop_yearly_lookup!$C:$C, MATCH(About!$B$1, Pop_yearly_lookup!$A:$A, 0)))/(INDEX(Pop_yearly_lookup!W:W, MATCH("United States", Pop_yearly_lookup!$A:$A, 0))/INDEX(Pop_yearly_lookup!$C:$C, MATCH("United States", Pop_yearly_lookup!$A:$A, 0)))</f>
        <v>0.86480503793590435</v>
      </c>
      <c r="X16" s="66">
        <f>'BCDTRtSY-frgt-US'!X5*(INDEX(Pop_yearly_lookup!X:X, MATCH(About!$B$1, Pop_yearly_lookup!$A:$A, 0))/INDEX(Pop_yearly_lookup!$C:$C, MATCH(About!$B$1, Pop_yearly_lookup!$A:$A, 0)))/(INDEX(Pop_yearly_lookup!X:X, MATCH("United States", Pop_yearly_lookup!$A:$A, 0))/INDEX(Pop_yearly_lookup!$C:$C, MATCH("United States", Pop_yearly_lookup!$A:$A, 0)))</f>
        <v>0.86162970230441738</v>
      </c>
      <c r="Y16" s="66">
        <f>'BCDTRtSY-frgt-US'!Y5*(INDEX(Pop_yearly_lookup!Y:Y, MATCH(About!$B$1, Pop_yearly_lookup!$A:$A, 0))/INDEX(Pop_yearly_lookup!$C:$C, MATCH(About!$B$1, Pop_yearly_lookup!$A:$A, 0)))/(INDEX(Pop_yearly_lookup!Y:Y, MATCH("United States", Pop_yearly_lookup!$A:$A, 0))/INDEX(Pop_yearly_lookup!$C:$C, MATCH("United States", Pop_yearly_lookup!$A:$A, 0)))</f>
        <v>0.86170895542669945</v>
      </c>
      <c r="Z16" s="66">
        <f>'BCDTRtSY-frgt-US'!Z5*(INDEX(Pop_yearly_lookup!Z:Z, MATCH(About!$B$1, Pop_yearly_lookup!$A:$A, 0))/INDEX(Pop_yearly_lookup!$C:$C, MATCH(About!$B$1, Pop_yearly_lookup!$A:$A, 0)))/(INDEX(Pop_yearly_lookup!Z:Z, MATCH("United States", Pop_yearly_lookup!$A:$A, 0))/INDEX(Pop_yearly_lookup!$C:$C, MATCH("United States", Pop_yearly_lookup!$A:$A, 0)))</f>
        <v>0.85944413887851201</v>
      </c>
      <c r="AA16" s="66">
        <f>'BCDTRtSY-frgt-US'!AA5*(INDEX(Pop_yearly_lookup!AA:AA, MATCH(About!$B$1, Pop_yearly_lookup!$A:$A, 0))/INDEX(Pop_yearly_lookup!$C:$C, MATCH(About!$B$1, Pop_yearly_lookup!$A:$A, 0)))/(INDEX(Pop_yearly_lookup!AA:AA, MATCH("United States", Pop_yearly_lookup!$A:$A, 0))/INDEX(Pop_yearly_lookup!$C:$C, MATCH("United States", Pop_yearly_lookup!$A:$A, 0)))</f>
        <v>0.85203253105499321</v>
      </c>
      <c r="AB16" s="66">
        <f>'BCDTRtSY-frgt-US'!AB5*(INDEX(Pop_yearly_lookup!AB:AB, MATCH(About!$B$1, Pop_yearly_lookup!$A:$A, 0))/INDEX(Pop_yearly_lookup!$C:$C, MATCH(About!$B$1, Pop_yearly_lookup!$A:$A, 0)))/(INDEX(Pop_yearly_lookup!AB:AB, MATCH("United States", Pop_yearly_lookup!$A:$A, 0))/INDEX(Pop_yearly_lookup!$C:$C, MATCH("United States", Pop_yearly_lookup!$A:$A, 0)))</f>
        <v>0.84524517009535749</v>
      </c>
    </row>
    <row r="17" spans="1:28">
      <c r="A17" t="s">
        <v>122</v>
      </c>
      <c r="B17" s="66">
        <f>'BCDTRtSY-frgt-US'!B6</f>
        <v>1</v>
      </c>
      <c r="C17" s="66">
        <f>'BCDTRtSY-frgt-US'!C6*(INDEX(Pop_yearly_lookup!C:C, MATCH(About!$B$1, Pop_yearly_lookup!$A:$A, 0))/INDEX(Pop_yearly_lookup!$C:$C, MATCH(About!$B$1, Pop_yearly_lookup!$A:$A, 0)))/(INDEX(Pop_yearly_lookup!C:C, MATCH("United States", Pop_yearly_lookup!$A:$A, 0))/INDEX(Pop_yearly_lookup!$C:$C, MATCH("United States", Pop_yearly_lookup!$A:$A, 0)))</f>
        <v>1</v>
      </c>
      <c r="D17" s="66">
        <f>'BCDTRtSY-frgt-US'!D6*(INDEX(Pop_yearly_lookup!D:D, MATCH(About!$B$1, Pop_yearly_lookup!$A:$A, 0))/INDEX(Pop_yearly_lookup!$C:$C, MATCH(About!$B$1, Pop_yearly_lookup!$A:$A, 0)))/(INDEX(Pop_yearly_lookup!D:D, MATCH("United States", Pop_yearly_lookup!$A:$A, 0))/INDEX(Pop_yearly_lookup!$C:$C, MATCH("United States", Pop_yearly_lookup!$A:$A, 0)))</f>
        <v>0.98548312279899863</v>
      </c>
      <c r="E17" s="66">
        <f>'BCDTRtSY-frgt-US'!E6*(INDEX(Pop_yearly_lookup!E:E, MATCH(About!$B$1, Pop_yearly_lookup!$A:$A, 0))/INDEX(Pop_yearly_lookup!$C:$C, MATCH(About!$B$1, Pop_yearly_lookup!$A:$A, 0)))/(INDEX(Pop_yearly_lookup!E:E, MATCH("United States", Pop_yearly_lookup!$A:$A, 0))/INDEX(Pop_yearly_lookup!$C:$C, MATCH("United States", Pop_yearly_lookup!$A:$A, 0)))</f>
        <v>0.99775621211522292</v>
      </c>
      <c r="F17" s="66">
        <f>'BCDTRtSY-frgt-US'!F6*(INDEX(Pop_yearly_lookup!F:F, MATCH(About!$B$1, Pop_yearly_lookup!$A:$A, 0))/INDEX(Pop_yearly_lookup!$C:$C, MATCH(About!$B$1, Pop_yearly_lookup!$A:$A, 0)))/(INDEX(Pop_yearly_lookup!F:F, MATCH("United States", Pop_yearly_lookup!$A:$A, 0))/INDEX(Pop_yearly_lookup!$C:$C, MATCH("United States", Pop_yearly_lookup!$A:$A, 0)))</f>
        <v>1.0118071726466717</v>
      </c>
      <c r="G17" s="66">
        <f>'BCDTRtSY-frgt-US'!G6*(INDEX(Pop_yearly_lookup!G:G, MATCH(About!$B$1, Pop_yearly_lookup!$A:$A, 0))/INDEX(Pop_yearly_lookup!$C:$C, MATCH(About!$B$1, Pop_yearly_lookup!$A:$A, 0)))/(INDEX(Pop_yearly_lookup!G:G, MATCH("United States", Pop_yearly_lookup!$A:$A, 0))/INDEX(Pop_yearly_lookup!$C:$C, MATCH("United States", Pop_yearly_lookup!$A:$A, 0)))</f>
        <v>1.0223482467666483</v>
      </c>
      <c r="H17" s="66">
        <f>'BCDTRtSY-frgt-US'!H6*(INDEX(Pop_yearly_lookup!H:H, MATCH(About!$B$1, Pop_yearly_lookup!$A:$A, 0))/INDEX(Pop_yearly_lookup!$C:$C, MATCH(About!$B$1, Pop_yearly_lookup!$A:$A, 0)))/(INDEX(Pop_yearly_lookup!H:H, MATCH("United States", Pop_yearly_lookup!$A:$A, 0))/INDEX(Pop_yearly_lookup!$C:$C, MATCH("United States", Pop_yearly_lookup!$A:$A, 0)))</f>
        <v>1.0335983122041945</v>
      </c>
      <c r="I17" s="66">
        <f>'BCDTRtSY-frgt-US'!I6*(INDEX(Pop_yearly_lookup!I:I, MATCH(About!$B$1, Pop_yearly_lookup!$A:$A, 0))/INDEX(Pop_yearly_lookup!$C:$C, MATCH(About!$B$1, Pop_yearly_lookup!$A:$A, 0)))/(INDEX(Pop_yearly_lookup!I:I, MATCH("United States", Pop_yearly_lookup!$A:$A, 0))/INDEX(Pop_yearly_lookup!$C:$C, MATCH("United States", Pop_yearly_lookup!$A:$A, 0)))</f>
        <v>1.0445137213838032</v>
      </c>
      <c r="J17" s="66">
        <f>'BCDTRtSY-frgt-US'!J6*(INDEX(Pop_yearly_lookup!J:J, MATCH(About!$B$1, Pop_yearly_lookup!$A:$A, 0))/INDEX(Pop_yearly_lookup!$C:$C, MATCH(About!$B$1, Pop_yearly_lookup!$A:$A, 0)))/(INDEX(Pop_yearly_lookup!J:J, MATCH("United States", Pop_yearly_lookup!$A:$A, 0))/INDEX(Pop_yearly_lookup!$C:$C, MATCH("United States", Pop_yearly_lookup!$A:$A, 0)))</f>
        <v>1.0572466936992924</v>
      </c>
      <c r="K17" s="66">
        <f>'BCDTRtSY-frgt-US'!K6*(INDEX(Pop_yearly_lookup!K:K, MATCH(About!$B$1, Pop_yearly_lookup!$A:$A, 0))/INDEX(Pop_yearly_lookup!$C:$C, MATCH(About!$B$1, Pop_yearly_lookup!$A:$A, 0)))/(INDEX(Pop_yearly_lookup!K:K, MATCH("United States", Pop_yearly_lookup!$A:$A, 0))/INDEX(Pop_yearly_lookup!$C:$C, MATCH("United States", Pop_yearly_lookup!$A:$A, 0)))</f>
        <v>1.0700940242642858</v>
      </c>
      <c r="L17" s="66">
        <f>'BCDTRtSY-frgt-US'!L6*(INDEX(Pop_yearly_lookup!L:L, MATCH(About!$B$1, Pop_yearly_lookup!$A:$A, 0))/INDEX(Pop_yearly_lookup!$C:$C, MATCH(About!$B$1, Pop_yearly_lookup!$A:$A, 0)))/(INDEX(Pop_yearly_lookup!L:L, MATCH("United States", Pop_yearly_lookup!$A:$A, 0))/INDEX(Pop_yearly_lookup!$C:$C, MATCH("United States", Pop_yearly_lookup!$A:$A, 0)))</f>
        <v>1.0834570236436287</v>
      </c>
      <c r="M17" s="66">
        <f>'BCDTRtSY-frgt-US'!M6*(INDEX(Pop_yearly_lookup!M:M, MATCH(About!$B$1, Pop_yearly_lookup!$A:$A, 0))/INDEX(Pop_yearly_lookup!$C:$C, MATCH(About!$B$1, Pop_yearly_lookup!$A:$A, 0)))/(INDEX(Pop_yearly_lookup!M:M, MATCH("United States", Pop_yearly_lookup!$A:$A, 0))/INDEX(Pop_yearly_lookup!$C:$C, MATCH("United States", Pop_yearly_lookup!$A:$A, 0)))</f>
        <v>1.097599459198684</v>
      </c>
      <c r="N17" s="66">
        <f>'BCDTRtSY-frgt-US'!N6*(INDEX(Pop_yearly_lookup!N:N, MATCH(About!$B$1, Pop_yearly_lookup!$A:$A, 0))/INDEX(Pop_yearly_lookup!$C:$C, MATCH(About!$B$1, Pop_yearly_lookup!$A:$A, 0)))/(INDEX(Pop_yearly_lookup!N:N, MATCH("United States", Pop_yearly_lookup!$A:$A, 0))/INDEX(Pop_yearly_lookup!$C:$C, MATCH("United States", Pop_yearly_lookup!$A:$A, 0)))</f>
        <v>1.1077861849277117</v>
      </c>
      <c r="O17" s="66">
        <f>'BCDTRtSY-frgt-US'!O6*(INDEX(Pop_yearly_lookup!O:O, MATCH(About!$B$1, Pop_yearly_lookup!$A:$A, 0))/INDEX(Pop_yearly_lookup!$C:$C, MATCH(About!$B$1, Pop_yearly_lookup!$A:$A, 0)))/(INDEX(Pop_yearly_lookup!O:O, MATCH("United States", Pop_yearly_lookup!$A:$A, 0))/INDEX(Pop_yearly_lookup!$C:$C, MATCH("United States", Pop_yearly_lookup!$A:$A, 0)))</f>
        <v>1.1147005463419142</v>
      </c>
      <c r="P17" s="66">
        <f>'BCDTRtSY-frgt-US'!P6*(INDEX(Pop_yearly_lookup!P:P, MATCH(About!$B$1, Pop_yearly_lookup!$A:$A, 0))/INDEX(Pop_yearly_lookup!$C:$C, MATCH(About!$B$1, Pop_yearly_lookup!$A:$A, 0)))/(INDEX(Pop_yearly_lookup!P:P, MATCH("United States", Pop_yearly_lookup!$A:$A, 0))/INDEX(Pop_yearly_lookup!$C:$C, MATCH("United States", Pop_yearly_lookup!$A:$A, 0)))</f>
        <v>1.1214975066765716</v>
      </c>
      <c r="Q17" s="66">
        <f>'BCDTRtSY-frgt-US'!Q6*(INDEX(Pop_yearly_lookup!Q:Q, MATCH(About!$B$1, Pop_yearly_lookup!$A:$A, 0))/INDEX(Pop_yearly_lookup!$C:$C, MATCH(About!$B$1, Pop_yearly_lookup!$A:$A, 0)))/(INDEX(Pop_yearly_lookup!Q:Q, MATCH("United States", Pop_yearly_lookup!$A:$A, 0))/INDEX(Pop_yearly_lookup!$C:$C, MATCH("United States", Pop_yearly_lookup!$A:$A, 0)))</f>
        <v>1.127090520696612</v>
      </c>
      <c r="R17" s="66">
        <f>'BCDTRtSY-frgt-US'!R6*(INDEX(Pop_yearly_lookup!R:R, MATCH(About!$B$1, Pop_yearly_lookup!$A:$A, 0))/INDEX(Pop_yearly_lookup!$C:$C, MATCH(About!$B$1, Pop_yearly_lookup!$A:$A, 0)))/(INDEX(Pop_yearly_lookup!R:R, MATCH("United States", Pop_yearly_lookup!$A:$A, 0))/INDEX(Pop_yearly_lookup!$C:$C, MATCH("United States", Pop_yearly_lookup!$A:$A, 0)))</f>
        <v>1.1326628705687185</v>
      </c>
      <c r="S17" s="66">
        <f>'BCDTRtSY-frgt-US'!S6*(INDEX(Pop_yearly_lookup!S:S, MATCH(About!$B$1, Pop_yearly_lookup!$A:$A, 0))/INDEX(Pop_yearly_lookup!$C:$C, MATCH(About!$B$1, Pop_yearly_lookup!$A:$A, 0)))/(INDEX(Pop_yearly_lookup!S:S, MATCH("United States", Pop_yearly_lookup!$A:$A, 0))/INDEX(Pop_yearly_lookup!$C:$C, MATCH("United States", Pop_yearly_lookup!$A:$A, 0)))</f>
        <v>1.137579242877728</v>
      </c>
      <c r="T17" s="66">
        <f>'BCDTRtSY-frgt-US'!T6*(INDEX(Pop_yearly_lookup!T:T, MATCH(About!$B$1, Pop_yearly_lookup!$A:$A, 0))/INDEX(Pop_yearly_lookup!$C:$C, MATCH(About!$B$1, Pop_yearly_lookup!$A:$A, 0)))/(INDEX(Pop_yearly_lookup!T:T, MATCH("United States", Pop_yearly_lookup!$A:$A, 0))/INDEX(Pop_yearly_lookup!$C:$C, MATCH("United States", Pop_yearly_lookup!$A:$A, 0)))</f>
        <v>1.1433647611432711</v>
      </c>
      <c r="U17" s="66">
        <f>'BCDTRtSY-frgt-US'!U6*(INDEX(Pop_yearly_lookup!U:U, MATCH(About!$B$1, Pop_yearly_lookup!$A:$A, 0))/INDEX(Pop_yearly_lookup!$C:$C, MATCH(About!$B$1, Pop_yearly_lookup!$A:$A, 0)))/(INDEX(Pop_yearly_lookup!U:U, MATCH("United States", Pop_yearly_lookup!$A:$A, 0))/INDEX(Pop_yearly_lookup!$C:$C, MATCH("United States", Pop_yearly_lookup!$A:$A, 0)))</f>
        <v>1.148653929216608</v>
      </c>
      <c r="V17" s="66">
        <f>'BCDTRtSY-frgt-US'!V6*(INDEX(Pop_yearly_lookup!V:V, MATCH(About!$B$1, Pop_yearly_lookup!$A:$A, 0))/INDEX(Pop_yearly_lookup!$C:$C, MATCH(About!$B$1, Pop_yearly_lookup!$A:$A, 0)))/(INDEX(Pop_yearly_lookup!V:V, MATCH("United States", Pop_yearly_lookup!$A:$A, 0))/INDEX(Pop_yearly_lookup!$C:$C, MATCH("United States", Pop_yearly_lookup!$A:$A, 0)))</f>
        <v>1.153699282233225</v>
      </c>
      <c r="W17" s="66">
        <f>'BCDTRtSY-frgt-US'!W6*(INDEX(Pop_yearly_lookup!W:W, MATCH(About!$B$1, Pop_yearly_lookup!$A:$A, 0))/INDEX(Pop_yearly_lookup!$C:$C, MATCH(About!$B$1, Pop_yearly_lookup!$A:$A, 0)))/(INDEX(Pop_yearly_lookup!W:W, MATCH("United States", Pop_yearly_lookup!$A:$A, 0))/INDEX(Pop_yearly_lookup!$C:$C, MATCH("United States", Pop_yearly_lookup!$A:$A, 0)))</f>
        <v>1.159854183450812</v>
      </c>
      <c r="X17" s="66">
        <f>'BCDTRtSY-frgt-US'!X6*(INDEX(Pop_yearly_lookup!X:X, MATCH(About!$B$1, Pop_yearly_lookup!$A:$A, 0))/INDEX(Pop_yearly_lookup!$C:$C, MATCH(About!$B$1, Pop_yearly_lookup!$A:$A, 0)))/(INDEX(Pop_yearly_lookup!X:X, MATCH("United States", Pop_yearly_lookup!$A:$A, 0))/INDEX(Pop_yearly_lookup!$C:$C, MATCH("United States", Pop_yearly_lookup!$A:$A, 0)))</f>
        <v>1.1660291667485887</v>
      </c>
      <c r="Y17" s="66">
        <f>'BCDTRtSY-frgt-US'!Y6*(INDEX(Pop_yearly_lookup!Y:Y, MATCH(About!$B$1, Pop_yearly_lookup!$A:$A, 0))/INDEX(Pop_yearly_lookup!$C:$C, MATCH(About!$B$1, Pop_yearly_lookup!$A:$A, 0)))/(INDEX(Pop_yearly_lookup!Y:Y, MATCH("United States", Pop_yearly_lookup!$A:$A, 0))/INDEX(Pop_yearly_lookup!$C:$C, MATCH("United States", Pop_yearly_lookup!$A:$A, 0)))</f>
        <v>1.1722537891141063</v>
      </c>
      <c r="Z17" s="66">
        <f>'BCDTRtSY-frgt-US'!Z6*(INDEX(Pop_yearly_lookup!Z:Z, MATCH(About!$B$1, Pop_yearly_lookup!$A:$A, 0))/INDEX(Pop_yearly_lookup!$C:$C, MATCH(About!$B$1, Pop_yearly_lookup!$A:$A, 0)))/(INDEX(Pop_yearly_lookup!Z:Z, MATCH("United States", Pop_yearly_lookup!$A:$A, 0))/INDEX(Pop_yearly_lookup!$C:$C, MATCH("United States", Pop_yearly_lookup!$A:$A, 0)))</f>
        <v>1.177674405926185</v>
      </c>
      <c r="AA17" s="66">
        <f>'BCDTRtSY-frgt-US'!AA6*(INDEX(Pop_yearly_lookup!AA:AA, MATCH(About!$B$1, Pop_yearly_lookup!$A:$A, 0))/INDEX(Pop_yearly_lookup!$C:$C, MATCH(About!$B$1, Pop_yearly_lookup!$A:$A, 0)))/(INDEX(Pop_yearly_lookup!AA:AA, MATCH("United States", Pop_yearly_lookup!$A:$A, 0))/INDEX(Pop_yearly_lookup!$C:$C, MATCH("United States", Pop_yearly_lookup!$A:$A, 0)))</f>
        <v>1.1827093027415456</v>
      </c>
      <c r="AB17" s="66">
        <f>'BCDTRtSY-frgt-US'!AB6*(INDEX(Pop_yearly_lookup!AB:AB, MATCH(About!$B$1, Pop_yearly_lookup!$A:$A, 0))/INDEX(Pop_yearly_lookup!$C:$C, MATCH(About!$B$1, Pop_yearly_lookup!$A:$A, 0)))/(INDEX(Pop_yearly_lookup!AB:AB, MATCH("United States", Pop_yearly_lookup!$A:$A, 0))/INDEX(Pop_yearly_lookup!$C:$C, MATCH("United States", Pop_yearly_lookup!$A:$A, 0)))</f>
        <v>1.1888943604457392</v>
      </c>
    </row>
    <row r="18" spans="1:28">
      <c r="A18" t="s">
        <v>123</v>
      </c>
      <c r="B18" s="66">
        <f>'BCDTRtSY-frgt-US'!B7</f>
        <v>0</v>
      </c>
      <c r="C18" s="66">
        <f>'BCDTRtSY-frgt-US'!C7*(INDEX(Pop_yearly_lookup!C:C, MATCH(About!$B$1, Pop_yearly_lookup!$A:$A, 0))/INDEX(Pop_yearly_lookup!$C:$C, MATCH(About!$B$1, Pop_yearly_lookup!$A:$A, 0)))/(INDEX(Pop_yearly_lookup!C:C, MATCH("United States", Pop_yearly_lookup!$A:$A, 0))/INDEX(Pop_yearly_lookup!$C:$C, MATCH("United States", Pop_yearly_lookup!$A:$A, 0)))</f>
        <v>0</v>
      </c>
      <c r="D18" s="66">
        <f>'BCDTRtSY-frgt-US'!D7*(INDEX(Pop_yearly_lookup!D:D, MATCH(About!$B$1, Pop_yearly_lookup!$A:$A, 0))/INDEX(Pop_yearly_lookup!$C:$C, MATCH(About!$B$1, Pop_yearly_lookup!$A:$A, 0)))/(INDEX(Pop_yearly_lookup!D:D, MATCH("United States", Pop_yearly_lookup!$A:$A, 0))/INDEX(Pop_yearly_lookup!$C:$C, MATCH("United States", Pop_yearly_lookup!$A:$A, 0)))</f>
        <v>0</v>
      </c>
      <c r="E18" s="66">
        <f>'BCDTRtSY-frgt-US'!E7*(INDEX(Pop_yearly_lookup!E:E, MATCH(About!$B$1, Pop_yearly_lookup!$A:$A, 0))/INDEX(Pop_yearly_lookup!$C:$C, MATCH(About!$B$1, Pop_yearly_lookup!$A:$A, 0)))/(INDEX(Pop_yearly_lookup!E:E, MATCH("United States", Pop_yearly_lookup!$A:$A, 0))/INDEX(Pop_yearly_lookup!$C:$C, MATCH("United States", Pop_yearly_lookup!$A:$A, 0)))</f>
        <v>0</v>
      </c>
      <c r="F18" s="66">
        <f>'BCDTRtSY-frgt-US'!F7*(INDEX(Pop_yearly_lookup!F:F, MATCH(About!$B$1, Pop_yearly_lookup!$A:$A, 0))/INDEX(Pop_yearly_lookup!$C:$C, MATCH(About!$B$1, Pop_yearly_lookup!$A:$A, 0)))/(INDEX(Pop_yearly_lookup!F:F, MATCH("United States", Pop_yearly_lookup!$A:$A, 0))/INDEX(Pop_yearly_lookup!$C:$C, MATCH("United States", Pop_yearly_lookup!$A:$A, 0)))</f>
        <v>0</v>
      </c>
      <c r="G18" s="66">
        <f>'BCDTRtSY-frgt-US'!G7*(INDEX(Pop_yearly_lookup!G:G, MATCH(About!$B$1, Pop_yearly_lookup!$A:$A, 0))/INDEX(Pop_yearly_lookup!$C:$C, MATCH(About!$B$1, Pop_yearly_lookup!$A:$A, 0)))/(INDEX(Pop_yearly_lookup!G:G, MATCH("United States", Pop_yearly_lookup!$A:$A, 0))/INDEX(Pop_yearly_lookup!$C:$C, MATCH("United States", Pop_yearly_lookup!$A:$A, 0)))</f>
        <v>0</v>
      </c>
      <c r="H18" s="66">
        <f>'BCDTRtSY-frgt-US'!H7*(INDEX(Pop_yearly_lookup!H:H, MATCH(About!$B$1, Pop_yearly_lookup!$A:$A, 0))/INDEX(Pop_yearly_lookup!$C:$C, MATCH(About!$B$1, Pop_yearly_lookup!$A:$A, 0)))/(INDEX(Pop_yearly_lookup!H:H, MATCH("United States", Pop_yearly_lookup!$A:$A, 0))/INDEX(Pop_yearly_lookup!$C:$C, MATCH("United States", Pop_yearly_lookup!$A:$A, 0)))</f>
        <v>0</v>
      </c>
      <c r="I18" s="66">
        <f>'BCDTRtSY-frgt-US'!I7*(INDEX(Pop_yearly_lookup!I:I, MATCH(About!$B$1, Pop_yearly_lookup!$A:$A, 0))/INDEX(Pop_yearly_lookup!$C:$C, MATCH(About!$B$1, Pop_yearly_lookup!$A:$A, 0)))/(INDEX(Pop_yearly_lookup!I:I, MATCH("United States", Pop_yearly_lookup!$A:$A, 0))/INDEX(Pop_yearly_lookup!$C:$C, MATCH("United States", Pop_yearly_lookup!$A:$A, 0)))</f>
        <v>0</v>
      </c>
      <c r="J18" s="66">
        <f>'BCDTRtSY-frgt-US'!J7*(INDEX(Pop_yearly_lookup!J:J, MATCH(About!$B$1, Pop_yearly_lookup!$A:$A, 0))/INDEX(Pop_yearly_lookup!$C:$C, MATCH(About!$B$1, Pop_yearly_lookup!$A:$A, 0)))/(INDEX(Pop_yearly_lookup!J:J, MATCH("United States", Pop_yearly_lookup!$A:$A, 0))/INDEX(Pop_yearly_lookup!$C:$C, MATCH("United States", Pop_yearly_lookup!$A:$A, 0)))</f>
        <v>0</v>
      </c>
      <c r="K18" s="66">
        <f>'BCDTRtSY-frgt-US'!K7*(INDEX(Pop_yearly_lookup!K:K, MATCH(About!$B$1, Pop_yearly_lookup!$A:$A, 0))/INDEX(Pop_yearly_lookup!$C:$C, MATCH(About!$B$1, Pop_yearly_lookup!$A:$A, 0)))/(INDEX(Pop_yearly_lookup!K:K, MATCH("United States", Pop_yearly_lookup!$A:$A, 0))/INDEX(Pop_yearly_lookup!$C:$C, MATCH("United States", Pop_yearly_lookup!$A:$A, 0)))</f>
        <v>0</v>
      </c>
      <c r="L18" s="66">
        <f>'BCDTRtSY-frgt-US'!L7*(INDEX(Pop_yearly_lookup!L:L, MATCH(About!$B$1, Pop_yearly_lookup!$A:$A, 0))/INDEX(Pop_yearly_lookup!$C:$C, MATCH(About!$B$1, Pop_yearly_lookup!$A:$A, 0)))/(INDEX(Pop_yearly_lookup!L:L, MATCH("United States", Pop_yearly_lookup!$A:$A, 0))/INDEX(Pop_yearly_lookup!$C:$C, MATCH("United States", Pop_yearly_lookup!$A:$A, 0)))</f>
        <v>0</v>
      </c>
      <c r="M18" s="66">
        <f>'BCDTRtSY-frgt-US'!M7*(INDEX(Pop_yearly_lookup!M:M, MATCH(About!$B$1, Pop_yearly_lookup!$A:$A, 0))/INDEX(Pop_yearly_lookup!$C:$C, MATCH(About!$B$1, Pop_yearly_lookup!$A:$A, 0)))/(INDEX(Pop_yearly_lookup!M:M, MATCH("United States", Pop_yearly_lookup!$A:$A, 0))/INDEX(Pop_yearly_lookup!$C:$C, MATCH("United States", Pop_yearly_lookup!$A:$A, 0)))</f>
        <v>0</v>
      </c>
      <c r="N18" s="66">
        <f>'BCDTRtSY-frgt-US'!N7*(INDEX(Pop_yearly_lookup!N:N, MATCH(About!$B$1, Pop_yearly_lookup!$A:$A, 0))/INDEX(Pop_yearly_lookup!$C:$C, MATCH(About!$B$1, Pop_yearly_lookup!$A:$A, 0)))/(INDEX(Pop_yearly_lookup!N:N, MATCH("United States", Pop_yearly_lookup!$A:$A, 0))/INDEX(Pop_yearly_lookup!$C:$C, MATCH("United States", Pop_yearly_lookup!$A:$A, 0)))</f>
        <v>0</v>
      </c>
      <c r="O18" s="66">
        <f>'BCDTRtSY-frgt-US'!O7*(INDEX(Pop_yearly_lookup!O:O, MATCH(About!$B$1, Pop_yearly_lookup!$A:$A, 0))/INDEX(Pop_yearly_lookup!$C:$C, MATCH(About!$B$1, Pop_yearly_lookup!$A:$A, 0)))/(INDEX(Pop_yearly_lookup!O:O, MATCH("United States", Pop_yearly_lookup!$A:$A, 0))/INDEX(Pop_yearly_lookup!$C:$C, MATCH("United States", Pop_yearly_lookup!$A:$A, 0)))</f>
        <v>0</v>
      </c>
      <c r="P18" s="66">
        <f>'BCDTRtSY-frgt-US'!P7*(INDEX(Pop_yearly_lookup!P:P, MATCH(About!$B$1, Pop_yearly_lookup!$A:$A, 0))/INDEX(Pop_yearly_lookup!$C:$C, MATCH(About!$B$1, Pop_yearly_lookup!$A:$A, 0)))/(INDEX(Pop_yearly_lookup!P:P, MATCH("United States", Pop_yearly_lookup!$A:$A, 0))/INDEX(Pop_yearly_lookup!$C:$C, MATCH("United States", Pop_yearly_lookup!$A:$A, 0)))</f>
        <v>0</v>
      </c>
      <c r="Q18" s="66">
        <f>'BCDTRtSY-frgt-US'!Q7*(INDEX(Pop_yearly_lookup!Q:Q, MATCH(About!$B$1, Pop_yearly_lookup!$A:$A, 0))/INDEX(Pop_yearly_lookup!$C:$C, MATCH(About!$B$1, Pop_yearly_lookup!$A:$A, 0)))/(INDEX(Pop_yearly_lookup!Q:Q, MATCH("United States", Pop_yearly_lookup!$A:$A, 0))/INDEX(Pop_yearly_lookup!$C:$C, MATCH("United States", Pop_yearly_lookup!$A:$A, 0)))</f>
        <v>0</v>
      </c>
      <c r="R18" s="66">
        <f>'BCDTRtSY-frgt-US'!R7*(INDEX(Pop_yearly_lookup!R:R, MATCH(About!$B$1, Pop_yearly_lookup!$A:$A, 0))/INDEX(Pop_yearly_lookup!$C:$C, MATCH(About!$B$1, Pop_yearly_lookup!$A:$A, 0)))/(INDEX(Pop_yearly_lookup!R:R, MATCH("United States", Pop_yearly_lookup!$A:$A, 0))/INDEX(Pop_yearly_lookup!$C:$C, MATCH("United States", Pop_yearly_lookup!$A:$A, 0)))</f>
        <v>0</v>
      </c>
      <c r="S18" s="66">
        <f>'BCDTRtSY-frgt-US'!S7*(INDEX(Pop_yearly_lookup!S:S, MATCH(About!$B$1, Pop_yearly_lookup!$A:$A, 0))/INDEX(Pop_yearly_lookup!$C:$C, MATCH(About!$B$1, Pop_yearly_lookup!$A:$A, 0)))/(INDEX(Pop_yearly_lookup!S:S, MATCH("United States", Pop_yearly_lookup!$A:$A, 0))/INDEX(Pop_yearly_lookup!$C:$C, MATCH("United States", Pop_yearly_lookup!$A:$A, 0)))</f>
        <v>0</v>
      </c>
      <c r="T18" s="66">
        <f>'BCDTRtSY-frgt-US'!T7*(INDEX(Pop_yearly_lookup!T:T, MATCH(About!$B$1, Pop_yearly_lookup!$A:$A, 0))/INDEX(Pop_yearly_lookup!$C:$C, MATCH(About!$B$1, Pop_yearly_lookup!$A:$A, 0)))/(INDEX(Pop_yearly_lookup!T:T, MATCH("United States", Pop_yearly_lookup!$A:$A, 0))/INDEX(Pop_yearly_lookup!$C:$C, MATCH("United States", Pop_yearly_lookup!$A:$A, 0)))</f>
        <v>0</v>
      </c>
      <c r="U18" s="66">
        <f>'BCDTRtSY-frgt-US'!U7*(INDEX(Pop_yearly_lookup!U:U, MATCH(About!$B$1, Pop_yearly_lookup!$A:$A, 0))/INDEX(Pop_yearly_lookup!$C:$C, MATCH(About!$B$1, Pop_yearly_lookup!$A:$A, 0)))/(INDEX(Pop_yearly_lookup!U:U, MATCH("United States", Pop_yearly_lookup!$A:$A, 0))/INDEX(Pop_yearly_lookup!$C:$C, MATCH("United States", Pop_yearly_lookup!$A:$A, 0)))</f>
        <v>0</v>
      </c>
      <c r="V18" s="66">
        <f>'BCDTRtSY-frgt-US'!V7*(INDEX(Pop_yearly_lookup!V:V, MATCH(About!$B$1, Pop_yearly_lookup!$A:$A, 0))/INDEX(Pop_yearly_lookup!$C:$C, MATCH(About!$B$1, Pop_yearly_lookup!$A:$A, 0)))/(INDEX(Pop_yearly_lookup!V:V, MATCH("United States", Pop_yearly_lookup!$A:$A, 0))/INDEX(Pop_yearly_lookup!$C:$C, MATCH("United States", Pop_yearly_lookup!$A:$A, 0)))</f>
        <v>0</v>
      </c>
      <c r="W18" s="66">
        <f>'BCDTRtSY-frgt-US'!W7*(INDEX(Pop_yearly_lookup!W:W, MATCH(About!$B$1, Pop_yearly_lookup!$A:$A, 0))/INDEX(Pop_yearly_lookup!$C:$C, MATCH(About!$B$1, Pop_yearly_lookup!$A:$A, 0)))/(INDEX(Pop_yearly_lookup!W:W, MATCH("United States", Pop_yearly_lookup!$A:$A, 0))/INDEX(Pop_yearly_lookup!$C:$C, MATCH("United States", Pop_yearly_lookup!$A:$A, 0)))</f>
        <v>0</v>
      </c>
      <c r="X18" s="66">
        <f>'BCDTRtSY-frgt-US'!X7*(INDEX(Pop_yearly_lookup!X:X, MATCH(About!$B$1, Pop_yearly_lookup!$A:$A, 0))/INDEX(Pop_yearly_lookup!$C:$C, MATCH(About!$B$1, Pop_yearly_lookup!$A:$A, 0)))/(INDEX(Pop_yearly_lookup!X:X, MATCH("United States", Pop_yearly_lookup!$A:$A, 0))/INDEX(Pop_yearly_lookup!$C:$C, MATCH("United States", Pop_yearly_lookup!$A:$A, 0)))</f>
        <v>0</v>
      </c>
      <c r="Y18" s="66">
        <f>'BCDTRtSY-frgt-US'!Y7*(INDEX(Pop_yearly_lookup!Y:Y, MATCH(About!$B$1, Pop_yearly_lookup!$A:$A, 0))/INDEX(Pop_yearly_lookup!$C:$C, MATCH(About!$B$1, Pop_yearly_lookup!$A:$A, 0)))/(INDEX(Pop_yearly_lookup!Y:Y, MATCH("United States", Pop_yearly_lookup!$A:$A, 0))/INDEX(Pop_yearly_lookup!$C:$C, MATCH("United States", Pop_yearly_lookup!$A:$A, 0)))</f>
        <v>0</v>
      </c>
      <c r="Z18" s="66">
        <f>'BCDTRtSY-frgt-US'!Z7*(INDEX(Pop_yearly_lookup!Z:Z, MATCH(About!$B$1, Pop_yearly_lookup!$A:$A, 0))/INDEX(Pop_yearly_lookup!$C:$C, MATCH(About!$B$1, Pop_yearly_lookup!$A:$A, 0)))/(INDEX(Pop_yearly_lookup!Z:Z, MATCH("United States", Pop_yearly_lookup!$A:$A, 0))/INDEX(Pop_yearly_lookup!$C:$C, MATCH("United States", Pop_yearly_lookup!$A:$A, 0)))</f>
        <v>0</v>
      </c>
      <c r="AA18" s="66">
        <f>'BCDTRtSY-frgt-US'!AA7*(INDEX(Pop_yearly_lookup!AA:AA, MATCH(About!$B$1, Pop_yearly_lookup!$A:$A, 0))/INDEX(Pop_yearly_lookup!$C:$C, MATCH(About!$B$1, Pop_yearly_lookup!$A:$A, 0)))/(INDEX(Pop_yearly_lookup!AA:AA, MATCH("United States", Pop_yearly_lookup!$A:$A, 0))/INDEX(Pop_yearly_lookup!$C:$C, MATCH("United States", Pop_yearly_lookup!$A:$A, 0)))</f>
        <v>0</v>
      </c>
      <c r="AB18" s="66">
        <f>'BCDTRtSY-frgt-US'!AB7*(INDEX(Pop_yearly_lookup!AB:AB, MATCH(About!$B$1, Pop_yearly_lookup!$A:$A, 0))/INDEX(Pop_yearly_lookup!$C:$C, MATCH(About!$B$1, Pop_yearly_lookup!$A:$A, 0)))/(INDEX(Pop_yearly_lookup!AB:AB, MATCH("United States", Pop_yearly_lookup!$A:$A, 0))/INDEX(Pop_yearly_lookup!$C:$C, MATCH("United States", Pop_yearly_lookup!$A:$A, 0)))</f>
        <v>0</v>
      </c>
    </row>
    <row r="20" spans="1:28">
      <c r="A20" s="15" t="s">
        <v>3035</v>
      </c>
    </row>
    <row r="21" spans="1:28">
      <c r="A21" s="15" t="s">
        <v>2958</v>
      </c>
    </row>
    <row r="22" spans="1:28">
      <c r="A22" t="s">
        <v>3036</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C70E1-699A-4BFC-B803-6E6E884832E2}">
  <sheetPr>
    <tabColor theme="3"/>
  </sheetPr>
  <dimension ref="A1:AB7"/>
  <sheetViews>
    <sheetView workbookViewId="0">
      <selection activeCell="A2" sqref="A2"/>
    </sheetView>
  </sheetViews>
  <sheetFormatPr defaultRowHeight="14.25"/>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'BCDTRtSY-state-adjusted'!B5</f>
        <v>1</v>
      </c>
      <c r="C2">
        <f>'BCDTRtSY-state-adjusted'!C5</f>
        <v>1</v>
      </c>
      <c r="D2">
        <f>'BCDTRtSY-state-adjusted'!D5</f>
        <v>0.99940056719860015</v>
      </c>
      <c r="E2">
        <f>'BCDTRtSY-state-adjusted'!E5</f>
        <v>1.0001787843287111</v>
      </c>
      <c r="F2">
        <f>'BCDTRtSY-state-adjusted'!F5</f>
        <v>0.99788902111693367</v>
      </c>
      <c r="G2">
        <f>'BCDTRtSY-state-adjusted'!G5</f>
        <v>0.99519394701403596</v>
      </c>
      <c r="H2">
        <f>'BCDTRtSY-state-adjusted'!H5</f>
        <v>0.99177903195976458</v>
      </c>
      <c r="I2">
        <f>'BCDTRtSY-state-adjusted'!I5</f>
        <v>0.989009393315751</v>
      </c>
      <c r="J2">
        <f>'BCDTRtSY-state-adjusted'!J5</f>
        <v>0.98639700582891976</v>
      </c>
      <c r="K2">
        <f>'BCDTRtSY-state-adjusted'!K5</f>
        <v>0.98245453101922187</v>
      </c>
      <c r="L2">
        <f>'BCDTRtSY-state-adjusted'!L5</f>
        <v>0.97909208144967064</v>
      </c>
      <c r="M2">
        <f>'BCDTRtSY-state-adjusted'!M5</f>
        <v>0.97493769692965282</v>
      </c>
      <c r="N2">
        <f>'BCDTRtSY-state-adjusted'!N5</f>
        <v>0.97145187103262098</v>
      </c>
      <c r="O2">
        <f>'BCDTRtSY-state-adjusted'!O5</f>
        <v>0.96837707896938219</v>
      </c>
      <c r="P2">
        <f>'BCDTRtSY-state-adjusted'!P5</f>
        <v>0.96535738644631952</v>
      </c>
      <c r="Q2">
        <f>'BCDTRtSY-state-adjusted'!Q5</f>
        <v>0.96178483629745415</v>
      </c>
      <c r="R2">
        <f>'BCDTRtSY-state-adjusted'!R5</f>
        <v>0.95840506725273211</v>
      </c>
      <c r="S2">
        <f>'BCDTRtSY-state-adjusted'!S5</f>
        <v>0.95408599393395699</v>
      </c>
      <c r="T2">
        <f>'BCDTRtSY-state-adjusted'!T5</f>
        <v>0.94965956371731663</v>
      </c>
      <c r="U2">
        <f>'BCDTRtSY-state-adjusted'!U5</f>
        <v>0.94493378123445482</v>
      </c>
      <c r="V2">
        <f>'BCDTRtSY-state-adjusted'!V5</f>
        <v>0.94042053743682197</v>
      </c>
      <c r="W2">
        <f>'BCDTRtSY-state-adjusted'!W5</f>
        <v>0.93571739714023872</v>
      </c>
      <c r="X2">
        <f>'BCDTRtSY-state-adjusted'!X5</f>
        <v>0.93078525509728494</v>
      </c>
      <c r="Y2">
        <f>'BCDTRtSY-state-adjusted'!Y5</f>
        <v>0.92516931358250154</v>
      </c>
      <c r="Z2">
        <f>'BCDTRtSY-state-adjusted'!Z5</f>
        <v>0.919683626265278</v>
      </c>
      <c r="AA2">
        <f>'BCDTRtSY-state-adjusted'!AA5</f>
        <v>0.91401264674698512</v>
      </c>
      <c r="AB2">
        <f>'BCDTRtSY-state-adjusted'!AB5</f>
        <v>0.90870592477446699</v>
      </c>
    </row>
    <row r="3" spans="1:28">
      <c r="A3" t="s">
        <v>118</v>
      </c>
      <c r="B3">
        <f>'BCDTRtSY-state-adjusted'!B6</f>
        <v>1</v>
      </c>
      <c r="C3">
        <f>'BCDTRtSY-state-adjusted'!C6</f>
        <v>1</v>
      </c>
      <c r="D3">
        <f>'BCDTRtSY-state-adjusted'!D6</f>
        <v>1.0111304115017705</v>
      </c>
      <c r="E3">
        <f>'BCDTRtSY-state-adjusted'!E6</f>
        <v>1.0163538384412143</v>
      </c>
      <c r="F3">
        <f>'BCDTRtSY-state-adjusted'!F6</f>
        <v>1.0180707388244381</v>
      </c>
      <c r="G3">
        <f>'BCDTRtSY-state-adjusted'!G6</f>
        <v>1.0185424625049975</v>
      </c>
      <c r="H3">
        <f>'BCDTRtSY-state-adjusted'!H6</f>
        <v>1.0176065288876934</v>
      </c>
      <c r="I3">
        <f>'BCDTRtSY-state-adjusted'!I6</f>
        <v>1.0163050039671671</v>
      </c>
      <c r="J3">
        <f>'BCDTRtSY-state-adjusted'!J6</f>
        <v>1.014587027070069</v>
      </c>
      <c r="K3">
        <f>'BCDTRtSY-state-adjusted'!K6</f>
        <v>1.013318621706504</v>
      </c>
      <c r="L3">
        <f>'BCDTRtSY-state-adjusted'!L6</f>
        <v>1.0115936935288552</v>
      </c>
      <c r="M3">
        <f>'BCDTRtSY-state-adjusted'!M6</f>
        <v>1.0101634875189363</v>
      </c>
      <c r="N3">
        <f>'BCDTRtSY-state-adjusted'!N6</f>
        <v>1.0079913747579801</v>
      </c>
      <c r="O3">
        <f>'BCDTRtSY-state-adjusted'!O6</f>
        <v>1.0059355016474705</v>
      </c>
      <c r="P3">
        <f>'BCDTRtSY-state-adjusted'!P6</f>
        <v>1.0034113282490378</v>
      </c>
      <c r="Q3">
        <f>'BCDTRtSY-state-adjusted'!Q6</f>
        <v>1.0008656839001595</v>
      </c>
      <c r="R3">
        <f>'BCDTRtSY-state-adjusted'!R6</f>
        <v>0.99827028244804861</v>
      </c>
      <c r="S3">
        <f>'BCDTRtSY-state-adjusted'!S6</f>
        <v>0.99479678104217173</v>
      </c>
      <c r="T3">
        <f>'BCDTRtSY-state-adjusted'!T6</f>
        <v>0.99127595154763315</v>
      </c>
      <c r="U3">
        <f>'BCDTRtSY-state-adjusted'!U6</f>
        <v>0.98745135194947387</v>
      </c>
      <c r="V3">
        <f>'BCDTRtSY-state-adjusted'!V6</f>
        <v>0.98351865745421185</v>
      </c>
      <c r="W3">
        <f>'BCDTRtSY-state-adjusted'!W6</f>
        <v>0.97948617356420764</v>
      </c>
      <c r="X3">
        <f>'BCDTRtSY-state-adjusted'!X6</f>
        <v>0.97511422587131735</v>
      </c>
      <c r="Y3">
        <f>'BCDTRtSY-state-adjusted'!Y6</f>
        <v>0.97064734657524421</v>
      </c>
      <c r="Z3">
        <f>'BCDTRtSY-state-adjusted'!Z6</f>
        <v>0.96585478493795962</v>
      </c>
      <c r="AA3">
        <f>'BCDTRtSY-state-adjusted'!AA6</f>
        <v>0.96091852607835693</v>
      </c>
      <c r="AB3">
        <f>'BCDTRtSY-state-adjusted'!AB6</f>
        <v>0.95593131013600563</v>
      </c>
    </row>
    <row r="4" spans="1:28">
      <c r="A4" t="s">
        <v>116</v>
      </c>
      <c r="B4">
        <f>'BCDTRtSY-state-adjusted'!B7</f>
        <v>1</v>
      </c>
      <c r="C4">
        <f>'BCDTRtSY-state-adjusted'!C7</f>
        <v>1</v>
      </c>
      <c r="D4">
        <f>'BCDTRtSY-state-adjusted'!D7</f>
        <v>1.0244585074725889</v>
      </c>
      <c r="E4">
        <f>'BCDTRtSY-state-adjusted'!E7</f>
        <v>1.0361371291316022</v>
      </c>
      <c r="F4">
        <f>'BCDTRtSY-state-adjusted'!F7</f>
        <v>1.0370555446723599</v>
      </c>
      <c r="G4">
        <f>'BCDTRtSY-state-adjusted'!G7</f>
        <v>1.0426207897567046</v>
      </c>
      <c r="H4">
        <f>'BCDTRtSY-state-adjusted'!H7</f>
        <v>1.0520768125397473</v>
      </c>
      <c r="I4">
        <f>'BCDTRtSY-state-adjusted'!I7</f>
        <v>1.0617460798064418</v>
      </c>
      <c r="J4">
        <f>'BCDTRtSY-state-adjusted'!J7</f>
        <v>1.0754748063755515</v>
      </c>
      <c r="K4">
        <f>'BCDTRtSY-state-adjusted'!K7</f>
        <v>1.0908386779079566</v>
      </c>
      <c r="L4">
        <f>'BCDTRtSY-state-adjusted'!L7</f>
        <v>1.1082489940111144</v>
      </c>
      <c r="M4">
        <f>'BCDTRtSY-state-adjusted'!M7</f>
        <v>1.1278576215848839</v>
      </c>
      <c r="N4">
        <f>'BCDTRtSY-state-adjusted'!N7</f>
        <v>1.1407359076887726</v>
      </c>
      <c r="O4">
        <f>'BCDTRtSY-state-adjusted'!O7</f>
        <v>1.153526377170752</v>
      </c>
      <c r="P4">
        <f>'BCDTRtSY-state-adjusted'!P7</f>
        <v>1.1659296560386927</v>
      </c>
      <c r="Q4">
        <f>'BCDTRtSY-state-adjusted'!Q7</f>
        <v>1.1772664505826116</v>
      </c>
      <c r="R4">
        <f>'BCDTRtSY-state-adjusted'!R7</f>
        <v>1.1888724080727202</v>
      </c>
      <c r="S4">
        <f>'BCDTRtSY-state-adjusted'!S7</f>
        <v>1.1988553570359577</v>
      </c>
      <c r="T4">
        <f>'BCDTRtSY-state-adjusted'!T7</f>
        <v>1.2096731200956086</v>
      </c>
      <c r="U4">
        <f>'BCDTRtSY-state-adjusted'!U7</f>
        <v>1.221528842660033</v>
      </c>
      <c r="V4">
        <f>'BCDTRtSY-state-adjusted'!V7</f>
        <v>1.23313789052321</v>
      </c>
      <c r="W4">
        <f>'BCDTRtSY-state-adjusted'!W7</f>
        <v>1.2446933408852132</v>
      </c>
      <c r="X4">
        <f>'BCDTRtSY-state-adjusted'!X7</f>
        <v>1.2551745389546112</v>
      </c>
      <c r="Y4">
        <f>'BCDTRtSY-state-adjusted'!Y7</f>
        <v>1.2637563378149121</v>
      </c>
      <c r="Z4">
        <f>'BCDTRtSY-state-adjusted'!Z7</f>
        <v>1.2723539557682066</v>
      </c>
      <c r="AA4">
        <f>'BCDTRtSY-state-adjusted'!AA7</f>
        <v>1.2798782259613875</v>
      </c>
      <c r="AB4">
        <f>'BCDTRtSY-state-adjusted'!AB7</f>
        <v>1.2876952058301305</v>
      </c>
    </row>
    <row r="5" spans="1:28">
      <c r="A5" t="s">
        <v>121</v>
      </c>
      <c r="B5">
        <f>'BCDTRtSY-state-adjusted'!B8</f>
        <v>1</v>
      </c>
      <c r="C5">
        <f>'BCDTRtSY-state-adjusted'!C8</f>
        <v>1</v>
      </c>
      <c r="D5">
        <f>'BCDTRtSY-state-adjusted'!D8</f>
        <v>1.056602933629035</v>
      </c>
      <c r="E5">
        <f>'BCDTRtSY-state-adjusted'!E8</f>
        <v>1.0962682840176798</v>
      </c>
      <c r="F5">
        <f>'BCDTRtSY-state-adjusted'!F8</f>
        <v>1.1240811124168584</v>
      </c>
      <c r="G5">
        <f>'BCDTRtSY-state-adjusted'!G8</f>
        <v>1.1468063986480341</v>
      </c>
      <c r="H5">
        <f>'BCDTRtSY-state-adjusted'!H8</f>
        <v>1.1647212417967463</v>
      </c>
      <c r="I5">
        <f>'BCDTRtSY-state-adjusted'!I8</f>
        <v>1.179642437713488</v>
      </c>
      <c r="J5">
        <f>'BCDTRtSY-state-adjusted'!J8</f>
        <v>1.1922845346431772</v>
      </c>
      <c r="K5">
        <f>'BCDTRtSY-state-adjusted'!K8</f>
        <v>1.2055877313190899</v>
      </c>
      <c r="L5">
        <f>'BCDTRtSY-state-adjusted'!L8</f>
        <v>1.2139458873227682</v>
      </c>
      <c r="M5">
        <f>'BCDTRtSY-state-adjusted'!M8</f>
        <v>1.2221568277446209</v>
      </c>
      <c r="N5">
        <f>'BCDTRtSY-state-adjusted'!N8</f>
        <v>1.2267723399361403</v>
      </c>
      <c r="O5">
        <f>'BCDTRtSY-state-adjusted'!O8</f>
        <v>1.2321171891068243</v>
      </c>
      <c r="P5">
        <f>'BCDTRtSY-state-adjusted'!P8</f>
        <v>1.2361721591473895</v>
      </c>
      <c r="Q5">
        <f>'BCDTRtSY-state-adjusted'!Q8</f>
        <v>1.2376627416630699</v>
      </c>
      <c r="R5">
        <f>'BCDTRtSY-state-adjusted'!R8</f>
        <v>1.239431349472859</v>
      </c>
      <c r="S5">
        <f>'BCDTRtSY-state-adjusted'!S8</f>
        <v>1.2395428848940233</v>
      </c>
      <c r="T5">
        <f>'BCDTRtSY-state-adjusted'!T8</f>
        <v>1.239626795946102</v>
      </c>
      <c r="U5">
        <f>'BCDTRtSY-state-adjusted'!U8</f>
        <v>1.238256621506564</v>
      </c>
      <c r="V5">
        <f>'BCDTRtSY-state-adjusted'!V8</f>
        <v>1.2375797214684954</v>
      </c>
      <c r="W5">
        <f>'BCDTRtSY-state-adjusted'!W8</f>
        <v>1.2374439625183982</v>
      </c>
      <c r="X5">
        <f>'BCDTRtSY-state-adjusted'!X8</f>
        <v>1.2358095633568431</v>
      </c>
      <c r="Y5">
        <f>'BCDTRtSY-state-adjusted'!Y8</f>
        <v>1.2347799159423607</v>
      </c>
      <c r="Z5">
        <f>'BCDTRtSY-state-adjusted'!Z8</f>
        <v>1.2316797681275309</v>
      </c>
      <c r="AA5">
        <f>'BCDTRtSY-state-adjusted'!AA8</f>
        <v>1.2281975625996793</v>
      </c>
      <c r="AB5">
        <f>'BCDTRtSY-state-adjusted'!AB8</f>
        <v>1.2244332110912042</v>
      </c>
    </row>
    <row r="6" spans="1:28">
      <c r="A6" t="s">
        <v>122</v>
      </c>
      <c r="B6">
        <f>'BCDTRtSY-state-adjusted'!B9</f>
        <v>1</v>
      </c>
      <c r="C6">
        <f>'BCDTRtSY-state-adjusted'!C9</f>
        <v>1</v>
      </c>
      <c r="D6">
        <f>'BCDTRtSY-state-adjusted'!D9</f>
        <v>0.99524866884833907</v>
      </c>
      <c r="E6">
        <f>'BCDTRtSY-state-adjusted'!E9</f>
        <v>0.98353257482194867</v>
      </c>
      <c r="F6">
        <f>'BCDTRtSY-state-adjusted'!F9</f>
        <v>0.9660898222448927</v>
      </c>
      <c r="G6">
        <f>'BCDTRtSY-state-adjusted'!G9</f>
        <v>0.95121206113185519</v>
      </c>
      <c r="H6">
        <f>'BCDTRtSY-state-adjusted'!H9</f>
        <v>0.93870426731166401</v>
      </c>
      <c r="I6">
        <f>'BCDTRtSY-state-adjusted'!I9</f>
        <v>0.92698382443233163</v>
      </c>
      <c r="J6">
        <f>'BCDTRtSY-state-adjusted'!J9</f>
        <v>0.91758641681104769</v>
      </c>
      <c r="K6">
        <f>'BCDTRtSY-state-adjusted'!K9</f>
        <v>0.9093936933590564</v>
      </c>
      <c r="L6">
        <f>'BCDTRtSY-state-adjusted'!L9</f>
        <v>0.90242918383421256</v>
      </c>
      <c r="M6">
        <f>'BCDTRtSY-state-adjusted'!M9</f>
        <v>0.89672704854356899</v>
      </c>
      <c r="N6">
        <f>'BCDTRtSY-state-adjusted'!N9</f>
        <v>0.88828119840928776</v>
      </c>
      <c r="O6">
        <f>'BCDTRtSY-state-adjusted'!O9</f>
        <v>0.87993062123534971</v>
      </c>
      <c r="P6">
        <f>'BCDTRtSY-state-adjusted'!P9</f>
        <v>0.87148789957331085</v>
      </c>
      <c r="Q6">
        <f>'BCDTRtSY-state-adjusted'!Q9</f>
        <v>0.86304098740976409</v>
      </c>
      <c r="R6">
        <f>'BCDTRtSY-state-adjusted'!R9</f>
        <v>0.85473977606003093</v>
      </c>
      <c r="S6">
        <f>'BCDTRtSY-state-adjusted'!S9</f>
        <v>0.84566762213001578</v>
      </c>
      <c r="T6">
        <f>'BCDTRtSY-state-adjusted'!T9</f>
        <v>0.83703923253493628</v>
      </c>
      <c r="U6">
        <f>'BCDTRtSY-state-adjusted'!U9</f>
        <v>0.82873207889914191</v>
      </c>
      <c r="V6">
        <f>'BCDTRtSY-state-adjusted'!V9</f>
        <v>0.82047823149462262</v>
      </c>
      <c r="W6">
        <f>'BCDTRtSY-state-adjusted'!W9</f>
        <v>0.81224838534346688</v>
      </c>
      <c r="X6">
        <f>'BCDTRtSY-state-adjusted'!X9</f>
        <v>0.80365749565558964</v>
      </c>
      <c r="Y6">
        <f>'BCDTRtSY-state-adjusted'!Y9</f>
        <v>0.79455366185274423</v>
      </c>
      <c r="Z6">
        <f>'BCDTRtSY-state-adjusted'!Z9</f>
        <v>0.78539001299678146</v>
      </c>
      <c r="AA6">
        <f>'BCDTRtSY-state-adjusted'!AA9</f>
        <v>0.7759649479652202</v>
      </c>
      <c r="AB6">
        <f>'BCDTRtSY-state-adjusted'!AB9</f>
        <v>0.76684254615394853</v>
      </c>
    </row>
    <row r="7" spans="1:28">
      <c r="A7" t="s">
        <v>123</v>
      </c>
      <c r="B7">
        <f>'BCDTRtSY-state-adjusted'!B10</f>
        <v>1</v>
      </c>
      <c r="C7">
        <f>'BCDTRtSY-state-adjusted'!C10</f>
        <v>1</v>
      </c>
      <c r="D7">
        <f>'BCDTRtSY-state-adjusted'!D10</f>
        <v>0.9991665049582269</v>
      </c>
      <c r="E7">
        <f>'BCDTRtSY-state-adjusted'!E10</f>
        <v>1.0004716106198195</v>
      </c>
      <c r="F7">
        <f>'BCDTRtSY-state-adjusted'!F10</f>
        <v>0.9988425037370906</v>
      </c>
      <c r="G7">
        <f>'BCDTRtSY-state-adjusted'!G10</f>
        <v>0.99699473586654241</v>
      </c>
      <c r="H7">
        <f>'BCDTRtSY-state-adjusted'!H10</f>
        <v>0.99413597618672522</v>
      </c>
      <c r="I7">
        <f>'BCDTRtSY-state-adjusted'!I10</f>
        <v>0.99255629658601963</v>
      </c>
      <c r="J7">
        <f>'BCDTRtSY-state-adjusted'!J10</f>
        <v>0.99101438667545205</v>
      </c>
      <c r="K7">
        <f>'BCDTRtSY-state-adjusted'!K10</f>
        <v>0.98800050002124351</v>
      </c>
      <c r="L7">
        <f>'BCDTRtSY-state-adjusted'!L10</f>
        <v>0.98532870507508452</v>
      </c>
      <c r="M7">
        <f>'BCDTRtSY-state-adjusted'!M10</f>
        <v>0.98180085864836364</v>
      </c>
      <c r="N7">
        <f>'BCDTRtSY-state-adjusted'!N10</f>
        <v>0.97903720669981908</v>
      </c>
      <c r="O7">
        <f>'BCDTRtSY-state-adjusted'!O10</f>
        <v>0.97669549092329033</v>
      </c>
      <c r="P7">
        <f>'BCDTRtSY-state-adjusted'!P10</f>
        <v>0.97432407293576517</v>
      </c>
      <c r="Q7">
        <f>'BCDTRtSY-state-adjusted'!Q10</f>
        <v>0.97128127306492706</v>
      </c>
      <c r="R7">
        <f>'BCDTRtSY-state-adjusted'!R10</f>
        <v>0.96845399230992268</v>
      </c>
      <c r="S7">
        <f>'BCDTRtSY-state-adjusted'!S10</f>
        <v>0.96493970425177644</v>
      </c>
      <c r="T7">
        <f>'BCDTRtSY-state-adjusted'!T10</f>
        <v>0.96118013918086076</v>
      </c>
      <c r="U7">
        <f>'BCDTRtSY-state-adjusted'!U10</f>
        <v>0.95720983875711563</v>
      </c>
      <c r="V7">
        <f>'BCDTRtSY-state-adjusted'!V10</f>
        <v>0.95354574000960513</v>
      </c>
      <c r="W7">
        <f>'BCDTRtSY-state-adjusted'!W10</f>
        <v>0.94976238687104653</v>
      </c>
      <c r="X7">
        <f>'BCDTRtSY-state-adjusted'!X10</f>
        <v>0.94556532691772943</v>
      </c>
      <c r="Y7">
        <f>'BCDTRtSY-state-adjusted'!Y10</f>
        <v>0.94072140924961301</v>
      </c>
      <c r="Z7">
        <f>'BCDTRtSY-state-adjusted'!Z10</f>
        <v>0.93584306717549826</v>
      </c>
      <c r="AA7">
        <f>'BCDTRtSY-state-adjusted'!AA10</f>
        <v>0.93083923029851889</v>
      </c>
      <c r="AB7">
        <f>'BCDTRtSY-state-adjusted'!AB10</f>
        <v>0.92619863114270373</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92191-9443-457C-88C5-C2ECD9252F25}">
  <sheetPr>
    <tabColor theme="3"/>
  </sheetPr>
  <dimension ref="A1:AB7"/>
  <sheetViews>
    <sheetView workbookViewId="0">
      <selection activeCell="A2" sqref="A2"/>
    </sheetView>
  </sheetViews>
  <sheetFormatPr defaultRowHeight="14.25"/>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'BCDTRtSY-state-adjusted'!B13</f>
        <v>1</v>
      </c>
      <c r="C2">
        <f>'BCDTRtSY-state-adjusted'!C13</f>
        <v>1</v>
      </c>
      <c r="D2">
        <f>'BCDTRtSY-state-adjusted'!D13</f>
        <v>0.98942970053242074</v>
      </c>
      <c r="E2">
        <f>'BCDTRtSY-state-adjusted'!E13</f>
        <v>0.98434901170914646</v>
      </c>
      <c r="F2">
        <f>'BCDTRtSY-state-adjusted'!F13</f>
        <v>0.97893339812064029</v>
      </c>
      <c r="G2">
        <f>'BCDTRtSY-state-adjusted'!G13</f>
        <v>0.97468964291280391</v>
      </c>
      <c r="H2">
        <f>'BCDTRtSY-state-adjusted'!H13</f>
        <v>0.97509613595874456</v>
      </c>
      <c r="I2">
        <f>'BCDTRtSY-state-adjusted'!I13</f>
        <v>0.97527772201043661</v>
      </c>
      <c r="J2">
        <f>'BCDTRtSY-state-adjusted'!J13</f>
        <v>0.97717081415519791</v>
      </c>
      <c r="K2">
        <f>'BCDTRtSY-state-adjusted'!K13</f>
        <v>0.97779391056354792</v>
      </c>
      <c r="L2">
        <f>'BCDTRtSY-state-adjusted'!L13</f>
        <v>0.98024226195371</v>
      </c>
      <c r="M2">
        <f>'BCDTRtSY-state-adjusted'!M13</f>
        <v>0.98333089601994195</v>
      </c>
      <c r="N2">
        <f>'BCDTRtSY-state-adjusted'!N13</f>
        <v>0.9867040726373274</v>
      </c>
      <c r="O2">
        <f>'BCDTRtSY-state-adjusted'!O13</f>
        <v>0.99123040001406237</v>
      </c>
      <c r="P2">
        <f>'BCDTRtSY-state-adjusted'!P13</f>
        <v>0.99686764056398236</v>
      </c>
      <c r="Q2">
        <f>'BCDTRtSY-state-adjusted'!Q13</f>
        <v>1.0027909876709673</v>
      </c>
      <c r="R2">
        <f>'BCDTRtSY-state-adjusted'!R13</f>
        <v>1.0091345748395164</v>
      </c>
      <c r="S2">
        <f>'BCDTRtSY-state-adjusted'!S13</f>
        <v>1.014314327758753</v>
      </c>
      <c r="T2">
        <f>'BCDTRtSY-state-adjusted'!T13</f>
        <v>1.0188565916889332</v>
      </c>
      <c r="U2">
        <f>'BCDTRtSY-state-adjusted'!U13</f>
        <v>1.0209686225855794</v>
      </c>
      <c r="V2">
        <f>'BCDTRtSY-state-adjusted'!V13</f>
        <v>1.0227877770294547</v>
      </c>
      <c r="W2">
        <f>'BCDTRtSY-state-adjusted'!W13</f>
        <v>1.0258080142904988</v>
      </c>
      <c r="X2">
        <f>'BCDTRtSY-state-adjusted'!X13</f>
        <v>1.0292009189729152</v>
      </c>
      <c r="Y2">
        <f>'BCDTRtSY-state-adjusted'!Y13</f>
        <v>1.0331574932915439</v>
      </c>
      <c r="Z2">
        <f>'BCDTRtSY-state-adjusted'!Z13</f>
        <v>1.0358991777786017</v>
      </c>
      <c r="AA2">
        <f>'BCDTRtSY-state-adjusted'!AA13</f>
        <v>1.0392889161579981</v>
      </c>
      <c r="AB2">
        <f>'BCDTRtSY-state-adjusted'!AB13</f>
        <v>1.0419414115649321</v>
      </c>
    </row>
    <row r="3" spans="1:28">
      <c r="A3" t="s">
        <v>118</v>
      </c>
      <c r="B3">
        <f>'BCDTRtSY-state-adjusted'!B14</f>
        <v>1</v>
      </c>
      <c r="C3">
        <f>'BCDTRtSY-state-adjusted'!C14</f>
        <v>1</v>
      </c>
      <c r="D3">
        <f>'BCDTRtSY-state-adjusted'!D14</f>
        <v>1.0039759924157123</v>
      </c>
      <c r="E3">
        <f>'BCDTRtSY-state-adjusted'!E14</f>
        <v>1.0120442086094208</v>
      </c>
      <c r="F3">
        <f>'BCDTRtSY-state-adjusted'!F14</f>
        <v>1.0191209893461266</v>
      </c>
      <c r="G3">
        <f>'BCDTRtSY-state-adjusted'!G14</f>
        <v>1.0235367907940316</v>
      </c>
      <c r="H3">
        <f>'BCDTRtSY-state-adjusted'!H14</f>
        <v>1.030156426809766</v>
      </c>
      <c r="I3">
        <f>'BCDTRtSY-state-adjusted'!I14</f>
        <v>1.0336064765717017</v>
      </c>
      <c r="J3">
        <f>'BCDTRtSY-state-adjusted'!J14</f>
        <v>1.037886399892515</v>
      </c>
      <c r="K3">
        <f>'BCDTRtSY-state-adjusted'!K14</f>
        <v>1.0400125819953807</v>
      </c>
      <c r="L3">
        <f>'BCDTRtSY-state-adjusted'!L14</f>
        <v>1.0433001914360385</v>
      </c>
      <c r="M3">
        <f>'BCDTRtSY-state-adjusted'!M14</f>
        <v>1.0464112881772814</v>
      </c>
      <c r="N3">
        <f>'BCDTRtSY-state-adjusted'!N14</f>
        <v>1.0487163242309392</v>
      </c>
      <c r="O3">
        <f>'BCDTRtSY-state-adjusted'!O14</f>
        <v>1.0503222071447815</v>
      </c>
      <c r="P3">
        <f>'BCDTRtSY-state-adjusted'!P14</f>
        <v>1.0509421801796006</v>
      </c>
      <c r="Q3">
        <f>'BCDTRtSY-state-adjusted'!Q14</f>
        <v>1.051001482881406</v>
      </c>
      <c r="R3">
        <f>'BCDTRtSY-state-adjusted'!R14</f>
        <v>1.0512040683217845</v>
      </c>
      <c r="S3">
        <f>'BCDTRtSY-state-adjusted'!S14</f>
        <v>1.0509551228301972</v>
      </c>
      <c r="T3">
        <f>'BCDTRtSY-state-adjusted'!T14</f>
        <v>1.0501826996991019</v>
      </c>
      <c r="U3">
        <f>'BCDTRtSY-state-adjusted'!U14</f>
        <v>1.0484440141274238</v>
      </c>
      <c r="V3">
        <f>'BCDTRtSY-state-adjusted'!V14</f>
        <v>1.0469751279607662</v>
      </c>
      <c r="W3">
        <f>'BCDTRtSY-state-adjusted'!W14</f>
        <v>1.0471977489055218</v>
      </c>
      <c r="X3">
        <f>'BCDTRtSY-state-adjusted'!X14</f>
        <v>1.0475749233799534</v>
      </c>
      <c r="Y3">
        <f>'BCDTRtSY-state-adjusted'!Y14</f>
        <v>1.047827078389592</v>
      </c>
      <c r="Z3">
        <f>'BCDTRtSY-state-adjusted'!Z14</f>
        <v>1.0461219351090802</v>
      </c>
      <c r="AA3">
        <f>'BCDTRtSY-state-adjusted'!AA14</f>
        <v>1.0443261413439466</v>
      </c>
      <c r="AB3">
        <f>'BCDTRtSY-state-adjusted'!AB14</f>
        <v>1.0420036645007045</v>
      </c>
    </row>
    <row r="4" spans="1:28">
      <c r="A4" t="s">
        <v>116</v>
      </c>
      <c r="B4">
        <f>'BCDTRtSY-state-adjusted'!B15</f>
        <v>1</v>
      </c>
      <c r="C4">
        <f>'BCDTRtSY-state-adjusted'!C15</f>
        <v>1</v>
      </c>
      <c r="D4">
        <f>'BCDTRtSY-state-adjusted'!D15</f>
        <v>1.0199382911045483</v>
      </c>
      <c r="E4">
        <f>'BCDTRtSY-state-adjusted'!E15</f>
        <v>1.0319117954660493</v>
      </c>
      <c r="F4">
        <f>'BCDTRtSY-state-adjusted'!F15</f>
        <v>1.037353072854359</v>
      </c>
      <c r="G4">
        <f>'BCDTRtSY-state-adjusted'!G15</f>
        <v>1.046286964390488</v>
      </c>
      <c r="H4">
        <f>'BCDTRtSY-state-adjusted'!H15</f>
        <v>1.0579514382581428</v>
      </c>
      <c r="I4">
        <f>'BCDTRtSY-state-adjusted'!I15</f>
        <v>1.0703286900534754</v>
      </c>
      <c r="J4">
        <f>'BCDTRtSY-state-adjusted'!J15</f>
        <v>1.0855606872293544</v>
      </c>
      <c r="K4">
        <f>'BCDTRtSY-state-adjusted'!K15</f>
        <v>1.1020361069906135</v>
      </c>
      <c r="L4">
        <f>'BCDTRtSY-state-adjusted'!L15</f>
        <v>1.1200301353295652</v>
      </c>
      <c r="M4">
        <f>'BCDTRtSY-state-adjusted'!M15</f>
        <v>1.1396317422980546</v>
      </c>
      <c r="N4">
        <f>'BCDTRtSY-state-adjusted'!N15</f>
        <v>1.1547910881636938</v>
      </c>
      <c r="O4">
        <f>'BCDTRtSY-state-adjusted'!O15</f>
        <v>1.1699683447626112</v>
      </c>
      <c r="P4">
        <f>'BCDTRtSY-state-adjusted'!P15</f>
        <v>1.1849515011998939</v>
      </c>
      <c r="Q4">
        <f>'BCDTRtSY-state-adjusted'!Q15</f>
        <v>1.1992622733736245</v>
      </c>
      <c r="R4">
        <f>'BCDTRtSY-state-adjusted'!R15</f>
        <v>1.213827664098994</v>
      </c>
      <c r="S4">
        <f>'BCDTRtSY-state-adjusted'!S15</f>
        <v>1.2272408577430134</v>
      </c>
      <c r="T4">
        <f>'BCDTRtSY-state-adjusted'!T15</f>
        <v>1.241265367659125</v>
      </c>
      <c r="U4">
        <f>'BCDTRtSY-state-adjusted'!U15</f>
        <v>1.2560466805596782</v>
      </c>
      <c r="V4">
        <f>'BCDTRtSY-state-adjusted'!V15</f>
        <v>1.2707013122725583</v>
      </c>
      <c r="W4">
        <f>'BCDTRtSY-state-adjusted'!W15</f>
        <v>1.285358594251905</v>
      </c>
      <c r="X4">
        <f>'BCDTRtSY-state-adjusted'!X15</f>
        <v>1.2993112776866504</v>
      </c>
      <c r="Y4">
        <f>'BCDTRtSY-state-adjusted'!Y15</f>
        <v>1.3119741552328179</v>
      </c>
      <c r="Z4">
        <f>'BCDTRtSY-state-adjusted'!Z15</f>
        <v>1.3246881003723634</v>
      </c>
      <c r="AA4">
        <f>'BCDTRtSY-state-adjusted'!AA15</f>
        <v>1.3366899059960529</v>
      </c>
      <c r="AB4">
        <f>'BCDTRtSY-state-adjusted'!AB15</f>
        <v>1.3489530307238307</v>
      </c>
    </row>
    <row r="5" spans="1:28">
      <c r="A5" t="s">
        <v>121</v>
      </c>
      <c r="B5">
        <f>'BCDTRtSY-state-adjusted'!B16</f>
        <v>1</v>
      </c>
      <c r="C5">
        <f>'BCDTRtSY-state-adjusted'!C16</f>
        <v>1</v>
      </c>
      <c r="D5">
        <f>'BCDTRtSY-state-adjusted'!D16</f>
        <v>0.97071159417748287</v>
      </c>
      <c r="E5">
        <f>'BCDTRtSY-state-adjusted'!E16</f>
        <v>0.9952732709622153</v>
      </c>
      <c r="F5">
        <f>'BCDTRtSY-state-adjusted'!F16</f>
        <v>0.96831136208790414</v>
      </c>
      <c r="G5">
        <f>'BCDTRtSY-state-adjusted'!G16</f>
        <v>0.95421501458109204</v>
      </c>
      <c r="H5">
        <f>'BCDTRtSY-state-adjusted'!H16</f>
        <v>0.95411924992746078</v>
      </c>
      <c r="I5">
        <f>'BCDTRtSY-state-adjusted'!I16</f>
        <v>0.92452393383039599</v>
      </c>
      <c r="J5">
        <f>'BCDTRtSY-state-adjusted'!J16</f>
        <v>0.92328543647375294</v>
      </c>
      <c r="K5">
        <f>'BCDTRtSY-state-adjusted'!K16</f>
        <v>0.9221757009450402</v>
      </c>
      <c r="L5">
        <f>'BCDTRtSY-state-adjusted'!L16</f>
        <v>0.91448995953754353</v>
      </c>
      <c r="M5">
        <f>'BCDTRtSY-state-adjusted'!M16</f>
        <v>0.91241991092064623</v>
      </c>
      <c r="N5">
        <f>'BCDTRtSY-state-adjusted'!N16</f>
        <v>0.90954043999971168</v>
      </c>
      <c r="O5">
        <f>'BCDTRtSY-state-adjusted'!O16</f>
        <v>0.90795066754172438</v>
      </c>
      <c r="P5">
        <f>'BCDTRtSY-state-adjusted'!P16</f>
        <v>0.90331175288999377</v>
      </c>
      <c r="Q5">
        <f>'BCDTRtSY-state-adjusted'!Q16</f>
        <v>0.90014236687420868</v>
      </c>
      <c r="R5">
        <f>'BCDTRtSY-state-adjusted'!R16</f>
        <v>0.89606822735126979</v>
      </c>
      <c r="S5">
        <f>'BCDTRtSY-state-adjusted'!S16</f>
        <v>0.89016156190848295</v>
      </c>
      <c r="T5">
        <f>'BCDTRtSY-state-adjusted'!T16</f>
        <v>0.88235159147397557</v>
      </c>
      <c r="U5">
        <f>'BCDTRtSY-state-adjusted'!U16</f>
        <v>0.87516507682807265</v>
      </c>
      <c r="V5">
        <f>'BCDTRtSY-state-adjusted'!V16</f>
        <v>0.87024377156044175</v>
      </c>
      <c r="W5">
        <f>'BCDTRtSY-state-adjusted'!W16</f>
        <v>0.86480503793590435</v>
      </c>
      <c r="X5">
        <f>'BCDTRtSY-state-adjusted'!X16</f>
        <v>0.86162970230441738</v>
      </c>
      <c r="Y5">
        <f>'BCDTRtSY-state-adjusted'!Y16</f>
        <v>0.86170895542669945</v>
      </c>
      <c r="Z5">
        <f>'BCDTRtSY-state-adjusted'!Z16</f>
        <v>0.85944413887851201</v>
      </c>
      <c r="AA5">
        <f>'BCDTRtSY-state-adjusted'!AA16</f>
        <v>0.85203253105499321</v>
      </c>
      <c r="AB5">
        <f>'BCDTRtSY-state-adjusted'!AB16</f>
        <v>0.84524517009535749</v>
      </c>
    </row>
    <row r="6" spans="1:28">
      <c r="A6" t="s">
        <v>122</v>
      </c>
      <c r="B6">
        <f>'BCDTRtSY-state-adjusted'!B17</f>
        <v>1</v>
      </c>
      <c r="C6">
        <f>'BCDTRtSY-state-adjusted'!C17</f>
        <v>1</v>
      </c>
      <c r="D6">
        <f>'BCDTRtSY-state-adjusted'!D17</f>
        <v>0.98548312279899863</v>
      </c>
      <c r="E6">
        <f>'BCDTRtSY-state-adjusted'!E17</f>
        <v>0.99775621211522292</v>
      </c>
      <c r="F6">
        <f>'BCDTRtSY-state-adjusted'!F17</f>
        <v>1.0118071726466717</v>
      </c>
      <c r="G6">
        <f>'BCDTRtSY-state-adjusted'!G17</f>
        <v>1.0223482467666483</v>
      </c>
      <c r="H6">
        <f>'BCDTRtSY-state-adjusted'!H17</f>
        <v>1.0335983122041945</v>
      </c>
      <c r="I6">
        <f>'BCDTRtSY-state-adjusted'!I17</f>
        <v>1.0445137213838032</v>
      </c>
      <c r="J6">
        <f>'BCDTRtSY-state-adjusted'!J17</f>
        <v>1.0572466936992924</v>
      </c>
      <c r="K6">
        <f>'BCDTRtSY-state-adjusted'!K17</f>
        <v>1.0700940242642858</v>
      </c>
      <c r="L6">
        <f>'BCDTRtSY-state-adjusted'!L17</f>
        <v>1.0834570236436287</v>
      </c>
      <c r="M6">
        <f>'BCDTRtSY-state-adjusted'!M17</f>
        <v>1.097599459198684</v>
      </c>
      <c r="N6">
        <f>'BCDTRtSY-state-adjusted'!N17</f>
        <v>1.1077861849277117</v>
      </c>
      <c r="O6">
        <f>'BCDTRtSY-state-adjusted'!O17</f>
        <v>1.1147005463419142</v>
      </c>
      <c r="P6">
        <f>'BCDTRtSY-state-adjusted'!P17</f>
        <v>1.1214975066765716</v>
      </c>
      <c r="Q6">
        <f>'BCDTRtSY-state-adjusted'!Q17</f>
        <v>1.127090520696612</v>
      </c>
      <c r="R6">
        <f>'BCDTRtSY-state-adjusted'!R17</f>
        <v>1.1326628705687185</v>
      </c>
      <c r="S6">
        <f>'BCDTRtSY-state-adjusted'!S17</f>
        <v>1.137579242877728</v>
      </c>
      <c r="T6">
        <f>'BCDTRtSY-state-adjusted'!T17</f>
        <v>1.1433647611432711</v>
      </c>
      <c r="U6">
        <f>'BCDTRtSY-state-adjusted'!U17</f>
        <v>1.148653929216608</v>
      </c>
      <c r="V6">
        <f>'BCDTRtSY-state-adjusted'!V17</f>
        <v>1.153699282233225</v>
      </c>
      <c r="W6">
        <f>'BCDTRtSY-state-adjusted'!W17</f>
        <v>1.159854183450812</v>
      </c>
      <c r="X6">
        <f>'BCDTRtSY-state-adjusted'!X17</f>
        <v>1.1660291667485887</v>
      </c>
      <c r="Y6">
        <f>'BCDTRtSY-state-adjusted'!Y17</f>
        <v>1.1722537891141063</v>
      </c>
      <c r="Z6">
        <f>'BCDTRtSY-state-adjusted'!Z17</f>
        <v>1.177674405926185</v>
      </c>
      <c r="AA6">
        <f>'BCDTRtSY-state-adjusted'!AA17</f>
        <v>1.1827093027415456</v>
      </c>
      <c r="AB6">
        <f>'BCDTRtSY-state-adjusted'!AB17</f>
        <v>1.1888943604457392</v>
      </c>
    </row>
    <row r="7" spans="1:28">
      <c r="A7" t="s">
        <v>123</v>
      </c>
      <c r="B7">
        <f>'BCDTRtSY-state-adjusted'!B18</f>
        <v>0</v>
      </c>
      <c r="C7">
        <f>'BCDTRtSY-state-adjusted'!C18</f>
        <v>0</v>
      </c>
      <c r="D7">
        <f>'BCDTRtSY-state-adjusted'!D18</f>
        <v>0</v>
      </c>
      <c r="E7">
        <f>'BCDTRtSY-state-adjusted'!E18</f>
        <v>0</v>
      </c>
      <c r="F7">
        <f>'BCDTRtSY-state-adjusted'!F18</f>
        <v>0</v>
      </c>
      <c r="G7">
        <f>'BCDTRtSY-state-adjusted'!G18</f>
        <v>0</v>
      </c>
      <c r="H7">
        <f>'BCDTRtSY-state-adjusted'!H18</f>
        <v>0</v>
      </c>
      <c r="I7">
        <f>'BCDTRtSY-state-adjusted'!I18</f>
        <v>0</v>
      </c>
      <c r="J7">
        <f>'BCDTRtSY-state-adjusted'!J18</f>
        <v>0</v>
      </c>
      <c r="K7">
        <f>'BCDTRtSY-state-adjusted'!K18</f>
        <v>0</v>
      </c>
      <c r="L7">
        <f>'BCDTRtSY-state-adjusted'!L18</f>
        <v>0</v>
      </c>
      <c r="M7">
        <f>'BCDTRtSY-state-adjusted'!M18</f>
        <v>0</v>
      </c>
      <c r="N7">
        <f>'BCDTRtSY-state-adjusted'!N18</f>
        <v>0</v>
      </c>
      <c r="O7">
        <f>'BCDTRtSY-state-adjusted'!O18</f>
        <v>0</v>
      </c>
      <c r="P7">
        <f>'BCDTRtSY-state-adjusted'!P18</f>
        <v>0</v>
      </c>
      <c r="Q7">
        <f>'BCDTRtSY-state-adjusted'!Q18</f>
        <v>0</v>
      </c>
      <c r="R7">
        <f>'BCDTRtSY-state-adjusted'!R18</f>
        <v>0</v>
      </c>
      <c r="S7">
        <f>'BCDTRtSY-state-adjusted'!S18</f>
        <v>0</v>
      </c>
      <c r="T7">
        <f>'BCDTRtSY-state-adjusted'!T18</f>
        <v>0</v>
      </c>
      <c r="U7">
        <f>'BCDTRtSY-state-adjusted'!U18</f>
        <v>0</v>
      </c>
      <c r="V7">
        <f>'BCDTRtSY-state-adjusted'!V18</f>
        <v>0</v>
      </c>
      <c r="W7">
        <f>'BCDTRtSY-state-adjusted'!W18</f>
        <v>0</v>
      </c>
      <c r="X7">
        <f>'BCDTRtSY-state-adjusted'!X18</f>
        <v>0</v>
      </c>
      <c r="Y7">
        <f>'BCDTRtSY-state-adjusted'!Y18</f>
        <v>0</v>
      </c>
      <c r="Z7">
        <f>'BCDTRtSY-state-adjusted'!Z18</f>
        <v>0</v>
      </c>
      <c r="AA7">
        <f>'BCDTRtSY-state-adjusted'!AA18</f>
        <v>0</v>
      </c>
      <c r="AB7">
        <f>'BCDTRtSY-state-adjusted'!AB18</f>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30</vt:i4>
      </vt:variant>
    </vt:vector>
  </HeadingPairs>
  <TitlesOfParts>
    <vt:vector size="30" baseType="lpstr">
      <vt:lpstr>About</vt:lpstr>
      <vt:lpstr>Sources</vt:lpstr>
      <vt:lpstr>source data&gt;</vt:lpstr>
      <vt:lpstr>EPA_Table 3-13</vt:lpstr>
      <vt:lpstr>AEO 2025 Table 7</vt:lpstr>
      <vt:lpstr>AEO 2025 Table 35</vt:lpstr>
      <vt:lpstr>AEO 2025 Table 45</vt:lpstr>
      <vt:lpstr>AEO 2025 Table 46</vt:lpstr>
      <vt:lpstr>AEO 2025 Table 47</vt:lpstr>
      <vt:lpstr>AEO 2025 Table 49</vt:lpstr>
      <vt:lpstr>AEO 2026 Table 7 raw</vt:lpstr>
      <vt:lpstr>AEO 2026 Table 35 raw</vt:lpstr>
      <vt:lpstr>AEO 2026 Table 45</vt:lpstr>
      <vt:lpstr>AEO 2026 Table 46 raw</vt:lpstr>
      <vt:lpstr>AEO 2026 Table 49 raw</vt:lpstr>
      <vt:lpstr>AEO 2026 Table 47</vt:lpstr>
      <vt:lpstr>GHG Inventory</vt:lpstr>
      <vt:lpstr>AEO 2022 Table 36</vt:lpstr>
      <vt:lpstr>calcs&gt;</vt:lpstr>
      <vt:lpstr>calibration multiplier</vt:lpstr>
      <vt:lpstr>About-state-adjustment</vt:lpstr>
      <vt:lpstr>Pop_yearly_lookup</vt:lpstr>
      <vt:lpstr>Cooper_pop_2030_2050</vt:lpstr>
      <vt:lpstr>Census_pop_2020_2025</vt:lpstr>
      <vt:lpstr>US-calcs</vt:lpstr>
      <vt:lpstr>BCDTRtSY-psgr-US</vt:lpstr>
      <vt:lpstr>BCDTRtSY-frgt-US</vt:lpstr>
      <vt:lpstr>BCDTRtSY-state-adjusted</vt:lpstr>
      <vt:lpstr>BCDTRtSY-psgr</vt:lpstr>
      <vt:lpstr>BCDTRtSY-frgt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2017-06-26T22:04:22Z</dcterms:created>
  <dcterms:modified xsi:type="dcterms:W3CDTF">2026-08-14T21:48:40Z</dcterms:modified>
</cp:coreProperties>
</file>