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DCS_numerator_by_BEA" sheetId="3" state="visible" r:id="rId3"/>
    <sheet name="2_DCS_denominator_by_BEA" sheetId="4" state="visible" r:id="rId4"/>
    <sheet name="3_ESoP_RoUS_exports_by_BEA" sheetId="5" state="visible" r:id="rId5"/>
    <sheet name="4_ESoP_intl_exports_by_BEA" sheetId="6" state="visible" r:id="rId6"/>
    <sheet name="5_Exp_total_by_BEA" sheetId="7" state="visible" r:id="rId7"/>
    <sheet name="Src_Stateior_SoI_DomUse" sheetId="8" state="visible" r:id="rId8"/>
    <sheet name="Src_Stateior_SoI_TotUse" sheetId="9" state="visible" r:id="rId9"/>
    <sheet name="Src_Disagg_EIA_coal" sheetId="10" state="visible" r:id="rId10"/>
    <sheet name="Src_Disagg_heuristics" sheetId="11" state="visible" r:id="rId11"/>
    <sheet name="Crosswalk_BEA_to_ISIC" sheetId="12" state="visible" r:id="rId12"/>
    <sheet name="State_disagg_splits" sheetId="13" state="visible" r:id="rId13"/>
    <sheet name="NAICS_to_ISIC_Key" sheetId="14" state="visible" r:id="rId14"/>
    <sheet name="6_Calc_DCS_num_ISIC" sheetId="15" state="visible" r:id="rId15"/>
    <sheet name="7_Calc_DCS_den_ISIC" sheetId="16" state="visible" r:id="rId16"/>
    <sheet name="8_Calc_Exp_ISIC" sheetId="17" state="visible" r:id="rId17"/>
    <sheet name="9_Output_by_ISIC" sheetId="18" state="visible" r:id="rId18"/>
    <sheet name="9b_DCS_overrides" sheetId="19" state="visible" r:id="rId19"/>
    <sheet name="9c_ESoP_overrides" sheetId="20" state="visible" r:id="rId20"/>
    <sheet name="10_Calc_DCS_ratio" sheetId="21" state="visible" r:id="rId21"/>
    <sheet name="11_Calc_ESoP_ratio" sheetId="22" state="visible" r:id="rId22"/>
    <sheet name="BDCSoCbIC" sheetId="23" state="visible" r:id="rId23"/>
    <sheet name="BESoP" sheetId="24" state="visible" r:id="rId24"/>
  </sheets>
  <calcPr calcId="191029" fullCalcOnLoad="1"/>
</workbook>
</file>

<file path=xl/sharedStrings.xml><?xml version="1.0" encoding="utf-8"?>
<sst xmlns="http://schemas.openxmlformats.org/spreadsheetml/2006/main" count="613" uniqueCount="613">
  <si>
    <t xml:space="preserve">BDCSoCbIC - BAU Domestic Content Share by ISIC Code</t>
  </si>
  <si>
    <t xml:space="preserve"/>
  </si>
  <si>
    <t xml:space="preserve">State: Connecticut (CT)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</si>
  <si>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</si>
  <si>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</si>
  <si>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</si>
  <si>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For each 42-ISIC commodity i, domestic content share =</t>
  </si>
  <si>
    <t xml:space="preserve">    DCS(i) = SoI-produced-consumed-in-SoI(i)</t>
  </si>
  <si>
    <t xml:space="preserve">             / total-consumed-in-SoI(i)</t>
  </si>
  <si>
    <t xml:space="preserve">where:</t>
  </si>
  <si>
    <t xml:space="preserve">  numerator   = rowSums(DomesticUse[i/US-&lt;ST&gt;, j/US-&lt;ST&gt;])</t>
  </si>
  <si>
    <t xml:space="preserve">  denominator = rowSums(Use[i/US-&lt;ST&gt;, j/US-&lt;ST&gt;]) +</t>
  </si>
  <si>
    <t xml:space="preserve">                rowSums(Use[i/RoUS, j/US-&lt;ST&gt;])</t>
  </si>
  <si>
    <t xml:space="preserve">The denominator captures total consumption of commodity i in the</t>
  </si>
  <si>
    <t xml:space="preserve">state from all sources: in-state production, out-of-state US</t>
  </si>
  <si>
    <t xml:space="preserve">production, and international imports (implicit in Use).</t>
  </si>
  <si>
    <t xml:space="preserve">EIA-anchored override (coal, ISIC 05): stateior's pooled trade</t>
  </si>
  <si>
    <t xml:space="preserve">allocation creates fictitious interstate cross-hauling that badly</t>
  </si>
  <si>
    <t xml:space="preserve">mis-states coal domestic content (both directions, e.g. TN 0.565 vs</t>
  </si>
  <si>
    <t xml:space="preserve">~0.04 true; WY 0.627 vs ~1.0). DCS[05] is therefore replaced by the</t>
  </si>
  <si>
    <t xml:space="preserve">physical commodity balance min(production, consumption)/consumption</t>
  </si>
  <si>
    <t xml:space="preserve">(own-use-first) from EIA-7A production + SEDS CLTCP consumption, both</t>
  </si>
  <si>
    <t xml:space="preserve">in short tons of the same vintage. The override value + source appear</t>
  </si>
  <si>
    <t xml:space="preserve">on the 9b_DCS_EIA_override tab and are applied by formula in the final</t>
  </si>
  <si>
    <t xml:space="preserve">DCS column. See notes/energy_dcs_override.md (incl. limitations, e.g.</t>
  </si>
  <si>
    <t xml:space="preserve">met-vs-steam coal mix in AL-type states).</t>
  </si>
  <si>
    <t xml:space="preserve">Values are fractions in [0, 1]. Unchanged from output; no deflator.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</si>
  <si>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</si>
  <si>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</si>
  <si>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</si>
  <si>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</si>
  <si>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</si>
  <si>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</si>
  <si>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</si>
  <si>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</si>
  <si>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</si>
  <si>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</si>
  <si>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</si>
  <si>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</si>
  <si>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</si>
  <si>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</si>
  <si>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</si>
  <si>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</si>
  <si>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</si>
  <si>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</si>
  <si>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</si>
  <si>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</si>
  <si>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</si>
  <si>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</si>
  <si>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</si>
  <si>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</si>
  <si>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</si>
  <si>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</si>
  <si>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</si>
  <si>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</si>
  <si>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</si>
  <si>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</si>
  <si>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</si>
  <si>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</si>
  <si>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</si>
  <si>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</si>
  <si>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</si>
  <si>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</si>
  <si>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</si>
  <si>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</si>
  <si>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</si>
  <si>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</si>
  <si>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</si>
  <si>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</si>
  <si>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</si>
  <si>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</si>
  <si>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</si>
  <si>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</si>
  <si>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</si>
  <si>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</si>
  <si>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</si>
  <si>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</si>
  <si>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</si>
  <si>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Both outputs are FORMULA-DERIVED from the per-BEA intermediate tabs:</t>
  </si>
  <si>
    <t xml:space="preserve">aggregate to 42 ISIC via the Crosswalk tab, ratio with the Keys epsilon</t>
  </si>
  <si>
    <t xml:space="preserve">floor, clamp to [0,1]. Edit an intermediate cell and they recompute.</t>
  </si>
  <si>
    <t xml:space="preserve">Note: the four per-BEA intermediates (tabs 1-4) are pipeline VALUES -</t>
  </si>
  <si>
    <t xml:space="preserve">they row-sum the TWO-REGION Use/DomesticUse tables (SoI + RoUS blocks),</t>
  </si>
  <si>
    <t xml:space="preserve">but only the SoI blocks are embedded here, so they cannot be reproduced</t>
  </si>
  <si>
    <t xml:space="preserve">in-sheet. The Src_ Use tabs are context/provenance. 9_Output_by_ISIC is</t>
  </si>
  <si>
    <t xml:space="preserve">also a pipeline value (= BObIC output row: 2012 USD, incl. OCS</t>
  </si>
  <si>
    <t xml:space="preserve">attribution for LA/TX/AL/MS).</t>
  </si>
  <si>
    <t xml:space="preserve">Tabs:</t>
  </si>
  <si>
    <t xml:space="preserve">  - About / Keys</t>
  </si>
  <si>
    <t xml:space="preserve">  - 1_DCS_numerator_by_BEA / 2_DCS_denominator_by_BEA (pipeline values)</t>
  </si>
  <si>
    <t xml:space="preserve">  - 3_ESoP_RoUS_exports_by_BEA / 4_ESoP_intl_exports_by_BEA (pipeline values)</t>
  </si>
  <si>
    <t xml:space="preserve">  - 5_Exp_total_by_BEA = tab3 + tab4 (formulas)</t>
  </si>
  <si>
    <t xml:space="preserve">  - Src_Stateior_SoI_DomUse / _TotUse (context)</t>
  </si>
  <si>
    <t xml:space="preserve">  - Crosswalk / splits / NAICS key</t>
  </si>
  <si>
    <t xml:space="preserve">  - 6/7_Calc_* - crosswalk-aggregate DCS num + den (nominal; units cancel)</t>
  </si>
  <si>
    <t xml:space="preserve">  - 8_Calc_Exp_ISIC - aggregate exports AND deflate to 2012 USD, so the</t>
  </si>
  <si>
    <t xml:space="preserve">    ESoP ratio is unit-consistent with its denominator</t>
  </si>
  <si>
    <t xml:space="preserve">  - 9_Output_by_ISIC - ESoP denominator (pipeline value, 2012 USD; matches BObIC.csv)</t>
  </si>
  <si>
    <t xml:space="preserve">  - 9b_DCS_overrides / 9c_ESoP_overrides - EIA-anchored energy balances</t>
  </si>
  <si>
    <t xml:space="preserve">    (coal 05, oil&amp;gas 06) + the 36T39 physical-locality assumption</t>
  </si>
  <si>
    <t xml:space="preserve">    (DCS=1, ESoP=0); each row carries its source/rationale</t>
  </si>
  <si>
    <t xml:space="preserve">  - 10_Calc_DCS_ratio / 11_Calc_ESoP_ratio - ratio + epsilon floor + clamp;</t>
  </si>
  <si>
    <t xml:space="preserve">    final columns apply the overrides where present</t>
  </si>
  <si>
    <t xml:space="preserve">  - BDCSoCbIC / BESoP - final fraction rows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</si>
  <si>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</si>
  <si>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</si>
  <si>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</si>
  <si>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</si>
  <si>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</si>
  <si>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</si>
  <si>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</si>
  <si>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</si>
  <si>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</si>
  <si>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</si>
  <si>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</si>
  <si>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</si>
  <si>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</si>
  <si>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</si>
  <si>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</si>
  <si>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</si>
  <si>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SoI_supply_to_SoI_USD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</si>
  <si>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</si>
  <si>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</si>
  <si>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</si>
  <si>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</si>
  <si>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</si>
  <si>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</si>
  <si>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</si>
  <si>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</si>
  <si>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</si>
  <si>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</si>
  <si>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</si>
  <si>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</si>
  <si>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</si>
  <si>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</si>
  <si>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</si>
  <si>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</si>
  <si>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</si>
  <si>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</si>
  <si>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</si>
  <si>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</si>
  <si>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</si>
  <si>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</si>
  <si>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</si>
  <si>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</si>
  <si>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</si>
  <si>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</si>
  <si>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</si>
  <si>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</si>
  <si>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</si>
  <si>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</si>
  <si>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</si>
  <si>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</si>
  <si>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</si>
  <si>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</si>
  <si>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</si>
  <si>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</si>
  <si>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</si>
  <si>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</si>
  <si>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</si>
  <si>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</si>
  <si>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</si>
  <si>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</si>
  <si>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</si>
  <si>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</si>
  <si>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</si>
  <si>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</si>
  <si>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</si>
  <si>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</si>
  <si>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</si>
  <si>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</si>
  <si>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</si>
  <si>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</si>
  <si>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</si>
  <si>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</si>
  <si>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</si>
  <si>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</si>
  <si>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</si>
  <si>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</si>
  <si>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</si>
  <si>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</si>
  <si>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</si>
  <si>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</si>
  <si>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</si>
  <si>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</si>
  <si>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</si>
  <si>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</si>
  <si>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</si>
  <si>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</si>
  <si>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</si>
  <si>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</si>
  <si>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</si>
  <si>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</si>
  <si>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</si>
  <si>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total_supply_in_SoI_USD</t>
  </si>
  <si>
    <t xml:space="preserve">exports_to_RoUS_USD</t>
  </si>
  <si>
    <t xml:space="preserve">exports_intl_USD</t>
  </si>
  <si>
    <t xml:space="preserve">exports_total_USD (= RoUS + intl)</t>
  </si>
  <si>
    <t xml:space="preserve">State-of-Interest Domestic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</si>
  <si>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</si>
  <si>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</si>
  <si>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</si>
  <si>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</si>
  <si>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</si>
  <si>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</si>
  <si>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</si>
  <si>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</si>
  <si>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</si>
  <si>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</si>
  <si>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</si>
  <si>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</si>
  <si>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</si>
  <si>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</si>
  <si>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</si>
  <si>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</si>
  <si>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</si>
  <si>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</si>
  <si>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</si>
  <si>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</si>
  <si>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</si>
  <si>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</si>
  <si>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</si>
  <si>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</si>
  <si>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</si>
  <si>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</si>
  <si>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State-of-Interest Total Use matrix at BEA Summary resolution, from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</si>
  <si>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</si>
  <si>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</si>
  <si>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</si>
  <si>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CT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</si>
  <si>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</si>
  <si>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</si>
  <si>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</si>
  <si>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</si>
  <si>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</si>
  <si>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</si>
  <si>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</si>
  <si>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</si>
  <si>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</si>
  <si>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</si>
  <si>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</si>
  <si>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</si>
  <si>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</si>
  <si>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</si>
  <si>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</si>
  <si>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</si>
  <si>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</si>
  <si>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</si>
  <si>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</si>
  <si>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</si>
  <si>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</si>
  <si>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</si>
  <si>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</si>
  <si>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</si>
  <si>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</si>
  <si>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</si>
  <si>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</si>
  <si>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</si>
  <si>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</si>
  <si>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</si>
  <si>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</si>
  <si>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</si>
  <si>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</si>
  <si>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</si>
  <si>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</si>
  <si>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</si>
  <si>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</si>
  <si>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</si>
  <si>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</si>
  <si>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</si>
  <si>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</si>
  <si>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</si>
  <si>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</si>
  <si>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</si>
  <si>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</si>
  <si>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</si>
  <si>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</si>
  <si>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</si>
  <si>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</si>
  <si>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</si>
  <si>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</si>
  <si>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</si>
  <si>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</si>
  <si>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</si>
  <si>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</si>
  <si>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</si>
  <si>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</si>
  <si>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</si>
  <si>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</si>
  <si>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</si>
  <si>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</si>
  <si>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</si>
  <si>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</si>
  <si>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</si>
  <si>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</si>
  <si>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</si>
  <si>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</si>
  <si>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</si>
  <si>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</si>
  <si>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</si>
  <si>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</si>
  <si>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</si>
  <si>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</si>
  <si>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</si>
  <si>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</si>
  <si>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</si>
  <si>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</si>
  <si>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</si>
  <si>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</si>
  <si>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</si>
  <si>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</si>
  <si>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</si>
  <si>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</si>
  <si>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</si>
  <si>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</si>
  <si>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</si>
  <si>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</si>
  <si>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</si>
  <si>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</si>
  <si>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</si>
  <si>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</si>
  <si>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</si>
  <si>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</si>
  <si>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</si>
  <si>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</si>
  <si>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</si>
  <si>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</si>
  <si>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</si>
  <si>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CT.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</si>
  <si>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</si>
  <si>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</si>
  <si>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</si>
  <si>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</si>
  <si>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</si>
  <si>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</si>
  <si>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</si>
  <si>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</si>
  <si>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</si>
  <si>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</si>
  <si>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</si>
  <si>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</si>
  <si>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</si>
  <si>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</si>
  <si>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</si>
  <si>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</si>
  <si>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</si>
  <si>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</si>
  <si>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</si>
  <si>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</si>
  <si>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</si>
  <si>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</si>
  <si>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</si>
  <si>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</si>
  <si>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</si>
  <si>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</si>
  <si>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</si>
  <si>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</si>
  <si>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</si>
  <si>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</si>
  <si>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</si>
  <si>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</si>
  <si>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</si>
  <si>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</si>
  <si>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</si>
  <si>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</si>
  <si>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</si>
  <si>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</si>
  <si>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</si>
  <si>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</si>
  <si>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</si>
  <si>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</si>
  <si>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</si>
  <si>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</si>
  <si>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</si>
  <si>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</si>
  <si>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</si>
  <si>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</si>
  <si>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</si>
  <si>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</si>
  <si>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</si>
  <si>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</si>
  <si>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</si>
  <si>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</si>
  <si>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</si>
  <si>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</si>
  <si>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</si>
  <si>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</si>
  <si>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</si>
  <si>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</si>
  <si>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</si>
  <si>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</si>
  <si>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</si>
  <si>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</si>
  <si>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</si>
  <si>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</si>
  <si>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</si>
  <si>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</si>
  <si>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</si>
  <si>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</si>
  <si>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</si>
  <si>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</si>
  <si>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</si>
  <si>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</si>
  <si>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</si>
  <si>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</si>
  <si>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</si>
  <si>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</si>
  <si>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</si>
  <si>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</si>
  <si>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</si>
  <si>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</si>
  <si>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</si>
  <si>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</si>
  <si>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</si>
  <si>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</si>
  <si>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</si>
  <si>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</si>
  <si>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</si>
  <si>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</si>
  <si>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</si>
  <si>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</si>
  <si>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</si>
  <si>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</si>
  <si>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</si>
  <si>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</si>
  <si>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</si>
  <si>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</si>
  <si>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</si>
  <si>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</si>
  <si>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</si>
  <si>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</si>
  <si>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</si>
  <si>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</si>
  <si>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</si>
  <si>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</si>
  <si>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</si>
  <si>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</si>
  <si>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</si>
  <si>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</si>
  <si>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</si>
  <si>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</si>
  <si>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</si>
  <si>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</si>
  <si>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</si>
  <si>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</si>
  <si>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</si>
  <si>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</si>
  <si>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</si>
  <si>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</si>
  <si>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</si>
  <si>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</si>
  <si>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</si>
  <si>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</si>
  <si>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</si>
  <si>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</si>
  <si>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</si>
  <si>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</si>
  <si>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</si>
  <si>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</si>
  <si>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</si>
  <si>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</si>
  <si>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</si>
  <si>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</si>
  <si>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</si>
  <si>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</si>
  <si>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</si>
  <si>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</si>
  <si>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</si>
  <si>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</si>
  <si>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</si>
  <si>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</si>
  <si>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</si>
  <si>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</si>
  <si>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</si>
  <si>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</si>
  <si>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</si>
  <si>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</si>
  <si>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</si>
  <si>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</si>
  <si>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</si>
  <si>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</si>
  <si>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</si>
  <si>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</si>
  <si>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</si>
  <si>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2021 $173M -&gt; coal share 0.000 (applied to stateior 212 $291M)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</si>
  <si>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</si>
  <si>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</si>
  <si>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</si>
  <si>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</si>
  <si>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</si>
  <si>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</si>
  <si>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</si>
  <si>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</si>
  <si>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</si>
  <si>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</si>
  <si>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</si>
  <si>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</si>
  <si>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</si>
  <si>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</si>
  <si>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</si>
  <si>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</si>
  <si>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</si>
  <si>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</si>
  <si>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CT.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</si>
  <si>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</si>
  <si>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</si>
  <si>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</si>
  <si>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</si>
  <si>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</si>
  <si>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</si>
  <si>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</si>
  <si>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</si>
  <si>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</si>
  <si>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</si>
  <si>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</si>
  <si>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</si>
  <si>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</si>
  <si>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</si>
  <si>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</si>
  <si>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</si>
  <si>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</si>
  <si>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</si>
  <si>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</si>
  <si>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</si>
  <si>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</si>
  <si>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</si>
  <si>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</si>
  <si>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</si>
  <si>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</si>
  <si>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</si>
  <si>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</si>
  <si>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</si>
  <si>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</si>
  <si>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</si>
  <si>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</si>
  <si>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</si>
  <si>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</si>
  <si>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</si>
  <si>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</si>
  <si>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</si>
  <si>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</si>
  <si>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</si>
  <si>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</si>
  <si>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</si>
  <si>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</si>
  <si>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</si>
  <si>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</si>
  <si>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</si>
  <si>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</si>
  <si>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</si>
  <si>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</si>
  <si>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</si>
  <si>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</si>
  <si>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</si>
  <si>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</si>
  <si>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</si>
  <si>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</si>
  <si>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</si>
  <si>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</si>
  <si>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</si>
  <si>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</si>
  <si>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</si>
  <si>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</si>
  <si>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</si>
  <si>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</si>
  <si>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</si>
  <si>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</si>
  <si>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</si>
  <si>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</si>
  <si>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</si>
  <si>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</si>
  <si>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</si>
  <si>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</si>
  <si>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</si>
  <si>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</si>
  <si>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</si>
  <si>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</si>
  <si>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</si>
  <si>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</si>
  <si>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</si>
  <si>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</si>
  <si>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</si>
  <si>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</si>
  <si>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</si>
  <si>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</si>
  <si>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</si>
  <si>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</si>
  <si>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</si>
  <si>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</si>
  <si>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</si>
  <si>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</si>
  <si>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</si>
  <si>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STEP 2 - aggregate weighted values to 42 ISIC, then deflate to 2012 USD (Keys!$C$2)</t>
  </si>
  <si>
    <t xml:space="preserve">value_2012USD</t>
  </si>
  <si>
    <t xml:space="preserve">output_USD_2012 (pipeline value; matches BObIC.csv; ESoP denominator)</t>
  </si>
  <si>
    <t xml:space="preserve">dcs_override</t>
  </si>
  <si>
    <t xml:space="preserve">EIA own-use-first balance: min(prod 0.0Mt, cons 0.0Mt)/cons [eia7a_coal_production_2019.csv + seds_coal_consumption_2019.csv]</t>
  </si>
  <si>
    <t xml:space="preserve">EIA energy-weighted balance: crude min(prod 0, runs 0)MMbbl=0.00 (w 0%), gas min(prod 0.00, cons 0.28)Tcf=0.00 (w 100%) [eia_og_balance_2019.csv]</t>
  </si>
  <si>
    <t xml:space="preserve">EIA SEDS balance: 1 - max(net inflow -9567, 0)/consumption 27900 GWh (ELISP+ELNIP vs ESTCP) [seds_electricity_2019.csv]</t>
  </si>
  <si>
    <t xml:space="preserve">Physical-locality assumption (staff decision 2026-07-16): local-infrastructure service; no federal interstate service-trade data exists</t>
  </si>
  <si>
    <t xml:space="preserve">esop_override</t>
  </si>
  <si>
    <t xml:space="preserve">Physical-locality assumption (staff decision 2026-07-16): local-infrastructure service; no exports</t>
  </si>
  <si>
    <t xml:space="preserve">EIA SEDS balance: max(net outflow 9567, 0)/(consumption 27900 + net outflow) GWh (ELISP+ELNIP vs ESTCP) [seds_electricity_2019.csv]</t>
  </si>
  <si>
    <t xml:space="preserve">DCS per ISIC = SoI-supplied / total consumption, den floored by Keys epsilon, clamped to [0,1]; final column applies overrides where present</t>
  </si>
  <si>
    <t xml:space="preserve">numerator</t>
  </si>
  <si>
    <t xml:space="preserve">denominator</t>
  </si>
  <si>
    <t xml:space="preserve">ratio (den floored by Keys epsilon)</t>
  </si>
  <si>
    <t xml:space="preserve">clamped_0_to_1</t>
  </si>
  <si>
    <t xml:space="preserve">final (override where present, else computed)</t>
  </si>
  <si>
    <t xml:space="preserve">ESoP per ISIC = (RoUS + intl exports) / output, den floored by Keys epsilon, clamped to [0,1]; final column applies overrides where present</t>
  </si>
  <si>
    <t xml:space="preserve">Unit: dimensionless (%)</t>
  </si>
  <si>
    <t xml:space="preserve">Percent of Consumption that is Domestic Content</t>
  </si>
  <si>
    <t xml:space="preserve">Export Share of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</si>
</sst>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1</v>
      </c>
    </row>
    <row r="35">
      <c r="A35" t="s">
        <v>4</v>
      </c>
    </row>
    <row r="36">
      <c r="A36" t="s">
        <v>27</v>
      </c>
    </row>
    <row r="37">
      <c r="A37" t="s">
        <v>4</v>
      </c>
    </row>
    <row r="38">
      <c r="A38" t="s">
        <v>28</v>
      </c>
    </row>
    <row r="39">
      <c r="A39" t="s">
        <v>29</v>
      </c>
    </row>
    <row r="40">
      <c r="A40" t="s">
        <v>1</v>
      </c>
    </row>
    <row r="41">
      <c r="A41" t="s">
        <v>30</v>
      </c>
    </row>
    <row r="42">
      <c r="A42" t="s">
        <v>31</v>
      </c>
    </row>
    <row r="43">
      <c r="A43" t="s">
        <v>32</v>
      </c>
    </row>
    <row r="44">
      <c r="A44" t="s">
        <v>33</v>
      </c>
    </row>
    <row r="45">
      <c r="A45" t="s">
        <v>34</v>
      </c>
    </row>
    <row r="46">
      <c r="A46" t="s">
        <v>35</v>
      </c>
    </row>
    <row r="47">
      <c r="A47" t="s">
        <v>36</v>
      </c>
    </row>
    <row r="48">
      <c r="A48" t="s">
        <v>37</v>
      </c>
    </row>
    <row r="49">
      <c r="A49" t="s">
        <v>38</v>
      </c>
    </row>
    <row r="50">
      <c r="A50" t="s">
        <v>39</v>
      </c>
    </row>
    <row r="51">
      <c r="A51" t="s">
        <v>40</v>
      </c>
    </row>
    <row r="52">
      <c r="A52" t="s">
        <v>1</v>
      </c>
    </row>
    <row r="53">
      <c r="A53" t="s">
        <v>41</v>
      </c>
    </row>
    <row r="54">
      <c r="A54" t="s">
        <v>42</v>
      </c>
    </row>
    <row r="55">
      <c r="A55" t="s">
        <v>1</v>
      </c>
    </row>
    <row r="56">
      <c r="A56" t="s">
        <v>4</v>
      </c>
    </row>
    <row r="57">
      <c r="A57" t="s">
        <v>43</v>
      </c>
    </row>
    <row r="58">
      <c r="A58" t="s">
        <v>4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71</v>
      </c>
    </row>
    <row r="96">
      <c r="A96" t="s">
        <v>72</v>
      </c>
    </row>
    <row r="97">
      <c r="A97" t="s">
        <v>73</v>
      </c>
    </row>
    <row r="98">
      <c r="A98" t="s">
        <v>1</v>
      </c>
    </row>
    <row r="99">
      <c r="A99" t="s">
        <v>74</v>
      </c>
    </row>
    <row r="100">
      <c r="A100" t="s">
        <v>75</v>
      </c>
    </row>
    <row r="101">
      <c r="A101" t="s">
        <v>76</v>
      </c>
    </row>
    <row r="102">
      <c r="A102" t="s">
        <v>1</v>
      </c>
    </row>
    <row r="103">
      <c r="A103" t="s">
        <v>4</v>
      </c>
    </row>
    <row r="104">
      <c r="A104" t="s">
        <v>77</v>
      </c>
    </row>
    <row r="105">
      <c r="A105" t="s">
        <v>4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1</v>
      </c>
    </row>
    <row r="110">
      <c r="A110" t="s">
        <v>81</v>
      </c>
    </row>
    <row r="111">
      <c r="A111" t="s">
        <v>82</v>
      </c>
    </row>
    <row r="112">
      <c r="A112" t="s">
        <v>83</v>
      </c>
    </row>
    <row r="113">
      <c r="A113" t="s">
        <v>84</v>
      </c>
    </row>
    <row r="114">
      <c r="A114" t="s">
        <v>85</v>
      </c>
    </row>
    <row r="115">
      <c r="A115" t="s">
        <v>86</v>
      </c>
    </row>
    <row r="116">
      <c r="A116" t="s">
        <v>1</v>
      </c>
    </row>
    <row r="117">
      <c r="A117" t="s">
        <v>87</v>
      </c>
    </row>
    <row r="118">
      <c r="A118" t="s">
        <v>88</v>
      </c>
    </row>
    <row r="119">
      <c r="A119" t="s">
        <v>89</v>
      </c>
    </row>
    <row r="120">
      <c r="A120" t="s">
        <v>90</v>
      </c>
    </row>
    <row r="121">
      <c r="A121" t="s">
        <v>91</v>
      </c>
    </row>
    <row r="122">
      <c r="A122" t="s">
        <v>92</v>
      </c>
    </row>
    <row r="123">
      <c r="A123" t="s">
        <v>93</v>
      </c>
    </row>
    <row r="124">
      <c r="A124" t="s">
        <v>94</v>
      </c>
    </row>
    <row r="125">
      <c r="A125" t="s">
        <v>95</v>
      </c>
    </row>
    <row r="126">
      <c r="A126" t="s">
        <v>96</v>
      </c>
    </row>
    <row r="127">
      <c r="A127" t="s">
        <v>97</v>
      </c>
    </row>
    <row r="128">
      <c r="A128" t="s">
        <v>98</v>
      </c>
    </row>
    <row r="129">
      <c r="A129" t="s">
        <v>99</v>
      </c>
    </row>
    <row r="130">
      <c r="A130" t="s">
        <v>100</v>
      </c>
    </row>
    <row r="131">
      <c r="A131" t="s">
        <v>101</v>
      </c>
    </row>
    <row r="132">
      <c r="A132" t="s">
        <v>102</v>
      </c>
    </row>
    <row r="133">
      <c r="A133" t="s">
        <v>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104</v>
      </c>
      <c r="B1" t="s">
        <v>105</v>
      </c>
      <c r="C1" t="s">
        <v>106</v>
      </c>
      <c r="D1" t="s">
        <v>107</v>
      </c>
    </row>
    <row r="2">
      <c r="A2" t="s">
        <v>108</v>
      </c>
      <c r="B2" t="s">
        <v>109</v>
      </c>
      <c r="C2" t="n">
        <v>1.12266</v>
      </c>
      <c r="D2" t="s">
        <v>110</v>
      </c>
    </row>
    <row r="3">
      <c r="A3" t="s">
        <v>111</v>
      </c>
      <c r="B3" t="s">
        <v>112</v>
      </c>
      <c r="C3" t="n">
        <v>2019</v>
      </c>
      <c r="D3" t="s">
        <v>113</v>
      </c>
    </row>
    <row r="4">
      <c r="A4" t="s">
        <v>114</v>
      </c>
      <c r="B4" t="s">
        <v>115</v>
      </c>
      <c r="C4" t="n">
        <v>0.000000001</v>
      </c>
      <c r="D4" t="s">
        <v>116</v>
      </c>
    </row>
    <row r="5">
      <c r="A5" t="s">
        <v>114</v>
      </c>
      <c r="B5" t="s">
        <v>117</v>
      </c>
      <c r="C5" t="n">
        <v>1</v>
      </c>
      <c r="D5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120</v>
      </c>
    </row>
    <row r="2">
      <c r="A2" t="s">
        <v>121</v>
      </c>
      <c r="B2" t="n">
        <v>418187757.73138</v>
      </c>
    </row>
    <row r="3">
      <c r="A3" t="s">
        <v>122</v>
      </c>
      <c r="B3" t="n">
        <v>50578025.1166224</v>
      </c>
    </row>
    <row r="4">
      <c r="A4" t="s">
        <v>123</v>
      </c>
      <c r="B4" t="n">
        <v>46040220.3521427</v>
      </c>
    </row>
    <row r="5">
      <c r="A5" t="s">
        <v>124</v>
      </c>
      <c r="B5" t="n">
        <v>241813993.24647</v>
      </c>
    </row>
    <row r="6">
      <c r="A6" t="s">
        <v>125</v>
      </c>
      <c r="B6" t="n">
        <v>239260.75767867</v>
      </c>
    </row>
    <row r="7">
      <c r="A7" t="s">
        <v>126</v>
      </c>
      <c r="B7" t="n">
        <v>1058124065.58131</v>
      </c>
    </row>
    <row r="8">
      <c r="A8" t="s">
        <v>127</v>
      </c>
      <c r="B8" t="n">
        <v>3417763191.24772</v>
      </c>
    </row>
    <row r="9">
      <c r="A9" t="s">
        <v>128</v>
      </c>
      <c r="B9" t="n">
        <v>243142598.089517</v>
      </c>
    </row>
    <row r="10">
      <c r="A10" t="s">
        <v>129</v>
      </c>
      <c r="B10" t="n">
        <v>335907436.88301</v>
      </c>
    </row>
    <row r="11">
      <c r="A11" t="s">
        <v>130</v>
      </c>
      <c r="B11" t="n">
        <v>1014302206.07337</v>
      </c>
    </row>
    <row r="12">
      <c r="A12" t="s">
        <v>131</v>
      </c>
      <c r="B12" t="n">
        <v>1712055658.79997</v>
      </c>
    </row>
    <row r="13">
      <c r="A13" t="s">
        <v>132</v>
      </c>
      <c r="B13" t="n">
        <v>382648764.664742</v>
      </c>
    </row>
    <row r="14">
      <c r="A14" t="s">
        <v>133</v>
      </c>
      <c r="B14" t="n">
        <v>379080630.77873</v>
      </c>
    </row>
    <row r="15">
      <c r="A15" t="s">
        <v>134</v>
      </c>
      <c r="B15" t="n">
        <v>209944100.782418</v>
      </c>
    </row>
    <row r="16">
      <c r="A16" t="s">
        <v>135</v>
      </c>
      <c r="B16" t="n">
        <v>470648743.889763</v>
      </c>
    </row>
    <row r="17">
      <c r="A17" t="s">
        <v>136</v>
      </c>
      <c r="B17" t="n">
        <v>1400307998.20096</v>
      </c>
    </row>
    <row r="18">
      <c r="A18" t="s">
        <v>137</v>
      </c>
      <c r="B18" t="n">
        <v>104616399.742804</v>
      </c>
    </row>
    <row r="19">
      <c r="A19" t="s">
        <v>138</v>
      </c>
      <c r="B19" t="n">
        <v>190931736.185543</v>
      </c>
    </row>
    <row r="20">
      <c r="A20" t="s">
        <v>139</v>
      </c>
      <c r="B20" t="n">
        <v>1410116663.86674</v>
      </c>
    </row>
    <row r="21">
      <c r="A21" t="s">
        <v>140</v>
      </c>
      <c r="B21" t="n">
        <v>33917360.2017571</v>
      </c>
    </row>
    <row r="22">
      <c r="A22" t="s">
        <v>141</v>
      </c>
      <c r="B22" t="n">
        <v>4999393.61577048</v>
      </c>
    </row>
    <row r="23">
      <c r="A23" t="s">
        <v>142</v>
      </c>
      <c r="B23" t="n">
        <v>706555452.907973</v>
      </c>
    </row>
    <row r="24">
      <c r="A24" t="s">
        <v>143</v>
      </c>
      <c r="B24" t="n">
        <v>678777888.876502</v>
      </c>
    </row>
    <row r="25">
      <c r="A25" t="s">
        <v>144</v>
      </c>
      <c r="B25" t="n">
        <v>530230692.32211</v>
      </c>
    </row>
    <row r="26">
      <c r="A26" t="s">
        <v>145</v>
      </c>
      <c r="B26" t="n">
        <v>1756451244.39307</v>
      </c>
    </row>
    <row r="27">
      <c r="A27" t="s">
        <v>146</v>
      </c>
      <c r="B27" t="n">
        <v>1263867414.04833</v>
      </c>
    </row>
    <row r="28">
      <c r="A28" t="s">
        <v>147</v>
      </c>
      <c r="B28" t="n">
        <v>2754072516.45016</v>
      </c>
    </row>
    <row r="29">
      <c r="A29" t="s">
        <v>148</v>
      </c>
      <c r="B29" t="n">
        <v>263216548.4556</v>
      </c>
    </row>
    <row r="30">
      <c r="A30" t="s">
        <v>149</v>
      </c>
      <c r="B30" t="n">
        <v>27217974.3362222</v>
      </c>
    </row>
    <row r="31">
      <c r="A31" t="s">
        <v>150</v>
      </c>
      <c r="B31" t="n">
        <v>600370.664552331</v>
      </c>
    </row>
    <row r="32">
      <c r="A32" t="s">
        <v>151</v>
      </c>
      <c r="B32" t="n">
        <v>1042659156.39861</v>
      </c>
    </row>
    <row r="33">
      <c r="A33" t="s">
        <v>152</v>
      </c>
      <c r="B33" t="n">
        <v>235841575.23529</v>
      </c>
    </row>
    <row r="34">
      <c r="A34" t="s">
        <v>153</v>
      </c>
      <c r="B34" t="n">
        <v>165116406.549635</v>
      </c>
    </row>
    <row r="35">
      <c r="A35" t="s">
        <v>154</v>
      </c>
      <c r="B35" t="n">
        <v>96539593.945575</v>
      </c>
    </row>
    <row r="36">
      <c r="A36" t="s">
        <v>155</v>
      </c>
      <c r="B36" t="n">
        <v>962192282.420061</v>
      </c>
    </row>
    <row r="37">
      <c r="A37" t="s">
        <v>156</v>
      </c>
      <c r="B37" t="n">
        <v>864029822.490291</v>
      </c>
    </row>
    <row r="38">
      <c r="A38" t="s">
        <v>157</v>
      </c>
      <c r="B38" t="n">
        <v>57892017.1501627</v>
      </c>
    </row>
    <row r="39">
      <c r="A39" t="s">
        <v>158</v>
      </c>
      <c r="B39" t="n">
        <v>2580149533.76282</v>
      </c>
    </row>
    <row r="40">
      <c r="A40" t="s">
        <v>159</v>
      </c>
      <c r="B40" t="n">
        <v>646410502.202644</v>
      </c>
    </row>
    <row r="41">
      <c r="A41" t="s">
        <v>160</v>
      </c>
      <c r="B41" t="n">
        <v>383463172.324195</v>
      </c>
    </row>
    <row r="42">
      <c r="A42" t="s">
        <v>161</v>
      </c>
      <c r="B42" t="n">
        <v>248955144.977688</v>
      </c>
    </row>
    <row r="43">
      <c r="A43" t="s">
        <v>162</v>
      </c>
      <c r="B43" t="n">
        <v>3871357069.00421</v>
      </c>
    </row>
    <row r="44">
      <c r="A44" t="s">
        <v>163</v>
      </c>
      <c r="B44" t="n">
        <v>1717675102.85314</v>
      </c>
    </row>
    <row r="45">
      <c r="A45" t="s">
        <v>164</v>
      </c>
      <c r="B45" t="n">
        <v>1925158894.40128</v>
      </c>
    </row>
    <row r="46">
      <c r="A46" t="s">
        <v>165</v>
      </c>
      <c r="B46" t="n">
        <v>2783712847.69251</v>
      </c>
    </row>
    <row r="47">
      <c r="A47" t="s">
        <v>166</v>
      </c>
      <c r="B47" t="n">
        <v>3029662682.24714</v>
      </c>
    </row>
    <row r="48">
      <c r="A48" t="s">
        <v>167</v>
      </c>
      <c r="B48" t="n">
        <v>24324249.873969</v>
      </c>
    </row>
    <row r="49">
      <c r="A49" t="s">
        <v>168</v>
      </c>
      <c r="B49" t="n">
        <v>0</v>
      </c>
    </row>
    <row r="50">
      <c r="A50" t="s">
        <v>169</v>
      </c>
      <c r="B50" t="n">
        <v>16992680039.7146</v>
      </c>
    </row>
    <row r="51">
      <c r="A51" t="s">
        <v>170</v>
      </c>
      <c r="B51" t="n">
        <v>1175784951.8287</v>
      </c>
    </row>
    <row r="52">
      <c r="A52" t="s">
        <v>171</v>
      </c>
      <c r="B52" t="n">
        <v>2195375827.95507</v>
      </c>
    </row>
    <row r="53">
      <c r="A53" t="s">
        <v>172</v>
      </c>
      <c r="B53" t="n">
        <v>2307738614.47419</v>
      </c>
    </row>
    <row r="54">
      <c r="A54" t="s">
        <v>173</v>
      </c>
      <c r="B54" t="n">
        <v>3313405478.31617</v>
      </c>
    </row>
    <row r="55">
      <c r="A55" t="s">
        <v>174</v>
      </c>
      <c r="B55" t="n">
        <v>5986014762.47329</v>
      </c>
    </row>
    <row r="56">
      <c r="A56" t="s">
        <v>175</v>
      </c>
      <c r="B56" t="n">
        <v>6787329522.6056</v>
      </c>
    </row>
    <row r="57">
      <c r="A57" t="s">
        <v>176</v>
      </c>
      <c r="B57" t="n">
        <v>80505417.5513602</v>
      </c>
    </row>
    <row r="58">
      <c r="A58" t="s">
        <v>177</v>
      </c>
      <c r="B58" t="n">
        <v>79249131.2951652</v>
      </c>
    </row>
    <row r="59">
      <c r="A59" t="s">
        <v>178</v>
      </c>
      <c r="B59" t="n">
        <v>515024425.489312</v>
      </c>
    </row>
    <row r="60">
      <c r="A60" t="s">
        <v>179</v>
      </c>
      <c r="B60" t="n">
        <v>11951212.2551298</v>
      </c>
    </row>
    <row r="61">
      <c r="A61" t="s">
        <v>180</v>
      </c>
      <c r="B61" t="n">
        <v>27979865.5805496</v>
      </c>
    </row>
    <row r="62">
      <c r="A62" t="s">
        <v>181</v>
      </c>
      <c r="B62" t="n">
        <v>0</v>
      </c>
    </row>
    <row r="63">
      <c r="A63" t="s">
        <v>182</v>
      </c>
      <c r="B63" t="n">
        <v>1079250192.99335</v>
      </c>
    </row>
    <row r="64">
      <c r="A64" t="s">
        <v>183</v>
      </c>
      <c r="B64" t="n">
        <v>31630020.9381866</v>
      </c>
    </row>
    <row r="65">
      <c r="A65" t="s">
        <v>184</v>
      </c>
      <c r="B65" t="n">
        <v>800659810.120111</v>
      </c>
    </row>
    <row r="66">
      <c r="A66" t="s">
        <v>185</v>
      </c>
      <c r="B66" t="n">
        <v>2848531792.05251</v>
      </c>
    </row>
    <row r="67">
      <c r="A67" t="s">
        <v>186</v>
      </c>
      <c r="B67" t="n">
        <v>2959261552.4536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162444556.738568</v>
      </c>
    </row>
    <row r="71">
      <c r="A71" t="s">
        <v>190</v>
      </c>
      <c r="B71" t="n">
        <v>0</v>
      </c>
    </row>
    <row r="72">
      <c r="A72" t="s">
        <v>191</v>
      </c>
      <c r="B72" t="n">
        <v>455081504.92617</v>
      </c>
    </row>
    <row r="73">
      <c r="A73" t="s">
        <v>192</v>
      </c>
      <c r="B73" t="n">
        <v>638782392.471812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194</v>
      </c>
    </row>
    <row r="2">
      <c r="A2" t="s">
        <v>121</v>
      </c>
      <c r="B2" t="n">
        <v>1862834549.69745</v>
      </c>
    </row>
    <row r="3">
      <c r="A3" t="s">
        <v>122</v>
      </c>
      <c r="B3" t="n">
        <v>321394827.994284</v>
      </c>
    </row>
    <row r="4">
      <c r="A4" t="s">
        <v>123</v>
      </c>
      <c r="B4" t="n">
        <v>652721563.307399</v>
      </c>
    </row>
    <row r="5">
      <c r="A5" t="s">
        <v>124</v>
      </c>
      <c r="B5" t="n">
        <v>578483274.377492</v>
      </c>
    </row>
    <row r="6">
      <c r="A6" t="s">
        <v>125</v>
      </c>
      <c r="B6" t="n">
        <v>3933388.83651157</v>
      </c>
    </row>
    <row r="7">
      <c r="A7" t="s">
        <v>126</v>
      </c>
      <c r="B7" t="n">
        <v>4410910359.60483</v>
      </c>
    </row>
    <row r="8">
      <c r="A8" t="s">
        <v>127</v>
      </c>
      <c r="B8" t="n">
        <v>3417763191.24772</v>
      </c>
    </row>
    <row r="9">
      <c r="A9" t="s">
        <v>128</v>
      </c>
      <c r="B9" t="n">
        <v>882983559.151958</v>
      </c>
    </row>
    <row r="10">
      <c r="A10" t="s">
        <v>129</v>
      </c>
      <c r="B10" t="n">
        <v>1219597538.88438</v>
      </c>
    </row>
    <row r="11">
      <c r="A11" t="s">
        <v>130</v>
      </c>
      <c r="B11" t="n">
        <v>4140373935.66216</v>
      </c>
    </row>
    <row r="12">
      <c r="A12" t="s">
        <v>131</v>
      </c>
      <c r="B12" t="n">
        <v>4906631124.99091</v>
      </c>
    </row>
    <row r="13">
      <c r="A13" t="s">
        <v>132</v>
      </c>
      <c r="B13" t="n">
        <v>1899031656.99196</v>
      </c>
    </row>
    <row r="14">
      <c r="A14" t="s">
        <v>133</v>
      </c>
      <c r="B14" t="n">
        <v>3180917416.26479</v>
      </c>
    </row>
    <row r="15">
      <c r="A15" t="s">
        <v>134</v>
      </c>
      <c r="B15" t="n">
        <v>1403686237.22294</v>
      </c>
    </row>
    <row r="16">
      <c r="A16" t="s">
        <v>135</v>
      </c>
      <c r="B16" t="n">
        <v>2054468169.27412</v>
      </c>
    </row>
    <row r="17">
      <c r="A17" t="s">
        <v>136</v>
      </c>
      <c r="B17" t="n">
        <v>6184348617.77137</v>
      </c>
    </row>
    <row r="18">
      <c r="A18" t="s">
        <v>137</v>
      </c>
      <c r="B18" t="n">
        <v>289074214.411629</v>
      </c>
    </row>
    <row r="19">
      <c r="A19" t="s">
        <v>138</v>
      </c>
      <c r="B19" t="n">
        <v>1033400332.80754</v>
      </c>
    </row>
    <row r="20">
      <c r="A20" t="s">
        <v>139</v>
      </c>
      <c r="B20" t="n">
        <v>3663804297.48606</v>
      </c>
    </row>
    <row r="21">
      <c r="A21" t="s">
        <v>140</v>
      </c>
      <c r="B21" t="n">
        <v>563053887.76164</v>
      </c>
    </row>
    <row r="22">
      <c r="A22" t="s">
        <v>141</v>
      </c>
      <c r="B22" t="n">
        <v>176471194.719979</v>
      </c>
    </row>
    <row r="23">
      <c r="A23" t="s">
        <v>142</v>
      </c>
      <c r="B23" t="n">
        <v>1739348329.49485</v>
      </c>
    </row>
    <row r="24">
      <c r="A24" t="s">
        <v>143</v>
      </c>
      <c r="B24" t="n">
        <v>880447123.467365</v>
      </c>
    </row>
    <row r="25">
      <c r="A25" t="s">
        <v>144</v>
      </c>
      <c r="B25" t="n">
        <v>3389739795.74929</v>
      </c>
    </row>
    <row r="26">
      <c r="A26" t="s">
        <v>145</v>
      </c>
      <c r="B26" t="n">
        <v>5952621008.97229</v>
      </c>
    </row>
    <row r="27">
      <c r="A27" t="s">
        <v>146</v>
      </c>
      <c r="B27" t="n">
        <v>2657324105.39428</v>
      </c>
    </row>
    <row r="28">
      <c r="A28" t="s">
        <v>147</v>
      </c>
      <c r="B28" t="n">
        <v>10685804216.6834</v>
      </c>
    </row>
    <row r="29">
      <c r="A29" t="s">
        <v>148</v>
      </c>
      <c r="B29" t="n">
        <v>263216548.4556</v>
      </c>
    </row>
    <row r="30">
      <c r="A30" t="s">
        <v>149</v>
      </c>
      <c r="B30" t="n">
        <v>27217974.3362222</v>
      </c>
    </row>
    <row r="31">
      <c r="A31" t="s">
        <v>150</v>
      </c>
      <c r="B31" t="n">
        <v>55894782.5237325</v>
      </c>
    </row>
    <row r="32">
      <c r="A32" t="s">
        <v>151</v>
      </c>
      <c r="B32" t="n">
        <v>1166458431.05732</v>
      </c>
    </row>
    <row r="33">
      <c r="A33" t="s">
        <v>152</v>
      </c>
      <c r="B33" t="n">
        <v>1308537163.59937</v>
      </c>
    </row>
    <row r="34">
      <c r="A34" t="s">
        <v>153</v>
      </c>
      <c r="B34" t="n">
        <v>481099044.191019</v>
      </c>
    </row>
    <row r="35">
      <c r="A35" t="s">
        <v>154</v>
      </c>
      <c r="B35" t="n">
        <v>117134681.573782</v>
      </c>
    </row>
    <row r="36">
      <c r="A36" t="s">
        <v>155</v>
      </c>
      <c r="B36" t="n">
        <v>2009284266.54386</v>
      </c>
    </row>
    <row r="37">
      <c r="A37" t="s">
        <v>156</v>
      </c>
      <c r="B37" t="n">
        <v>864029822.490291</v>
      </c>
    </row>
    <row r="38">
      <c r="A38" t="s">
        <v>157</v>
      </c>
      <c r="B38" t="n">
        <v>233825506.256372</v>
      </c>
    </row>
    <row r="39">
      <c r="A39" t="s">
        <v>158</v>
      </c>
      <c r="B39" t="n">
        <v>2580521976.91882</v>
      </c>
    </row>
    <row r="40">
      <c r="A40" t="s">
        <v>159</v>
      </c>
      <c r="B40" t="n">
        <v>1526731038.04999</v>
      </c>
    </row>
    <row r="41">
      <c r="A41" t="s">
        <v>160</v>
      </c>
      <c r="B41" t="n">
        <v>835771978.144341</v>
      </c>
    </row>
    <row r="42">
      <c r="A42" t="s">
        <v>161</v>
      </c>
      <c r="B42" t="n">
        <v>1751535844.66504</v>
      </c>
    </row>
    <row r="43">
      <c r="A43" t="s">
        <v>162</v>
      </c>
      <c r="B43" t="n">
        <v>5124308072.29924</v>
      </c>
    </row>
    <row r="44">
      <c r="A44" t="s">
        <v>163</v>
      </c>
      <c r="B44" t="n">
        <v>3127515169.75825</v>
      </c>
    </row>
    <row r="45">
      <c r="A45" t="s">
        <v>164</v>
      </c>
      <c r="B45" t="n">
        <v>10070579220.4088</v>
      </c>
    </row>
    <row r="46">
      <c r="A46" t="s">
        <v>165</v>
      </c>
      <c r="B46" t="n">
        <v>3416614338.1897</v>
      </c>
    </row>
    <row r="47">
      <c r="A47" t="s">
        <v>166</v>
      </c>
      <c r="B47" t="n">
        <v>17447569870.6829</v>
      </c>
    </row>
    <row r="48">
      <c r="A48" t="s">
        <v>167</v>
      </c>
      <c r="B48" t="n">
        <v>151619049.21798</v>
      </c>
    </row>
    <row r="49">
      <c r="A49" t="s">
        <v>168</v>
      </c>
      <c r="B49" t="n">
        <v>0</v>
      </c>
    </row>
    <row r="50">
      <c r="A50" t="s">
        <v>169</v>
      </c>
      <c r="B50" t="n">
        <v>16992680039.7146</v>
      </c>
    </row>
    <row r="51">
      <c r="A51" t="s">
        <v>170</v>
      </c>
      <c r="B51" t="n">
        <v>3556746295.65072</v>
      </c>
    </row>
    <row r="52">
      <c r="A52" t="s">
        <v>171</v>
      </c>
      <c r="B52" t="n">
        <v>3352988908.06619</v>
      </c>
    </row>
    <row r="53">
      <c r="A53" t="s">
        <v>172</v>
      </c>
      <c r="B53" t="n">
        <v>3119886318.20963</v>
      </c>
    </row>
    <row r="54">
      <c r="A54" t="s">
        <v>173</v>
      </c>
      <c r="B54" t="n">
        <v>18061882338.5676</v>
      </c>
    </row>
    <row r="55">
      <c r="A55" t="s">
        <v>174</v>
      </c>
      <c r="B55" t="n">
        <v>7420350244.31677</v>
      </c>
    </row>
    <row r="56">
      <c r="A56" t="s">
        <v>175</v>
      </c>
      <c r="B56" t="n">
        <v>12304839591.1742</v>
      </c>
    </row>
    <row r="57">
      <c r="A57" t="s">
        <v>176</v>
      </c>
      <c r="B57" t="n">
        <v>1225118008.32023</v>
      </c>
    </row>
    <row r="58">
      <c r="A58" t="s">
        <v>177</v>
      </c>
      <c r="B58" t="n">
        <v>285487954.202659</v>
      </c>
    </row>
    <row r="59">
      <c r="A59" t="s">
        <v>178</v>
      </c>
      <c r="B59" t="n">
        <v>515100616.840758</v>
      </c>
    </row>
    <row r="60">
      <c r="A60" t="s">
        <v>179</v>
      </c>
      <c r="B60" t="n">
        <v>11951212.2551298</v>
      </c>
    </row>
    <row r="61">
      <c r="A61" t="s">
        <v>180</v>
      </c>
      <c r="B61" t="n">
        <v>27986492.3873696</v>
      </c>
    </row>
    <row r="62">
      <c r="A62" t="s">
        <v>181</v>
      </c>
      <c r="B62" t="n">
        <v>0</v>
      </c>
    </row>
    <row r="63">
      <c r="A63" t="s">
        <v>182</v>
      </c>
      <c r="B63" t="n">
        <v>1615367352.83928</v>
      </c>
    </row>
    <row r="64">
      <c r="A64" t="s">
        <v>183</v>
      </c>
      <c r="B64" t="n">
        <v>94835975.0302693</v>
      </c>
    </row>
    <row r="65">
      <c r="A65" t="s">
        <v>184</v>
      </c>
      <c r="B65" t="n">
        <v>999791464.122592</v>
      </c>
    </row>
    <row r="66">
      <c r="A66" t="s">
        <v>185</v>
      </c>
      <c r="B66" t="n">
        <v>2848531792.05251</v>
      </c>
    </row>
    <row r="67">
      <c r="A67" t="s">
        <v>186</v>
      </c>
      <c r="B67" t="n">
        <v>3596385098.74742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845397192.660383</v>
      </c>
    </row>
    <row r="71">
      <c r="A71" t="s">
        <v>190</v>
      </c>
      <c r="B71" t="n">
        <v>0</v>
      </c>
    </row>
    <row r="72">
      <c r="A72" t="s">
        <v>191</v>
      </c>
      <c r="B72" t="n">
        <v>455081504.92617</v>
      </c>
    </row>
    <row r="73">
      <c r="A73" t="s">
        <v>192</v>
      </c>
      <c r="B73" t="n">
        <v>699686908.214212</v>
      </c>
    </row>
    <row r="74">
      <c r="A74" t="s">
        <v>193</v>
      </c>
      <c r="B74" t="n">
        <v>2578812590.86097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195</v>
      </c>
    </row>
    <row r="2">
      <c r="A2" t="s">
        <v>121</v>
      </c>
      <c r="B2" t="n">
        <v>321486619.175266</v>
      </c>
    </row>
    <row r="3">
      <c r="A3" t="s">
        <v>122</v>
      </c>
      <c r="B3" t="n">
        <v>70653568.4736061</v>
      </c>
    </row>
    <row r="4">
      <c r="A4" t="s">
        <v>123</v>
      </c>
      <c r="B4" t="n">
        <v>0.00000636070035398006</v>
      </c>
    </row>
    <row r="5">
      <c r="A5" t="s">
        <v>124</v>
      </c>
      <c r="B5" t="n">
        <v>15140783.8447142</v>
      </c>
    </row>
    <row r="6">
      <c r="A6" t="s">
        <v>125</v>
      </c>
      <c r="B6" t="n">
        <v>95.0612376090139</v>
      </c>
    </row>
    <row r="7">
      <c r="A7" t="s">
        <v>126</v>
      </c>
      <c r="B7" t="n">
        <v>6352188733.00621</v>
      </c>
    </row>
    <row r="8">
      <c r="A8" t="s">
        <v>127</v>
      </c>
      <c r="B8" t="n">
        <v>0</v>
      </c>
    </row>
    <row r="9">
      <c r="A9" t="s">
        <v>128</v>
      </c>
      <c r="B9" t="n">
        <v>1055115.72266962</v>
      </c>
    </row>
    <row r="10">
      <c r="A10" t="s">
        <v>129</v>
      </c>
      <c r="B10" t="n">
        <v>1692493.41042265</v>
      </c>
    </row>
    <row r="11">
      <c r="A11" t="s">
        <v>130</v>
      </c>
      <c r="B11" t="n">
        <v>1051130367.26052</v>
      </c>
    </row>
    <row r="12">
      <c r="A12" t="s">
        <v>131</v>
      </c>
      <c r="B12" t="n">
        <v>5801179122.61975</v>
      </c>
    </row>
    <row r="13">
      <c r="A13" t="s">
        <v>132</v>
      </c>
      <c r="B13" t="n">
        <v>1368178813.59572</v>
      </c>
    </row>
    <row r="14">
      <c r="A14" t="s">
        <v>133</v>
      </c>
      <c r="B14" t="n">
        <v>1426199721.0699</v>
      </c>
    </row>
    <row r="15">
      <c r="A15" t="s">
        <v>134</v>
      </c>
      <c r="B15" t="n">
        <v>1861350953.72087</v>
      </c>
    </row>
    <row r="16">
      <c r="A16" t="s">
        <v>135</v>
      </c>
      <c r="B16" t="n">
        <v>1075032590.93183</v>
      </c>
    </row>
    <row r="17">
      <c r="A17" t="s">
        <v>136</v>
      </c>
      <c r="B17" t="n">
        <v>6244988333.96112</v>
      </c>
    </row>
    <row r="18">
      <c r="A18" t="s">
        <v>137</v>
      </c>
      <c r="B18" t="n">
        <v>142051764.807221</v>
      </c>
    </row>
    <row r="19">
      <c r="A19" t="s">
        <v>138</v>
      </c>
      <c r="B19" t="n">
        <v>2761999953.03867</v>
      </c>
    </row>
    <row r="20">
      <c r="A20" t="s">
        <v>139</v>
      </c>
      <c r="B20" t="n">
        <v>1813150400.33426</v>
      </c>
    </row>
    <row r="21">
      <c r="A21" t="s">
        <v>140</v>
      </c>
      <c r="B21" t="n">
        <v>243174071.106482</v>
      </c>
    </row>
    <row r="22">
      <c r="A22" t="s">
        <v>141</v>
      </c>
      <c r="B22" t="n">
        <v>66786147.5888093</v>
      </c>
    </row>
    <row r="23">
      <c r="A23" t="s">
        <v>142</v>
      </c>
      <c r="B23" t="n">
        <v>562670503.123167</v>
      </c>
    </row>
    <row r="24">
      <c r="A24" t="s">
        <v>143</v>
      </c>
      <c r="B24" t="n">
        <v>109128445.260903</v>
      </c>
    </row>
    <row r="25">
      <c r="A25" t="s">
        <v>144</v>
      </c>
      <c r="B25" t="n">
        <v>997538.429833683</v>
      </c>
    </row>
    <row r="26">
      <c r="A26" t="s">
        <v>145</v>
      </c>
      <c r="B26" t="n">
        <v>5605998228.60306</v>
      </c>
    </row>
    <row r="27">
      <c r="A27" t="s">
        <v>146</v>
      </c>
      <c r="B27" t="n">
        <v>258567225.187657</v>
      </c>
    </row>
    <row r="28">
      <c r="A28" t="s">
        <v>147</v>
      </c>
      <c r="B28" t="n">
        <v>16472300401.6184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2519805603.03955</v>
      </c>
    </row>
    <row r="32">
      <c r="A32" t="s">
        <v>151</v>
      </c>
      <c r="B32" t="n">
        <v>67530496.5277046</v>
      </c>
    </row>
    <row r="33">
      <c r="A33" t="s">
        <v>152</v>
      </c>
      <c r="B33" t="n">
        <v>1645613.64339717</v>
      </c>
    </row>
    <row r="34">
      <c r="A34" t="s">
        <v>153</v>
      </c>
      <c r="B34" t="n">
        <v>18876.46083342</v>
      </c>
    </row>
    <row r="35">
      <c r="A35" t="s">
        <v>154</v>
      </c>
      <c r="B35" t="n">
        <v>193.284185392084</v>
      </c>
    </row>
    <row r="36">
      <c r="A36" t="s">
        <v>155</v>
      </c>
      <c r="B36" t="n">
        <v>72137351.1331292</v>
      </c>
    </row>
    <row r="37">
      <c r="A37" t="s">
        <v>156</v>
      </c>
      <c r="B37" t="n">
        <v>0</v>
      </c>
    </row>
    <row r="38">
      <c r="A38" t="s">
        <v>157</v>
      </c>
      <c r="B38" t="n">
        <v>1021513061.78998</v>
      </c>
    </row>
    <row r="39">
      <c r="A39" t="s">
        <v>158</v>
      </c>
      <c r="B39" t="n">
        <v>0</v>
      </c>
    </row>
    <row r="40">
      <c r="A40" t="s">
        <v>159</v>
      </c>
      <c r="B40" t="n">
        <v>831669270.615378</v>
      </c>
    </row>
    <row r="41">
      <c r="A41" t="s">
        <v>160</v>
      </c>
      <c r="B41" t="n">
        <v>1619135852.70704</v>
      </c>
    </row>
    <row r="42">
      <c r="A42" t="s">
        <v>161</v>
      </c>
      <c r="B42" t="n">
        <v>2236357116.93762</v>
      </c>
    </row>
    <row r="43">
      <c r="A43" t="s">
        <v>162</v>
      </c>
      <c r="B43" t="n">
        <v>7651482419.39583</v>
      </c>
    </row>
    <row r="44">
      <c r="A44" t="s">
        <v>163</v>
      </c>
      <c r="B44" t="n">
        <v>3207892.66339713</v>
      </c>
    </row>
    <row r="45">
      <c r="A45" t="s">
        <v>164</v>
      </c>
      <c r="B45" t="n">
        <v>6965286655.12878</v>
      </c>
    </row>
    <row r="46">
      <c r="A46" t="s">
        <v>165</v>
      </c>
      <c r="B46" t="n">
        <v>14426243548.8428</v>
      </c>
    </row>
    <row r="47">
      <c r="A47" t="s">
        <v>166</v>
      </c>
      <c r="B47" t="n">
        <v>35704592901.5526</v>
      </c>
    </row>
    <row r="48">
      <c r="A48" t="s">
        <v>167</v>
      </c>
      <c r="B48" t="n">
        <v>246232.994308442</v>
      </c>
    </row>
    <row r="49">
      <c r="A49" t="s">
        <v>168</v>
      </c>
      <c r="B49" t="n">
        <v>0</v>
      </c>
    </row>
    <row r="50">
      <c r="A50" t="s">
        <v>169</v>
      </c>
      <c r="B50" t="n">
        <v>0</v>
      </c>
    </row>
    <row r="51">
      <c r="A51" t="s">
        <v>170</v>
      </c>
      <c r="B51" t="n">
        <v>7618948362.07874</v>
      </c>
    </row>
    <row r="52">
      <c r="A52" t="s">
        <v>171</v>
      </c>
      <c r="B52" t="n">
        <v>602227679.80587</v>
      </c>
    </row>
    <row r="53">
      <c r="A53" t="s">
        <v>172</v>
      </c>
      <c r="B53" t="n">
        <v>1143697651.28044</v>
      </c>
    </row>
    <row r="54">
      <c r="A54" t="s">
        <v>173</v>
      </c>
      <c r="B54" t="n">
        <v>21950850323.1627</v>
      </c>
    </row>
    <row r="55">
      <c r="A55" t="s">
        <v>174</v>
      </c>
      <c r="B55" t="n">
        <v>4295054923.55818</v>
      </c>
    </row>
    <row r="56">
      <c r="A56" t="s">
        <v>175</v>
      </c>
      <c r="B56" t="n">
        <v>4044560879.88748</v>
      </c>
    </row>
    <row r="57">
      <c r="A57" t="s">
        <v>176</v>
      </c>
      <c r="B57" t="n">
        <v>1781881543.16523</v>
      </c>
    </row>
    <row r="58">
      <c r="A58" t="s">
        <v>177</v>
      </c>
      <c r="B58" t="n">
        <v>7085157051.58992</v>
      </c>
    </row>
    <row r="59">
      <c r="A59" t="s">
        <v>178</v>
      </c>
      <c r="B59" t="n">
        <v>0</v>
      </c>
    </row>
    <row r="60">
      <c r="A60" t="s">
        <v>179</v>
      </c>
      <c r="B60" t="n">
        <v>0</v>
      </c>
    </row>
    <row r="61">
      <c r="A61" t="s">
        <v>180</v>
      </c>
      <c r="B61" t="n">
        <v>0</v>
      </c>
    </row>
    <row r="62">
      <c r="A62" t="s">
        <v>181</v>
      </c>
      <c r="B62" t="n">
        <v>0</v>
      </c>
    </row>
    <row r="63">
      <c r="A63" t="s">
        <v>182</v>
      </c>
      <c r="B63" t="n">
        <v>3514154.0124711</v>
      </c>
    </row>
    <row r="64">
      <c r="A64" t="s">
        <v>183</v>
      </c>
      <c r="B64" t="n">
        <v>1590738191.17051</v>
      </c>
    </row>
    <row r="65">
      <c r="A65" t="s">
        <v>184</v>
      </c>
      <c r="B65" t="n">
        <v>150764917.828664</v>
      </c>
    </row>
    <row r="66">
      <c r="A66" t="s">
        <v>185</v>
      </c>
      <c r="B66" t="n">
        <v>0</v>
      </c>
    </row>
    <row r="67">
      <c r="A67" t="s">
        <v>186</v>
      </c>
      <c r="B67" t="n">
        <v>65876086.3799003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250719295.886552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0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196</v>
      </c>
    </row>
    <row r="2">
      <c r="A2" t="s">
        <v>121</v>
      </c>
      <c r="B2" t="n">
        <v>45735469.9081381</v>
      </c>
    </row>
    <row r="3">
      <c r="A3" t="s">
        <v>122</v>
      </c>
      <c r="B3" t="n">
        <v>12880385.6940987</v>
      </c>
    </row>
    <row r="4">
      <c r="A4" t="s">
        <v>123</v>
      </c>
      <c r="B4" t="n">
        <v>18734015.7791841</v>
      </c>
    </row>
    <row r="5">
      <c r="A5" t="s">
        <v>124</v>
      </c>
      <c r="B5" t="n">
        <v>20078669.310188</v>
      </c>
    </row>
    <row r="6">
      <c r="A6" t="s">
        <v>125</v>
      </c>
      <c r="B6" t="n">
        <v>3774562.25674106</v>
      </c>
    </row>
    <row r="7">
      <c r="A7" t="s">
        <v>126</v>
      </c>
      <c r="B7" t="n">
        <v>53891052.3108611</v>
      </c>
    </row>
    <row r="8">
      <c r="A8" t="s">
        <v>127</v>
      </c>
      <c r="B8" t="n">
        <v>904443.339875818</v>
      </c>
    </row>
    <row r="9">
      <c r="A9" t="s">
        <v>128</v>
      </c>
      <c r="B9" t="n">
        <v>10547041.4843543</v>
      </c>
    </row>
    <row r="10">
      <c r="A10" t="s">
        <v>129</v>
      </c>
      <c r="B10" t="n">
        <v>115662675.550941</v>
      </c>
    </row>
    <row r="11">
      <c r="A11" t="s">
        <v>130</v>
      </c>
      <c r="B11" t="n">
        <v>162714682.762196</v>
      </c>
    </row>
    <row r="12">
      <c r="A12" t="s">
        <v>131</v>
      </c>
      <c r="B12" t="n">
        <v>660049299.43282</v>
      </c>
    </row>
    <row r="13">
      <c r="A13" t="s">
        <v>132</v>
      </c>
      <c r="B13" t="n">
        <v>1620848989.61784</v>
      </c>
    </row>
    <row r="14">
      <c r="A14" t="s">
        <v>133</v>
      </c>
      <c r="B14" t="n">
        <v>564805713.026347</v>
      </c>
    </row>
    <row r="15">
      <c r="A15" t="s">
        <v>134</v>
      </c>
      <c r="B15" t="n">
        <v>462031858.186195</v>
      </c>
    </row>
    <row r="16">
      <c r="A16" t="s">
        <v>135</v>
      </c>
      <c r="B16" t="n">
        <v>194430871.486797</v>
      </c>
    </row>
    <row r="17">
      <c r="A17" t="s">
        <v>136</v>
      </c>
      <c r="B17" t="n">
        <v>6610035624.89057</v>
      </c>
    </row>
    <row r="18">
      <c r="A18" t="s">
        <v>137</v>
      </c>
      <c r="B18" t="n">
        <v>23941387.2051864</v>
      </c>
    </row>
    <row r="19">
      <c r="A19" t="s">
        <v>138</v>
      </c>
      <c r="B19" t="n">
        <v>201058600.33082</v>
      </c>
    </row>
    <row r="20">
      <c r="A20" t="s">
        <v>139</v>
      </c>
      <c r="B20" t="n">
        <v>167651464.845456</v>
      </c>
    </row>
    <row r="21">
      <c r="A21" t="s">
        <v>140</v>
      </c>
      <c r="B21" t="n">
        <v>60488443.316365</v>
      </c>
    </row>
    <row r="22">
      <c r="A22" t="s">
        <v>141</v>
      </c>
      <c r="B22" t="n">
        <v>12191693.297037</v>
      </c>
    </row>
    <row r="23">
      <c r="A23" t="s">
        <v>142</v>
      </c>
      <c r="B23" t="n">
        <v>126080687.06534</v>
      </c>
    </row>
    <row r="24">
      <c r="A24" t="s">
        <v>143</v>
      </c>
      <c r="B24" t="n">
        <v>9556076.8909332</v>
      </c>
    </row>
    <row r="25">
      <c r="A25" t="s">
        <v>144</v>
      </c>
      <c r="B25" t="n">
        <v>82545080.9519507</v>
      </c>
    </row>
    <row r="26">
      <c r="A26" t="s">
        <v>145</v>
      </c>
      <c r="B26" t="n">
        <v>851302871.100634</v>
      </c>
    </row>
    <row r="27">
      <c r="A27" t="s">
        <v>146</v>
      </c>
      <c r="B27" t="n">
        <v>263614029.398946</v>
      </c>
    </row>
    <row r="28">
      <c r="A28" t="s">
        <v>147</v>
      </c>
      <c r="B28" t="n">
        <v>2404247446.191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0</v>
      </c>
    </row>
    <row r="32">
      <c r="A32" t="s">
        <v>151</v>
      </c>
      <c r="B32" t="n">
        <v>0</v>
      </c>
    </row>
    <row r="33">
      <c r="A33" t="s">
        <v>152</v>
      </c>
      <c r="B33" t="n">
        <v>141154982.412621</v>
      </c>
    </row>
    <row r="34">
      <c r="A34" t="s">
        <v>153</v>
      </c>
      <c r="B34" t="n">
        <v>38177424.5846242</v>
      </c>
    </row>
    <row r="35">
      <c r="A35" t="s">
        <v>154</v>
      </c>
      <c r="B35" t="n">
        <v>64391784.8713198</v>
      </c>
    </row>
    <row r="36">
      <c r="A36" t="s">
        <v>155</v>
      </c>
      <c r="B36" t="n">
        <v>172139322.512534</v>
      </c>
    </row>
    <row r="37">
      <c r="A37" t="s">
        <v>156</v>
      </c>
      <c r="B37" t="n">
        <v>0</v>
      </c>
    </row>
    <row r="38">
      <c r="A38" t="s">
        <v>157</v>
      </c>
      <c r="B38" t="n">
        <v>186622394.128589</v>
      </c>
    </row>
    <row r="39">
      <c r="A39" t="s">
        <v>158</v>
      </c>
      <c r="B39" t="n">
        <v>93993241.5881761</v>
      </c>
    </row>
    <row r="40">
      <c r="A40" t="s">
        <v>159</v>
      </c>
      <c r="B40" t="n">
        <v>1792382.75011749</v>
      </c>
    </row>
    <row r="41">
      <c r="A41" t="s">
        <v>160</v>
      </c>
      <c r="B41" t="n">
        <v>381640361.781443</v>
      </c>
    </row>
    <row r="42">
      <c r="A42" t="s">
        <v>161</v>
      </c>
      <c r="B42" t="n">
        <v>369622031.134971</v>
      </c>
    </row>
    <row r="43">
      <c r="A43" t="s">
        <v>162</v>
      </c>
      <c r="B43" t="n">
        <v>231705587.731131</v>
      </c>
    </row>
    <row r="44">
      <c r="A44" t="s">
        <v>163</v>
      </c>
      <c r="B44" t="n">
        <v>46398368.8407985</v>
      </c>
    </row>
    <row r="45">
      <c r="A45" t="s">
        <v>164</v>
      </c>
      <c r="B45" t="n">
        <v>708585903.033404</v>
      </c>
    </row>
    <row r="46">
      <c r="A46" t="s">
        <v>165</v>
      </c>
      <c r="B46" t="n">
        <v>2784037005.1009</v>
      </c>
    </row>
    <row r="47">
      <c r="A47" t="s">
        <v>166</v>
      </c>
      <c r="B47" t="n">
        <v>685632372.387382</v>
      </c>
    </row>
    <row r="48">
      <c r="A48" t="s">
        <v>167</v>
      </c>
      <c r="B48" t="n">
        <v>0</v>
      </c>
    </row>
    <row r="49">
      <c r="A49" t="s">
        <v>168</v>
      </c>
      <c r="B49" t="n">
        <v>0</v>
      </c>
    </row>
    <row r="50">
      <c r="A50" t="s">
        <v>169</v>
      </c>
      <c r="B50" t="n">
        <v>24393390.0928735</v>
      </c>
    </row>
    <row r="51">
      <c r="A51" t="s">
        <v>170</v>
      </c>
      <c r="B51" t="n">
        <v>1928758114.75006</v>
      </c>
    </row>
    <row r="52">
      <c r="A52" t="s">
        <v>171</v>
      </c>
      <c r="B52" t="n">
        <v>183237282.304482</v>
      </c>
    </row>
    <row r="53">
      <c r="A53" t="s">
        <v>172</v>
      </c>
      <c r="B53" t="n">
        <v>430402880.720581</v>
      </c>
    </row>
    <row r="54">
      <c r="A54" t="s">
        <v>173</v>
      </c>
      <c r="B54" t="n">
        <v>2213891879.86928</v>
      </c>
    </row>
    <row r="55">
      <c r="A55" t="s">
        <v>174</v>
      </c>
      <c r="B55" t="n">
        <v>75031229.196562</v>
      </c>
    </row>
    <row r="56">
      <c r="A56" t="s">
        <v>175</v>
      </c>
      <c r="B56" t="n">
        <v>34752565.0472787</v>
      </c>
    </row>
    <row r="57">
      <c r="A57" t="s">
        <v>176</v>
      </c>
      <c r="B57" t="n">
        <v>3130157.06482785</v>
      </c>
    </row>
    <row r="58">
      <c r="A58" t="s">
        <v>177</v>
      </c>
      <c r="B58" t="n">
        <v>52537612.8800172</v>
      </c>
    </row>
    <row r="59">
      <c r="A59" t="s">
        <v>178</v>
      </c>
      <c r="B59" t="n">
        <v>14054107.5268177</v>
      </c>
    </row>
    <row r="60">
      <c r="A60" t="s">
        <v>179</v>
      </c>
      <c r="B60" t="n">
        <v>56759049.8364029</v>
      </c>
    </row>
    <row r="61">
      <c r="A61" t="s">
        <v>180</v>
      </c>
      <c r="B61" t="n">
        <v>5775764.98358431</v>
      </c>
    </row>
    <row r="62">
      <c r="A62" t="s">
        <v>181</v>
      </c>
      <c r="B62" t="n">
        <v>0</v>
      </c>
    </row>
    <row r="63">
      <c r="A63" t="s">
        <v>182</v>
      </c>
      <c r="B63" t="n">
        <v>14223709.724025</v>
      </c>
    </row>
    <row r="64">
      <c r="A64" t="s">
        <v>183</v>
      </c>
      <c r="B64" t="n">
        <v>219433.879538636</v>
      </c>
    </row>
    <row r="65">
      <c r="A65" t="s">
        <v>184</v>
      </c>
      <c r="B65" t="n">
        <v>0</v>
      </c>
    </row>
    <row r="66">
      <c r="A66" t="s">
        <v>185</v>
      </c>
      <c r="B66" t="n">
        <v>33788303.3000881</v>
      </c>
    </row>
    <row r="67">
      <c r="A67" t="s">
        <v>186</v>
      </c>
      <c r="B67" t="n">
        <v>942473.872592667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5149886.62195013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462016897.006667</v>
      </c>
    </row>
    <row r="74">
      <c r="A74" t="s">
        <v>193</v>
      </c>
      <c r="B74" t="n">
        <v>1372893133.18225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119</v>
      </c>
      <c r="B1" t="s">
        <v>197</v>
      </c>
    </row>
    <row r="2">
      <c r="A2" t="str">
        <f>'3_ESoP_RoUS_exports_by_BEA'!A2</f>
      </c>
      <c r="B2" t="str">
        <f>'3_ESoP_RoUS_exports_by_BEA'!B2+'4_ESoP_intl_exports_by_BEA'!B2</f>
      </c>
    </row>
    <row r="3">
      <c r="A3" t="str">
        <f>'3_ESoP_RoUS_exports_by_BEA'!A3</f>
      </c>
      <c r="B3" t="str">
        <f>'3_ESoP_RoUS_exports_by_BEA'!B3+'4_ESoP_intl_exports_by_BEA'!B3</f>
      </c>
    </row>
    <row r="4">
      <c r="A4" t="str">
        <f>'3_ESoP_RoUS_exports_by_BEA'!A4</f>
      </c>
      <c r="B4" t="str">
        <f>'3_ESoP_RoUS_exports_by_BEA'!B4+'4_ESoP_intl_exports_by_BEA'!B4</f>
      </c>
    </row>
    <row r="5">
      <c r="A5" t="str">
        <f>'3_ESoP_RoUS_exports_by_BEA'!A5</f>
      </c>
      <c r="B5" t="str">
        <f>'3_ESoP_RoUS_exports_by_BEA'!B5+'4_ESoP_intl_exports_by_BEA'!B5</f>
      </c>
    </row>
    <row r="6">
      <c r="A6" t="str">
        <f>'3_ESoP_RoUS_exports_by_BEA'!A6</f>
      </c>
      <c r="B6" t="str">
        <f>'3_ESoP_RoUS_exports_by_BEA'!B6+'4_ESoP_intl_exports_by_BEA'!B6</f>
      </c>
    </row>
    <row r="7">
      <c r="A7" t="str">
        <f>'3_ESoP_RoUS_exports_by_BEA'!A7</f>
      </c>
      <c r="B7" t="str">
        <f>'3_ESoP_RoUS_exports_by_BEA'!B7+'4_ESoP_intl_exports_by_BEA'!B7</f>
      </c>
    </row>
    <row r="8">
      <c r="A8" t="str">
        <f>'3_ESoP_RoUS_exports_by_BEA'!A8</f>
      </c>
      <c r="B8" t="str">
        <f>'3_ESoP_RoUS_exports_by_BEA'!B8+'4_ESoP_intl_exports_by_BEA'!B8</f>
      </c>
    </row>
    <row r="9">
      <c r="A9" t="str">
        <f>'3_ESoP_RoUS_exports_by_BEA'!A9</f>
      </c>
      <c r="B9" t="str">
        <f>'3_ESoP_RoUS_exports_by_BEA'!B9+'4_ESoP_intl_exports_by_BEA'!B9</f>
      </c>
    </row>
    <row r="10">
      <c r="A10" t="str">
        <f>'3_ESoP_RoUS_exports_by_BEA'!A10</f>
      </c>
      <c r="B10" t="str">
        <f>'3_ESoP_RoUS_exports_by_BEA'!B10+'4_ESoP_intl_exports_by_BEA'!B10</f>
      </c>
    </row>
    <row r="11">
      <c r="A11" t="str">
        <f>'3_ESoP_RoUS_exports_by_BEA'!A11</f>
      </c>
      <c r="B11" t="str">
        <f>'3_ESoP_RoUS_exports_by_BEA'!B11+'4_ESoP_intl_exports_by_BEA'!B11</f>
      </c>
    </row>
    <row r="12">
      <c r="A12" t="str">
        <f>'3_ESoP_RoUS_exports_by_BEA'!A12</f>
      </c>
      <c r="B12" t="str">
        <f>'3_ESoP_RoUS_exports_by_BEA'!B12+'4_ESoP_intl_exports_by_BEA'!B12</f>
      </c>
    </row>
    <row r="13">
      <c r="A13" t="str">
        <f>'3_ESoP_RoUS_exports_by_BEA'!A13</f>
      </c>
      <c r="B13" t="str">
        <f>'3_ESoP_RoUS_exports_by_BEA'!B13+'4_ESoP_intl_exports_by_BEA'!B13</f>
      </c>
    </row>
    <row r="14">
      <c r="A14" t="str">
        <f>'3_ESoP_RoUS_exports_by_BEA'!A14</f>
      </c>
      <c r="B14" t="str">
        <f>'3_ESoP_RoUS_exports_by_BEA'!B14+'4_ESoP_intl_exports_by_BEA'!B14</f>
      </c>
    </row>
    <row r="15">
      <c r="A15" t="str">
        <f>'3_ESoP_RoUS_exports_by_BEA'!A15</f>
      </c>
      <c r="B15" t="str">
        <f>'3_ESoP_RoUS_exports_by_BEA'!B15+'4_ESoP_intl_exports_by_BEA'!B15</f>
      </c>
    </row>
    <row r="16">
      <c r="A16" t="str">
        <f>'3_ESoP_RoUS_exports_by_BEA'!A16</f>
      </c>
      <c r="B16" t="str">
        <f>'3_ESoP_RoUS_exports_by_BEA'!B16+'4_ESoP_intl_exports_by_BEA'!B16</f>
      </c>
    </row>
    <row r="17">
      <c r="A17" t="str">
        <f>'3_ESoP_RoUS_exports_by_BEA'!A17</f>
      </c>
      <c r="B17" t="str">
        <f>'3_ESoP_RoUS_exports_by_BEA'!B17+'4_ESoP_intl_exports_by_BEA'!B17</f>
      </c>
    </row>
    <row r="18">
      <c r="A18" t="str">
        <f>'3_ESoP_RoUS_exports_by_BEA'!A18</f>
      </c>
      <c r="B18" t="str">
        <f>'3_ESoP_RoUS_exports_by_BEA'!B18+'4_ESoP_intl_exports_by_BEA'!B18</f>
      </c>
    </row>
    <row r="19">
      <c r="A19" t="str">
        <f>'3_ESoP_RoUS_exports_by_BEA'!A19</f>
      </c>
      <c r="B19" t="str">
        <f>'3_ESoP_RoUS_exports_by_BEA'!B19+'4_ESoP_intl_exports_by_BEA'!B19</f>
      </c>
    </row>
    <row r="20">
      <c r="A20" t="str">
        <f>'3_ESoP_RoUS_exports_by_BEA'!A20</f>
      </c>
      <c r="B20" t="str">
        <f>'3_ESoP_RoUS_exports_by_BEA'!B20+'4_ESoP_intl_exports_by_BEA'!B20</f>
      </c>
    </row>
    <row r="21">
      <c r="A21" t="str">
        <f>'3_ESoP_RoUS_exports_by_BEA'!A21</f>
      </c>
      <c r="B21" t="str">
        <f>'3_ESoP_RoUS_exports_by_BEA'!B21+'4_ESoP_intl_exports_by_BEA'!B21</f>
      </c>
    </row>
    <row r="22">
      <c r="A22" t="str">
        <f>'3_ESoP_RoUS_exports_by_BEA'!A22</f>
      </c>
      <c r="B22" t="str">
        <f>'3_ESoP_RoUS_exports_by_BEA'!B22+'4_ESoP_intl_exports_by_BEA'!B22</f>
      </c>
    </row>
    <row r="23">
      <c r="A23" t="str">
        <f>'3_ESoP_RoUS_exports_by_BEA'!A23</f>
      </c>
      <c r="B23" t="str">
        <f>'3_ESoP_RoUS_exports_by_BEA'!B23+'4_ESoP_intl_exports_by_BEA'!B23</f>
      </c>
    </row>
    <row r="24">
      <c r="A24" t="str">
        <f>'3_ESoP_RoUS_exports_by_BEA'!A24</f>
      </c>
      <c r="B24" t="str">
        <f>'3_ESoP_RoUS_exports_by_BEA'!B24+'4_ESoP_intl_exports_by_BEA'!B24</f>
      </c>
    </row>
    <row r="25">
      <c r="A25" t="str">
        <f>'3_ESoP_RoUS_exports_by_BEA'!A25</f>
      </c>
      <c r="B25" t="str">
        <f>'3_ESoP_RoUS_exports_by_BEA'!B25+'4_ESoP_intl_exports_by_BEA'!B25</f>
      </c>
    </row>
    <row r="26">
      <c r="A26" t="str">
        <f>'3_ESoP_RoUS_exports_by_BEA'!A26</f>
      </c>
      <c r="B26" t="str">
        <f>'3_ESoP_RoUS_exports_by_BEA'!B26+'4_ESoP_intl_exports_by_BEA'!B26</f>
      </c>
    </row>
    <row r="27">
      <c r="A27" t="str">
        <f>'3_ESoP_RoUS_exports_by_BEA'!A27</f>
      </c>
      <c r="B27" t="str">
        <f>'3_ESoP_RoUS_exports_by_BEA'!B27+'4_ESoP_intl_exports_by_BEA'!B27</f>
      </c>
    </row>
    <row r="28">
      <c r="A28" t="str">
        <f>'3_ESoP_RoUS_exports_by_BEA'!A28</f>
      </c>
      <c r="B28" t="str">
        <f>'3_ESoP_RoUS_exports_by_BEA'!B28+'4_ESoP_intl_exports_by_BEA'!B28</f>
      </c>
    </row>
    <row r="29">
      <c r="A29" t="str">
        <f>'3_ESoP_RoUS_exports_by_BEA'!A29</f>
      </c>
      <c r="B29" t="str">
        <f>'3_ESoP_RoUS_exports_by_BEA'!B29+'4_ESoP_intl_exports_by_BEA'!B29</f>
      </c>
    </row>
    <row r="30">
      <c r="A30" t="str">
        <f>'3_ESoP_RoUS_exports_by_BEA'!A30</f>
      </c>
      <c r="B30" t="str">
        <f>'3_ESoP_RoUS_exports_by_BEA'!B30+'4_ESoP_intl_exports_by_BEA'!B30</f>
      </c>
    </row>
    <row r="31">
      <c r="A31" t="str">
        <f>'3_ESoP_RoUS_exports_by_BEA'!A31</f>
      </c>
      <c r="B31" t="str">
        <f>'3_ESoP_RoUS_exports_by_BEA'!B31+'4_ESoP_intl_exports_by_BEA'!B31</f>
      </c>
    </row>
    <row r="32">
      <c r="A32" t="str">
        <f>'3_ESoP_RoUS_exports_by_BEA'!A32</f>
      </c>
      <c r="B32" t="str">
        <f>'3_ESoP_RoUS_exports_by_BEA'!B32+'4_ESoP_intl_exports_by_BEA'!B32</f>
      </c>
    </row>
    <row r="33">
      <c r="A33" t="str">
        <f>'3_ESoP_RoUS_exports_by_BEA'!A33</f>
      </c>
      <c r="B33" t="str">
        <f>'3_ESoP_RoUS_exports_by_BEA'!B33+'4_ESoP_intl_exports_by_BEA'!B33</f>
      </c>
    </row>
    <row r="34">
      <c r="A34" t="str">
        <f>'3_ESoP_RoUS_exports_by_BEA'!A34</f>
      </c>
      <c r="B34" t="str">
        <f>'3_ESoP_RoUS_exports_by_BEA'!B34+'4_ESoP_intl_exports_by_BEA'!B34</f>
      </c>
    </row>
    <row r="35">
      <c r="A35" t="str">
        <f>'3_ESoP_RoUS_exports_by_BEA'!A35</f>
      </c>
      <c r="B35" t="str">
        <f>'3_ESoP_RoUS_exports_by_BEA'!B35+'4_ESoP_intl_exports_by_BEA'!B35</f>
      </c>
    </row>
    <row r="36">
      <c r="A36" t="str">
        <f>'3_ESoP_RoUS_exports_by_BEA'!A36</f>
      </c>
      <c r="B36" t="str">
        <f>'3_ESoP_RoUS_exports_by_BEA'!B36+'4_ESoP_intl_exports_by_BEA'!B36</f>
      </c>
    </row>
    <row r="37">
      <c r="A37" t="str">
        <f>'3_ESoP_RoUS_exports_by_BEA'!A37</f>
      </c>
      <c r="B37" t="str">
        <f>'3_ESoP_RoUS_exports_by_BEA'!B37+'4_ESoP_intl_exports_by_BEA'!B37</f>
      </c>
    </row>
    <row r="38">
      <c r="A38" t="str">
        <f>'3_ESoP_RoUS_exports_by_BEA'!A38</f>
      </c>
      <c r="B38" t="str">
        <f>'3_ESoP_RoUS_exports_by_BEA'!B38+'4_ESoP_intl_exports_by_BEA'!B38</f>
      </c>
    </row>
    <row r="39">
      <c r="A39" t="str">
        <f>'3_ESoP_RoUS_exports_by_BEA'!A39</f>
      </c>
      <c r="B39" t="str">
        <f>'3_ESoP_RoUS_exports_by_BEA'!B39+'4_ESoP_intl_exports_by_BEA'!B39</f>
      </c>
    </row>
    <row r="40">
      <c r="A40" t="str">
        <f>'3_ESoP_RoUS_exports_by_BEA'!A40</f>
      </c>
      <c r="B40" t="str">
        <f>'3_ESoP_RoUS_exports_by_BEA'!B40+'4_ESoP_intl_exports_by_BEA'!B40</f>
      </c>
    </row>
    <row r="41">
      <c r="A41" t="str">
        <f>'3_ESoP_RoUS_exports_by_BEA'!A41</f>
      </c>
      <c r="B41" t="str">
        <f>'3_ESoP_RoUS_exports_by_BEA'!B41+'4_ESoP_intl_exports_by_BEA'!B41</f>
      </c>
    </row>
    <row r="42">
      <c r="A42" t="str">
        <f>'3_ESoP_RoUS_exports_by_BEA'!A42</f>
      </c>
      <c r="B42" t="str">
        <f>'3_ESoP_RoUS_exports_by_BEA'!B42+'4_ESoP_intl_exports_by_BEA'!B42</f>
      </c>
    </row>
    <row r="43">
      <c r="A43" t="str">
        <f>'3_ESoP_RoUS_exports_by_BEA'!A43</f>
      </c>
      <c r="B43" t="str">
        <f>'3_ESoP_RoUS_exports_by_BEA'!B43+'4_ESoP_intl_exports_by_BEA'!B43</f>
      </c>
    </row>
    <row r="44">
      <c r="A44" t="str">
        <f>'3_ESoP_RoUS_exports_by_BEA'!A44</f>
      </c>
      <c r="B44" t="str">
        <f>'3_ESoP_RoUS_exports_by_BEA'!B44+'4_ESoP_intl_exports_by_BEA'!B44</f>
      </c>
    </row>
    <row r="45">
      <c r="A45" t="str">
        <f>'3_ESoP_RoUS_exports_by_BEA'!A45</f>
      </c>
      <c r="B45" t="str">
        <f>'3_ESoP_RoUS_exports_by_BEA'!B45+'4_ESoP_intl_exports_by_BEA'!B45</f>
      </c>
    </row>
    <row r="46">
      <c r="A46" t="str">
        <f>'3_ESoP_RoUS_exports_by_BEA'!A46</f>
      </c>
      <c r="B46" t="str">
        <f>'3_ESoP_RoUS_exports_by_BEA'!B46+'4_ESoP_intl_exports_by_BEA'!B46</f>
      </c>
    </row>
    <row r="47">
      <c r="A47" t="str">
        <f>'3_ESoP_RoUS_exports_by_BEA'!A47</f>
      </c>
      <c r="B47" t="str">
        <f>'3_ESoP_RoUS_exports_by_BEA'!B47+'4_ESoP_intl_exports_by_BEA'!B47</f>
      </c>
    </row>
    <row r="48">
      <c r="A48" t="str">
        <f>'3_ESoP_RoUS_exports_by_BEA'!A48</f>
      </c>
      <c r="B48" t="str">
        <f>'3_ESoP_RoUS_exports_by_BEA'!B48+'4_ESoP_intl_exports_by_BEA'!B48</f>
      </c>
    </row>
    <row r="49">
      <c r="A49" t="str">
        <f>'3_ESoP_RoUS_exports_by_BEA'!A49</f>
      </c>
      <c r="B49" t="str">
        <f>'3_ESoP_RoUS_exports_by_BEA'!B49+'4_ESoP_intl_exports_by_BEA'!B49</f>
      </c>
    </row>
    <row r="50">
      <c r="A50" t="str">
        <f>'3_ESoP_RoUS_exports_by_BEA'!A50</f>
      </c>
      <c r="B50" t="str">
        <f>'3_ESoP_RoUS_exports_by_BEA'!B50+'4_ESoP_intl_exports_by_BEA'!B50</f>
      </c>
    </row>
    <row r="51">
      <c r="A51" t="str">
        <f>'3_ESoP_RoUS_exports_by_BEA'!A51</f>
      </c>
      <c r="B51" t="str">
        <f>'3_ESoP_RoUS_exports_by_BEA'!B51+'4_ESoP_intl_exports_by_BEA'!B51</f>
      </c>
    </row>
    <row r="52">
      <c r="A52" t="str">
        <f>'3_ESoP_RoUS_exports_by_BEA'!A52</f>
      </c>
      <c r="B52" t="str">
        <f>'3_ESoP_RoUS_exports_by_BEA'!B52+'4_ESoP_intl_exports_by_BEA'!B52</f>
      </c>
    </row>
    <row r="53">
      <c r="A53" t="str">
        <f>'3_ESoP_RoUS_exports_by_BEA'!A53</f>
      </c>
      <c r="B53" t="str">
        <f>'3_ESoP_RoUS_exports_by_BEA'!B53+'4_ESoP_intl_exports_by_BEA'!B53</f>
      </c>
    </row>
    <row r="54">
      <c r="A54" t="str">
        <f>'3_ESoP_RoUS_exports_by_BEA'!A54</f>
      </c>
      <c r="B54" t="str">
        <f>'3_ESoP_RoUS_exports_by_BEA'!B54+'4_ESoP_intl_exports_by_BEA'!B54</f>
      </c>
    </row>
    <row r="55">
      <c r="A55" t="str">
        <f>'3_ESoP_RoUS_exports_by_BEA'!A55</f>
      </c>
      <c r="B55" t="str">
        <f>'3_ESoP_RoUS_exports_by_BEA'!B55+'4_ESoP_intl_exports_by_BEA'!B55</f>
      </c>
    </row>
    <row r="56">
      <c r="A56" t="str">
        <f>'3_ESoP_RoUS_exports_by_BEA'!A56</f>
      </c>
      <c r="B56" t="str">
        <f>'3_ESoP_RoUS_exports_by_BEA'!B56+'4_ESoP_intl_exports_by_BEA'!B56</f>
      </c>
    </row>
    <row r="57">
      <c r="A57" t="str">
        <f>'3_ESoP_RoUS_exports_by_BEA'!A57</f>
      </c>
      <c r="B57" t="str">
        <f>'3_ESoP_RoUS_exports_by_BEA'!B57+'4_ESoP_intl_exports_by_BEA'!B57</f>
      </c>
    </row>
    <row r="58">
      <c r="A58" t="str">
        <f>'3_ESoP_RoUS_exports_by_BEA'!A58</f>
      </c>
      <c r="B58" t="str">
        <f>'3_ESoP_RoUS_exports_by_BEA'!B58+'4_ESoP_intl_exports_by_BEA'!B58</f>
      </c>
    </row>
    <row r="59">
      <c r="A59" t="str">
        <f>'3_ESoP_RoUS_exports_by_BEA'!A59</f>
      </c>
      <c r="B59" t="str">
        <f>'3_ESoP_RoUS_exports_by_BEA'!B59+'4_ESoP_intl_exports_by_BEA'!B59</f>
      </c>
    </row>
    <row r="60">
      <c r="A60" t="str">
        <f>'3_ESoP_RoUS_exports_by_BEA'!A60</f>
      </c>
      <c r="B60" t="str">
        <f>'3_ESoP_RoUS_exports_by_BEA'!B60+'4_ESoP_intl_exports_by_BEA'!B60</f>
      </c>
    </row>
    <row r="61">
      <c r="A61" t="str">
        <f>'3_ESoP_RoUS_exports_by_BEA'!A61</f>
      </c>
      <c r="B61" t="str">
        <f>'3_ESoP_RoUS_exports_by_BEA'!B61+'4_ESoP_intl_exports_by_BEA'!B61</f>
      </c>
    </row>
    <row r="62">
      <c r="A62" t="str">
        <f>'3_ESoP_RoUS_exports_by_BEA'!A62</f>
      </c>
      <c r="B62" t="str">
        <f>'3_ESoP_RoUS_exports_by_BEA'!B62+'4_ESoP_intl_exports_by_BEA'!B62</f>
      </c>
    </row>
    <row r="63">
      <c r="A63" t="str">
        <f>'3_ESoP_RoUS_exports_by_BEA'!A63</f>
      </c>
      <c r="B63" t="str">
        <f>'3_ESoP_RoUS_exports_by_BEA'!B63+'4_ESoP_intl_exports_by_BEA'!B63</f>
      </c>
    </row>
    <row r="64">
      <c r="A64" t="str">
        <f>'3_ESoP_RoUS_exports_by_BEA'!A64</f>
      </c>
      <c r="B64" t="str">
        <f>'3_ESoP_RoUS_exports_by_BEA'!B64+'4_ESoP_intl_exports_by_BEA'!B64</f>
      </c>
    </row>
    <row r="65">
      <c r="A65" t="str">
        <f>'3_ESoP_RoUS_exports_by_BEA'!A65</f>
      </c>
      <c r="B65" t="str">
        <f>'3_ESoP_RoUS_exports_by_BEA'!B65+'4_ESoP_intl_exports_by_BEA'!B65</f>
      </c>
    </row>
    <row r="66">
      <c r="A66" t="str">
        <f>'3_ESoP_RoUS_exports_by_BEA'!A66</f>
      </c>
      <c r="B66" t="str">
        <f>'3_ESoP_RoUS_exports_by_BEA'!B66+'4_ESoP_intl_exports_by_BEA'!B66</f>
      </c>
    </row>
    <row r="67">
      <c r="A67" t="str">
        <f>'3_ESoP_RoUS_exports_by_BEA'!A67</f>
      </c>
      <c r="B67" t="str">
        <f>'3_ESoP_RoUS_exports_by_BEA'!B67+'4_ESoP_intl_exports_by_BEA'!B67</f>
      </c>
    </row>
    <row r="68">
      <c r="A68" t="str">
        <f>'3_ESoP_RoUS_exports_by_BEA'!A68</f>
      </c>
      <c r="B68" t="str">
        <f>'3_ESoP_RoUS_exports_by_BEA'!B68+'4_ESoP_intl_exports_by_BEA'!B68</f>
      </c>
    </row>
    <row r="69">
      <c r="A69" t="str">
        <f>'3_ESoP_RoUS_exports_by_BEA'!A69</f>
      </c>
      <c r="B69" t="str">
        <f>'3_ESoP_RoUS_exports_by_BEA'!B69+'4_ESoP_intl_exports_by_BEA'!B69</f>
      </c>
    </row>
    <row r="70">
      <c r="A70" t="str">
        <f>'3_ESoP_RoUS_exports_by_BEA'!A70</f>
      </c>
      <c r="B70" t="str">
        <f>'3_ESoP_RoUS_exports_by_BEA'!B70+'4_ESoP_intl_exports_by_BEA'!B70</f>
      </c>
    </row>
    <row r="71">
      <c r="A71" t="str">
        <f>'3_ESoP_RoUS_exports_by_BEA'!A71</f>
      </c>
      <c r="B71" t="str">
        <f>'3_ESoP_RoUS_exports_by_BEA'!B71+'4_ESoP_intl_exports_by_BEA'!B71</f>
      </c>
    </row>
    <row r="72">
      <c r="A72" t="str">
        <f>'3_ESoP_RoUS_exports_by_BEA'!A72</f>
      </c>
      <c r="B72" t="str">
        <f>'3_ESoP_RoUS_exports_by_BEA'!B72+'4_ESoP_intl_exports_by_BEA'!B72</f>
      </c>
    </row>
    <row r="73">
      <c r="A73" t="str">
        <f>'3_ESoP_RoUS_exports_by_BEA'!A73</f>
      </c>
      <c r="B73" t="str">
        <f>'3_ESoP_RoUS_exports_by_BEA'!B73+'4_ESoP_intl_exports_by_BEA'!B73</f>
      </c>
    </row>
    <row r="74">
      <c r="A74" t="str">
        <f>'3_ESoP_RoUS_exports_by_BEA'!A74</f>
      </c>
      <c r="B74" t="str">
        <f>'3_ESoP_RoUS_exports_by_BEA'!B74+'4_ESoP_intl_exports_by_BEA'!B74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198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47152114.3180629</v>
      </c>
      <c r="C10" t="n">
        <v>53554.6089543801</v>
      </c>
      <c r="D10" t="n">
        <v>0</v>
      </c>
      <c r="E10" t="n">
        <v>14040.9832639991</v>
      </c>
      <c r="F10" t="n">
        <v>436.076493261538</v>
      </c>
      <c r="G10" t="n">
        <v>0</v>
      </c>
      <c r="H10" t="n">
        <v>2835719.91965746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1680648.86497565</v>
      </c>
      <c r="T10" t="n">
        <v>294290790.700284</v>
      </c>
      <c r="U10" t="n">
        <v>2963090.09348072</v>
      </c>
      <c r="V10" t="n">
        <v>0</v>
      </c>
      <c r="W10" t="n">
        <v>0</v>
      </c>
      <c r="X10" t="n">
        <v>0</v>
      </c>
      <c r="Y10" t="n">
        <v>0</v>
      </c>
      <c r="Z10" t="n">
        <v>39843767.8693284</v>
      </c>
      <c r="AA10" t="n">
        <v>0</v>
      </c>
      <c r="AB10" t="n">
        <v>1991926.0587904</v>
      </c>
      <c r="AC10" t="n">
        <v>1656007.11360545</v>
      </c>
      <c r="AD10" t="n">
        <v>3466478.85227045</v>
      </c>
      <c r="AE10" t="n">
        <v>343478.081969111</v>
      </c>
      <c r="AF10" t="n">
        <v>869718.294898798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50277.3843778055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2287.34511724211</v>
      </c>
      <c r="AT10" t="n">
        <v>0</v>
      </c>
      <c r="AU10" t="n">
        <v>0</v>
      </c>
      <c r="AV10" t="n">
        <v>0</v>
      </c>
      <c r="AW10" t="n">
        <v>0</v>
      </c>
      <c r="AX10" t="n">
        <v>9147.88623082165</v>
      </c>
      <c r="AY10" t="n">
        <v>0</v>
      </c>
      <c r="AZ10" t="n">
        <v>2781.97787837054</v>
      </c>
      <c r="BA10" t="n">
        <v>0</v>
      </c>
      <c r="BB10" t="n">
        <v>2651599.21855233</v>
      </c>
      <c r="BC10" t="n">
        <v>86442.6304473645</v>
      </c>
      <c r="BD10" t="n">
        <v>4240762.18879252</v>
      </c>
      <c r="BE10" t="n">
        <v>0</v>
      </c>
      <c r="BF10" t="n">
        <v>550835.21376844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1011125.27641192</v>
      </c>
      <c r="BM10" t="n">
        <v>68708.3173850831</v>
      </c>
      <c r="BN10" t="n">
        <v>4217270.3972944</v>
      </c>
      <c r="BO10" t="n">
        <v>31999.1337558469</v>
      </c>
      <c r="BP10" t="n">
        <v>22635.214665852</v>
      </c>
      <c r="BQ10" t="n">
        <v>-771581.480545037</v>
      </c>
      <c r="BR10" t="n">
        <v>0</v>
      </c>
      <c r="BS10" t="n">
        <v>8851695.19121183</v>
      </c>
      <c r="BT10" t="n">
        <v>0</v>
      </c>
      <c r="BU10" t="n">
        <v>159847730.237066</v>
      </c>
      <c r="BV10" t="n">
        <v>0</v>
      </c>
      <c r="BW10" t="n">
        <v>0</v>
      </c>
      <c r="BX10" t="n">
        <v>0</v>
      </c>
      <c r="BY10" t="n">
        <v>0</v>
      </c>
      <c r="BZ10" t="n">
        <v>-32748219.9326855</v>
      </c>
      <c r="CA10" t="n">
        <v>45735469.9081381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16154450.999328</v>
      </c>
      <c r="C11" t="n">
        <v>1719032.03229932</v>
      </c>
      <c r="D11" t="n">
        <v>0</v>
      </c>
      <c r="E11" t="n">
        <v>63816.6403177056</v>
      </c>
      <c r="F11" t="n">
        <v>0</v>
      </c>
      <c r="G11" t="n">
        <v>0</v>
      </c>
      <c r="H11" t="n">
        <v>0</v>
      </c>
      <c r="I11" t="n">
        <v>6759806.50570062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30592.5670186041</v>
      </c>
      <c r="S11" t="n">
        <v>394110.283506483</v>
      </c>
      <c r="T11" t="n">
        <v>1506436.46974345</v>
      </c>
      <c r="U11" t="n">
        <v>0</v>
      </c>
      <c r="V11" t="n">
        <v>54595.6041604893</v>
      </c>
      <c r="W11" t="n">
        <v>5857942.20284431</v>
      </c>
      <c r="X11" t="n">
        <v>16864.2817077716</v>
      </c>
      <c r="Y11" t="n">
        <v>0</v>
      </c>
      <c r="Z11" t="n">
        <v>245277.973028175</v>
      </c>
      <c r="AA11" t="n">
        <v>732030.81517622</v>
      </c>
      <c r="AB11" t="n">
        <v>0</v>
      </c>
      <c r="AC11" t="n">
        <v>0</v>
      </c>
      <c r="AD11" t="n">
        <v>296800.881908471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1017523.49368283</v>
      </c>
      <c r="BC11" t="n">
        <v>101687.63434399</v>
      </c>
      <c r="BD11" t="n">
        <v>0</v>
      </c>
      <c r="BE11" t="n">
        <v>0</v>
      </c>
      <c r="BF11" t="n">
        <v>47578.9800349121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72471.1491626205</v>
      </c>
      <c r="BM11" t="n">
        <v>86503.5401494209</v>
      </c>
      <c r="BN11" t="n">
        <v>1628447.75283266</v>
      </c>
      <c r="BO11" t="n">
        <v>22865.4819960695</v>
      </c>
      <c r="BP11" t="n">
        <v>0</v>
      </c>
      <c r="BQ11" t="n">
        <v>81564.8790127686</v>
      </c>
      <c r="BR11" t="n">
        <v>1660.36256914374</v>
      </c>
      <c r="BS11" t="n">
        <v>13685964.5860983</v>
      </c>
      <c r="BT11" t="n">
        <v>0</v>
      </c>
      <c r="BU11" t="n">
        <v>12108446.2913859</v>
      </c>
      <c r="BV11" t="n">
        <v>0</v>
      </c>
      <c r="BW11" t="n">
        <v>0</v>
      </c>
      <c r="BX11" t="n">
        <v>0</v>
      </c>
      <c r="BY11" t="n">
        <v>0</v>
      </c>
      <c r="BZ11" t="n">
        <v>2521645.06402373</v>
      </c>
      <c r="CA11" t="n">
        <v>12880385.6940987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0</v>
      </c>
      <c r="E12" t="n">
        <v>0</v>
      </c>
      <c r="F12" t="n">
        <v>52.0701837083773</v>
      </c>
      <c r="G12" t="n">
        <v>17269424.9775889</v>
      </c>
      <c r="H12" t="n">
        <v>0</v>
      </c>
      <c r="I12" t="n">
        <v>648.467502548037</v>
      </c>
      <c r="J12" t="n">
        <v>327.314543597536</v>
      </c>
      <c r="K12" t="n">
        <v>2399.99727825923</v>
      </c>
      <c r="L12" t="n">
        <v>0</v>
      </c>
      <c r="M12" t="n">
        <v>0</v>
      </c>
      <c r="N12" t="n">
        <v>0</v>
      </c>
      <c r="O12" t="n">
        <v>0</v>
      </c>
      <c r="P12" t="n">
        <v>274.273007280702</v>
      </c>
      <c r="Q12" t="n">
        <v>0</v>
      </c>
      <c r="R12" t="n">
        <v>0</v>
      </c>
      <c r="S12" t="n">
        <v>0</v>
      </c>
      <c r="T12" t="n">
        <v>593.963180288801</v>
      </c>
      <c r="U12" t="n">
        <v>0</v>
      </c>
      <c r="V12" t="n">
        <v>0</v>
      </c>
      <c r="W12" t="n">
        <v>0</v>
      </c>
      <c r="X12" t="n">
        <v>1195.54585609946</v>
      </c>
      <c r="Y12" t="n">
        <v>15391682.2972347</v>
      </c>
      <c r="Z12" t="n">
        <v>4212250.87299797</v>
      </c>
      <c r="AA12" t="n">
        <v>0</v>
      </c>
      <c r="AB12" t="n">
        <v>2223.91844854788</v>
      </c>
      <c r="AC12" t="n">
        <v>2441.20141170328</v>
      </c>
      <c r="AD12" t="n">
        <v>0</v>
      </c>
      <c r="AE12" t="n">
        <v>1027.90402505397</v>
      </c>
      <c r="AF12" t="n">
        <v>3195.37385966446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24450.0606782086</v>
      </c>
      <c r="AM12" t="n">
        <v>0</v>
      </c>
      <c r="AN12" t="n">
        <v>47511.1497859463</v>
      </c>
      <c r="AO12" t="n">
        <v>31315.1421456966</v>
      </c>
      <c r="AP12" t="n">
        <v>0</v>
      </c>
      <c r="AQ12" t="n">
        <v>2087.79592727131</v>
      </c>
      <c r="AR12" t="n">
        <v>5002.13139764905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13835.967397023</v>
      </c>
      <c r="AY12" t="n">
        <v>0</v>
      </c>
      <c r="AZ12" t="n">
        <v>0</v>
      </c>
      <c r="BA12" t="n">
        <v>1046.51939848168</v>
      </c>
      <c r="BB12" t="n">
        <v>3630.92961869848</v>
      </c>
      <c r="BC12" t="n">
        <v>3276.75411486799</v>
      </c>
      <c r="BD12" t="n">
        <v>0</v>
      </c>
      <c r="BE12" t="n">
        <v>1395.76532935669</v>
      </c>
      <c r="BF12" t="n">
        <v>308386.566679542</v>
      </c>
      <c r="BG12" t="n">
        <v>1341.38450646528</v>
      </c>
      <c r="BH12" t="n">
        <v>0</v>
      </c>
      <c r="BI12" t="n">
        <v>2117.30042969536</v>
      </c>
      <c r="BJ12" t="n">
        <v>0</v>
      </c>
      <c r="BK12" t="n">
        <v>0</v>
      </c>
      <c r="BL12" t="n">
        <v>20795.2032343171</v>
      </c>
      <c r="BM12" t="n">
        <v>828.706130856777</v>
      </c>
      <c r="BN12" t="n">
        <v>1154.4422682861</v>
      </c>
      <c r="BO12" t="n">
        <v>3473.53732434731</v>
      </c>
      <c r="BP12" t="n">
        <v>0</v>
      </c>
      <c r="BQ12" t="n">
        <v>0</v>
      </c>
      <c r="BR12" t="n">
        <v>509081.642010951</v>
      </c>
      <c r="BS12" t="n">
        <v>0</v>
      </c>
      <c r="BT12" t="n">
        <v>8171751.17664674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1017516.66065983</v>
      </c>
      <c r="CA12" t="n">
        <v>18734015.7791841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1276339.30451971</v>
      </c>
      <c r="C13" t="n">
        <v>0</v>
      </c>
      <c r="D13" t="n">
        <v>0</v>
      </c>
      <c r="E13" t="n">
        <v>7666260.91192919</v>
      </c>
      <c r="F13" t="n">
        <v>5951.37008237195</v>
      </c>
      <c r="G13" t="n">
        <v>32538355.6577063</v>
      </c>
      <c r="H13" t="n">
        <v>57169547.8510831</v>
      </c>
      <c r="I13" t="n">
        <v>8235.18869512509</v>
      </c>
      <c r="J13" t="n">
        <v>13237070.8720319</v>
      </c>
      <c r="K13" t="n">
        <v>24181019.0179579</v>
      </c>
      <c r="L13" t="n">
        <v>4960642.5973812</v>
      </c>
      <c r="M13" t="n">
        <v>371320.231270253</v>
      </c>
      <c r="N13" t="n">
        <v>9836.61651613463</v>
      </c>
      <c r="O13" t="n">
        <v>403023.613298695</v>
      </c>
      <c r="P13" t="n">
        <v>49634.4565161208</v>
      </c>
      <c r="Q13" t="n">
        <v>2321631.08895533</v>
      </c>
      <c r="R13" t="n">
        <v>37296.8168346028</v>
      </c>
      <c r="S13" t="n">
        <v>780421.560155895</v>
      </c>
      <c r="T13" t="n">
        <v>2772057.31481148</v>
      </c>
      <c r="U13" t="n">
        <v>127567.450234117</v>
      </c>
      <c r="V13" t="n">
        <v>0</v>
      </c>
      <c r="W13" t="n">
        <v>4706684.8074129</v>
      </c>
      <c r="X13" t="n">
        <v>0</v>
      </c>
      <c r="Y13" t="n">
        <v>1486716.2587068</v>
      </c>
      <c r="Z13" t="n">
        <v>21992187.8868828</v>
      </c>
      <c r="AA13" t="n">
        <v>385326.97496375</v>
      </c>
      <c r="AB13" t="n">
        <v>63545.7798384603</v>
      </c>
      <c r="AC13" t="n">
        <v>0</v>
      </c>
      <c r="AD13" t="n">
        <v>0</v>
      </c>
      <c r="AE13" t="n">
        <v>0</v>
      </c>
      <c r="AF13" t="n">
        <v>5072.44129089138</v>
      </c>
      <c r="AG13" t="n">
        <v>0</v>
      </c>
      <c r="AH13" t="n">
        <v>161600.277939465</v>
      </c>
      <c r="AI13" t="n">
        <v>0</v>
      </c>
      <c r="AJ13" t="n">
        <v>14163.6030782321</v>
      </c>
      <c r="AK13" t="n">
        <v>8045.29470890244</v>
      </c>
      <c r="AL13" t="n">
        <v>0</v>
      </c>
      <c r="AM13" t="n">
        <v>4143.49314144219</v>
      </c>
      <c r="AN13" t="n">
        <v>10056.1010400732</v>
      </c>
      <c r="AO13" t="n">
        <v>65006.2790156689</v>
      </c>
      <c r="AP13" t="n">
        <v>135408.470522356</v>
      </c>
      <c r="AQ13" t="n">
        <v>2595046.58934145</v>
      </c>
      <c r="AR13" t="n">
        <v>1836913.31666953</v>
      </c>
      <c r="AS13" t="n">
        <v>0</v>
      </c>
      <c r="AT13" t="n">
        <v>0</v>
      </c>
      <c r="AU13" t="n">
        <v>0</v>
      </c>
      <c r="AV13" t="n">
        <v>0</v>
      </c>
      <c r="AW13" t="n">
        <v>29875.224398754</v>
      </c>
      <c r="AX13" t="n">
        <v>0</v>
      </c>
      <c r="AY13" t="n">
        <v>0</v>
      </c>
      <c r="AZ13" t="n">
        <v>0</v>
      </c>
      <c r="BA13" t="n">
        <v>0</v>
      </c>
      <c r="BB13" t="n">
        <v>5959827.92234566</v>
      </c>
      <c r="BC13" t="n">
        <v>234073.213997719</v>
      </c>
      <c r="BD13" t="n">
        <v>4108365.29470369</v>
      </c>
      <c r="BE13" t="n">
        <v>305764.346832278</v>
      </c>
      <c r="BF13" t="n">
        <v>4359991.92287738</v>
      </c>
      <c r="BG13" t="n">
        <v>0</v>
      </c>
      <c r="BH13" t="n">
        <v>106456.992636885</v>
      </c>
      <c r="BI13" t="n">
        <v>282330.061553008</v>
      </c>
      <c r="BJ13" t="n">
        <v>937675.848837812</v>
      </c>
      <c r="BK13" t="n">
        <v>1017125.98048495</v>
      </c>
      <c r="BL13" t="n">
        <v>3547710.27845309</v>
      </c>
      <c r="BM13" t="n">
        <v>520944.058126334</v>
      </c>
      <c r="BN13" t="n">
        <v>3606555.87270537</v>
      </c>
      <c r="BO13" t="n">
        <v>6043351.7816437</v>
      </c>
      <c r="BP13" t="n">
        <v>0</v>
      </c>
      <c r="BQ13" t="n">
        <v>6373308.67459014</v>
      </c>
      <c r="BR13" t="n">
        <v>0</v>
      </c>
      <c r="BS13" t="n">
        <v>7355270.47377625</v>
      </c>
      <c r="BT13" t="n">
        <v>15639235.8039752</v>
      </c>
      <c r="BU13" t="n">
        <v>640143.158533247</v>
      </c>
      <c r="BV13" t="n">
        <v>0</v>
      </c>
      <c r="BW13" t="n">
        <v>6006.74961862663</v>
      </c>
      <c r="BX13" t="n">
        <v>0</v>
      </c>
      <c r="BY13" t="n">
        <v>0</v>
      </c>
      <c r="BZ13" t="n">
        <v>1824614.10149979</v>
      </c>
      <c r="CA13" t="n">
        <v>20078669.310188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0</v>
      </c>
      <c r="E14" t="n">
        <v>193266.075931654</v>
      </c>
      <c r="F14" t="n">
        <v>20593.1771479659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22281.3126537787</v>
      </c>
      <c r="BC14" t="n">
        <v>3120.19194527123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14938571.6710478</v>
      </c>
      <c r="BW14" t="n">
        <v>23557.914242659</v>
      </c>
      <c r="BX14" t="n">
        <v>0</v>
      </c>
      <c r="BY14" t="n">
        <v>0</v>
      </c>
      <c r="BZ14" t="n">
        <v>-767.070578492641</v>
      </c>
      <c r="CA14" t="n">
        <v>3774562.25674106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5641577.87811326</v>
      </c>
      <c r="C15" t="n">
        <v>13778.6408654092</v>
      </c>
      <c r="D15" t="n">
        <v>0</v>
      </c>
      <c r="E15" t="n">
        <v>2906536.25885425</v>
      </c>
      <c r="F15" t="n">
        <v>17323.3661930931</v>
      </c>
      <c r="G15" t="n">
        <v>105631264.987798</v>
      </c>
      <c r="H15" t="n">
        <v>19170170.308612</v>
      </c>
      <c r="I15" t="n">
        <v>958488.251773667</v>
      </c>
      <c r="J15" t="n">
        <v>3327802.82819736</v>
      </c>
      <c r="K15" t="n">
        <v>10344246.1800125</v>
      </c>
      <c r="L15" t="n">
        <v>29782848.5011839</v>
      </c>
      <c r="M15" t="n">
        <v>6344729.1089739</v>
      </c>
      <c r="N15" t="n">
        <v>2788047.82192106</v>
      </c>
      <c r="O15" t="n">
        <v>4594832.57487263</v>
      </c>
      <c r="P15" t="n">
        <v>2244443.35414705</v>
      </c>
      <c r="Q15" t="n">
        <v>56355149.6366174</v>
      </c>
      <c r="R15" t="n">
        <v>954269.110300614</v>
      </c>
      <c r="S15" t="n">
        <v>6636579.12046665</v>
      </c>
      <c r="T15" t="n">
        <v>13999140.8275577</v>
      </c>
      <c r="U15" t="n">
        <v>1749480.57660626</v>
      </c>
      <c r="V15" t="n">
        <v>29028.2736836146</v>
      </c>
      <c r="W15" t="n">
        <v>11543249.4833989</v>
      </c>
      <c r="X15" t="n">
        <v>3778618.26698109</v>
      </c>
      <c r="Y15" t="n">
        <v>1797968.88768097</v>
      </c>
      <c r="Z15" t="n">
        <v>45933657.6044573</v>
      </c>
      <c r="AA15" t="n">
        <v>8982752.70219275</v>
      </c>
      <c r="AB15" t="n">
        <v>43898701.7884458</v>
      </c>
      <c r="AC15" t="n">
        <v>14037201.8547447</v>
      </c>
      <c r="AD15" t="n">
        <v>42721067.5311051</v>
      </c>
      <c r="AE15" t="n">
        <v>21212725.8300597</v>
      </c>
      <c r="AF15" t="n">
        <v>46561200.056404</v>
      </c>
      <c r="AG15" t="n">
        <v>1077918.07691674</v>
      </c>
      <c r="AH15" t="n">
        <v>54687.8366190978</v>
      </c>
      <c r="AI15" t="n">
        <v>613789.714401978</v>
      </c>
      <c r="AJ15" t="n">
        <v>5769416.23076176</v>
      </c>
      <c r="AK15" t="n">
        <v>2034255.35474441</v>
      </c>
      <c r="AL15" t="n">
        <v>9520432.80022171</v>
      </c>
      <c r="AM15" t="n">
        <v>3348267.09050424</v>
      </c>
      <c r="AN15" t="n">
        <v>6972733.08964501</v>
      </c>
      <c r="AO15" t="n">
        <v>1782237.90781815</v>
      </c>
      <c r="AP15" t="n">
        <v>2082522.10726557</v>
      </c>
      <c r="AQ15" t="n">
        <v>33247223.2219411</v>
      </c>
      <c r="AR15" t="n">
        <v>5527922.03105845</v>
      </c>
      <c r="AS15" t="n">
        <v>7893134.21492145</v>
      </c>
      <c r="AT15" t="n">
        <v>12982242.6679034</v>
      </c>
      <c r="AU15" t="n">
        <v>5723743.72473377</v>
      </c>
      <c r="AV15" t="n">
        <v>210452.753961207</v>
      </c>
      <c r="AW15" t="n">
        <v>654157.369307646</v>
      </c>
      <c r="AX15" t="n">
        <v>68034394.6571653</v>
      </c>
      <c r="AY15" t="n">
        <v>9153856.35837984</v>
      </c>
      <c r="AZ15" t="n">
        <v>1916152.21947728</v>
      </c>
      <c r="BA15" t="n">
        <v>2338450.43924981</v>
      </c>
      <c r="BB15" t="n">
        <v>18744778.9805865</v>
      </c>
      <c r="BC15" t="n">
        <v>22970477.4980287</v>
      </c>
      <c r="BD15" t="n">
        <v>9234440.57280973</v>
      </c>
      <c r="BE15" t="n">
        <v>5336684.20870936</v>
      </c>
      <c r="BF15" t="n">
        <v>35202242.2332669</v>
      </c>
      <c r="BG15" t="n">
        <v>14833439.8909647</v>
      </c>
      <c r="BH15" t="n">
        <v>26865267.8012871</v>
      </c>
      <c r="BI15" t="n">
        <v>20774845.3333506</v>
      </c>
      <c r="BJ15" t="n">
        <v>5232209.19375329</v>
      </c>
      <c r="BK15" t="n">
        <v>2524780.36924298</v>
      </c>
      <c r="BL15" t="n">
        <v>10927323.0967095</v>
      </c>
      <c r="BM15" t="n">
        <v>13311996.9701906</v>
      </c>
      <c r="BN15" t="n">
        <v>59852554.1873259</v>
      </c>
      <c r="BO15" t="n">
        <v>22695576.9287709</v>
      </c>
      <c r="BP15" t="n">
        <v>8636101.73147975</v>
      </c>
      <c r="BQ15" t="n">
        <v>2392702.5575865</v>
      </c>
      <c r="BR15" t="n">
        <v>4383600.43246099</v>
      </c>
      <c r="BS15" t="n">
        <v>72352984.9389881</v>
      </c>
      <c r="BT15" t="n">
        <v>6957187.1765784</v>
      </c>
      <c r="BU15" t="n">
        <v>853806478.662566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53891052.3108611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3732985.4049542</v>
      </c>
      <c r="C16" t="n">
        <v>20815.1978154485</v>
      </c>
      <c r="D16" t="n">
        <v>0</v>
      </c>
      <c r="E16" t="n">
        <v>9604451.80059395</v>
      </c>
      <c r="F16" t="n">
        <v>247412.211710879</v>
      </c>
      <c r="G16" t="n">
        <v>81402920.413347</v>
      </c>
      <c r="H16" t="n">
        <v>2394558.21289268</v>
      </c>
      <c r="I16" t="n">
        <v>702300.130465304</v>
      </c>
      <c r="J16" t="n">
        <v>3001319.96464475</v>
      </c>
      <c r="K16" t="n">
        <v>8697117.52437909</v>
      </c>
      <c r="L16" t="n">
        <v>34658109.6988637</v>
      </c>
      <c r="M16" t="n">
        <v>9288791.70178136</v>
      </c>
      <c r="N16" t="n">
        <v>3898750.62960982</v>
      </c>
      <c r="O16" t="n">
        <v>3973942.93498546</v>
      </c>
      <c r="P16" t="n">
        <v>2353702.82218635</v>
      </c>
      <c r="Q16" t="n">
        <v>33598237.2326157</v>
      </c>
      <c r="R16" t="n">
        <v>838862.560058022</v>
      </c>
      <c r="S16" t="n">
        <v>9365797.2434134</v>
      </c>
      <c r="T16" t="n">
        <v>12620366.8066608</v>
      </c>
      <c r="U16" t="n">
        <v>897949.398068216</v>
      </c>
      <c r="V16" t="n">
        <v>24950.6185855164</v>
      </c>
      <c r="W16" t="n">
        <v>8835317.9412657</v>
      </c>
      <c r="X16" t="n">
        <v>3958371.07349642</v>
      </c>
      <c r="Y16" t="n">
        <v>9974510.82999314</v>
      </c>
      <c r="Z16" t="n">
        <v>27981250.2491827</v>
      </c>
      <c r="AA16" t="n">
        <v>5921065.78937063</v>
      </c>
      <c r="AB16" t="n">
        <v>44420310.7360316</v>
      </c>
      <c r="AC16" t="n">
        <v>17285796.1620227</v>
      </c>
      <c r="AD16" t="n">
        <v>18180251.0399993</v>
      </c>
      <c r="AE16" t="n">
        <v>21289306.2071629</v>
      </c>
      <c r="AF16" t="n">
        <v>41516673.5004042</v>
      </c>
      <c r="AG16" t="n">
        <v>985361.243848511</v>
      </c>
      <c r="AH16" t="n">
        <v>7497414.80102195</v>
      </c>
      <c r="AI16" t="n">
        <v>677157.033314002</v>
      </c>
      <c r="AJ16" t="n">
        <v>2725074.21103959</v>
      </c>
      <c r="AK16" t="n">
        <v>9932199.64664311</v>
      </c>
      <c r="AL16" t="n">
        <v>24147043.100568</v>
      </c>
      <c r="AM16" t="n">
        <v>11325427.565567</v>
      </c>
      <c r="AN16" t="n">
        <v>9855458.6343192</v>
      </c>
      <c r="AO16" t="n">
        <v>1167761.42886465</v>
      </c>
      <c r="AP16" t="n">
        <v>1338065.39047941</v>
      </c>
      <c r="AQ16" t="n">
        <v>51338069.1390417</v>
      </c>
      <c r="AR16" t="n">
        <v>5675354.76416365</v>
      </c>
      <c r="AS16" t="n">
        <v>57037029.0600185</v>
      </c>
      <c r="AT16" t="n">
        <v>70387459.7713507</v>
      </c>
      <c r="AU16" t="n">
        <v>28915115.2127742</v>
      </c>
      <c r="AV16" t="n">
        <v>39088.3190883191</v>
      </c>
      <c r="AW16" t="n">
        <v>1135480822.39554</v>
      </c>
      <c r="AX16" t="n">
        <v>324004543.878926</v>
      </c>
      <c r="AY16" t="n">
        <v>24414088.4856344</v>
      </c>
      <c r="AZ16" t="n">
        <v>2227094.75737659</v>
      </c>
      <c r="BA16" t="n">
        <v>874334.338571033</v>
      </c>
      <c r="BB16" t="n">
        <v>30048161.1443259</v>
      </c>
      <c r="BC16" t="n">
        <v>14414783.4469972</v>
      </c>
      <c r="BD16" t="n">
        <v>10719681.1451943</v>
      </c>
      <c r="BE16" t="n">
        <v>2116288.99933494</v>
      </c>
      <c r="BF16" t="n">
        <v>50048398.1367402</v>
      </c>
      <c r="BG16" t="n">
        <v>10473561.7761973</v>
      </c>
      <c r="BH16" t="n">
        <v>16421708.5863627</v>
      </c>
      <c r="BI16" t="n">
        <v>14631960.5568445</v>
      </c>
      <c r="BJ16" t="n">
        <v>9662481.62065022</v>
      </c>
      <c r="BK16" t="n">
        <v>2257337.25241799</v>
      </c>
      <c r="BL16" t="n">
        <v>7734281.15975033</v>
      </c>
      <c r="BM16" t="n">
        <v>25600156.0086421</v>
      </c>
      <c r="BN16" t="n">
        <v>28732589.935983</v>
      </c>
      <c r="BO16" t="n">
        <v>46348917.0558988</v>
      </c>
      <c r="BP16" t="n">
        <v>84503094.51793</v>
      </c>
      <c r="BQ16" t="n">
        <v>3571848.87600134</v>
      </c>
      <c r="BR16" t="n">
        <v>4309976.58621191</v>
      </c>
      <c r="BS16" t="n">
        <v>434487596.707754</v>
      </c>
      <c r="BT16" t="n">
        <v>430950208.519773</v>
      </c>
      <c r="BU16" t="n">
        <v>0</v>
      </c>
      <c r="BV16" t="n">
        <v>4582083891.22241</v>
      </c>
      <c r="BW16" t="n">
        <v>0</v>
      </c>
      <c r="BX16" t="n">
        <v>0</v>
      </c>
      <c r="BY16" t="n">
        <v>7904216976.40699</v>
      </c>
      <c r="BZ16" t="n">
        <v>0</v>
      </c>
      <c r="CA16" t="n">
        <v>904443.339875818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28371971.154586</v>
      </c>
      <c r="CI16" t="n">
        <v>0</v>
      </c>
      <c r="CJ16" t="n">
        <v>0</v>
      </c>
      <c r="CK16" t="n">
        <v>0</v>
      </c>
      <c r="CL16" t="n">
        <v>3190978807.7909</v>
      </c>
      <c r="CM16" t="n">
        <v>0</v>
      </c>
      <c r="CN16" t="n">
        <v>0</v>
      </c>
    </row>
    <row r="17">
      <c r="A17" t="s">
        <v>128</v>
      </c>
      <c r="B17" t="n">
        <v>450827.90078573</v>
      </c>
      <c r="C17" t="n">
        <v>20242.9063631657</v>
      </c>
      <c r="D17" t="n">
        <v>0</v>
      </c>
      <c r="E17" t="n">
        <v>140590.765249875</v>
      </c>
      <c r="F17" t="n">
        <v>7950.68824632794</v>
      </c>
      <c r="G17" t="n">
        <v>22799.6183292525</v>
      </c>
      <c r="H17" t="n">
        <v>93671895.645173</v>
      </c>
      <c r="I17" t="n">
        <v>14108645.6429744</v>
      </c>
      <c r="J17" t="n">
        <v>201372.159837244</v>
      </c>
      <c r="K17" t="n">
        <v>1193000.58204385</v>
      </c>
      <c r="L17" t="n">
        <v>1187707.83303964</v>
      </c>
      <c r="M17" t="n">
        <v>1792342.53475227</v>
      </c>
      <c r="N17" t="n">
        <v>669911.096257865</v>
      </c>
      <c r="O17" t="n">
        <v>4959305.03412486</v>
      </c>
      <c r="P17" t="n">
        <v>2281653.789951</v>
      </c>
      <c r="Q17" t="n">
        <v>3902168.8588451</v>
      </c>
      <c r="R17" t="n">
        <v>8566895.99946357</v>
      </c>
      <c r="S17" t="n">
        <v>7464490.06170068</v>
      </c>
      <c r="T17" t="n">
        <v>651402.873520172</v>
      </c>
      <c r="U17" t="n">
        <v>67173.9420144157</v>
      </c>
      <c r="V17" t="n">
        <v>0</v>
      </c>
      <c r="W17" t="n">
        <v>8811315.04697978</v>
      </c>
      <c r="X17" t="n">
        <v>0</v>
      </c>
      <c r="Y17" t="n">
        <v>0</v>
      </c>
      <c r="Z17" t="n">
        <v>973209.040580214</v>
      </c>
      <c r="AA17" t="n">
        <v>3701246.81859234</v>
      </c>
      <c r="AB17" t="n">
        <v>22924965.1767879</v>
      </c>
      <c r="AC17" t="n">
        <v>550964.58948636</v>
      </c>
      <c r="AD17" t="n">
        <v>3350396.30780444</v>
      </c>
      <c r="AE17" t="n">
        <v>498352.763942982</v>
      </c>
      <c r="AF17" t="n">
        <v>3272896.23930838</v>
      </c>
      <c r="AG17" t="n">
        <v>0</v>
      </c>
      <c r="AH17" t="n">
        <v>2171659.31361679</v>
      </c>
      <c r="AI17" t="n">
        <v>0</v>
      </c>
      <c r="AJ17" t="n">
        <v>291698.947107316</v>
      </c>
      <c r="AK17" t="n">
        <v>0</v>
      </c>
      <c r="AL17" t="n">
        <v>54501.0644608236</v>
      </c>
      <c r="AM17" t="n">
        <v>157094.174577355</v>
      </c>
      <c r="AN17" t="n">
        <v>374201.216027181</v>
      </c>
      <c r="AO17" t="n">
        <v>107390.551839507</v>
      </c>
      <c r="AP17" t="n">
        <v>415933.199215094</v>
      </c>
      <c r="AQ17" t="n">
        <v>4767877.09886062</v>
      </c>
      <c r="AR17" t="n">
        <v>1811896.99349133</v>
      </c>
      <c r="AS17" t="n">
        <v>508357.983685512</v>
      </c>
      <c r="AT17" t="n">
        <v>51535.6539438185</v>
      </c>
      <c r="AU17" t="n">
        <v>0</v>
      </c>
      <c r="AV17" t="n">
        <v>0</v>
      </c>
      <c r="AW17" t="n">
        <v>89145.5774747425</v>
      </c>
      <c r="AX17" t="n">
        <v>17272826.6920906</v>
      </c>
      <c r="AY17" t="n">
        <v>3052889.09245914</v>
      </c>
      <c r="AZ17" t="n">
        <v>33320.9720758138</v>
      </c>
      <c r="BA17" t="n">
        <v>83979.7982543054</v>
      </c>
      <c r="BB17" t="n">
        <v>3095810.10516662</v>
      </c>
      <c r="BC17" t="n">
        <v>27390.512888766</v>
      </c>
      <c r="BD17" t="n">
        <v>3399830.86208512</v>
      </c>
      <c r="BE17" t="n">
        <v>116672.557363913</v>
      </c>
      <c r="BF17" t="n">
        <v>233614.493245684</v>
      </c>
      <c r="BG17" t="n">
        <v>1408313.155531</v>
      </c>
      <c r="BH17" t="n">
        <v>1739864.42340121</v>
      </c>
      <c r="BI17" t="n">
        <v>28317.7523492865</v>
      </c>
      <c r="BJ17" t="n">
        <v>2731096.07601502</v>
      </c>
      <c r="BK17" t="n">
        <v>17632.7244588766</v>
      </c>
      <c r="BL17" t="n">
        <v>494898.252656452</v>
      </c>
      <c r="BM17" t="n">
        <v>1756734.42596395</v>
      </c>
      <c r="BN17" t="n">
        <v>2412506.76129087</v>
      </c>
      <c r="BO17" t="n">
        <v>1107217.77864453</v>
      </c>
      <c r="BP17" t="n">
        <v>43816.0674029018</v>
      </c>
      <c r="BQ17" t="n">
        <v>85928.1320211073</v>
      </c>
      <c r="BR17" t="n">
        <v>3935.66048874291</v>
      </c>
      <c r="BS17" t="n">
        <v>7052675.91293664</v>
      </c>
      <c r="BT17" t="n">
        <v>698310.190271384</v>
      </c>
      <c r="BU17" t="n">
        <v>6893921.35176494</v>
      </c>
      <c r="BV17" t="n">
        <v>375296.799903399</v>
      </c>
      <c r="BW17" t="n">
        <v>0</v>
      </c>
      <c r="BX17" t="n">
        <v>0</v>
      </c>
      <c r="BY17" t="n">
        <v>28946921.5883415</v>
      </c>
      <c r="BZ17" t="n">
        <v>1043959.40818199</v>
      </c>
      <c r="CA17" t="n">
        <v>10547041.4843543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742507.091182691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15636.7016507099</v>
      </c>
      <c r="C18" t="n">
        <v>20624.579633441</v>
      </c>
      <c r="D18" t="n">
        <v>0</v>
      </c>
      <c r="E18" t="n">
        <v>424053.649034448</v>
      </c>
      <c r="F18" t="n">
        <v>30193.2442809988</v>
      </c>
      <c r="G18" t="n">
        <v>270450.660880981</v>
      </c>
      <c r="H18" t="n">
        <v>184153585.710285</v>
      </c>
      <c r="I18" t="n">
        <v>558011.036189314</v>
      </c>
      <c r="J18" t="n">
        <v>13363503.074522</v>
      </c>
      <c r="K18" t="n">
        <v>4135997.09538373</v>
      </c>
      <c r="L18" t="n">
        <v>6747064.85716182</v>
      </c>
      <c r="M18" t="n">
        <v>3309510.46199083</v>
      </c>
      <c r="N18" t="n">
        <v>507826.85334235</v>
      </c>
      <c r="O18" t="n">
        <v>10994730.9569451</v>
      </c>
      <c r="P18" t="n">
        <v>5444860.49382132</v>
      </c>
      <c r="Q18" t="n">
        <v>3983238.29638931</v>
      </c>
      <c r="R18" t="n">
        <v>406616.933417421</v>
      </c>
      <c r="S18" t="n">
        <v>4869590.73547688</v>
      </c>
      <c r="T18" t="n">
        <v>5701421.4540574</v>
      </c>
      <c r="U18" t="n">
        <v>49186.5419520792</v>
      </c>
      <c r="V18" t="n">
        <v>0</v>
      </c>
      <c r="W18" t="n">
        <v>1214868.27675747</v>
      </c>
      <c r="X18" t="n">
        <v>4159.47156451525</v>
      </c>
      <c r="Y18" t="n">
        <v>450384.051978544</v>
      </c>
      <c r="Z18" t="n">
        <v>5348224.19319692</v>
      </c>
      <c r="AA18" t="n">
        <v>3310099.96365906</v>
      </c>
      <c r="AB18" t="n">
        <v>263069.013242477</v>
      </c>
      <c r="AC18" t="n">
        <v>428910.730670186</v>
      </c>
      <c r="AD18" t="n">
        <v>90005.060234993</v>
      </c>
      <c r="AE18" t="n">
        <v>1040680.64354192</v>
      </c>
      <c r="AF18" t="n">
        <v>1456347.09849848</v>
      </c>
      <c r="AG18" t="n">
        <v>0</v>
      </c>
      <c r="AH18" t="n">
        <v>13462.8162949593</v>
      </c>
      <c r="AI18" t="n">
        <v>0</v>
      </c>
      <c r="AJ18" t="n">
        <v>127617.294198959</v>
      </c>
      <c r="AK18" t="n">
        <v>0</v>
      </c>
      <c r="AL18" t="n">
        <v>0</v>
      </c>
      <c r="AM18" t="n">
        <v>30270.6634548154</v>
      </c>
      <c r="AN18" t="n">
        <v>88158.9055013782</v>
      </c>
      <c r="AO18" t="n">
        <v>5587.1675742322</v>
      </c>
      <c r="AP18" t="n">
        <v>6182.74258607629</v>
      </c>
      <c r="AQ18" t="n">
        <v>9849624.10757302</v>
      </c>
      <c r="AR18" t="n">
        <v>1179544.53418799</v>
      </c>
      <c r="AS18" t="n">
        <v>28506.9862064674</v>
      </c>
      <c r="AT18" t="n">
        <v>107249.038094924</v>
      </c>
      <c r="AU18" t="n">
        <v>351361.143970894</v>
      </c>
      <c r="AV18" t="n">
        <v>0</v>
      </c>
      <c r="AW18" t="n">
        <v>501989.146559348</v>
      </c>
      <c r="AX18" t="n">
        <v>182414.915622206</v>
      </c>
      <c r="AY18" t="n">
        <v>4505980.73271707</v>
      </c>
      <c r="AZ18" t="n">
        <v>0</v>
      </c>
      <c r="BA18" t="n">
        <v>659018.762020467</v>
      </c>
      <c r="BB18" t="n">
        <v>16338050.0736023</v>
      </c>
      <c r="BC18" t="n">
        <v>91202.2938821872</v>
      </c>
      <c r="BD18" t="n">
        <v>2580611.09446781</v>
      </c>
      <c r="BE18" t="n">
        <v>786682.233315703</v>
      </c>
      <c r="BF18" t="n">
        <v>284994.39611939</v>
      </c>
      <c r="BG18" t="n">
        <v>8199681.21714851</v>
      </c>
      <c r="BH18" t="n">
        <v>4752801.63536044</v>
      </c>
      <c r="BI18" t="n">
        <v>640875.485515913</v>
      </c>
      <c r="BJ18" t="n">
        <v>1905232.90690776</v>
      </c>
      <c r="BK18" t="n">
        <v>30579.0359438813</v>
      </c>
      <c r="BL18" t="n">
        <v>412817.313469188</v>
      </c>
      <c r="BM18" t="n">
        <v>250837.073716207</v>
      </c>
      <c r="BN18" t="n">
        <v>5546740.1297359</v>
      </c>
      <c r="BO18" t="n">
        <v>5877300.93243667</v>
      </c>
      <c r="BP18" t="n">
        <v>153873.131398063</v>
      </c>
      <c r="BQ18" t="n">
        <v>435878.662602146</v>
      </c>
      <c r="BR18" t="n">
        <v>0</v>
      </c>
      <c r="BS18" t="n">
        <v>3850207.71351757</v>
      </c>
      <c r="BT18" t="n">
        <v>7539250.7575476</v>
      </c>
      <c r="BU18" t="n">
        <v>25340835.3157745</v>
      </c>
      <c r="BV18" t="n">
        <v>0</v>
      </c>
      <c r="BW18" t="n">
        <v>0</v>
      </c>
      <c r="BX18" t="n">
        <v>0</v>
      </c>
      <c r="BY18" t="n">
        <v>0</v>
      </c>
      <c r="BZ18" t="n">
        <v>3699693.23179016</v>
      </c>
      <c r="CA18" t="n">
        <v>115662675.550941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27988.5592973282</v>
      </c>
      <c r="C19" t="n">
        <v>0</v>
      </c>
      <c r="D19" t="n">
        <v>0</v>
      </c>
      <c r="E19" t="n">
        <v>344568.086622385</v>
      </c>
      <c r="F19" t="n">
        <v>10532.347506711</v>
      </c>
      <c r="G19" t="n">
        <v>18441.41041812</v>
      </c>
      <c r="H19" t="n">
        <v>8480010.37709294</v>
      </c>
      <c r="I19" t="n">
        <v>151262.11868716</v>
      </c>
      <c r="J19" t="n">
        <v>1368761.79360033</v>
      </c>
      <c r="K19" t="n">
        <v>96133134.4414308</v>
      </c>
      <c r="L19" t="n">
        <v>480677934.720391</v>
      </c>
      <c r="M19" t="n">
        <v>100357661.306218</v>
      </c>
      <c r="N19" t="n">
        <v>7427241.68141596</v>
      </c>
      <c r="O19" t="n">
        <v>78156005.1315774</v>
      </c>
      <c r="P19" t="n">
        <v>31724331.8770089</v>
      </c>
      <c r="Q19" t="n">
        <v>136188574.715795</v>
      </c>
      <c r="R19" t="n">
        <v>4969291.89349098</v>
      </c>
      <c r="S19" t="n">
        <v>33121611.0643272</v>
      </c>
      <c r="T19" t="n">
        <v>3604266.11284633</v>
      </c>
      <c r="U19" t="n">
        <v>188657.859951347</v>
      </c>
      <c r="V19" t="n">
        <v>0</v>
      </c>
      <c r="W19" t="n">
        <v>2134308.26991616</v>
      </c>
      <c r="X19" t="n">
        <v>32333.2304210304</v>
      </c>
      <c r="Y19" t="n">
        <v>2139.98457057111</v>
      </c>
      <c r="Z19" t="n">
        <v>140567.416843691</v>
      </c>
      <c r="AA19" t="n">
        <v>3249353.09701325</v>
      </c>
      <c r="AB19" t="n">
        <v>1575055.11944267</v>
      </c>
      <c r="AC19" t="n">
        <v>16505.416196721</v>
      </c>
      <c r="AD19" t="n">
        <v>0</v>
      </c>
      <c r="AE19" t="n">
        <v>0</v>
      </c>
      <c r="AF19" t="n">
        <v>622930.21723321</v>
      </c>
      <c r="AG19" t="n">
        <v>0</v>
      </c>
      <c r="AH19" t="n">
        <v>624892.220739656</v>
      </c>
      <c r="AI19" t="n">
        <v>0</v>
      </c>
      <c r="AJ19" t="n">
        <v>0</v>
      </c>
      <c r="AK19" t="n">
        <v>0</v>
      </c>
      <c r="AL19" t="n">
        <v>0</v>
      </c>
      <c r="AM19" t="n">
        <v>464729.217298364</v>
      </c>
      <c r="AN19" t="n">
        <v>0</v>
      </c>
      <c r="AO19" t="n">
        <v>16286.7302171002</v>
      </c>
      <c r="AP19" t="n">
        <v>24030.4612700026</v>
      </c>
      <c r="AQ19" t="n">
        <v>2554991.66895014</v>
      </c>
      <c r="AR19" t="n">
        <v>674527.882717313</v>
      </c>
      <c r="AS19" t="n">
        <v>0</v>
      </c>
      <c r="AT19" t="n">
        <v>0</v>
      </c>
      <c r="AU19" t="n">
        <v>0</v>
      </c>
      <c r="AV19" t="n">
        <v>0</v>
      </c>
      <c r="AW19" t="n">
        <v>5301.8501728691</v>
      </c>
      <c r="AX19" t="n">
        <v>3451412.0770164</v>
      </c>
      <c r="AY19" t="n">
        <v>452932.555638905</v>
      </c>
      <c r="AZ19" t="n">
        <v>0</v>
      </c>
      <c r="BA19" t="n">
        <v>0</v>
      </c>
      <c r="BB19" t="n">
        <v>4083381.80276119</v>
      </c>
      <c r="BC19" t="n">
        <v>144005.830971608</v>
      </c>
      <c r="BD19" t="n">
        <v>1374972.05818265</v>
      </c>
      <c r="BE19" t="n">
        <v>981450.980082308</v>
      </c>
      <c r="BF19" t="n">
        <v>838910.400704323</v>
      </c>
      <c r="BG19" t="n">
        <v>476140.865017254</v>
      </c>
      <c r="BH19" t="n">
        <v>88165.2105430378</v>
      </c>
      <c r="BI19" t="n">
        <v>64419.5767179888</v>
      </c>
      <c r="BJ19" t="n">
        <v>977635.303087355</v>
      </c>
      <c r="BK19" t="n">
        <v>38626.7432009788</v>
      </c>
      <c r="BL19" t="n">
        <v>922172.10836058</v>
      </c>
      <c r="BM19" t="n">
        <v>53228.8427843028</v>
      </c>
      <c r="BN19" t="n">
        <v>401978.028573431</v>
      </c>
      <c r="BO19" t="n">
        <v>1917960.53641102</v>
      </c>
      <c r="BP19" t="n">
        <v>459619.102965424</v>
      </c>
      <c r="BQ19" t="n">
        <v>779733.866454621</v>
      </c>
      <c r="BR19" t="n">
        <v>0</v>
      </c>
      <c r="BS19" t="n">
        <v>290296.87783351</v>
      </c>
      <c r="BT19" t="n">
        <v>1416935.02538222</v>
      </c>
      <c r="BU19" t="n">
        <v>1548072.80617177</v>
      </c>
      <c r="BV19" t="n">
        <v>0</v>
      </c>
      <c r="BW19" t="n">
        <v>0</v>
      </c>
      <c r="BX19" t="n">
        <v>0</v>
      </c>
      <c r="BY19" t="n">
        <v>0</v>
      </c>
      <c r="BZ19" t="n">
        <v>11803149.7263766</v>
      </c>
      <c r="CA19" t="n">
        <v>162714682.762196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1029619.03240614</v>
      </c>
      <c r="C20" t="n">
        <v>29906.6090118326</v>
      </c>
      <c r="D20" t="n">
        <v>0</v>
      </c>
      <c r="E20" t="n">
        <v>1070460.95309768</v>
      </c>
      <c r="F20" t="n">
        <v>39280.7149863981</v>
      </c>
      <c r="G20" t="n">
        <v>2465658.72217997</v>
      </c>
      <c r="H20" t="n">
        <v>264602454.582946</v>
      </c>
      <c r="I20" t="n">
        <v>2383261.85102016</v>
      </c>
      <c r="J20" t="n">
        <v>2626263.73400225</v>
      </c>
      <c r="K20" t="n">
        <v>14572152.9173335</v>
      </c>
      <c r="L20" t="n">
        <v>372146348.768171</v>
      </c>
      <c r="M20" t="n">
        <v>90169005.6015121</v>
      </c>
      <c r="N20" t="n">
        <v>20097543.5580048</v>
      </c>
      <c r="O20" t="n">
        <v>84668541.9408969</v>
      </c>
      <c r="P20" t="n">
        <v>25130674.4541742</v>
      </c>
      <c r="Q20" t="n">
        <v>339989875.623822</v>
      </c>
      <c r="R20" t="n">
        <v>9323157.27154094</v>
      </c>
      <c r="S20" t="n">
        <v>48695840.3942842</v>
      </c>
      <c r="T20" t="n">
        <v>37854503.3882039</v>
      </c>
      <c r="U20" t="n">
        <v>1461849.18025465</v>
      </c>
      <c r="V20" t="n">
        <v>73403.557512386</v>
      </c>
      <c r="W20" t="n">
        <v>17237056.3668109</v>
      </c>
      <c r="X20" t="n">
        <v>3912997.33269687</v>
      </c>
      <c r="Y20" t="n">
        <v>912638.332529232</v>
      </c>
      <c r="Z20" t="n">
        <v>43710384.4910022</v>
      </c>
      <c r="AA20" t="n">
        <v>21116633.3476997</v>
      </c>
      <c r="AB20" t="n">
        <v>10452150.5318123</v>
      </c>
      <c r="AC20" t="n">
        <v>1400576.15163136</v>
      </c>
      <c r="AD20" t="n">
        <v>912804.093700422</v>
      </c>
      <c r="AE20" t="n">
        <v>548386.722645401</v>
      </c>
      <c r="AF20" t="n">
        <v>3098282.25638062</v>
      </c>
      <c r="AG20" t="n">
        <v>479171.998609465</v>
      </c>
      <c r="AH20" t="n">
        <v>389442.141882936</v>
      </c>
      <c r="AI20" t="n">
        <v>7748593.10495623</v>
      </c>
      <c r="AJ20" t="n">
        <v>3129301.11071143</v>
      </c>
      <c r="AK20" t="n">
        <v>1745335.80199958</v>
      </c>
      <c r="AL20" t="n">
        <v>18806977.6428476</v>
      </c>
      <c r="AM20" t="n">
        <v>1049926.01786688</v>
      </c>
      <c r="AN20" t="n">
        <v>3330451.54198216</v>
      </c>
      <c r="AO20" t="n">
        <v>2308465.42401756</v>
      </c>
      <c r="AP20" t="n">
        <v>316025.665110191</v>
      </c>
      <c r="AQ20" t="n">
        <v>62914222.1281814</v>
      </c>
      <c r="AR20" t="n">
        <v>4290057.11781557</v>
      </c>
      <c r="AS20" t="n">
        <v>1414707.8347257</v>
      </c>
      <c r="AT20" t="n">
        <v>3165170.04510614</v>
      </c>
      <c r="AU20" t="n">
        <v>0</v>
      </c>
      <c r="AV20" t="n">
        <v>163.734238865583</v>
      </c>
      <c r="AW20" t="n">
        <v>112887.880659087</v>
      </c>
      <c r="AX20" t="n">
        <v>832498.601564777</v>
      </c>
      <c r="AY20" t="n">
        <v>15085689.5318837</v>
      </c>
      <c r="AZ20" t="n">
        <v>65637.2996965055</v>
      </c>
      <c r="BA20" t="n">
        <v>10289003.5670071</v>
      </c>
      <c r="BB20" t="n">
        <v>24680097.6498601</v>
      </c>
      <c r="BC20" t="n">
        <v>3211875.24605611</v>
      </c>
      <c r="BD20" t="n">
        <v>7278246.5745349</v>
      </c>
      <c r="BE20" t="n">
        <v>17564064.8063608</v>
      </c>
      <c r="BF20" t="n">
        <v>3876438.50101301</v>
      </c>
      <c r="BG20" t="n">
        <v>1760673.38392148</v>
      </c>
      <c r="BH20" t="n">
        <v>7961131.12491766</v>
      </c>
      <c r="BI20" t="n">
        <v>197228.188549798</v>
      </c>
      <c r="BJ20" t="n">
        <v>8818782.64246893</v>
      </c>
      <c r="BK20" t="n">
        <v>130251.799505565</v>
      </c>
      <c r="BL20" t="n">
        <v>1610788.26223547</v>
      </c>
      <c r="BM20" t="n">
        <v>3231647.6379861</v>
      </c>
      <c r="BN20" t="n">
        <v>11330510.3164916</v>
      </c>
      <c r="BO20" t="n">
        <v>15741816.3045927</v>
      </c>
      <c r="BP20" t="n">
        <v>13535038.0725266</v>
      </c>
      <c r="BQ20" t="n">
        <v>3359617.6500659</v>
      </c>
      <c r="BR20" t="n">
        <v>465990.169320154</v>
      </c>
      <c r="BS20" t="n">
        <v>13114886.6808551</v>
      </c>
      <c r="BT20" t="n">
        <v>14981133.1155796</v>
      </c>
      <c r="BU20" t="n">
        <v>52123980.0111459</v>
      </c>
      <c r="BV20" t="n">
        <v>0</v>
      </c>
      <c r="BW20" t="n">
        <v>97440765.7513414</v>
      </c>
      <c r="BX20" t="n">
        <v>0</v>
      </c>
      <c r="BY20" t="n">
        <v>0</v>
      </c>
      <c r="BZ20" t="n">
        <v>75216696.8422498</v>
      </c>
      <c r="CA20" t="n">
        <v>660049299.43282</v>
      </c>
      <c r="CB20" t="n">
        <v>0</v>
      </c>
      <c r="CC20" t="n">
        <v>0</v>
      </c>
      <c r="CD20" t="n">
        <v>0</v>
      </c>
      <c r="CE20" t="n">
        <v>16036.0281316791</v>
      </c>
      <c r="CF20" t="n">
        <v>0</v>
      </c>
      <c r="CG20" t="n">
        <v>0</v>
      </c>
      <c r="CH20" t="n">
        <v>0</v>
      </c>
      <c r="CI20" t="n">
        <v>5327653.71353965</v>
      </c>
      <c r="CJ20" t="n">
        <v>0</v>
      </c>
      <c r="CK20" t="n">
        <v>0</v>
      </c>
      <c r="CL20" t="n">
        <v>0</v>
      </c>
      <c r="CM20" t="n">
        <v>204030.921401139</v>
      </c>
      <c r="CN20" t="n">
        <v>0</v>
      </c>
    </row>
    <row r="21">
      <c r="A21" t="s">
        <v>132</v>
      </c>
      <c r="B21" t="n">
        <v>119669.25764667</v>
      </c>
      <c r="C21" t="n">
        <v>3753.43910455311</v>
      </c>
      <c r="D21" t="n">
        <v>0</v>
      </c>
      <c r="E21" t="n">
        <v>1774956.67141621</v>
      </c>
      <c r="F21" t="n">
        <v>107305.735455231</v>
      </c>
      <c r="G21" t="n">
        <v>811680.87597495</v>
      </c>
      <c r="H21" t="n">
        <v>77995044.817191</v>
      </c>
      <c r="I21" t="n">
        <v>221921.870786311</v>
      </c>
      <c r="J21" t="n">
        <v>69400.7588664796</v>
      </c>
      <c r="K21" t="n">
        <v>1627799.39094953</v>
      </c>
      <c r="L21" t="n">
        <v>27534045.9692313</v>
      </c>
      <c r="M21" t="n">
        <v>65450875.832953</v>
      </c>
      <c r="N21" t="n">
        <v>358558.462199849</v>
      </c>
      <c r="O21" t="n">
        <v>7654667.34526262</v>
      </c>
      <c r="P21" t="n">
        <v>15804711.8843391</v>
      </c>
      <c r="Q21" t="n">
        <v>57947313.9773635</v>
      </c>
      <c r="R21" t="n">
        <v>134458.146684021</v>
      </c>
      <c r="S21" t="n">
        <v>2858070.3331411</v>
      </c>
      <c r="T21" t="n">
        <v>3484297.89157441</v>
      </c>
      <c r="U21" t="n">
        <v>44285.832389308</v>
      </c>
      <c r="V21" t="n">
        <v>1499.71554937873</v>
      </c>
      <c r="W21" t="n">
        <v>1049571.15802711</v>
      </c>
      <c r="X21" t="n">
        <v>3055251.99516932</v>
      </c>
      <c r="Y21" t="n">
        <v>12951.0362993851</v>
      </c>
      <c r="Z21" t="n">
        <v>7255592.27210238</v>
      </c>
      <c r="AA21" t="n">
        <v>2903413.99145776</v>
      </c>
      <c r="AB21" t="n">
        <v>5368928.43636695</v>
      </c>
      <c r="AC21" t="n">
        <v>676525.149648594</v>
      </c>
      <c r="AD21" t="n">
        <v>628715.088631475</v>
      </c>
      <c r="AE21" t="n">
        <v>432070.953181482</v>
      </c>
      <c r="AF21" t="n">
        <v>1553139.80832468</v>
      </c>
      <c r="AG21" t="n">
        <v>7654.00925669658</v>
      </c>
      <c r="AH21" t="n">
        <v>53147.8798391115</v>
      </c>
      <c r="AI21" t="n">
        <v>87763.9341934703</v>
      </c>
      <c r="AJ21" t="n">
        <v>462811.001114013</v>
      </c>
      <c r="AK21" t="n">
        <v>131968.021963308</v>
      </c>
      <c r="AL21" t="n">
        <v>454751.359872245</v>
      </c>
      <c r="AM21" t="n">
        <v>139169.009063342</v>
      </c>
      <c r="AN21" t="n">
        <v>4736465.68759685</v>
      </c>
      <c r="AO21" t="n">
        <v>128434.676685792</v>
      </c>
      <c r="AP21" t="n">
        <v>251198.418950986</v>
      </c>
      <c r="AQ21" t="n">
        <v>6096516.64184386</v>
      </c>
      <c r="AR21" t="n">
        <v>1695315.3704047</v>
      </c>
      <c r="AS21" t="n">
        <v>23706.0379777551</v>
      </c>
      <c r="AT21" t="n">
        <v>688013.239952862</v>
      </c>
      <c r="AU21" t="n">
        <v>1593356.6072644</v>
      </c>
      <c r="AV21" t="n">
        <v>0</v>
      </c>
      <c r="AW21" t="n">
        <v>239189.712305479</v>
      </c>
      <c r="AX21" t="n">
        <v>344020.015290792</v>
      </c>
      <c r="AY21" t="n">
        <v>5694506.99886275</v>
      </c>
      <c r="AZ21" t="n">
        <v>82378.3155424478</v>
      </c>
      <c r="BA21" t="n">
        <v>3223307.0683016</v>
      </c>
      <c r="BB21" t="n">
        <v>5389081.94274456</v>
      </c>
      <c r="BC21" t="n">
        <v>481465.319599269</v>
      </c>
      <c r="BD21" t="n">
        <v>3862008.26928745</v>
      </c>
      <c r="BE21" t="n">
        <v>9693503.80451213</v>
      </c>
      <c r="BF21" t="n">
        <v>12654478.1372368</v>
      </c>
      <c r="BG21" t="n">
        <v>1407104.83364672</v>
      </c>
      <c r="BH21" t="n">
        <v>3561750.72476714</v>
      </c>
      <c r="BI21" t="n">
        <v>1244410.40411971</v>
      </c>
      <c r="BJ21" t="n">
        <v>995633.415368057</v>
      </c>
      <c r="BK21" t="n">
        <v>55580.8072901604</v>
      </c>
      <c r="BL21" t="n">
        <v>586986.372685069</v>
      </c>
      <c r="BM21" t="n">
        <v>123306.111964773</v>
      </c>
      <c r="BN21" t="n">
        <v>2198701.34093271</v>
      </c>
      <c r="BO21" t="n">
        <v>13364618.0530945</v>
      </c>
      <c r="BP21" t="n">
        <v>3985005.41444479</v>
      </c>
      <c r="BQ21" t="n">
        <v>160124.556794661</v>
      </c>
      <c r="BR21" t="n">
        <v>102894.757398456</v>
      </c>
      <c r="BS21" t="n">
        <v>7594298.22344899</v>
      </c>
      <c r="BT21" t="n">
        <v>2113660.07183534</v>
      </c>
      <c r="BU21" t="n">
        <v>17749172.2852422</v>
      </c>
      <c r="BV21" t="n">
        <v>0</v>
      </c>
      <c r="BW21" t="n">
        <v>611694018.716596</v>
      </c>
      <c r="BX21" t="n">
        <v>0</v>
      </c>
      <c r="BY21" t="n">
        <v>0</v>
      </c>
      <c r="BZ21" t="n">
        <v>25675279.8928297</v>
      </c>
      <c r="CA21" t="n">
        <v>1620848989.61784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1104524.60690356</v>
      </c>
      <c r="CJ21" t="n">
        <v>0</v>
      </c>
      <c r="CK21" t="n">
        <v>0</v>
      </c>
      <c r="CL21" t="n">
        <v>0</v>
      </c>
      <c r="CM21" t="n">
        <v>21306931.6180638</v>
      </c>
      <c r="CN21" t="n">
        <v>0</v>
      </c>
    </row>
    <row r="22">
      <c r="A22" t="s">
        <v>133</v>
      </c>
      <c r="B22" t="n">
        <v>13655.3942911694</v>
      </c>
      <c r="C22" t="n">
        <v>0</v>
      </c>
      <c r="D22" t="n">
        <v>0</v>
      </c>
      <c r="E22" t="n">
        <v>4480.792376235</v>
      </c>
      <c r="F22" t="n">
        <v>146.119869186449</v>
      </c>
      <c r="G22" t="n">
        <v>203379.106425259</v>
      </c>
      <c r="H22" t="n">
        <v>6132614.11507639</v>
      </c>
      <c r="I22" t="n">
        <v>293237.454643951</v>
      </c>
      <c r="J22" t="n">
        <v>259808.058707522</v>
      </c>
      <c r="K22" t="n">
        <v>1572117.22538722</v>
      </c>
      <c r="L22" t="n">
        <v>15962470.7246223</v>
      </c>
      <c r="M22" t="n">
        <v>8516885.18303795</v>
      </c>
      <c r="N22" t="n">
        <v>31301563.9647008</v>
      </c>
      <c r="O22" t="n">
        <v>13799060.6604308</v>
      </c>
      <c r="P22" t="n">
        <v>3383019.18060879</v>
      </c>
      <c r="Q22" t="n">
        <v>125272792.712029</v>
      </c>
      <c r="R22" t="n">
        <v>720180.85740764</v>
      </c>
      <c r="S22" t="n">
        <v>9014266.65139782</v>
      </c>
      <c r="T22" t="n">
        <v>2107292.97546129</v>
      </c>
      <c r="U22" t="n">
        <v>356161.703718152</v>
      </c>
      <c r="V22" t="n">
        <v>12606.7041484581</v>
      </c>
      <c r="W22" t="n">
        <v>1734180.76337638</v>
      </c>
      <c r="X22" t="n">
        <v>1728279.92616217</v>
      </c>
      <c r="Y22" t="n">
        <v>48470.0270790265</v>
      </c>
      <c r="Z22" t="n">
        <v>8698274.80657003</v>
      </c>
      <c r="AA22" t="n">
        <v>2327044.31720079</v>
      </c>
      <c r="AB22" t="n">
        <v>34671110.9776649</v>
      </c>
      <c r="AC22" t="n">
        <v>827934.729298245</v>
      </c>
      <c r="AD22" t="n">
        <v>161786.294754607</v>
      </c>
      <c r="AE22" t="n">
        <v>71700.7898366674</v>
      </c>
      <c r="AF22" t="n">
        <v>694293.484021703</v>
      </c>
      <c r="AG22" t="n">
        <v>2121.10179838911</v>
      </c>
      <c r="AH22" t="n">
        <v>23626.9662706186</v>
      </c>
      <c r="AI22" t="n">
        <v>2467.38864325827</v>
      </c>
      <c r="AJ22" t="n">
        <v>20268.8070272646</v>
      </c>
      <c r="AK22" t="n">
        <v>0</v>
      </c>
      <c r="AL22" t="n">
        <v>0</v>
      </c>
      <c r="AM22" t="n">
        <v>8371.11648087305</v>
      </c>
      <c r="AN22" t="n">
        <v>27935.0264691881</v>
      </c>
      <c r="AO22" t="n">
        <v>1788439.04285045</v>
      </c>
      <c r="AP22" t="n">
        <v>1543084.89931153</v>
      </c>
      <c r="AQ22" t="n">
        <v>21885105.6330596</v>
      </c>
      <c r="AR22" t="n">
        <v>2323462.85374982</v>
      </c>
      <c r="AS22" t="n">
        <v>216793.094616266</v>
      </c>
      <c r="AT22" t="n">
        <v>593177.742334139</v>
      </c>
      <c r="AU22" t="n">
        <v>125645.936470726</v>
      </c>
      <c r="AV22" t="n">
        <v>7441.13267422679</v>
      </c>
      <c r="AW22" t="n">
        <v>3772.31503101909</v>
      </c>
      <c r="AX22" t="n">
        <v>26273.659258711</v>
      </c>
      <c r="AY22" t="n">
        <v>268554.723345743</v>
      </c>
      <c r="AZ22" t="n">
        <v>394179.415717771</v>
      </c>
      <c r="BA22" t="n">
        <v>7083448.67101525</v>
      </c>
      <c r="BB22" t="n">
        <v>9580713.06292377</v>
      </c>
      <c r="BC22" t="n">
        <v>6328966.16553995</v>
      </c>
      <c r="BD22" t="n">
        <v>2829361.70985064</v>
      </c>
      <c r="BE22" t="n">
        <v>1017251.66649731</v>
      </c>
      <c r="BF22" t="n">
        <v>4265173.20130917</v>
      </c>
      <c r="BG22" t="n">
        <v>18452140.7000238</v>
      </c>
      <c r="BH22" t="n">
        <v>1087326.17113001</v>
      </c>
      <c r="BI22" t="n">
        <v>305567.464968744</v>
      </c>
      <c r="BJ22" t="n">
        <v>233098.822382135</v>
      </c>
      <c r="BK22" t="n">
        <v>2114.09862341746</v>
      </c>
      <c r="BL22" t="n">
        <v>17653.8272834704</v>
      </c>
      <c r="BM22" t="n">
        <v>155477.851171227</v>
      </c>
      <c r="BN22" t="n">
        <v>80527.3843076951</v>
      </c>
      <c r="BO22" t="n">
        <v>2798917.85178643</v>
      </c>
      <c r="BP22" t="n">
        <v>19211628.4469629</v>
      </c>
      <c r="BQ22" t="n">
        <v>2990290.77944173</v>
      </c>
      <c r="BR22" t="n">
        <v>0</v>
      </c>
      <c r="BS22" t="n">
        <v>1954941.62025093</v>
      </c>
      <c r="BT22" t="n">
        <v>1536494.72784777</v>
      </c>
      <c r="BU22" t="n">
        <v>22918176.7505179</v>
      </c>
      <c r="BV22" t="n">
        <v>0</v>
      </c>
      <c r="BW22" t="n">
        <v>156046733.935411</v>
      </c>
      <c r="BX22" t="n">
        <v>0</v>
      </c>
      <c r="BY22" t="n">
        <v>8943.09706705948</v>
      </c>
      <c r="BZ22" t="n">
        <v>7474797.35313982</v>
      </c>
      <c r="CA22" t="n">
        <v>564805713.026347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2506346.86914649</v>
      </c>
      <c r="CJ22" t="n">
        <v>0</v>
      </c>
      <c r="CK22" t="n">
        <v>0</v>
      </c>
      <c r="CL22" t="n">
        <v>0</v>
      </c>
      <c r="CM22" t="n">
        <v>2602415.50850978</v>
      </c>
      <c r="CN22" t="n">
        <v>0</v>
      </c>
    </row>
    <row r="23">
      <c r="A23" t="s">
        <v>134</v>
      </c>
      <c r="B23" t="n">
        <v>71506.8462083352</v>
      </c>
      <c r="C23" t="n">
        <v>3855.63421490255</v>
      </c>
      <c r="D23" t="n">
        <v>0</v>
      </c>
      <c r="E23" t="n">
        <v>903.902099554933</v>
      </c>
      <c r="F23" t="n">
        <v>884.294866538559</v>
      </c>
      <c r="G23" t="n">
        <v>32424.7995397127</v>
      </c>
      <c r="H23" t="n">
        <v>48986719.8375197</v>
      </c>
      <c r="I23" t="n">
        <v>76355.1422960411</v>
      </c>
      <c r="J23" t="n">
        <v>7782.18108802647</v>
      </c>
      <c r="K23" t="n">
        <v>2195527.31634144</v>
      </c>
      <c r="L23" t="n">
        <v>9162962.3862118</v>
      </c>
      <c r="M23" t="n">
        <v>18164145.3837809</v>
      </c>
      <c r="N23" t="n">
        <v>1943331.51407696</v>
      </c>
      <c r="O23" t="n">
        <v>33343398.6932305</v>
      </c>
      <c r="P23" t="n">
        <v>2708108.683863</v>
      </c>
      <c r="Q23" t="n">
        <v>14576282.9947779</v>
      </c>
      <c r="R23" t="n">
        <v>2046.20809870638</v>
      </c>
      <c r="S23" t="n">
        <v>2947293.1176707</v>
      </c>
      <c r="T23" t="n">
        <v>34296.234102522</v>
      </c>
      <c r="U23" t="n">
        <v>0</v>
      </c>
      <c r="V23" t="n">
        <v>0</v>
      </c>
      <c r="W23" t="n">
        <v>5294.77173501114</v>
      </c>
      <c r="X23" t="n">
        <v>0</v>
      </c>
      <c r="Y23" t="n">
        <v>5733.56172372895</v>
      </c>
      <c r="Z23" t="n">
        <v>2268254.13682015</v>
      </c>
      <c r="AA23" t="n">
        <v>852894.489325087</v>
      </c>
      <c r="AB23" t="n">
        <v>5925838.279784</v>
      </c>
      <c r="AC23" t="n">
        <v>704791.289137435</v>
      </c>
      <c r="AD23" t="n">
        <v>363189.61827129</v>
      </c>
      <c r="AE23" t="n">
        <v>1571097.25590036</v>
      </c>
      <c r="AF23" t="n">
        <v>463071.851541182</v>
      </c>
      <c r="AG23" t="n">
        <v>998.400688660682</v>
      </c>
      <c r="AH23" t="n">
        <v>144575.490141503</v>
      </c>
      <c r="AI23" t="n">
        <v>59231.2771820608</v>
      </c>
      <c r="AJ23" t="n">
        <v>90915.4391412399</v>
      </c>
      <c r="AK23" t="n">
        <v>619707.991623715</v>
      </c>
      <c r="AL23" t="n">
        <v>6920.48744101052</v>
      </c>
      <c r="AM23" t="n">
        <v>227550.992080975</v>
      </c>
      <c r="AN23" t="n">
        <v>229509.67102734</v>
      </c>
      <c r="AO23" t="n">
        <v>8181.80311860942</v>
      </c>
      <c r="AP23" t="n">
        <v>0</v>
      </c>
      <c r="AQ23" t="n">
        <v>7190581.12966506</v>
      </c>
      <c r="AR23" t="n">
        <v>309595.34632905</v>
      </c>
      <c r="AS23" t="n">
        <v>185535.113810055</v>
      </c>
      <c r="AT23" t="n">
        <v>157054.626104264</v>
      </c>
      <c r="AU23" t="n">
        <v>47313.1424790869</v>
      </c>
      <c r="AV23" t="n">
        <v>0</v>
      </c>
      <c r="AW23" t="n">
        <v>15980.6273084458</v>
      </c>
      <c r="AX23" t="n">
        <v>46994.5526265308</v>
      </c>
      <c r="AY23" t="n">
        <v>1795000.19154121</v>
      </c>
      <c r="AZ23" t="n">
        <v>0</v>
      </c>
      <c r="BA23" t="n">
        <v>5744161.33033521</v>
      </c>
      <c r="BB23" t="n">
        <v>8612288.96108597</v>
      </c>
      <c r="BC23" t="n">
        <v>300500.782523486</v>
      </c>
      <c r="BD23" t="n">
        <v>3304602.88061659</v>
      </c>
      <c r="BE23" t="n">
        <v>924453.364321775</v>
      </c>
      <c r="BF23" t="n">
        <v>1284763.30614</v>
      </c>
      <c r="BG23" t="n">
        <v>22780.3965464168</v>
      </c>
      <c r="BH23" t="n">
        <v>1683045.92931901</v>
      </c>
      <c r="BI23" t="n">
        <v>136638.811632873</v>
      </c>
      <c r="BJ23" t="n">
        <v>1593543.72236355</v>
      </c>
      <c r="BK23" t="n">
        <v>8955.93870509959</v>
      </c>
      <c r="BL23" t="n">
        <v>814344.764786182</v>
      </c>
      <c r="BM23" t="n">
        <v>402508.057790058</v>
      </c>
      <c r="BN23" t="n">
        <v>709722.84364239</v>
      </c>
      <c r="BO23" t="n">
        <v>10724420.7120322</v>
      </c>
      <c r="BP23" t="n">
        <v>5018473.48401031</v>
      </c>
      <c r="BQ23" t="n">
        <v>4342603.15127958</v>
      </c>
      <c r="BR23" t="n">
        <v>0</v>
      </c>
      <c r="BS23" t="n">
        <v>1938970.19235988</v>
      </c>
      <c r="BT23" t="n">
        <v>4823685.44639355</v>
      </c>
      <c r="BU23" t="n">
        <v>67011152.4586994</v>
      </c>
      <c r="BV23" t="n">
        <v>0</v>
      </c>
      <c r="BW23" t="n">
        <v>151905121.494403</v>
      </c>
      <c r="BX23" t="n">
        <v>0</v>
      </c>
      <c r="BY23" t="n">
        <v>14661715.183972</v>
      </c>
      <c r="BZ23" t="n">
        <v>24875630.2978532</v>
      </c>
      <c r="CA23" t="n">
        <v>462031858.186195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565932.127994389</v>
      </c>
      <c r="CJ23" t="n">
        <v>0</v>
      </c>
      <c r="CK23" t="n">
        <v>0</v>
      </c>
      <c r="CL23" t="n">
        <v>0</v>
      </c>
      <c r="CM23" t="n">
        <v>1204367.14204136</v>
      </c>
      <c r="CN23" t="n">
        <v>0</v>
      </c>
    </row>
    <row r="24">
      <c r="A24" t="s">
        <v>135</v>
      </c>
      <c r="B24" t="n">
        <v>541487.095803611</v>
      </c>
      <c r="C24" t="n">
        <v>13280.3485368895</v>
      </c>
      <c r="D24" t="n">
        <v>0</v>
      </c>
      <c r="E24" t="n">
        <v>589470.565026241</v>
      </c>
      <c r="F24" t="n">
        <v>12826.4789250931</v>
      </c>
      <c r="G24" t="n">
        <v>79774.2833928188</v>
      </c>
      <c r="H24" t="n">
        <v>3614929.48946671</v>
      </c>
      <c r="I24" t="n">
        <v>703856.004404891</v>
      </c>
      <c r="J24" t="n">
        <v>319106.531802458</v>
      </c>
      <c r="K24" t="n">
        <v>957763.434159715</v>
      </c>
      <c r="L24" t="n">
        <v>7412883.36486288</v>
      </c>
      <c r="M24" t="n">
        <v>28061137.4013848</v>
      </c>
      <c r="N24" t="n">
        <v>1361276.10674838</v>
      </c>
      <c r="O24" t="n">
        <v>3456557.17063601</v>
      </c>
      <c r="P24" t="n">
        <v>138892506.769419</v>
      </c>
      <c r="Q24" t="n">
        <v>37878153.9330967</v>
      </c>
      <c r="R24" t="n">
        <v>491007.8982235</v>
      </c>
      <c r="S24" t="n">
        <v>3970565.9176069</v>
      </c>
      <c r="T24" t="n">
        <v>5906498.34758454</v>
      </c>
      <c r="U24" t="n">
        <v>81247.3457986426</v>
      </c>
      <c r="V24" t="n">
        <v>1572.22687600126</v>
      </c>
      <c r="W24" t="n">
        <v>1826771.00995275</v>
      </c>
      <c r="X24" t="n">
        <v>293722.46911029</v>
      </c>
      <c r="Y24" t="n">
        <v>54720.3092714704</v>
      </c>
      <c r="Z24" t="n">
        <v>3267607.46908549</v>
      </c>
      <c r="AA24" t="n">
        <v>818750.722027706</v>
      </c>
      <c r="AB24" t="n">
        <v>20866271.9371801</v>
      </c>
      <c r="AC24" t="n">
        <v>12052238.0351939</v>
      </c>
      <c r="AD24" t="n">
        <v>6893789.12286367</v>
      </c>
      <c r="AE24" t="n">
        <v>889889.174345095</v>
      </c>
      <c r="AF24" t="n">
        <v>10463066.2030339</v>
      </c>
      <c r="AG24" t="n">
        <v>0</v>
      </c>
      <c r="AH24" t="n">
        <v>46431.3188814107</v>
      </c>
      <c r="AI24" t="n">
        <v>0</v>
      </c>
      <c r="AJ24" t="n">
        <v>7654757.90072869</v>
      </c>
      <c r="AK24" t="n">
        <v>2661565.13669774</v>
      </c>
      <c r="AL24" t="n">
        <v>7945.64353870803</v>
      </c>
      <c r="AM24" t="n">
        <v>227329.189531739</v>
      </c>
      <c r="AN24" t="n">
        <v>4269648.91849987</v>
      </c>
      <c r="AO24" t="n">
        <v>341308.151513701</v>
      </c>
      <c r="AP24" t="n">
        <v>554408.159737354</v>
      </c>
      <c r="AQ24" t="n">
        <v>5992337.18444943</v>
      </c>
      <c r="AR24" t="n">
        <v>502841.315167883</v>
      </c>
      <c r="AS24" t="n">
        <v>255622.897805545</v>
      </c>
      <c r="AT24" t="n">
        <v>165293.039247978</v>
      </c>
      <c r="AU24" t="n">
        <v>0</v>
      </c>
      <c r="AV24" t="n">
        <v>0</v>
      </c>
      <c r="AW24" t="n">
        <v>0</v>
      </c>
      <c r="AX24" t="n">
        <v>0</v>
      </c>
      <c r="AY24" t="n">
        <v>11649405.8431486</v>
      </c>
      <c r="AZ24" t="n">
        <v>0</v>
      </c>
      <c r="BA24" t="n">
        <v>220379.617603571</v>
      </c>
      <c r="BB24" t="n">
        <v>9784221.15276439</v>
      </c>
      <c r="BC24" t="n">
        <v>2070090.10973869</v>
      </c>
      <c r="BD24" t="n">
        <v>32782244.3888183</v>
      </c>
      <c r="BE24" t="n">
        <v>4925965.52358458</v>
      </c>
      <c r="BF24" t="n">
        <v>2734065.11552655</v>
      </c>
      <c r="BG24" t="n">
        <v>2139473.81822404</v>
      </c>
      <c r="BH24" t="n">
        <v>5893944.51462655</v>
      </c>
      <c r="BI24" t="n">
        <v>611004.751837345</v>
      </c>
      <c r="BJ24" t="n">
        <v>9004036.13978322</v>
      </c>
      <c r="BK24" t="n">
        <v>174804.426841418</v>
      </c>
      <c r="BL24" t="n">
        <v>329149.895022428</v>
      </c>
      <c r="BM24" t="n">
        <v>355486.914860625</v>
      </c>
      <c r="BN24" t="n">
        <v>2926280.53526081</v>
      </c>
      <c r="BO24" t="n">
        <v>29863815.1092731</v>
      </c>
      <c r="BP24" t="n">
        <v>12801333.332046</v>
      </c>
      <c r="BQ24" t="n">
        <v>217976.016782373</v>
      </c>
      <c r="BR24" t="n">
        <v>5382010.71712494</v>
      </c>
      <c r="BS24" t="n">
        <v>19988604.6967429</v>
      </c>
      <c r="BT24" t="n">
        <v>2342235.24853173</v>
      </c>
      <c r="BU24" t="n">
        <v>511801130.305883</v>
      </c>
      <c r="BV24" t="n">
        <v>0</v>
      </c>
      <c r="BW24" t="n">
        <v>286570688.051945</v>
      </c>
      <c r="BX24" t="n">
        <v>0</v>
      </c>
      <c r="BY24" t="n">
        <v>0</v>
      </c>
      <c r="BZ24" t="n">
        <v>16577929.8471186</v>
      </c>
      <c r="CA24" t="n">
        <v>194430871.486797</v>
      </c>
      <c r="CB24" t="n">
        <v>0</v>
      </c>
      <c r="CC24" t="n">
        <v>0</v>
      </c>
      <c r="CD24" t="n">
        <v>0</v>
      </c>
      <c r="CE24" t="n">
        <v>6041886.76571988</v>
      </c>
      <c r="CF24" t="n">
        <v>0</v>
      </c>
      <c r="CG24" t="n">
        <v>0</v>
      </c>
      <c r="CH24" t="n">
        <v>0</v>
      </c>
      <c r="CI24" t="n">
        <v>607504.233690486</v>
      </c>
      <c r="CJ24" t="n">
        <v>0</v>
      </c>
      <c r="CK24" t="n">
        <v>0</v>
      </c>
      <c r="CL24" t="n">
        <v>0</v>
      </c>
      <c r="CM24" t="n">
        <v>34711179.8648803</v>
      </c>
      <c r="CN24" t="n">
        <v>0</v>
      </c>
    </row>
    <row r="25">
      <c r="A25" t="s">
        <v>136</v>
      </c>
      <c r="B25" t="n">
        <v>0</v>
      </c>
      <c r="C25" t="n">
        <v>4387.3360737978</v>
      </c>
      <c r="D25" t="n">
        <v>0</v>
      </c>
      <c r="E25" t="n">
        <v>0</v>
      </c>
      <c r="F25" t="n">
        <v>0</v>
      </c>
      <c r="G25" t="n">
        <v>0</v>
      </c>
      <c r="H25" t="n">
        <v>82329.3114526289</v>
      </c>
      <c r="I25" t="n">
        <v>10338.4453559801</v>
      </c>
      <c r="J25" t="n">
        <v>0</v>
      </c>
      <c r="K25" t="n">
        <v>0</v>
      </c>
      <c r="L25" t="n">
        <v>813995.108615977</v>
      </c>
      <c r="M25" t="n">
        <v>783987.859455238</v>
      </c>
      <c r="N25" t="n">
        <v>0</v>
      </c>
      <c r="O25" t="n">
        <v>0</v>
      </c>
      <c r="P25" t="n">
        <v>758465.399741155</v>
      </c>
      <c r="Q25" t="n">
        <v>1230319019.17832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79608.6877866246</v>
      </c>
      <c r="AD25" t="n">
        <v>0</v>
      </c>
      <c r="AE25" t="n">
        <v>0</v>
      </c>
      <c r="AF25" t="n">
        <v>0</v>
      </c>
      <c r="AG25" t="n">
        <v>1848122.54420178</v>
      </c>
      <c r="AH25" t="n">
        <v>1458613.24148784</v>
      </c>
      <c r="AI25" t="n">
        <v>4808155.85400431</v>
      </c>
      <c r="AJ25" t="n">
        <v>17242.1519425528</v>
      </c>
      <c r="AK25" t="n">
        <v>778622.243624799</v>
      </c>
      <c r="AL25" t="n">
        <v>0</v>
      </c>
      <c r="AM25" t="n">
        <v>6510681.9200023</v>
      </c>
      <c r="AN25" t="n">
        <v>0</v>
      </c>
      <c r="AO25" t="n">
        <v>0</v>
      </c>
      <c r="AP25" t="n">
        <v>0</v>
      </c>
      <c r="AQ25" t="n">
        <v>27233.5897135766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7493800.97830905</v>
      </c>
      <c r="BC25" t="n">
        <v>349064.374823563</v>
      </c>
      <c r="BD25" t="n">
        <v>321116.102902363</v>
      </c>
      <c r="BE25" t="n">
        <v>552267.374983851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111693.816838813</v>
      </c>
      <c r="BM25" t="n">
        <v>0</v>
      </c>
      <c r="BN25" t="n">
        <v>0</v>
      </c>
      <c r="BO25" t="n">
        <v>312131.783722841</v>
      </c>
      <c r="BP25" t="n">
        <v>141488843.44458</v>
      </c>
      <c r="BQ25" t="n">
        <v>1156524.95389166</v>
      </c>
      <c r="BR25" t="n">
        <v>2558.9801573012</v>
      </c>
      <c r="BS25" t="n">
        <v>0</v>
      </c>
      <c r="BT25" t="n">
        <v>219193.518967162</v>
      </c>
      <c r="BU25" t="n">
        <v>71372760.0976122</v>
      </c>
      <c r="BV25" t="n">
        <v>0</v>
      </c>
      <c r="BW25" t="n">
        <v>635522821.170519</v>
      </c>
      <c r="BX25" t="n">
        <v>0</v>
      </c>
      <c r="BY25" t="n">
        <v>0</v>
      </c>
      <c r="BZ25" t="n">
        <v>1707142142.22947</v>
      </c>
      <c r="CA25" t="n">
        <v>6610035624.89057</v>
      </c>
      <c r="CB25" t="n">
        <v>0</v>
      </c>
      <c r="CC25" t="n">
        <v>0</v>
      </c>
      <c r="CD25" t="n">
        <v>0</v>
      </c>
      <c r="CE25" t="n">
        <v>4250222221.92862</v>
      </c>
      <c r="CF25" t="n">
        <v>0</v>
      </c>
      <c r="CG25" t="n">
        <v>0</v>
      </c>
      <c r="CH25" t="n">
        <v>0</v>
      </c>
      <c r="CI25" t="n">
        <v>92950200.5323022</v>
      </c>
      <c r="CJ25" t="n">
        <v>0</v>
      </c>
      <c r="CK25" t="n">
        <v>0</v>
      </c>
      <c r="CL25" t="n">
        <v>0</v>
      </c>
      <c r="CM25" t="n">
        <v>438808.33688784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70121810.8719627</v>
      </c>
      <c r="I26" t="n">
        <v>258064.519260011</v>
      </c>
      <c r="J26" t="n">
        <v>0</v>
      </c>
      <c r="K26" t="n">
        <v>0</v>
      </c>
      <c r="L26" t="n">
        <v>0</v>
      </c>
      <c r="M26" t="n">
        <v>1207600.68910326</v>
      </c>
      <c r="N26" t="n">
        <v>179595.563063014</v>
      </c>
      <c r="O26" t="n">
        <v>0</v>
      </c>
      <c r="P26" t="n">
        <v>30268.4462845033</v>
      </c>
      <c r="Q26" t="n">
        <v>5594921.4826263</v>
      </c>
      <c r="R26" t="n">
        <v>4251970.92831261</v>
      </c>
      <c r="S26" t="n">
        <v>1172428.7244127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1098673.995965</v>
      </c>
      <c r="AB26" t="n">
        <v>557793.233169572</v>
      </c>
      <c r="AC26" t="n">
        <v>281653.938077163</v>
      </c>
      <c r="AD26" t="n">
        <v>0</v>
      </c>
      <c r="AE26" t="n">
        <v>61875.4246026147</v>
      </c>
      <c r="AF26" t="n">
        <v>993797.150133426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4027.8580787861</v>
      </c>
      <c r="AP26" t="n">
        <v>0</v>
      </c>
      <c r="AQ26" t="n">
        <v>994938.028568236</v>
      </c>
      <c r="AR26" t="n">
        <v>970233.3747452</v>
      </c>
      <c r="AS26" t="n">
        <v>0</v>
      </c>
      <c r="AT26" t="n">
        <v>0</v>
      </c>
      <c r="AU26" t="n">
        <v>0</v>
      </c>
      <c r="AV26" t="n">
        <v>0</v>
      </c>
      <c r="AW26" t="n">
        <v>8583090.83974788</v>
      </c>
      <c r="AX26" t="n">
        <v>288580.777904743</v>
      </c>
      <c r="AY26" t="n">
        <v>0</v>
      </c>
      <c r="AZ26" t="n">
        <v>55544.7773548189</v>
      </c>
      <c r="BA26" t="n">
        <v>15748.9976100948</v>
      </c>
      <c r="BB26" t="n">
        <v>364277.381258727</v>
      </c>
      <c r="BC26" t="n">
        <v>8218.60744591309</v>
      </c>
      <c r="BD26" t="n">
        <v>16107.3107885648</v>
      </c>
      <c r="BE26" t="n">
        <v>0</v>
      </c>
      <c r="BF26" t="n">
        <v>0</v>
      </c>
      <c r="BG26" t="n">
        <v>336440.035053169</v>
      </c>
      <c r="BH26" t="n">
        <v>654122.007585288</v>
      </c>
      <c r="BI26" t="n">
        <v>10621.0356143432</v>
      </c>
      <c r="BJ26" t="n">
        <v>1327207.97054902</v>
      </c>
      <c r="BK26" t="n">
        <v>74952.3353519478</v>
      </c>
      <c r="BL26" t="n">
        <v>368171.254736917</v>
      </c>
      <c r="BM26" t="n">
        <v>8314.09393415256</v>
      </c>
      <c r="BN26" t="n">
        <v>1499879.47814043</v>
      </c>
      <c r="BO26" t="n">
        <v>1097733.4515546</v>
      </c>
      <c r="BP26" t="n">
        <v>0</v>
      </c>
      <c r="BQ26" t="n">
        <v>0</v>
      </c>
      <c r="BR26" t="n">
        <v>271608.611624282</v>
      </c>
      <c r="BS26" t="n">
        <v>60670.2135985947</v>
      </c>
      <c r="BT26" t="n">
        <v>1795456.33458502</v>
      </c>
      <c r="BU26" t="n">
        <v>149331248.870022</v>
      </c>
      <c r="BV26" t="n">
        <v>0</v>
      </c>
      <c r="BW26" t="n">
        <v>65912187.4219434</v>
      </c>
      <c r="BX26" t="n">
        <v>0</v>
      </c>
      <c r="BY26" t="n">
        <v>2723026.10345836</v>
      </c>
      <c r="BZ26" t="n">
        <v>3113519.1168028</v>
      </c>
      <c r="CA26" t="n">
        <v>23941387.2051864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1106978.04485922</v>
      </c>
      <c r="CJ26" t="n">
        <v>0</v>
      </c>
      <c r="CK26" t="n">
        <v>0</v>
      </c>
      <c r="CL26" t="n">
        <v>0</v>
      </c>
      <c r="CM26" t="n">
        <v>5983764.82220952</v>
      </c>
      <c r="CN26" t="n">
        <v>0</v>
      </c>
    </row>
    <row r="27">
      <c r="A27" t="s">
        <v>138</v>
      </c>
      <c r="B27" t="n">
        <v>65894.0399472944</v>
      </c>
      <c r="C27" t="n">
        <v>0</v>
      </c>
      <c r="D27" t="n">
        <v>0</v>
      </c>
      <c r="E27" t="n">
        <v>12754.0156848139</v>
      </c>
      <c r="F27" t="n">
        <v>389.91745494985</v>
      </c>
      <c r="G27" t="n">
        <v>0</v>
      </c>
      <c r="H27" t="n">
        <v>2463429.31068225</v>
      </c>
      <c r="I27" t="n">
        <v>11654.2149938543</v>
      </c>
      <c r="J27" t="n">
        <v>54903.102729611</v>
      </c>
      <c r="K27" t="n">
        <v>59906.3778909394</v>
      </c>
      <c r="L27" t="n">
        <v>309131.753294563</v>
      </c>
      <c r="M27" t="n">
        <v>3284264.30695579</v>
      </c>
      <c r="N27" t="n">
        <v>2062.29808555826</v>
      </c>
      <c r="O27" t="n">
        <v>1814440.58913188</v>
      </c>
      <c r="P27" t="n">
        <v>1004738.59238138</v>
      </c>
      <c r="Q27" t="n">
        <v>376118.893110983</v>
      </c>
      <c r="R27" t="n">
        <v>14435.9495337736</v>
      </c>
      <c r="S27" t="n">
        <v>36235004.8284397</v>
      </c>
      <c r="T27" t="n">
        <v>119200.447331444</v>
      </c>
      <c r="U27" t="n">
        <v>11143.8262318927</v>
      </c>
      <c r="V27" t="n">
        <v>80910.1851110142</v>
      </c>
      <c r="W27" t="n">
        <v>0</v>
      </c>
      <c r="X27" t="n">
        <v>7162.09030637456</v>
      </c>
      <c r="Y27" t="n">
        <v>632.033465224458</v>
      </c>
      <c r="Z27" t="n">
        <v>879381.514300376</v>
      </c>
      <c r="AA27" t="n">
        <v>267428.90505754</v>
      </c>
      <c r="AB27" t="n">
        <v>2051696.5709953</v>
      </c>
      <c r="AC27" t="n">
        <v>405826.267850552</v>
      </c>
      <c r="AD27" t="n">
        <v>309954.935109084</v>
      </c>
      <c r="AE27" t="n">
        <v>21552.326877778</v>
      </c>
      <c r="AF27" t="n">
        <v>1560101.45185664</v>
      </c>
      <c r="AG27" t="n">
        <v>0</v>
      </c>
      <c r="AH27" t="n">
        <v>891.587979821686</v>
      </c>
      <c r="AI27" t="n">
        <v>0</v>
      </c>
      <c r="AJ27" t="n">
        <v>5938.94688583903</v>
      </c>
      <c r="AK27" t="n">
        <v>86023.6432196008</v>
      </c>
      <c r="AL27" t="n">
        <v>6102.98431466368</v>
      </c>
      <c r="AM27" t="n">
        <v>244974.810644216</v>
      </c>
      <c r="AN27" t="n">
        <v>234022.872162479</v>
      </c>
      <c r="AO27" t="n">
        <v>4810.20222194526</v>
      </c>
      <c r="AP27" t="n">
        <v>5322.95509846895</v>
      </c>
      <c r="AQ27" t="n">
        <v>512796.977832795</v>
      </c>
      <c r="AR27" t="n">
        <v>109875.301653192</v>
      </c>
      <c r="AS27" t="n">
        <v>114532.759337793</v>
      </c>
      <c r="AT27" t="n">
        <v>161585.762438677</v>
      </c>
      <c r="AU27" t="n">
        <v>62586.2055719196</v>
      </c>
      <c r="AV27" t="n">
        <v>0</v>
      </c>
      <c r="AW27" t="n">
        <v>0</v>
      </c>
      <c r="AX27" t="n">
        <v>229028.10866326</v>
      </c>
      <c r="AY27" t="n">
        <v>297269.570787427</v>
      </c>
      <c r="AZ27" t="n">
        <v>33166.7112176563</v>
      </c>
      <c r="BA27" t="n">
        <v>59558.5947707997</v>
      </c>
      <c r="BB27" t="n">
        <v>3578139.65597564</v>
      </c>
      <c r="BC27" t="n">
        <v>34352.2712531606</v>
      </c>
      <c r="BD27" t="n">
        <v>3786263.72309556</v>
      </c>
      <c r="BE27" t="n">
        <v>1170614.76129099</v>
      </c>
      <c r="BF27" t="n">
        <v>1176296.06781648</v>
      </c>
      <c r="BG27" t="n">
        <v>52999840.7490122</v>
      </c>
      <c r="BH27" t="n">
        <v>52219640.6737966</v>
      </c>
      <c r="BI27" t="n">
        <v>1788443.20326419</v>
      </c>
      <c r="BJ27" t="n">
        <v>3621531.43644574</v>
      </c>
      <c r="BK27" t="n">
        <v>129000.533628318</v>
      </c>
      <c r="BL27" t="n">
        <v>498306.686418564</v>
      </c>
      <c r="BM27" t="n">
        <v>69502.774510125</v>
      </c>
      <c r="BN27" t="n">
        <v>439156.685864789</v>
      </c>
      <c r="BO27" t="n">
        <v>4137468.66226154</v>
      </c>
      <c r="BP27" t="n">
        <v>2249624.35534574</v>
      </c>
      <c r="BQ27" t="n">
        <v>323304.625012386</v>
      </c>
      <c r="BR27" t="n">
        <v>0</v>
      </c>
      <c r="BS27" t="n">
        <v>9020571.43608516</v>
      </c>
      <c r="BT27" t="n">
        <v>97071.1448550239</v>
      </c>
      <c r="BU27" t="n">
        <v>133413718.760007</v>
      </c>
      <c r="BV27" t="n">
        <v>0</v>
      </c>
      <c r="BW27" t="n">
        <v>235644925.446077</v>
      </c>
      <c r="BX27" t="n">
        <v>0</v>
      </c>
      <c r="BY27" t="n">
        <v>0</v>
      </c>
      <c r="BZ27" t="n">
        <v>28680489.1975025</v>
      </c>
      <c r="CA27" t="n">
        <v>201058600.33082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17827.124268119</v>
      </c>
      <c r="CJ27" t="n">
        <v>0</v>
      </c>
      <c r="CK27" t="n">
        <v>0</v>
      </c>
      <c r="CL27" t="n">
        <v>0</v>
      </c>
      <c r="CM27" t="n">
        <v>2611671.00498472</v>
      </c>
      <c r="CN27" t="n">
        <v>0</v>
      </c>
    </row>
    <row r="28">
      <c r="A28" t="s">
        <v>139</v>
      </c>
      <c r="B28" t="n">
        <v>28094119.7217513</v>
      </c>
      <c r="C28" t="n">
        <v>61478.0956572395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19156.1995436721</v>
      </c>
      <c r="J28" t="n">
        <v>422056.590726066</v>
      </c>
      <c r="K28" t="n">
        <v>17724.4143252954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59520.3144640057</v>
      </c>
      <c r="T28" t="n">
        <v>401038102.995024</v>
      </c>
      <c r="U28" t="n">
        <v>36268.1871751654</v>
      </c>
      <c r="V28" t="n">
        <v>298341.52090996</v>
      </c>
      <c r="W28" t="n">
        <v>897976.557578166</v>
      </c>
      <c r="X28" t="n">
        <v>1350886.35075715</v>
      </c>
      <c r="Y28" t="n">
        <v>175311.40985342</v>
      </c>
      <c r="Z28" t="n">
        <v>18614691.4788443</v>
      </c>
      <c r="AA28" t="n">
        <v>432708.322588327</v>
      </c>
      <c r="AB28" t="n">
        <v>10958119.6852996</v>
      </c>
      <c r="AC28" t="n">
        <v>5408.61429275147</v>
      </c>
      <c r="AD28" t="n">
        <v>16659909.3873583</v>
      </c>
      <c r="AE28" t="n">
        <v>3548153.65581327</v>
      </c>
      <c r="AF28" t="n">
        <v>8179210.41395226</v>
      </c>
      <c r="AG28" t="n">
        <v>471506.677392321</v>
      </c>
      <c r="AH28" t="n">
        <v>2637.92860095499</v>
      </c>
      <c r="AI28" t="n">
        <v>1681815.32312424</v>
      </c>
      <c r="AJ28" t="n">
        <v>39535.8236759667</v>
      </c>
      <c r="AK28" t="n">
        <v>0</v>
      </c>
      <c r="AL28" t="n">
        <v>0</v>
      </c>
      <c r="AM28" t="n">
        <v>23132.0255640887</v>
      </c>
      <c r="AN28" t="n">
        <v>0</v>
      </c>
      <c r="AO28" t="n">
        <v>81833.2898746125</v>
      </c>
      <c r="AP28" t="n">
        <v>102368.182152121</v>
      </c>
      <c r="AQ28" t="n">
        <v>0</v>
      </c>
      <c r="AR28" t="n">
        <v>293070.390102861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25812188.7610156</v>
      </c>
      <c r="BC28" t="n">
        <v>515447.694267494</v>
      </c>
      <c r="BD28" t="n">
        <v>0</v>
      </c>
      <c r="BE28" t="n">
        <v>0</v>
      </c>
      <c r="BF28" t="n">
        <v>51670568.3554401</v>
      </c>
      <c r="BG28" t="n">
        <v>29719.1021558581</v>
      </c>
      <c r="BH28" t="n">
        <v>32197902.080643</v>
      </c>
      <c r="BI28" t="n">
        <v>42012542.9647465</v>
      </c>
      <c r="BJ28" t="n">
        <v>109937534.083361</v>
      </c>
      <c r="BK28" t="n">
        <v>3972504.83723076</v>
      </c>
      <c r="BL28" t="n">
        <v>26456686.4379114</v>
      </c>
      <c r="BM28" t="n">
        <v>22741233.9776509</v>
      </c>
      <c r="BN28" t="n">
        <v>316958959.477461</v>
      </c>
      <c r="BO28" t="n">
        <v>6105343.04933549</v>
      </c>
      <c r="BP28" t="n">
        <v>11736795.0594026</v>
      </c>
      <c r="BQ28" t="n">
        <v>128110.281545035</v>
      </c>
      <c r="BR28" t="n">
        <v>1775950.41254725</v>
      </c>
      <c r="BS28" t="n">
        <v>264500133.735623</v>
      </c>
      <c r="BT28" t="n">
        <v>0</v>
      </c>
      <c r="BU28" t="n">
        <v>2826332565.76961</v>
      </c>
      <c r="BV28" t="n">
        <v>0</v>
      </c>
      <c r="BW28" t="n">
        <v>0</v>
      </c>
      <c r="BX28" t="n">
        <v>0</v>
      </c>
      <c r="BY28" t="n">
        <v>0</v>
      </c>
      <c r="BZ28" t="n">
        <v>46661407.3036674</v>
      </c>
      <c r="CA28" t="n">
        <v>167651464.845456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6503.47069032388</v>
      </c>
      <c r="C29" t="n">
        <v>1011.41102723639</v>
      </c>
      <c r="D29" t="n">
        <v>0</v>
      </c>
      <c r="E29" t="n">
        <v>0</v>
      </c>
      <c r="F29" t="n">
        <v>0</v>
      </c>
      <c r="G29" t="n">
        <v>0</v>
      </c>
      <c r="H29" t="n">
        <v>1348594.58971435</v>
      </c>
      <c r="I29" t="n">
        <v>85923.2616641087</v>
      </c>
      <c r="J29" t="n">
        <v>73866.2151759974</v>
      </c>
      <c r="K29" t="n">
        <v>0</v>
      </c>
      <c r="L29" t="n">
        <v>2749.45059861811</v>
      </c>
      <c r="M29" t="n">
        <v>640867.473066144</v>
      </c>
      <c r="N29" t="n">
        <v>1577.43761845106</v>
      </c>
      <c r="O29" t="n">
        <v>0</v>
      </c>
      <c r="P29" t="n">
        <v>690597.615294214</v>
      </c>
      <c r="Q29" t="n">
        <v>6261504.64373389</v>
      </c>
      <c r="R29" t="n">
        <v>851611.048462516</v>
      </c>
      <c r="S29" t="n">
        <v>5330218.63821873</v>
      </c>
      <c r="T29" t="n">
        <v>77567.3033188558</v>
      </c>
      <c r="U29" t="n">
        <v>4936153.44086983</v>
      </c>
      <c r="V29" t="n">
        <v>345924.218990717</v>
      </c>
      <c r="W29" t="n">
        <v>2575068.7616473</v>
      </c>
      <c r="X29" t="n">
        <v>217759.785802344</v>
      </c>
      <c r="Y29" t="n">
        <v>1812.89268597988</v>
      </c>
      <c r="Z29" t="n">
        <v>10103.9272430009</v>
      </c>
      <c r="AA29" t="n">
        <v>866160.586916816</v>
      </c>
      <c r="AB29" t="n">
        <v>1755304.2215962</v>
      </c>
      <c r="AC29" t="n">
        <v>64319.9600980663</v>
      </c>
      <c r="AD29" t="n">
        <v>102735.705621536</v>
      </c>
      <c r="AE29" t="n">
        <v>80071.1004518993</v>
      </c>
      <c r="AF29" t="n">
        <v>1578879.61484824</v>
      </c>
      <c r="AG29" t="n">
        <v>0</v>
      </c>
      <c r="AH29" t="n">
        <v>0</v>
      </c>
      <c r="AI29" t="n">
        <v>69331.4871378896</v>
      </c>
      <c r="AJ29" t="n">
        <v>11356.6490427707</v>
      </c>
      <c r="AK29" t="n">
        <v>0</v>
      </c>
      <c r="AL29" t="n">
        <v>2334.06535897578</v>
      </c>
      <c r="AM29" t="n">
        <v>48838.2862913503</v>
      </c>
      <c r="AN29" t="n">
        <v>2418.95250000908</v>
      </c>
      <c r="AO29" t="n">
        <v>919.822647170729</v>
      </c>
      <c r="AP29" t="n">
        <v>390863.20670868</v>
      </c>
      <c r="AQ29" t="n">
        <v>11958.3805077372</v>
      </c>
      <c r="AR29" t="n">
        <v>3183.44175636437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128466.818157815</v>
      </c>
      <c r="AY29" t="n">
        <v>326857.958922341</v>
      </c>
      <c r="AZ29" t="n">
        <v>0</v>
      </c>
      <c r="BA29" t="n">
        <v>0</v>
      </c>
      <c r="BB29" t="n">
        <v>374347.259414021</v>
      </c>
      <c r="BC29" t="n">
        <v>22522.1279670364</v>
      </c>
      <c r="BD29" t="n">
        <v>33105.1443786819</v>
      </c>
      <c r="BE29" t="n">
        <v>17588.1195656379</v>
      </c>
      <c r="BF29" t="n">
        <v>107637.699498254</v>
      </c>
      <c r="BG29" t="n">
        <v>36878.9752890301</v>
      </c>
      <c r="BH29" t="n">
        <v>86781.9161877264</v>
      </c>
      <c r="BI29" t="n">
        <v>514200.701096673</v>
      </c>
      <c r="BJ29" t="n">
        <v>488112.850852056</v>
      </c>
      <c r="BK29" t="n">
        <v>0</v>
      </c>
      <c r="BL29" t="n">
        <v>644594.205734433</v>
      </c>
      <c r="BM29" t="n">
        <v>201256.877632135</v>
      </c>
      <c r="BN29" t="n">
        <v>101830.356102343</v>
      </c>
      <c r="BO29" t="n">
        <v>343530.101030046</v>
      </c>
      <c r="BP29" t="n">
        <v>919469.874408333</v>
      </c>
      <c r="BQ29" t="n">
        <v>111870.861609802</v>
      </c>
      <c r="BR29" t="n">
        <v>2696.78074066026</v>
      </c>
      <c r="BS29" t="n">
        <v>1005870.52695448</v>
      </c>
      <c r="BT29" t="n">
        <v>1649.97890926429</v>
      </c>
      <c r="BU29" t="n">
        <v>13149412.5331202</v>
      </c>
      <c r="BV29" t="n">
        <v>0</v>
      </c>
      <c r="BW29" t="n">
        <v>739990.449049568</v>
      </c>
      <c r="BX29" t="n">
        <v>0</v>
      </c>
      <c r="BY29" t="n">
        <v>350481.686059023</v>
      </c>
      <c r="BZ29" t="n">
        <v>1540488.82397473</v>
      </c>
      <c r="CA29" t="n">
        <v>60488443.316365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325748.867040018</v>
      </c>
      <c r="CJ29" t="n">
        <v>0</v>
      </c>
      <c r="CK29" t="n">
        <v>0</v>
      </c>
      <c r="CL29" t="n">
        <v>0</v>
      </c>
      <c r="CM29" t="n">
        <v>4166.10883255997</v>
      </c>
      <c r="CN29" t="n">
        <v>0</v>
      </c>
    </row>
    <row r="30">
      <c r="A30" t="s">
        <v>141</v>
      </c>
      <c r="B30" t="n">
        <v>10706.3976654106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44379.5461977551</v>
      </c>
      <c r="Q30" t="n">
        <v>0</v>
      </c>
      <c r="R30" t="n">
        <v>0</v>
      </c>
      <c r="S30" t="n">
        <v>358697.687234889</v>
      </c>
      <c r="T30" t="n">
        <v>672.083564631191</v>
      </c>
      <c r="U30" t="n">
        <v>47149.0065849046</v>
      </c>
      <c r="V30" t="n">
        <v>141876.012446147</v>
      </c>
      <c r="W30" t="n">
        <v>0</v>
      </c>
      <c r="X30" t="n">
        <v>182626.484077099</v>
      </c>
      <c r="Y30" t="n">
        <v>0</v>
      </c>
      <c r="Z30" t="n">
        <v>0</v>
      </c>
      <c r="AA30" t="n">
        <v>789.257230412314</v>
      </c>
      <c r="AB30" t="n">
        <v>493217.730051866</v>
      </c>
      <c r="AC30" t="n">
        <v>12430.2504017694</v>
      </c>
      <c r="AD30" t="n">
        <v>0</v>
      </c>
      <c r="AE30" t="n">
        <v>224477.918610671</v>
      </c>
      <c r="AF30" t="n">
        <v>251889.729850303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2725.67949025172</v>
      </c>
      <c r="AP30" t="n">
        <v>72389.4865287902</v>
      </c>
      <c r="AQ30" t="n">
        <v>92133.2527805652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272321.789099421</v>
      </c>
      <c r="AZ30" t="n">
        <v>0</v>
      </c>
      <c r="BA30" t="n">
        <v>0</v>
      </c>
      <c r="BB30" t="n">
        <v>21911.9137530674</v>
      </c>
      <c r="BC30" t="n">
        <v>11123.1772895566</v>
      </c>
      <c r="BD30" t="n">
        <v>106577.082532728</v>
      </c>
      <c r="BE30" t="n">
        <v>127926.693934818</v>
      </c>
      <c r="BF30" t="n">
        <v>114498.164296704</v>
      </c>
      <c r="BG30" t="n">
        <v>24284.939149471</v>
      </c>
      <c r="BH30" t="n">
        <v>30915.1611357495</v>
      </c>
      <c r="BI30" t="n">
        <v>0</v>
      </c>
      <c r="BJ30" t="n">
        <v>55698.0363570141</v>
      </c>
      <c r="BK30" t="n">
        <v>92490.8068316244</v>
      </c>
      <c r="BL30" t="n">
        <v>19377.8698480901</v>
      </c>
      <c r="BM30" t="n">
        <v>5626.20501345357</v>
      </c>
      <c r="BN30" t="n">
        <v>22206.7443064527</v>
      </c>
      <c r="BO30" t="n">
        <v>1317991.00732466</v>
      </c>
      <c r="BP30" t="n">
        <v>56531.5244784107</v>
      </c>
      <c r="BQ30" t="n">
        <v>6542.82550206837</v>
      </c>
      <c r="BR30" t="n">
        <v>126528.593642052</v>
      </c>
      <c r="BS30" t="n">
        <v>625419.035904365</v>
      </c>
      <c r="BT30" t="n">
        <v>25261.5226553088</v>
      </c>
      <c r="BU30" t="n">
        <v>12566954.9229585</v>
      </c>
      <c r="BV30" t="n">
        <v>0</v>
      </c>
      <c r="BW30" t="n">
        <v>0</v>
      </c>
      <c r="BX30" t="n">
        <v>0</v>
      </c>
      <c r="BY30" t="n">
        <v>0</v>
      </c>
      <c r="BZ30" t="n">
        <v>386155.598487431</v>
      </c>
      <c r="CA30" t="n">
        <v>12191693.297037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304740.431934433</v>
      </c>
      <c r="C31" t="n">
        <v>0</v>
      </c>
      <c r="D31" t="n">
        <v>0</v>
      </c>
      <c r="E31" t="n">
        <v>173332.693162045</v>
      </c>
      <c r="F31" t="n">
        <v>3158.70903648751</v>
      </c>
      <c r="G31" t="n">
        <v>143688.536703732</v>
      </c>
      <c r="H31" t="n">
        <v>9592489.61456369</v>
      </c>
      <c r="I31" t="n">
        <v>1031061.26457897</v>
      </c>
      <c r="J31" t="n">
        <v>2301174.37584606</v>
      </c>
      <c r="K31" t="n">
        <v>4884924.43824587</v>
      </c>
      <c r="L31" t="n">
        <v>22310808.5414742</v>
      </c>
      <c r="M31" t="n">
        <v>8373800.87194622</v>
      </c>
      <c r="N31" t="n">
        <v>2021280.21789019</v>
      </c>
      <c r="O31" t="n">
        <v>11572260.4405046</v>
      </c>
      <c r="P31" t="n">
        <v>6038314.69577237</v>
      </c>
      <c r="Q31" t="n">
        <v>16590660.7616024</v>
      </c>
      <c r="R31" t="n">
        <v>3629531.93317498</v>
      </c>
      <c r="S31" t="n">
        <v>24689708.5753825</v>
      </c>
      <c r="T31" t="n">
        <v>61869549.8618741</v>
      </c>
      <c r="U31" t="n">
        <v>1243667.73251079</v>
      </c>
      <c r="V31" t="n">
        <v>25100.7302708663</v>
      </c>
      <c r="W31" t="n">
        <v>131540958.831733</v>
      </c>
      <c r="X31" t="n">
        <v>36392198.950659</v>
      </c>
      <c r="Y31" t="n">
        <v>175329.165500028</v>
      </c>
      <c r="Z31" t="n">
        <v>35922942.7339361</v>
      </c>
      <c r="AA31" t="n">
        <v>13385430.1299794</v>
      </c>
      <c r="AB31" t="n">
        <v>28426644.7665233</v>
      </c>
      <c r="AC31" t="n">
        <v>835925.984343745</v>
      </c>
      <c r="AD31" t="n">
        <v>8738715.19438261</v>
      </c>
      <c r="AE31" t="n">
        <v>1816507.11748256</v>
      </c>
      <c r="AF31" t="n">
        <v>5871295.2187606</v>
      </c>
      <c r="AG31" t="n">
        <v>59125.4342832319</v>
      </c>
      <c r="AH31" t="n">
        <v>126872.887449038</v>
      </c>
      <c r="AI31" t="n">
        <v>19650.8956118876</v>
      </c>
      <c r="AJ31" t="n">
        <v>470033.977058596</v>
      </c>
      <c r="AK31" t="n">
        <v>13398119.7501031</v>
      </c>
      <c r="AL31" t="n">
        <v>683053.791342857</v>
      </c>
      <c r="AM31" t="n">
        <v>6725300.8971669</v>
      </c>
      <c r="AN31" t="n">
        <v>1087125.43734949</v>
      </c>
      <c r="AO31" t="n">
        <v>5645130.77171925</v>
      </c>
      <c r="AP31" t="n">
        <v>570219.700811462</v>
      </c>
      <c r="AQ31" t="n">
        <v>3079618.59730824</v>
      </c>
      <c r="AR31" t="n">
        <v>620192.740425622</v>
      </c>
      <c r="AS31" t="n">
        <v>3740953.70579964</v>
      </c>
      <c r="AT31" t="n">
        <v>6643427.03290366</v>
      </c>
      <c r="AU31" t="n">
        <v>16177586.0533001</v>
      </c>
      <c r="AV31" t="n">
        <v>370.393922880196</v>
      </c>
      <c r="AW31" t="n">
        <v>0</v>
      </c>
      <c r="AX31" t="n">
        <v>2964374.20670803</v>
      </c>
      <c r="AY31" t="n">
        <v>8686052.58391553</v>
      </c>
      <c r="AZ31" t="n">
        <v>1850727.37480657</v>
      </c>
      <c r="BA31" t="n">
        <v>2495943.76780278</v>
      </c>
      <c r="BB31" t="n">
        <v>14809679.2118303</v>
      </c>
      <c r="BC31" t="n">
        <v>8529067.92144639</v>
      </c>
      <c r="BD31" t="n">
        <v>24302196.6391458</v>
      </c>
      <c r="BE31" t="n">
        <v>2319530.31097213</v>
      </c>
      <c r="BF31" t="n">
        <v>2976893.921376</v>
      </c>
      <c r="BG31" t="n">
        <v>7554727.05877688</v>
      </c>
      <c r="BH31" t="n">
        <v>8403987.84002393</v>
      </c>
      <c r="BI31" t="n">
        <v>7473226.48991821</v>
      </c>
      <c r="BJ31" t="n">
        <v>8575062.73793311</v>
      </c>
      <c r="BK31" t="n">
        <v>324116.219349485</v>
      </c>
      <c r="BL31" t="n">
        <v>913896.50645298</v>
      </c>
      <c r="BM31" t="n">
        <v>10632403.1749941</v>
      </c>
      <c r="BN31" t="n">
        <v>23884389.0816171</v>
      </c>
      <c r="BO31" t="n">
        <v>5057125.41969493</v>
      </c>
      <c r="BP31" t="n">
        <v>1455221.79854705</v>
      </c>
      <c r="BQ31" t="n">
        <v>5664623.32998397</v>
      </c>
      <c r="BR31" t="n">
        <v>493250.51627322</v>
      </c>
      <c r="BS31" t="n">
        <v>58119706.4649548</v>
      </c>
      <c r="BT31" t="n">
        <v>117265.745118856</v>
      </c>
      <c r="BU31" t="n">
        <v>127345384.829576</v>
      </c>
      <c r="BV31" t="n">
        <v>0</v>
      </c>
      <c r="BW31" t="n">
        <v>0</v>
      </c>
      <c r="BX31" t="n">
        <v>0</v>
      </c>
      <c r="BY31" t="n">
        <v>0</v>
      </c>
      <c r="BZ31" t="n">
        <v>5935682.7539469</v>
      </c>
      <c r="CA31" t="n">
        <v>126080687.06534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25430.8406853302</v>
      </c>
      <c r="C32" t="n">
        <v>0</v>
      </c>
      <c r="D32" t="n">
        <v>0</v>
      </c>
      <c r="E32" t="n">
        <v>4401.60572931622</v>
      </c>
      <c r="F32" t="n">
        <v>0</v>
      </c>
      <c r="G32" t="n">
        <v>78947.2573944691</v>
      </c>
      <c r="H32" t="n">
        <v>142971.044365354</v>
      </c>
      <c r="I32" t="n">
        <v>7150.30702734654</v>
      </c>
      <c r="J32" t="n">
        <v>0</v>
      </c>
      <c r="K32" t="n">
        <v>0</v>
      </c>
      <c r="L32" t="n">
        <v>178637.178050052</v>
      </c>
      <c r="M32" t="n">
        <v>32240.3500070292</v>
      </c>
      <c r="N32" t="n">
        <v>0</v>
      </c>
      <c r="O32" t="n">
        <v>36834.7751152337</v>
      </c>
      <c r="P32" t="n">
        <v>9072.78870721234</v>
      </c>
      <c r="Q32" t="n">
        <v>0</v>
      </c>
      <c r="R32" t="n">
        <v>0</v>
      </c>
      <c r="S32" t="n">
        <v>0</v>
      </c>
      <c r="T32" t="n">
        <v>245599.379613254</v>
      </c>
      <c r="U32" t="n">
        <v>0</v>
      </c>
      <c r="V32" t="n">
        <v>3334.1303178846</v>
      </c>
      <c r="W32" t="n">
        <v>0</v>
      </c>
      <c r="X32" t="n">
        <v>9916648.24663705</v>
      </c>
      <c r="Y32" t="n">
        <v>1744.99526448852</v>
      </c>
      <c r="Z32" t="n">
        <v>1354624.54916252</v>
      </c>
      <c r="AA32" t="n">
        <v>0</v>
      </c>
      <c r="AB32" t="n">
        <v>89097507.5235977</v>
      </c>
      <c r="AC32" t="n">
        <v>1907801.37778051</v>
      </c>
      <c r="AD32" t="n">
        <v>2210717.15813887</v>
      </c>
      <c r="AE32" t="n">
        <v>1385600.10704343</v>
      </c>
      <c r="AF32" t="n">
        <v>44817256.04152</v>
      </c>
      <c r="AG32" t="n">
        <v>19447.0892081163</v>
      </c>
      <c r="AH32" t="n">
        <v>24616.0510205136</v>
      </c>
      <c r="AI32" t="n">
        <v>0</v>
      </c>
      <c r="AJ32" t="n">
        <v>930528.085530943</v>
      </c>
      <c r="AK32" t="n">
        <v>1564736.133067</v>
      </c>
      <c r="AL32" t="n">
        <v>134798.92207358</v>
      </c>
      <c r="AM32" t="n">
        <v>1525399.55924642</v>
      </c>
      <c r="AN32" t="n">
        <v>104776.047174885</v>
      </c>
      <c r="AO32" t="n">
        <v>22344600.0770792</v>
      </c>
      <c r="AP32" t="n">
        <v>11066287.7190701</v>
      </c>
      <c r="AQ32" t="n">
        <v>6992634.14342536</v>
      </c>
      <c r="AR32" t="n">
        <v>18550750.3563276</v>
      </c>
      <c r="AS32" t="n">
        <v>7385903.33650221</v>
      </c>
      <c r="AT32" t="n">
        <v>36550443.6335783</v>
      </c>
      <c r="AU32" t="n">
        <v>105952531.657925</v>
      </c>
      <c r="AV32" t="n">
        <v>0</v>
      </c>
      <c r="AW32" t="n">
        <v>0</v>
      </c>
      <c r="AX32" t="n">
        <v>620284.445671493</v>
      </c>
      <c r="AY32" t="n">
        <v>8043234.12295972</v>
      </c>
      <c r="AZ32" t="n">
        <v>5778111.88676997</v>
      </c>
      <c r="BA32" t="n">
        <v>2613677.28209684</v>
      </c>
      <c r="BB32" t="n">
        <v>54219205.4202047</v>
      </c>
      <c r="BC32" t="n">
        <v>12681991.0893141</v>
      </c>
      <c r="BD32" t="n">
        <v>22031295.6221251</v>
      </c>
      <c r="BE32" t="n">
        <v>173141.590431084</v>
      </c>
      <c r="BF32" t="n">
        <v>13309436.9095214</v>
      </c>
      <c r="BG32" t="n">
        <v>17460462.807042</v>
      </c>
      <c r="BH32" t="n">
        <v>36716296.2825743</v>
      </c>
      <c r="BI32" t="n">
        <v>2171210.38698617</v>
      </c>
      <c r="BJ32" t="n">
        <v>22160116.6737496</v>
      </c>
      <c r="BK32" t="n">
        <v>4957171.90947145</v>
      </c>
      <c r="BL32" t="n">
        <v>2023214.74096069</v>
      </c>
      <c r="BM32" t="n">
        <v>2645364.94154971</v>
      </c>
      <c r="BN32" t="n">
        <v>8582812.96064578</v>
      </c>
      <c r="BO32" t="n">
        <v>11404078.9117207</v>
      </c>
      <c r="BP32" t="n">
        <v>3955557.43828809</v>
      </c>
      <c r="BQ32" t="n">
        <v>6529932.57797637</v>
      </c>
      <c r="BR32" t="n">
        <v>277423.931223894</v>
      </c>
      <c r="BS32" t="n">
        <v>73515043.8682828</v>
      </c>
      <c r="BT32" t="n">
        <v>2304850.60954948</v>
      </c>
      <c r="BU32" t="n">
        <v>25410430.9444164</v>
      </c>
      <c r="BV32" t="n">
        <v>0</v>
      </c>
      <c r="BW32" t="n">
        <v>0</v>
      </c>
      <c r="BX32" t="n">
        <v>0</v>
      </c>
      <c r="BY32" t="n">
        <v>0</v>
      </c>
      <c r="BZ32" t="n">
        <v>1328146.5026685</v>
      </c>
      <c r="CA32" t="n">
        <v>9556076.8909332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3059515.40401927</v>
      </c>
      <c r="C33" t="n">
        <v>36853.2479990938</v>
      </c>
      <c r="D33" t="n">
        <v>0</v>
      </c>
      <c r="E33" t="n">
        <v>1453161.61493639</v>
      </c>
      <c r="F33" t="n">
        <v>46021.3542312773</v>
      </c>
      <c r="G33" t="n">
        <v>29919306.183786</v>
      </c>
      <c r="H33" t="n">
        <v>62109902.175058</v>
      </c>
      <c r="I33" t="n">
        <v>292002.572768023</v>
      </c>
      <c r="J33" t="n">
        <v>328519.155090377</v>
      </c>
      <c r="K33" t="n">
        <v>2099188.29926001</v>
      </c>
      <c r="L33" t="n">
        <v>3169425.62520359</v>
      </c>
      <c r="M33" t="n">
        <v>1203823.26000871</v>
      </c>
      <c r="N33" t="n">
        <v>178965.026718372</v>
      </c>
      <c r="O33" t="n">
        <v>2488773.11748896</v>
      </c>
      <c r="P33" t="n">
        <v>217519.938882972</v>
      </c>
      <c r="Q33" t="n">
        <v>2004049.43012588</v>
      </c>
      <c r="R33" t="n">
        <v>290325.54408705</v>
      </c>
      <c r="S33" t="n">
        <v>4816752.69336594</v>
      </c>
      <c r="T33" t="n">
        <v>3238814.01684147</v>
      </c>
      <c r="U33" t="n">
        <v>81882.0080201874</v>
      </c>
      <c r="V33" t="n">
        <v>3059.74016312553</v>
      </c>
      <c r="W33" t="n">
        <v>1521718.61618159</v>
      </c>
      <c r="X33" t="n">
        <v>952697.995082945</v>
      </c>
      <c r="Y33" t="n">
        <v>3801692.13124607</v>
      </c>
      <c r="Z33" t="n">
        <v>16117820.8010519</v>
      </c>
      <c r="AA33" t="n">
        <v>921093.632351429</v>
      </c>
      <c r="AB33" t="n">
        <v>8455831.05157684</v>
      </c>
      <c r="AC33" t="n">
        <v>1790164.05690396</v>
      </c>
      <c r="AD33" t="n">
        <v>1400513.30186354</v>
      </c>
      <c r="AE33" t="n">
        <v>462211.381198376</v>
      </c>
      <c r="AF33" t="n">
        <v>3298073.27326629</v>
      </c>
      <c r="AG33" t="n">
        <v>12624270.451487</v>
      </c>
      <c r="AH33" t="n">
        <v>2004316.80580971</v>
      </c>
      <c r="AI33" t="n">
        <v>5741507.34341418</v>
      </c>
      <c r="AJ33" t="n">
        <v>16331286.6381861</v>
      </c>
      <c r="AK33" t="n">
        <v>8122162.69458691</v>
      </c>
      <c r="AL33" t="n">
        <v>846608.320531044</v>
      </c>
      <c r="AM33" t="n">
        <v>14814118.2190506</v>
      </c>
      <c r="AN33" t="n">
        <v>6618548.99088982</v>
      </c>
      <c r="AO33" t="n">
        <v>539302.911358171</v>
      </c>
      <c r="AP33" t="n">
        <v>343913.432156787</v>
      </c>
      <c r="AQ33" t="n">
        <v>2226199.51610422</v>
      </c>
      <c r="AR33" t="n">
        <v>720232.993615414</v>
      </c>
      <c r="AS33" t="n">
        <v>8400030.57651156</v>
      </c>
      <c r="AT33" t="n">
        <v>24652376.1639728</v>
      </c>
      <c r="AU33" t="n">
        <v>535190.6956911</v>
      </c>
      <c r="AV33" t="n">
        <v>54366.7805671056</v>
      </c>
      <c r="AW33" t="n">
        <v>83316.7522766253</v>
      </c>
      <c r="AX33" t="n">
        <v>8027342.32490523</v>
      </c>
      <c r="AY33" t="n">
        <v>8049756.41711556</v>
      </c>
      <c r="AZ33" t="n">
        <v>113446.821632065</v>
      </c>
      <c r="BA33" t="n">
        <v>2458145.86431464</v>
      </c>
      <c r="BB33" t="n">
        <v>4629422.58600717</v>
      </c>
      <c r="BC33" t="n">
        <v>2334498.0591577</v>
      </c>
      <c r="BD33" t="n">
        <v>10551793.1503794</v>
      </c>
      <c r="BE33" t="n">
        <v>3752511.04268979</v>
      </c>
      <c r="BF33" t="n">
        <v>5101400.25174144</v>
      </c>
      <c r="BG33" t="n">
        <v>2249807.04899995</v>
      </c>
      <c r="BH33" t="n">
        <v>3070218.04962321</v>
      </c>
      <c r="BI33" t="n">
        <v>3057080.42930404</v>
      </c>
      <c r="BJ33" t="n">
        <v>2585827.79335072</v>
      </c>
      <c r="BK33" t="n">
        <v>353530.959178147</v>
      </c>
      <c r="BL33" t="n">
        <v>1805649.97885932</v>
      </c>
      <c r="BM33" t="n">
        <v>1295589.69763492</v>
      </c>
      <c r="BN33" t="n">
        <v>7565441.45914636</v>
      </c>
      <c r="BO33" t="n">
        <v>4940602.26321097</v>
      </c>
      <c r="BP33" t="n">
        <v>16384840.9740538</v>
      </c>
      <c r="BQ33" t="n">
        <v>994692.763192617</v>
      </c>
      <c r="BR33" t="n">
        <v>1719617.16678152</v>
      </c>
      <c r="BS33" t="n">
        <v>154168882.412625</v>
      </c>
      <c r="BT33" t="n">
        <v>24603168.8732195</v>
      </c>
      <c r="BU33" t="n">
        <v>306091290.02299</v>
      </c>
      <c r="BV33" t="n">
        <v>0</v>
      </c>
      <c r="BW33" t="n">
        <v>0</v>
      </c>
      <c r="BX33" t="n">
        <v>0</v>
      </c>
      <c r="BY33" t="n">
        <v>0</v>
      </c>
      <c r="BZ33" t="n">
        <v>4264016.27433449</v>
      </c>
      <c r="CA33" t="n">
        <v>82545080.9519507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18739356.9618299</v>
      </c>
      <c r="C34" t="n">
        <v>276543.096078301</v>
      </c>
      <c r="D34" t="n">
        <v>0</v>
      </c>
      <c r="E34" t="n">
        <v>1468460.42642098</v>
      </c>
      <c r="F34" t="n">
        <v>51326.0814371504</v>
      </c>
      <c r="G34" t="n">
        <v>6191724.05452775</v>
      </c>
      <c r="H34" t="n">
        <v>40465459.3770556</v>
      </c>
      <c r="I34" t="n">
        <v>2671328.035583</v>
      </c>
      <c r="J34" t="n">
        <v>3675666.04062225</v>
      </c>
      <c r="K34" t="n">
        <v>3018723.33970292</v>
      </c>
      <c r="L34" t="n">
        <v>48405278.6161583</v>
      </c>
      <c r="M34" t="n">
        <v>9299197.29493281</v>
      </c>
      <c r="N34" t="n">
        <v>5795116.23717386</v>
      </c>
      <c r="O34" t="n">
        <v>17718497.7303819</v>
      </c>
      <c r="P34" t="n">
        <v>11738817.8334295</v>
      </c>
      <c r="Q34" t="n">
        <v>32899016.8764585</v>
      </c>
      <c r="R34" t="n">
        <v>4333691.50463799</v>
      </c>
      <c r="S34" t="n">
        <v>58462296.5836994</v>
      </c>
      <c r="T34" t="n">
        <v>14422391.1768018</v>
      </c>
      <c r="U34" t="n">
        <v>25997098.6306503</v>
      </c>
      <c r="V34" t="n">
        <v>105936.197561345</v>
      </c>
      <c r="W34" t="n">
        <v>22696331.4108373</v>
      </c>
      <c r="X34" t="n">
        <v>14924312.4104472</v>
      </c>
      <c r="Y34" t="n">
        <v>16074271.2118913</v>
      </c>
      <c r="Z34" t="n">
        <v>641856722.522322</v>
      </c>
      <c r="AA34" t="n">
        <v>141053258.827936</v>
      </c>
      <c r="AB34" t="n">
        <v>6892541.1521918</v>
      </c>
      <c r="AC34" t="n">
        <v>720317.383623134</v>
      </c>
      <c r="AD34" t="n">
        <v>549749.924394814</v>
      </c>
      <c r="AE34" t="n">
        <v>115121.284459154</v>
      </c>
      <c r="AF34" t="n">
        <v>3661280.70276255</v>
      </c>
      <c r="AG34" t="n">
        <v>2532.3666757465</v>
      </c>
      <c r="AH34" t="n">
        <v>252590.250916546</v>
      </c>
      <c r="AI34" t="n">
        <v>13256.0811153505</v>
      </c>
      <c r="AJ34" t="n">
        <v>418496.350077201</v>
      </c>
      <c r="AK34" t="n">
        <v>160094.99111891</v>
      </c>
      <c r="AL34" t="n">
        <v>26329.9274147837</v>
      </c>
      <c r="AM34" t="n">
        <v>146165.318564237</v>
      </c>
      <c r="AN34" t="n">
        <v>1437142.46233069</v>
      </c>
      <c r="AO34" t="n">
        <v>1303949.71123193</v>
      </c>
      <c r="AP34" t="n">
        <v>1783589.37729726</v>
      </c>
      <c r="AQ34" t="n">
        <v>3840127.40233181</v>
      </c>
      <c r="AR34" t="n">
        <v>2243271.75982626</v>
      </c>
      <c r="AS34" t="n">
        <v>196081.486759128</v>
      </c>
      <c r="AT34" t="n">
        <v>829910.413088989</v>
      </c>
      <c r="AU34" t="n">
        <v>900046.144045724</v>
      </c>
      <c r="AV34" t="n">
        <v>0</v>
      </c>
      <c r="AW34" t="n">
        <v>1878058.37319453</v>
      </c>
      <c r="AX34" t="n">
        <v>20364049.8788506</v>
      </c>
      <c r="AY34" t="n">
        <v>1453501.6412114</v>
      </c>
      <c r="AZ34" t="n">
        <v>376804.129804335</v>
      </c>
      <c r="BA34" t="n">
        <v>1072886.92306422</v>
      </c>
      <c r="BB34" t="n">
        <v>50836476.8028146</v>
      </c>
      <c r="BC34" t="n">
        <v>4340289.37340346</v>
      </c>
      <c r="BD34" t="n">
        <v>38677403.4408381</v>
      </c>
      <c r="BE34" t="n">
        <v>8874184.94923481</v>
      </c>
      <c r="BF34" t="n">
        <v>6776857.84093105</v>
      </c>
      <c r="BG34" t="n">
        <v>169678881.279664</v>
      </c>
      <c r="BH34" t="n">
        <v>80622611.9941092</v>
      </c>
      <c r="BI34" t="n">
        <v>34329052.1449237</v>
      </c>
      <c r="BJ34" t="n">
        <v>3352790.23994482</v>
      </c>
      <c r="BK34" t="n">
        <v>1601481.57888981</v>
      </c>
      <c r="BL34" t="n">
        <v>4304929.22874795</v>
      </c>
      <c r="BM34" t="n">
        <v>299853.795065589</v>
      </c>
      <c r="BN34" t="n">
        <v>2894175.85496174</v>
      </c>
      <c r="BO34" t="n">
        <v>23710439.515726</v>
      </c>
      <c r="BP34" t="n">
        <v>6597333.36195831</v>
      </c>
      <c r="BQ34" t="n">
        <v>5407709.4379824</v>
      </c>
      <c r="BR34" t="n">
        <v>185064.833495853</v>
      </c>
      <c r="BS34" t="n">
        <v>114037261.000099</v>
      </c>
      <c r="BT34" t="n">
        <v>6945729.80534964</v>
      </c>
      <c r="BU34" t="n">
        <v>946151727.280825</v>
      </c>
      <c r="BV34" t="n">
        <v>0</v>
      </c>
      <c r="BW34" t="n">
        <v>2681746.36356926</v>
      </c>
      <c r="BX34" t="n">
        <v>0</v>
      </c>
      <c r="BY34" t="n">
        <v>0</v>
      </c>
      <c r="BZ34" t="n">
        <v>89961950.34126</v>
      </c>
      <c r="CA34" t="n">
        <v>851302871.100634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1995111.42597007</v>
      </c>
      <c r="C35" t="n">
        <v>26632.1647824342</v>
      </c>
      <c r="D35" t="n">
        <v>0</v>
      </c>
      <c r="E35" t="n">
        <v>1161301.48962918</v>
      </c>
      <c r="F35" t="n">
        <v>31762.2376771694</v>
      </c>
      <c r="G35" t="n">
        <v>119983.40187477</v>
      </c>
      <c r="H35" t="n">
        <v>112694298.30671</v>
      </c>
      <c r="I35" t="n">
        <v>954664.075524569</v>
      </c>
      <c r="J35" t="n">
        <v>1439843.22833409</v>
      </c>
      <c r="K35" t="n">
        <v>1726736.04639994</v>
      </c>
      <c r="L35" t="n">
        <v>24649402.1930872</v>
      </c>
      <c r="M35" t="n">
        <v>39609669.8773931</v>
      </c>
      <c r="N35" t="n">
        <v>9756486.5920224</v>
      </c>
      <c r="O35" t="n">
        <v>23028796.6176479</v>
      </c>
      <c r="P35" t="n">
        <v>26692953.1142267</v>
      </c>
      <c r="Q35" t="n">
        <v>108481488.591725</v>
      </c>
      <c r="R35" t="n">
        <v>7996224.99416231</v>
      </c>
      <c r="S35" t="n">
        <v>61625332.5664308</v>
      </c>
      <c r="T35" t="n">
        <v>60080916.3341231</v>
      </c>
      <c r="U35" t="n">
        <v>1344188.34997694</v>
      </c>
      <c r="V35" t="n">
        <v>122963.670697978</v>
      </c>
      <c r="W35" t="n">
        <v>11118122.8673866</v>
      </c>
      <c r="X35" t="n">
        <v>10749717.1072384</v>
      </c>
      <c r="Y35" t="n">
        <v>310022.267110234</v>
      </c>
      <c r="Z35" t="n">
        <v>59056489.1599614</v>
      </c>
      <c r="AA35" t="n">
        <v>70964770.4152718</v>
      </c>
      <c r="AB35" t="n">
        <v>112862354.868719</v>
      </c>
      <c r="AC35" t="n">
        <v>6858478.28436678</v>
      </c>
      <c r="AD35" t="n">
        <v>14627182.5548852</v>
      </c>
      <c r="AE35" t="n">
        <v>2423635.25800347</v>
      </c>
      <c r="AF35" t="n">
        <v>22789977.4275467</v>
      </c>
      <c r="AG35" t="n">
        <v>20688.8699839845</v>
      </c>
      <c r="AH35" t="n">
        <v>8729.29745650554</v>
      </c>
      <c r="AI35" t="n">
        <v>0</v>
      </c>
      <c r="AJ35" t="n">
        <v>2093278.58187231</v>
      </c>
      <c r="AK35" t="n">
        <v>406254.187373195</v>
      </c>
      <c r="AL35" t="n">
        <v>824586.894304288</v>
      </c>
      <c r="AM35" t="n">
        <v>9910324.75120804</v>
      </c>
      <c r="AN35" t="n">
        <v>1374752.89638199</v>
      </c>
      <c r="AO35" t="n">
        <v>923069.696590297</v>
      </c>
      <c r="AP35" t="n">
        <v>802580.514304766</v>
      </c>
      <c r="AQ35" t="n">
        <v>60431565.524099</v>
      </c>
      <c r="AR35" t="n">
        <v>1985265.15947932</v>
      </c>
      <c r="AS35" t="n">
        <v>250970.903963605</v>
      </c>
      <c r="AT35" t="n">
        <v>2440865.75917723</v>
      </c>
      <c r="AU35" t="n">
        <v>16565071.3024743</v>
      </c>
      <c r="AV35" t="n">
        <v>0</v>
      </c>
      <c r="AW35" t="n">
        <v>73589.0519489983</v>
      </c>
      <c r="AX35" t="n">
        <v>568062.619382014</v>
      </c>
      <c r="AY35" t="n">
        <v>17142763.6969546</v>
      </c>
      <c r="AZ35" t="n">
        <v>136385.056392252</v>
      </c>
      <c r="BA35" t="n">
        <v>12570885.6899658</v>
      </c>
      <c r="BB35" t="n">
        <v>45148396.8382991</v>
      </c>
      <c r="BC35" t="n">
        <v>807201.17595675</v>
      </c>
      <c r="BD35" t="n">
        <v>12888280.9801573</v>
      </c>
      <c r="BE35" t="n">
        <v>3528404.10368681</v>
      </c>
      <c r="BF35" t="n">
        <v>5525236.62207547</v>
      </c>
      <c r="BG35" t="n">
        <v>63680303.9808926</v>
      </c>
      <c r="BH35" t="n">
        <v>27846974.8457679</v>
      </c>
      <c r="BI35" t="n">
        <v>19807598.0810345</v>
      </c>
      <c r="BJ35" t="n">
        <v>11169543.9555131</v>
      </c>
      <c r="BK35" t="n">
        <v>252601.886874865</v>
      </c>
      <c r="BL35" t="n">
        <v>1592780.2585428</v>
      </c>
      <c r="BM35" t="n">
        <v>738810.028409271</v>
      </c>
      <c r="BN35" t="n">
        <v>47885399.3340197</v>
      </c>
      <c r="BO35" t="n">
        <v>19476840.3412135</v>
      </c>
      <c r="BP35" t="n">
        <v>15641202.8802174</v>
      </c>
      <c r="BQ35" t="n">
        <v>2068807.41262653</v>
      </c>
      <c r="BR35" t="n">
        <v>48326.7963920754</v>
      </c>
      <c r="BS35" t="n">
        <v>47046173.3064182</v>
      </c>
      <c r="BT35" t="n">
        <v>14885335.2780335</v>
      </c>
      <c r="BU35" t="n">
        <v>141888293.054421</v>
      </c>
      <c r="BV35" t="n">
        <v>0</v>
      </c>
      <c r="BW35" t="n">
        <v>1491873.70807937</v>
      </c>
      <c r="BX35" t="n">
        <v>0</v>
      </c>
      <c r="BY35" t="n">
        <v>272168.94826137</v>
      </c>
      <c r="BZ35" t="n">
        <v>9447935.35867662</v>
      </c>
      <c r="CA35" t="n">
        <v>263614029.398946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63571.0248074622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27152864.8258078</v>
      </c>
      <c r="C36" t="n">
        <v>400008.44658718</v>
      </c>
      <c r="D36" t="n">
        <v>0</v>
      </c>
      <c r="E36" t="n">
        <v>3086611.78735572</v>
      </c>
      <c r="F36" t="n">
        <v>101208.942198687</v>
      </c>
      <c r="G36" t="n">
        <v>25841775.7271447</v>
      </c>
      <c r="H36" t="n">
        <v>210114679.83109</v>
      </c>
      <c r="I36" t="n">
        <v>5713441.60769823</v>
      </c>
      <c r="J36" t="n">
        <v>5648813.10187369</v>
      </c>
      <c r="K36" t="n">
        <v>47473958.4754186</v>
      </c>
      <c r="L36" t="n">
        <v>126962728.419428</v>
      </c>
      <c r="M36" t="n">
        <v>74136825.2095525</v>
      </c>
      <c r="N36" t="n">
        <v>23854244.5449046</v>
      </c>
      <c r="O36" t="n">
        <v>59220756.4596713</v>
      </c>
      <c r="P36" t="n">
        <v>49864953.0185644</v>
      </c>
      <c r="Q36" t="n">
        <v>244798087.611832</v>
      </c>
      <c r="R36" t="n">
        <v>9016408.84355073</v>
      </c>
      <c r="S36" t="n">
        <v>68309512.2281474</v>
      </c>
      <c r="T36" t="n">
        <v>137965355.828102</v>
      </c>
      <c r="U36" t="n">
        <v>6519606.18970547</v>
      </c>
      <c r="V36" t="n">
        <v>1058900.54042957</v>
      </c>
      <c r="W36" t="n">
        <v>29399804.1329305</v>
      </c>
      <c r="X36" t="n">
        <v>12754069.8180921</v>
      </c>
      <c r="Y36" t="n">
        <v>7212178.06042787</v>
      </c>
      <c r="Z36" t="n">
        <v>195488588.335063</v>
      </c>
      <c r="AA36" t="n">
        <v>36245018.2526948</v>
      </c>
      <c r="AB36" t="n">
        <v>180365348.298781</v>
      </c>
      <c r="AC36" t="n">
        <v>14202459.3601496</v>
      </c>
      <c r="AD36" t="n">
        <v>13006980.0549107</v>
      </c>
      <c r="AE36" t="n">
        <v>7929820.68106068</v>
      </c>
      <c r="AF36" t="n">
        <v>53379099.9006061</v>
      </c>
      <c r="AG36" t="n">
        <v>3282713.3071042</v>
      </c>
      <c r="AH36" t="n">
        <v>2054181.08648645</v>
      </c>
      <c r="AI36" t="n">
        <v>4987596.17942869</v>
      </c>
      <c r="AJ36" t="n">
        <v>13332572.6321284</v>
      </c>
      <c r="AK36" t="n">
        <v>7095709.55510483</v>
      </c>
      <c r="AL36" t="n">
        <v>3564002.3414023</v>
      </c>
      <c r="AM36" t="n">
        <v>13801282.5824235</v>
      </c>
      <c r="AN36" t="n">
        <v>7993489.40506837</v>
      </c>
      <c r="AO36" t="n">
        <v>22813904.4007543</v>
      </c>
      <c r="AP36" t="n">
        <v>2130586.53436901</v>
      </c>
      <c r="AQ36" t="n">
        <v>83429224.1736948</v>
      </c>
      <c r="AR36" t="n">
        <v>6396075.24076511</v>
      </c>
      <c r="AS36" t="n">
        <v>6328808.57618326</v>
      </c>
      <c r="AT36" t="n">
        <v>20466348.890948</v>
      </c>
      <c r="AU36" t="n">
        <v>11571967.8447857</v>
      </c>
      <c r="AV36" t="n">
        <v>82753.2307631861</v>
      </c>
      <c r="AW36" t="n">
        <v>2293034.87619647</v>
      </c>
      <c r="AX36" t="n">
        <v>13148221.0867078</v>
      </c>
      <c r="AY36" t="n">
        <v>104132768.728865</v>
      </c>
      <c r="AZ36" t="n">
        <v>1925085.35879981</v>
      </c>
      <c r="BA36" t="n">
        <v>13103327.0816801</v>
      </c>
      <c r="BB36" t="n">
        <v>68547482.0292194</v>
      </c>
      <c r="BC36" t="n">
        <v>18850136.6017762</v>
      </c>
      <c r="BD36" t="n">
        <v>39507239.046664</v>
      </c>
      <c r="BE36" t="n">
        <v>14181314.2507043</v>
      </c>
      <c r="BF36" t="n">
        <v>21090681.0911357</v>
      </c>
      <c r="BG36" t="n">
        <v>100361681.860103</v>
      </c>
      <c r="BH36" t="n">
        <v>63951467.6045703</v>
      </c>
      <c r="BI36" t="n">
        <v>22463509.3829726</v>
      </c>
      <c r="BJ36" t="n">
        <v>25246790.2422052</v>
      </c>
      <c r="BK36" t="n">
        <v>1810785.30986404</v>
      </c>
      <c r="BL36" t="n">
        <v>12734160.5991959</v>
      </c>
      <c r="BM36" t="n">
        <v>9514744.8739767</v>
      </c>
      <c r="BN36" t="n">
        <v>87375230.1396398</v>
      </c>
      <c r="BO36" t="n">
        <v>39410302.8729852</v>
      </c>
      <c r="BP36" t="n">
        <v>39184167.0700079</v>
      </c>
      <c r="BQ36" t="n">
        <v>7537136.77560636</v>
      </c>
      <c r="BR36" t="n">
        <v>3053968.36437998</v>
      </c>
      <c r="BS36" t="n">
        <v>131433114.630582</v>
      </c>
      <c r="BT36" t="n">
        <v>26660842.0571292</v>
      </c>
      <c r="BU36" t="n">
        <v>1842285022.42522</v>
      </c>
      <c r="BV36" t="n">
        <v>299471.263227072</v>
      </c>
      <c r="BW36" t="n">
        <v>698574125.601883</v>
      </c>
      <c r="BX36" t="n">
        <v>80641699.9769472</v>
      </c>
      <c r="BY36" t="n">
        <v>12549316.8351552</v>
      </c>
      <c r="BZ36" t="n">
        <v>106369889.073154</v>
      </c>
      <c r="CA36" t="n">
        <v>2404247446.191</v>
      </c>
      <c r="CB36" t="n">
        <v>0</v>
      </c>
      <c r="CC36" t="n">
        <v>0</v>
      </c>
      <c r="CD36" t="n">
        <v>0</v>
      </c>
      <c r="CE36" t="n">
        <v>63604187.5876083</v>
      </c>
      <c r="CF36" t="n">
        <v>5624619.48077293</v>
      </c>
      <c r="CG36" t="n">
        <v>0</v>
      </c>
      <c r="CH36" t="n">
        <v>0</v>
      </c>
      <c r="CI36" t="n">
        <v>444668.299980601</v>
      </c>
      <c r="CJ36" t="n">
        <v>0</v>
      </c>
      <c r="CK36" t="n">
        <v>0</v>
      </c>
      <c r="CL36" t="n">
        <v>0</v>
      </c>
      <c r="CM36" t="n">
        <v>29404750.9736887</v>
      </c>
      <c r="CN36" t="n">
        <v>6680480.98728224</v>
      </c>
    </row>
    <row r="37">
      <c r="A37" t="s">
        <v>148</v>
      </c>
      <c r="B37" t="n">
        <v>31718.1766434017</v>
      </c>
      <c r="C37" t="n">
        <v>1300.94986346553</v>
      </c>
      <c r="D37" t="n">
        <v>0</v>
      </c>
      <c r="E37" t="n">
        <v>447420.875534957</v>
      </c>
      <c r="F37" t="n">
        <v>16022.7155919853</v>
      </c>
      <c r="G37" t="n">
        <v>196931.205423684</v>
      </c>
      <c r="H37" t="n">
        <v>17738411.7260029</v>
      </c>
      <c r="I37" t="n">
        <v>635414.403754323</v>
      </c>
      <c r="J37" t="n">
        <v>452392.435615744</v>
      </c>
      <c r="K37" t="n">
        <v>726135.049473776</v>
      </c>
      <c r="L37" t="n">
        <v>8565504.25414774</v>
      </c>
      <c r="M37" t="n">
        <v>17873887.0625187</v>
      </c>
      <c r="N37" t="n">
        <v>980013.819464763</v>
      </c>
      <c r="O37" t="n">
        <v>68912.3052309617</v>
      </c>
      <c r="P37" t="n">
        <v>9157375.04256876</v>
      </c>
      <c r="Q37" t="n">
        <v>37331374.7029063</v>
      </c>
      <c r="R37" t="n">
        <v>602738.283893542</v>
      </c>
      <c r="S37" t="n">
        <v>6816526.98780975</v>
      </c>
      <c r="T37" t="n">
        <v>8264502.34086674</v>
      </c>
      <c r="U37" t="n">
        <v>130471.280061194</v>
      </c>
      <c r="V37" t="n">
        <v>0</v>
      </c>
      <c r="W37" t="n">
        <v>2484179.47575168</v>
      </c>
      <c r="X37" t="n">
        <v>406935.344004305</v>
      </c>
      <c r="Y37" t="n">
        <v>3264.62278965518</v>
      </c>
      <c r="Z37" t="n">
        <v>5757405.4158792</v>
      </c>
      <c r="AA37" t="n">
        <v>1000034.19771873</v>
      </c>
      <c r="AB37" t="n">
        <v>1146922.55967032</v>
      </c>
      <c r="AC37" t="n">
        <v>13722882.6049561</v>
      </c>
      <c r="AD37" t="n">
        <v>9410325.63616404</v>
      </c>
      <c r="AE37" t="n">
        <v>1198053.58635927</v>
      </c>
      <c r="AF37" t="n">
        <v>14007345.5181305</v>
      </c>
      <c r="AG37" t="n">
        <v>0</v>
      </c>
      <c r="AH37" t="n">
        <v>24561.5554497034</v>
      </c>
      <c r="AI37" t="n">
        <v>0</v>
      </c>
      <c r="AJ37" t="n">
        <v>6390886.98649059</v>
      </c>
      <c r="AK37" t="n">
        <v>104549.469964664</v>
      </c>
      <c r="AL37" t="n">
        <v>21015.703307718</v>
      </c>
      <c r="AM37" t="n">
        <v>98716.0881309326</v>
      </c>
      <c r="AN37" t="n">
        <v>566280.496115579</v>
      </c>
      <c r="AO37" t="n">
        <v>405817.801520339</v>
      </c>
      <c r="AP37" t="n">
        <v>678197.526681345</v>
      </c>
      <c r="AQ37" t="n">
        <v>1550478.59815898</v>
      </c>
      <c r="AR37" t="n">
        <v>68792.1789595594</v>
      </c>
      <c r="AS37" t="n">
        <v>413175.712650776</v>
      </c>
      <c r="AT37" t="n">
        <v>278211.303444074</v>
      </c>
      <c r="AU37" t="n">
        <v>502871.568917812</v>
      </c>
      <c r="AV37" t="n">
        <v>0</v>
      </c>
      <c r="AW37" t="n">
        <v>1067637.32339097</v>
      </c>
      <c r="AX37" t="n">
        <v>1885275.76126319</v>
      </c>
      <c r="AY37" t="n">
        <v>14382303.6990844</v>
      </c>
      <c r="AZ37" t="n">
        <v>0</v>
      </c>
      <c r="BA37" t="n">
        <v>269856.277336739</v>
      </c>
      <c r="BB37" t="n">
        <v>6216860.92641225</v>
      </c>
      <c r="BC37" t="n">
        <v>0</v>
      </c>
      <c r="BD37" t="n">
        <v>29332845.3169734</v>
      </c>
      <c r="BE37" t="n">
        <v>935774.047324972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45328.0572774698</v>
      </c>
      <c r="BL37" t="n">
        <v>227107.766517954</v>
      </c>
      <c r="BM37" t="n">
        <v>282071.835821432</v>
      </c>
      <c r="BN37" t="n">
        <v>1536056.40353991</v>
      </c>
      <c r="BO37" t="n">
        <v>36735189.091457</v>
      </c>
      <c r="BP37" t="n">
        <v>0</v>
      </c>
      <c r="BQ37" t="n">
        <v>0</v>
      </c>
      <c r="BR37" t="n">
        <v>0</v>
      </c>
      <c r="BS37" t="n">
        <v>0</v>
      </c>
      <c r="BT37" t="n">
        <v>22284.3806115437</v>
      </c>
      <c r="BU37" t="n">
        <v>2826702608.17961</v>
      </c>
      <c r="BV37" t="n">
        <v>0</v>
      </c>
      <c r="BW37" t="n">
        <v>340625786.452536</v>
      </c>
      <c r="BX37" t="n">
        <v>0</v>
      </c>
      <c r="BY37" t="n">
        <v>64725.0010459583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121992.987090006</v>
      </c>
      <c r="C38" t="n">
        <v>0</v>
      </c>
      <c r="D38" t="n">
        <v>0</v>
      </c>
      <c r="E38" t="n">
        <v>0</v>
      </c>
      <c r="F38" t="n">
        <v>0</v>
      </c>
      <c r="G38" t="n">
        <v>1139387.68852274</v>
      </c>
      <c r="H38" t="n">
        <v>1774690.30671834</v>
      </c>
      <c r="I38" t="n">
        <v>0</v>
      </c>
      <c r="J38" t="n">
        <v>6752.12590471259</v>
      </c>
      <c r="K38" t="n">
        <v>0</v>
      </c>
      <c r="L38" t="n">
        <v>49511.585284091</v>
      </c>
      <c r="M38" t="n">
        <v>150792.073080866</v>
      </c>
      <c r="N38" t="n">
        <v>7101.54941641132</v>
      </c>
      <c r="O38" t="n">
        <v>45941.5368206411</v>
      </c>
      <c r="P38" t="n">
        <v>22631.757905638</v>
      </c>
      <c r="Q38" t="n">
        <v>0</v>
      </c>
      <c r="R38" t="n">
        <v>31068.9837058527</v>
      </c>
      <c r="S38" t="n">
        <v>304804.052300436</v>
      </c>
      <c r="T38" t="n">
        <v>85769.483152064</v>
      </c>
      <c r="U38" t="n">
        <v>0</v>
      </c>
      <c r="V38" t="n">
        <v>0</v>
      </c>
      <c r="W38" t="n">
        <v>8039.41577913167</v>
      </c>
      <c r="X38" t="n">
        <v>172639.236850311</v>
      </c>
      <c r="Y38" t="n">
        <v>4352.83038620691</v>
      </c>
      <c r="Z38" t="n">
        <v>662816.42485291</v>
      </c>
      <c r="AA38" t="n">
        <v>7194.49063107003</v>
      </c>
      <c r="AB38" t="n">
        <v>91753.8047736258</v>
      </c>
      <c r="AC38" t="n">
        <v>138487.806105062</v>
      </c>
      <c r="AD38" t="n">
        <v>391355.697534232</v>
      </c>
      <c r="AE38" t="n">
        <v>95420.1971436585</v>
      </c>
      <c r="AF38" t="n">
        <v>505363.053987455</v>
      </c>
      <c r="AG38" t="n">
        <v>0</v>
      </c>
      <c r="AH38" t="n">
        <v>12280.7777248517</v>
      </c>
      <c r="AI38" t="n">
        <v>0</v>
      </c>
      <c r="AJ38" t="n">
        <v>1068556.30414123</v>
      </c>
      <c r="AK38" t="n">
        <v>487897.526501767</v>
      </c>
      <c r="AL38" t="n">
        <v>0</v>
      </c>
      <c r="AM38" t="n">
        <v>305122.454222883</v>
      </c>
      <c r="AN38" t="n">
        <v>0</v>
      </c>
      <c r="AO38" t="n">
        <v>8281.99594939467</v>
      </c>
      <c r="AP38" t="n">
        <v>0</v>
      </c>
      <c r="AQ38" t="n">
        <v>0</v>
      </c>
      <c r="AR38" t="n">
        <v>11465.3631599266</v>
      </c>
      <c r="AS38" t="n">
        <v>37561.4284227978</v>
      </c>
      <c r="AT38" t="n">
        <v>119233.415761746</v>
      </c>
      <c r="AU38" t="n">
        <v>35919.3977798437</v>
      </c>
      <c r="AV38" t="n">
        <v>0</v>
      </c>
      <c r="AW38" t="n">
        <v>841168.800247431</v>
      </c>
      <c r="AX38" t="n">
        <v>165243.293815897</v>
      </c>
      <c r="AY38" t="n">
        <v>76773.8631623723</v>
      </c>
      <c r="AZ38" t="n">
        <v>0</v>
      </c>
      <c r="BA38" t="n">
        <v>10794.2510934695</v>
      </c>
      <c r="BB38" t="n">
        <v>62418.2823936973</v>
      </c>
      <c r="BC38" t="n">
        <v>0</v>
      </c>
      <c r="BD38" t="n">
        <v>827987.73006135</v>
      </c>
      <c r="BE38" t="n">
        <v>0</v>
      </c>
      <c r="BF38" t="n">
        <v>223652.226033099</v>
      </c>
      <c r="BG38" t="n">
        <v>27671.233226413</v>
      </c>
      <c r="BH38" t="n">
        <v>64047.2253758296</v>
      </c>
      <c r="BI38" t="n">
        <v>21838.747099768</v>
      </c>
      <c r="BJ38" t="n">
        <v>15866.1438762729</v>
      </c>
      <c r="BK38" t="n">
        <v>72524.8916439516</v>
      </c>
      <c r="BL38" t="n">
        <v>214490.668378068</v>
      </c>
      <c r="BM38" t="n">
        <v>316262.361375545</v>
      </c>
      <c r="BN38" t="n">
        <v>15813045.7666744</v>
      </c>
      <c r="BO38" t="n">
        <v>310505.499472653</v>
      </c>
      <c r="BP38" t="n">
        <v>0</v>
      </c>
      <c r="BQ38" t="n">
        <v>0</v>
      </c>
      <c r="BR38" t="n">
        <v>0</v>
      </c>
      <c r="BS38" t="n">
        <v>249497.600682049</v>
      </c>
      <c r="BT38" t="n">
        <v>0</v>
      </c>
      <c r="BU38" t="n">
        <v>2920068869.75717</v>
      </c>
      <c r="BV38" t="n">
        <v>0</v>
      </c>
      <c r="BW38" t="n">
        <v>4142805.94179813</v>
      </c>
      <c r="BX38" t="n">
        <v>17554.2624652463</v>
      </c>
      <c r="BY38" t="n">
        <v>94491.4367458554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3459.29010896452</v>
      </c>
      <c r="C39" t="n">
        <v>0</v>
      </c>
      <c r="D39" t="n">
        <v>0</v>
      </c>
      <c r="E39" t="n">
        <v>206.383451735754</v>
      </c>
      <c r="F39" t="n">
        <v>6.73022100506596</v>
      </c>
      <c r="G39" t="n">
        <v>31124.4665507379</v>
      </c>
      <c r="H39" t="n">
        <v>141825.680884148</v>
      </c>
      <c r="I39" t="n">
        <v>383.160181864797</v>
      </c>
      <c r="J39" t="n">
        <v>398.888406651848</v>
      </c>
      <c r="K39" t="n">
        <v>354.521772486473</v>
      </c>
      <c r="L39" t="n">
        <v>5849.89013637735</v>
      </c>
      <c r="M39" t="n">
        <v>15440.8599208668</v>
      </c>
      <c r="N39" t="n">
        <v>915.340233912918</v>
      </c>
      <c r="O39" t="n">
        <v>2714.04098207537</v>
      </c>
      <c r="P39" t="n">
        <v>5135.26901244411</v>
      </c>
      <c r="Q39" t="n">
        <v>15548.1848950996</v>
      </c>
      <c r="R39" t="n">
        <v>2069.03067556397</v>
      </c>
      <c r="S39" t="n">
        <v>19345.9295001937</v>
      </c>
      <c r="T39" t="n">
        <v>8093.9042335014</v>
      </c>
      <c r="U39" t="n">
        <v>247.306453446674</v>
      </c>
      <c r="V39" t="n">
        <v>0</v>
      </c>
      <c r="W39" t="n">
        <v>1467.98495301359</v>
      </c>
      <c r="X39" t="n">
        <v>6225.2604009611</v>
      </c>
      <c r="Y39" t="n">
        <v>93.5082508118188</v>
      </c>
      <c r="Z39" t="n">
        <v>20520.531881921</v>
      </c>
      <c r="AA39" t="n">
        <v>927.319708838384</v>
      </c>
      <c r="AB39" t="n">
        <v>3695.75814547789</v>
      </c>
      <c r="AC39" t="n">
        <v>11900.0754531446</v>
      </c>
      <c r="AD39" t="n">
        <v>8789.31449528691</v>
      </c>
      <c r="AE39" t="n">
        <v>1252.67577247943</v>
      </c>
      <c r="AF39" t="n">
        <v>13688.3732442808</v>
      </c>
      <c r="AG39" t="n">
        <v>0</v>
      </c>
      <c r="AH39" t="n">
        <v>395.726668088823</v>
      </c>
      <c r="AI39" t="n">
        <v>113.646904880052</v>
      </c>
      <c r="AJ39" t="n">
        <v>32620.1356332215</v>
      </c>
      <c r="AK39" t="n">
        <v>13475.6981443758</v>
      </c>
      <c r="AL39" t="n">
        <v>225.731476019825</v>
      </c>
      <c r="AM39" t="n">
        <v>8675.32900559587</v>
      </c>
      <c r="AN39" t="n">
        <v>233.941057455436</v>
      </c>
      <c r="AO39" t="n">
        <v>444.788152619308</v>
      </c>
      <c r="AP39" t="n">
        <v>393.760969785769</v>
      </c>
      <c r="AQ39" t="n">
        <v>693.909330114752</v>
      </c>
      <c r="AR39" t="n">
        <v>307.876128542778</v>
      </c>
      <c r="AS39" t="n">
        <v>1512.93949489975</v>
      </c>
      <c r="AT39" t="n">
        <v>3415.19031893324</v>
      </c>
      <c r="AU39" t="n">
        <v>1157.44001899898</v>
      </c>
      <c r="AV39" t="n">
        <v>0</v>
      </c>
      <c r="AW39" t="n">
        <v>46912.8447775685</v>
      </c>
      <c r="AX39" t="n">
        <v>12666.2777631218</v>
      </c>
      <c r="AY39" t="n">
        <v>12919.2764142235</v>
      </c>
      <c r="AZ39" t="n">
        <v>122.673929537986</v>
      </c>
      <c r="BA39" t="n">
        <v>463.767916054021</v>
      </c>
      <c r="BB39" t="n">
        <v>5095.34504502383</v>
      </c>
      <c r="BC39" t="n">
        <v>0</v>
      </c>
      <c r="BD39" t="n">
        <v>38894.1848676414</v>
      </c>
      <c r="BE39" t="n">
        <v>463.902899723128</v>
      </c>
      <c r="BF39" t="n">
        <v>13612.8507984712</v>
      </c>
      <c r="BG39" t="n">
        <v>1486.09547537557</v>
      </c>
      <c r="BH39" t="n">
        <v>1100.698806592</v>
      </c>
      <c r="BI39" t="n">
        <v>234.571860150114</v>
      </c>
      <c r="BJ39" t="n">
        <v>511.258846324506</v>
      </c>
      <c r="BK39" t="n">
        <v>389.498048179877</v>
      </c>
      <c r="BL39" t="n">
        <v>948.649350988081</v>
      </c>
      <c r="BM39" t="n">
        <v>5600.46146040392</v>
      </c>
      <c r="BN39" t="n">
        <v>37474.2772860051</v>
      </c>
      <c r="BO39" t="n">
        <v>32966.8357737796</v>
      </c>
      <c r="BP39" t="n">
        <v>0</v>
      </c>
      <c r="BQ39" t="n">
        <v>213.537305349627</v>
      </c>
      <c r="BR39" t="n">
        <v>0</v>
      </c>
      <c r="BS39" t="n">
        <v>2947.86269699329</v>
      </c>
      <c r="BT39" t="n">
        <v>0</v>
      </c>
      <c r="BU39" t="n">
        <v>31685682.1694551</v>
      </c>
      <c r="BV39" t="n">
        <v>0</v>
      </c>
      <c r="BW39" t="n">
        <v>228663.560714653</v>
      </c>
      <c r="BX39" t="n">
        <v>61261.5291319279</v>
      </c>
      <c r="BY39" t="n">
        <v>26096.4791114961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3533075.9266344</v>
      </c>
      <c r="C40" t="n">
        <v>13954.5199490221</v>
      </c>
      <c r="D40" t="n">
        <v>0</v>
      </c>
      <c r="E40" t="n">
        <v>316512.921192764</v>
      </c>
      <c r="F40" t="n">
        <v>1600.24391165463</v>
      </c>
      <c r="G40" t="n">
        <v>34967178.2474273</v>
      </c>
      <c r="H40" t="n">
        <v>597897546.891781</v>
      </c>
      <c r="I40" t="n">
        <v>765273.217796442</v>
      </c>
      <c r="J40" t="n">
        <v>51301.7940067087</v>
      </c>
      <c r="K40" t="n">
        <v>140139.777548314</v>
      </c>
      <c r="L40" t="n">
        <v>3053718.623411</v>
      </c>
      <c r="M40" t="n">
        <v>9767645.55949981</v>
      </c>
      <c r="N40" t="n">
        <v>577653.754913785</v>
      </c>
      <c r="O40" t="n">
        <v>2628201.07084771</v>
      </c>
      <c r="P40" t="n">
        <v>2139300.33798283</v>
      </c>
      <c r="Q40" t="n">
        <v>3881734.73156113</v>
      </c>
      <c r="R40" t="n">
        <v>1821813.7755987</v>
      </c>
      <c r="S40" t="n">
        <v>16941710.1811226</v>
      </c>
      <c r="T40" t="n">
        <v>5437848.46169822</v>
      </c>
      <c r="U40" t="n">
        <v>294990.17562984</v>
      </c>
      <c r="V40" t="n">
        <v>3717.09072998815</v>
      </c>
      <c r="W40" t="n">
        <v>682686.303984154</v>
      </c>
      <c r="X40" t="n">
        <v>9435356.88157273</v>
      </c>
      <c r="Y40" t="n">
        <v>284032.279800135</v>
      </c>
      <c r="Z40" t="n">
        <v>37697355.2133681</v>
      </c>
      <c r="AA40" t="n">
        <v>649522.97876254</v>
      </c>
      <c r="AB40" t="n">
        <v>5730849.42990183</v>
      </c>
      <c r="AC40" t="n">
        <v>12626552.8839459</v>
      </c>
      <c r="AD40" t="n">
        <v>5151895.97329163</v>
      </c>
      <c r="AE40" t="n">
        <v>5127057.16990558</v>
      </c>
      <c r="AF40" t="n">
        <v>13924992.9036379</v>
      </c>
      <c r="AG40" t="n">
        <v>13550.4967054282</v>
      </c>
      <c r="AH40" t="n">
        <v>389697.230142327</v>
      </c>
      <c r="AI40" t="n">
        <v>4416715.19314451</v>
      </c>
      <c r="AJ40" t="n">
        <v>35276481.405216</v>
      </c>
      <c r="AK40" t="n">
        <v>14064730.999028</v>
      </c>
      <c r="AL40" t="n">
        <v>262993.52688395</v>
      </c>
      <c r="AM40" t="n">
        <v>12273255.5667217</v>
      </c>
      <c r="AN40" t="n">
        <v>77873.7954721315</v>
      </c>
      <c r="AO40" t="n">
        <v>466389.385886739</v>
      </c>
      <c r="AP40" t="n">
        <v>245764.319543233</v>
      </c>
      <c r="AQ40" t="n">
        <v>307982.724864239</v>
      </c>
      <c r="AR40" t="n">
        <v>481680.170854396</v>
      </c>
      <c r="AS40" t="n">
        <v>2140402.17563093</v>
      </c>
      <c r="AT40" t="n">
        <v>5364469.4106464</v>
      </c>
      <c r="AU40" t="n">
        <v>1701680.45725995</v>
      </c>
      <c r="AV40" t="n">
        <v>0</v>
      </c>
      <c r="AW40" t="n">
        <v>45532926.8794497</v>
      </c>
      <c r="AX40" t="n">
        <v>7855251.94857232</v>
      </c>
      <c r="AY40" t="n">
        <v>3774410.90885514</v>
      </c>
      <c r="AZ40" t="n">
        <v>224594.884343163</v>
      </c>
      <c r="BA40" t="n">
        <v>521025.970345968</v>
      </c>
      <c r="BB40" t="n">
        <v>3961350.38090337</v>
      </c>
      <c r="BC40" t="n">
        <v>0</v>
      </c>
      <c r="BD40" t="n">
        <v>14920642.4655947</v>
      </c>
      <c r="BE40" t="n">
        <v>283108.830328157</v>
      </c>
      <c r="BF40" t="n">
        <v>2887667.353185</v>
      </c>
      <c r="BG40" t="n">
        <v>3598857.10537784</v>
      </c>
      <c r="BH40" t="n">
        <v>1751841.62639794</v>
      </c>
      <c r="BI40" t="n">
        <v>1464070.79465362</v>
      </c>
      <c r="BJ40" t="n">
        <v>794204.804849293</v>
      </c>
      <c r="BK40" t="n">
        <v>2512070.88708257</v>
      </c>
      <c r="BL40" t="n">
        <v>3778134.22671279</v>
      </c>
      <c r="BM40" t="n">
        <v>8931684.86061136</v>
      </c>
      <c r="BN40" t="n">
        <v>60072755.4542779</v>
      </c>
      <c r="BO40" t="n">
        <v>22374859.7533905</v>
      </c>
      <c r="BP40" t="n">
        <v>15102.3814390126</v>
      </c>
      <c r="BQ40" t="n">
        <v>272480.380554546</v>
      </c>
      <c r="BR40" t="n">
        <v>10852.2465731847</v>
      </c>
      <c r="BS40" t="n">
        <v>4092376.0757012</v>
      </c>
      <c r="BT40" t="n">
        <v>0</v>
      </c>
      <c r="BU40" t="n">
        <v>10569650119.9062</v>
      </c>
      <c r="BV40" t="n">
        <v>0</v>
      </c>
      <c r="BW40" t="n">
        <v>343730991.16896</v>
      </c>
      <c r="BX40" t="n">
        <v>119897140.557894</v>
      </c>
      <c r="BY40" t="n">
        <v>84720644.1224118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219561.012384464</v>
      </c>
      <c r="C41" t="n">
        <v>601.909666045676</v>
      </c>
      <c r="D41" t="n">
        <v>0</v>
      </c>
      <c r="E41" t="n">
        <v>15239.8482584385</v>
      </c>
      <c r="F41" t="n">
        <v>6647.04911054865</v>
      </c>
      <c r="G41" t="n">
        <v>2941681.81800653</v>
      </c>
      <c r="H41" t="n">
        <v>1046994.16735432</v>
      </c>
      <c r="I41" t="n">
        <v>62923.4879340565</v>
      </c>
      <c r="J41" t="n">
        <v>232738.141729405</v>
      </c>
      <c r="K41" t="n">
        <v>368411.178297938</v>
      </c>
      <c r="L41" t="n">
        <v>2479736.27310369</v>
      </c>
      <c r="M41" t="n">
        <v>786040.123655678</v>
      </c>
      <c r="N41" t="n">
        <v>146212.291047276</v>
      </c>
      <c r="O41" t="n">
        <v>281638.585905756</v>
      </c>
      <c r="P41" t="n">
        <v>274864.311393553</v>
      </c>
      <c r="Q41" t="n">
        <v>2749433.77456129</v>
      </c>
      <c r="R41" t="n">
        <v>146621.607600554</v>
      </c>
      <c r="S41" t="n">
        <v>1057676.26302371</v>
      </c>
      <c r="T41" t="n">
        <v>1259932.50511932</v>
      </c>
      <c r="U41" t="n">
        <v>76344.0542915512</v>
      </c>
      <c r="V41" t="n">
        <v>4809.95300760333</v>
      </c>
      <c r="W41" t="n">
        <v>321744.665597542</v>
      </c>
      <c r="X41" t="n">
        <v>453575.26017898</v>
      </c>
      <c r="Y41" t="n">
        <v>39271.466007269</v>
      </c>
      <c r="Z41" t="n">
        <v>1379991.88793887</v>
      </c>
      <c r="AA41" t="n">
        <v>682377.455749141</v>
      </c>
      <c r="AB41" t="n">
        <v>21451362.4874341</v>
      </c>
      <c r="AC41" t="n">
        <v>562104.317801888</v>
      </c>
      <c r="AD41" t="n">
        <v>267487.258008095</v>
      </c>
      <c r="AE41" t="n">
        <v>188855.347881876</v>
      </c>
      <c r="AF41" t="n">
        <v>970844.739637407</v>
      </c>
      <c r="AG41" t="n">
        <v>283357.193842105</v>
      </c>
      <c r="AH41" t="n">
        <v>8522.90971397127</v>
      </c>
      <c r="AI41" t="n">
        <v>580094.206123534</v>
      </c>
      <c r="AJ41" t="n">
        <v>3528134.55905989</v>
      </c>
      <c r="AK41" t="n">
        <v>241859.191960132</v>
      </c>
      <c r="AL41" t="n">
        <v>38893.2896336745</v>
      </c>
      <c r="AM41" t="n">
        <v>2906457.98792535</v>
      </c>
      <c r="AN41" t="n">
        <v>1078233.42670484</v>
      </c>
      <c r="AO41" t="n">
        <v>848749.442751746</v>
      </c>
      <c r="AP41" t="n">
        <v>1424736.39033999</v>
      </c>
      <c r="AQ41" t="n">
        <v>2585481.29089864</v>
      </c>
      <c r="AR41" t="n">
        <v>2291618.50209486</v>
      </c>
      <c r="AS41" t="n">
        <v>12206239.9377597</v>
      </c>
      <c r="AT41" t="n">
        <v>30681295.9431119</v>
      </c>
      <c r="AU41" t="n">
        <v>847559.079560808</v>
      </c>
      <c r="AV41" t="n">
        <v>46411.9340484039</v>
      </c>
      <c r="AW41" t="n">
        <v>26195.0127678377</v>
      </c>
      <c r="AX41" t="n">
        <v>19231407.707905</v>
      </c>
      <c r="AY41" t="n">
        <v>8897989.36494545</v>
      </c>
      <c r="AZ41" t="n">
        <v>1918145.14581899</v>
      </c>
      <c r="BA41" t="n">
        <v>7576155.06355852</v>
      </c>
      <c r="BB41" t="n">
        <v>14581021.2283194</v>
      </c>
      <c r="BC41" t="n">
        <v>1614544.07437601</v>
      </c>
      <c r="BD41" t="n">
        <v>12823117.4821234</v>
      </c>
      <c r="BE41" t="n">
        <v>1711833.4989781</v>
      </c>
      <c r="BF41" t="n">
        <v>3995363.35895756</v>
      </c>
      <c r="BG41" t="n">
        <v>8977845.90452435</v>
      </c>
      <c r="BH41" t="n">
        <v>1363103.74097241</v>
      </c>
      <c r="BI41" t="n">
        <v>1672231.7886628</v>
      </c>
      <c r="BJ41" t="n">
        <v>2624328.47167556</v>
      </c>
      <c r="BK41" t="n">
        <v>314578.561994337</v>
      </c>
      <c r="BL41" t="n">
        <v>665480.126242553</v>
      </c>
      <c r="BM41" t="n">
        <v>413269.003940196</v>
      </c>
      <c r="BN41" t="n">
        <v>4699344.04947169</v>
      </c>
      <c r="BO41" t="n">
        <v>1671444.98059311</v>
      </c>
      <c r="BP41" t="n">
        <v>22526794.6284613</v>
      </c>
      <c r="BQ41" t="n">
        <v>6067654.76594989</v>
      </c>
      <c r="BR41" t="n">
        <v>605249.716221239</v>
      </c>
      <c r="BS41" t="n">
        <v>11641609.6736491</v>
      </c>
      <c r="BT41" t="n">
        <v>149499.357965168</v>
      </c>
      <c r="BU41" t="n">
        <v>428545530.885148</v>
      </c>
      <c r="BV41" t="n">
        <v>0</v>
      </c>
      <c r="BW41" t="n">
        <v>550010.109216019</v>
      </c>
      <c r="BX41" t="n">
        <v>65945.08962539</v>
      </c>
      <c r="BY41" t="n">
        <v>26415.7202071209</v>
      </c>
      <c r="BZ41" t="n">
        <v>81879.9580015633</v>
      </c>
      <c r="CA41" t="n">
        <v>141154982.412621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75929.4653217255</v>
      </c>
      <c r="CN41" t="n">
        <v>21694.1329490644</v>
      </c>
    </row>
    <row r="42">
      <c r="A42" t="s">
        <v>153</v>
      </c>
      <c r="B42" t="n">
        <v>2121073.82826855</v>
      </c>
      <c r="C42" t="n">
        <v>10715.872458298</v>
      </c>
      <c r="D42" t="n">
        <v>0</v>
      </c>
      <c r="E42" t="n">
        <v>863880.575537749</v>
      </c>
      <c r="F42" t="n">
        <v>7188.77158614577</v>
      </c>
      <c r="G42" t="n">
        <v>12059649.1182047</v>
      </c>
      <c r="H42" t="n">
        <v>7247826.86998755</v>
      </c>
      <c r="I42" t="n">
        <v>719276.354054145</v>
      </c>
      <c r="J42" t="n">
        <v>2458734.58482813</v>
      </c>
      <c r="K42" t="n">
        <v>8362842.33700592</v>
      </c>
      <c r="L42" t="n">
        <v>9244032.55006843</v>
      </c>
      <c r="M42" t="n">
        <v>2056313.12223858</v>
      </c>
      <c r="N42" t="n">
        <v>204733.133680852</v>
      </c>
      <c r="O42" t="n">
        <v>2136488.44610552</v>
      </c>
      <c r="P42" t="n">
        <v>1241808.36395555</v>
      </c>
      <c r="Q42" t="n">
        <v>7582835.5075709</v>
      </c>
      <c r="R42" t="n">
        <v>586469.554165751</v>
      </c>
      <c r="S42" t="n">
        <v>2482128.68223338</v>
      </c>
      <c r="T42" t="n">
        <v>13597634.1665389</v>
      </c>
      <c r="U42" t="n">
        <v>202820.786011312</v>
      </c>
      <c r="V42" t="n">
        <v>2854.40633744381</v>
      </c>
      <c r="W42" t="n">
        <v>6958655.01858075</v>
      </c>
      <c r="X42" t="n">
        <v>444382.047143655</v>
      </c>
      <c r="Y42" t="n">
        <v>1409140.48622166</v>
      </c>
      <c r="Z42" t="n">
        <v>21236209.5245478</v>
      </c>
      <c r="AA42" t="n">
        <v>4481593.0203063</v>
      </c>
      <c r="AB42" t="n">
        <v>1239939.18067334</v>
      </c>
      <c r="AC42" t="n">
        <v>142589.821188242</v>
      </c>
      <c r="AD42" t="n">
        <v>702105.790384721</v>
      </c>
      <c r="AE42" t="n">
        <v>138272.918986117</v>
      </c>
      <c r="AF42" t="n">
        <v>441150.984565725</v>
      </c>
      <c r="AG42" t="n">
        <v>175854.932669398</v>
      </c>
      <c r="AH42" t="n">
        <v>256051.832064127</v>
      </c>
      <c r="AI42" t="n">
        <v>94414.4574859711</v>
      </c>
      <c r="AJ42" t="n">
        <v>7780411.15572076</v>
      </c>
      <c r="AK42" t="n">
        <v>191371.075547931</v>
      </c>
      <c r="AL42" t="n">
        <v>64914.568171857</v>
      </c>
      <c r="AM42" t="n">
        <v>810040.503111933</v>
      </c>
      <c r="AN42" t="n">
        <v>149500.961547126</v>
      </c>
      <c r="AO42" t="n">
        <v>90957.9631377342</v>
      </c>
      <c r="AP42" t="n">
        <v>50326.9022060527</v>
      </c>
      <c r="AQ42" t="n">
        <v>2350261.21535648</v>
      </c>
      <c r="AR42" t="n">
        <v>106244.709619614</v>
      </c>
      <c r="AS42" t="n">
        <v>225598.331188269</v>
      </c>
      <c r="AT42" t="n">
        <v>613825.574658635</v>
      </c>
      <c r="AU42" t="n">
        <v>1676577.71585443</v>
      </c>
      <c r="AV42" t="n">
        <v>684.457769870713</v>
      </c>
      <c r="AW42" t="n">
        <v>316453.863562948</v>
      </c>
      <c r="AX42" t="n">
        <v>809443.509149914</v>
      </c>
      <c r="AY42" t="n">
        <v>667515.671466467</v>
      </c>
      <c r="AZ42" t="n">
        <v>145031.234153696</v>
      </c>
      <c r="BA42" t="n">
        <v>163005.000389446</v>
      </c>
      <c r="BB42" t="n">
        <v>3196217.83986154</v>
      </c>
      <c r="BC42" t="n">
        <v>208793.669190284</v>
      </c>
      <c r="BD42" t="n">
        <v>2364302.06574533</v>
      </c>
      <c r="BE42" t="n">
        <v>276695.057175095</v>
      </c>
      <c r="BF42" t="n">
        <v>579956.423184842</v>
      </c>
      <c r="BG42" t="n">
        <v>1961120.6159916</v>
      </c>
      <c r="BH42" t="n">
        <v>989164.606342416</v>
      </c>
      <c r="BI42" t="n">
        <v>637092.333682542</v>
      </c>
      <c r="BJ42" t="n">
        <v>1345005.54820797</v>
      </c>
      <c r="BK42" t="n">
        <v>52893.4332363892</v>
      </c>
      <c r="BL42" t="n">
        <v>368073.1528013</v>
      </c>
      <c r="BM42" t="n">
        <v>422439.005617097</v>
      </c>
      <c r="BN42" t="n">
        <v>3833328.39009399</v>
      </c>
      <c r="BO42" t="n">
        <v>709084.163463129</v>
      </c>
      <c r="BP42" t="n">
        <v>1017665.83626291</v>
      </c>
      <c r="BQ42" t="n">
        <v>2538190.64729932</v>
      </c>
      <c r="BR42" t="n">
        <v>2091731.85017173</v>
      </c>
      <c r="BS42" t="n">
        <v>10005777.1186957</v>
      </c>
      <c r="BT42" t="n">
        <v>5397043.33434324</v>
      </c>
      <c r="BU42" t="n">
        <v>41776748.2267168</v>
      </c>
      <c r="BV42" t="n">
        <v>0</v>
      </c>
      <c r="BW42" t="n">
        <v>4047943.10097055</v>
      </c>
      <c r="BX42" t="n">
        <v>0</v>
      </c>
      <c r="BY42" t="n">
        <v>191052.202256327</v>
      </c>
      <c r="BZ42" t="n">
        <v>1797019.09868788</v>
      </c>
      <c r="CA42" t="n">
        <v>38177424.5846242</v>
      </c>
      <c r="CB42" t="n">
        <v>0</v>
      </c>
      <c r="CC42" t="n">
        <v>0</v>
      </c>
      <c r="CD42" t="n">
        <v>0</v>
      </c>
      <c r="CE42" t="n">
        <v>921947.360777955</v>
      </c>
      <c r="CF42" t="n">
        <v>0</v>
      </c>
      <c r="CG42" t="n">
        <v>0</v>
      </c>
      <c r="CH42" t="n">
        <v>0</v>
      </c>
      <c r="CI42" t="n">
        <v>1352638.09865963</v>
      </c>
      <c r="CJ42" t="n">
        <v>0</v>
      </c>
      <c r="CK42" t="n">
        <v>0</v>
      </c>
      <c r="CL42" t="n">
        <v>0</v>
      </c>
      <c r="CM42" t="n">
        <v>2056639.28706667</v>
      </c>
      <c r="CN42" t="n">
        <v>0</v>
      </c>
    </row>
    <row r="43">
      <c r="A43" t="s">
        <v>154</v>
      </c>
      <c r="B43" t="n">
        <v>1152230.7192431</v>
      </c>
      <c r="C43" t="n">
        <v>8577.69329288892</v>
      </c>
      <c r="D43" t="n">
        <v>0</v>
      </c>
      <c r="E43" t="n">
        <v>436622.301417158</v>
      </c>
      <c r="F43" t="n">
        <v>6418.33398109025</v>
      </c>
      <c r="G43" t="n">
        <v>2909914.25193911</v>
      </c>
      <c r="H43" t="n">
        <v>7131328.48747706</v>
      </c>
      <c r="I43" t="n">
        <v>14700.1629478754</v>
      </c>
      <c r="J43" t="n">
        <v>834741.023348954</v>
      </c>
      <c r="K43" t="n">
        <v>2822297.50033535</v>
      </c>
      <c r="L43" t="n">
        <v>2591197.54665261</v>
      </c>
      <c r="M43" t="n">
        <v>480546.2725877</v>
      </c>
      <c r="N43" t="n">
        <v>99499.752704924</v>
      </c>
      <c r="O43" t="n">
        <v>1041257.58813315</v>
      </c>
      <c r="P43" t="n">
        <v>165541.397441193</v>
      </c>
      <c r="Q43" t="n">
        <v>1381403.49403689</v>
      </c>
      <c r="R43" t="n">
        <v>61455.1461131603</v>
      </c>
      <c r="S43" t="n">
        <v>1187548.51674564</v>
      </c>
      <c r="T43" t="n">
        <v>4554400.95024795</v>
      </c>
      <c r="U43" t="n">
        <v>177110.373854526</v>
      </c>
      <c r="V43" t="n">
        <v>0</v>
      </c>
      <c r="W43" t="n">
        <v>920999.207907117</v>
      </c>
      <c r="X43" t="n">
        <v>10163.2226136598</v>
      </c>
      <c r="Y43" t="n">
        <v>139912.436024455</v>
      </c>
      <c r="Z43" t="n">
        <v>7754996.72064605</v>
      </c>
      <c r="AA43" t="n">
        <v>824204.190273433</v>
      </c>
      <c r="AB43" t="n">
        <v>226863.852877627</v>
      </c>
      <c r="AC43" t="n">
        <v>124514.538352548</v>
      </c>
      <c r="AD43" t="n">
        <v>219917.71053992</v>
      </c>
      <c r="AE43" t="n">
        <v>43690.5760611465</v>
      </c>
      <c r="AF43" t="n">
        <v>190145.003579489</v>
      </c>
      <c r="AG43" t="n">
        <v>52474.8706741249</v>
      </c>
      <c r="AH43" t="n">
        <v>27834.1864010806</v>
      </c>
      <c r="AI43" t="n">
        <v>26160.7771265954</v>
      </c>
      <c r="AJ43" t="n">
        <v>75847.9061817825</v>
      </c>
      <c r="AK43" t="n">
        <v>28722.3881717622</v>
      </c>
      <c r="AL43" t="n">
        <v>86603.1920072204</v>
      </c>
      <c r="AM43" t="n">
        <v>66566.8073274319</v>
      </c>
      <c r="AN43" t="n">
        <v>35901.1382451704</v>
      </c>
      <c r="AO43" t="n">
        <v>13651.6446755325</v>
      </c>
      <c r="AP43" t="n">
        <v>0</v>
      </c>
      <c r="AQ43" t="n">
        <v>337214.97069931</v>
      </c>
      <c r="AR43" t="n">
        <v>51972.1246486989</v>
      </c>
      <c r="AS43" t="n">
        <v>38696.5350401857</v>
      </c>
      <c r="AT43" t="n">
        <v>65512.8802032463</v>
      </c>
      <c r="AU43" t="n">
        <v>0</v>
      </c>
      <c r="AV43" t="n">
        <v>328.731170218775</v>
      </c>
      <c r="AW43" t="n">
        <v>146653.510723014</v>
      </c>
      <c r="AX43" t="n">
        <v>290950.418948016</v>
      </c>
      <c r="AY43" t="n">
        <v>232008.978135879</v>
      </c>
      <c r="AZ43" t="n">
        <v>0</v>
      </c>
      <c r="BA43" t="n">
        <v>71170.9019743217</v>
      </c>
      <c r="BB43" t="n">
        <v>15494827.5736898</v>
      </c>
      <c r="BC43" t="n">
        <v>1490262.71322874</v>
      </c>
      <c r="BD43" t="n">
        <v>1319321.39833357</v>
      </c>
      <c r="BE43" t="n">
        <v>201709.581165159</v>
      </c>
      <c r="BF43" t="n">
        <v>7004494.33297046</v>
      </c>
      <c r="BG43" t="n">
        <v>1881492.23321536</v>
      </c>
      <c r="BH43" t="n">
        <v>2005875.08179367</v>
      </c>
      <c r="BI43" t="n">
        <v>161990.742115719</v>
      </c>
      <c r="BJ43" t="n">
        <v>196147.426200068</v>
      </c>
      <c r="BK43" t="n">
        <v>22414.9783059033</v>
      </c>
      <c r="BL43" t="n">
        <v>124784.514526095</v>
      </c>
      <c r="BM43" t="n">
        <v>63402.7742357989</v>
      </c>
      <c r="BN43" t="n">
        <v>647711.122651777</v>
      </c>
      <c r="BO43" t="n">
        <v>374024.035507989</v>
      </c>
      <c r="BP43" t="n">
        <v>11940607.8412533</v>
      </c>
      <c r="BQ43" t="n">
        <v>1261642.34497727</v>
      </c>
      <c r="BR43" t="n">
        <v>4602823.86343025</v>
      </c>
      <c r="BS43" t="n">
        <v>7042825.30356813</v>
      </c>
      <c r="BT43" t="n">
        <v>1542765.15067662</v>
      </c>
      <c r="BU43" t="n">
        <v>319001932.805315</v>
      </c>
      <c r="BV43" t="n">
        <v>0</v>
      </c>
      <c r="BW43" t="n">
        <v>43457.3894788605</v>
      </c>
      <c r="BX43" t="n">
        <v>0</v>
      </c>
      <c r="BY43" t="n">
        <v>0</v>
      </c>
      <c r="BZ43" t="n">
        <v>653830.766790342</v>
      </c>
      <c r="CA43" t="n">
        <v>64391784.8713198</v>
      </c>
      <c r="CB43" t="n">
        <v>0</v>
      </c>
      <c r="CC43" t="n">
        <v>0</v>
      </c>
      <c r="CD43" t="n">
        <v>0</v>
      </c>
      <c r="CE43" t="n">
        <v>48480.9414902479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10635793.3238098</v>
      </c>
      <c r="C44" t="n">
        <v>221161.434669104</v>
      </c>
      <c r="D44" t="n">
        <v>0</v>
      </c>
      <c r="E44" t="n">
        <v>1452484.15211892</v>
      </c>
      <c r="F44" t="n">
        <v>32363.1309240613</v>
      </c>
      <c r="G44" t="n">
        <v>10878763.0084436</v>
      </c>
      <c r="H44" t="n">
        <v>101498297.359787</v>
      </c>
      <c r="I44" t="n">
        <v>2541029.09608753</v>
      </c>
      <c r="J44" t="n">
        <v>6246951.57687481</v>
      </c>
      <c r="K44" t="n">
        <v>29825456.870428</v>
      </c>
      <c r="L44" t="n">
        <v>52825364.7062141</v>
      </c>
      <c r="M44" t="n">
        <v>20223690.9525745</v>
      </c>
      <c r="N44" t="n">
        <v>4414162.24165081</v>
      </c>
      <c r="O44" t="n">
        <v>16599127.036735</v>
      </c>
      <c r="P44" t="n">
        <v>10347333.3709615</v>
      </c>
      <c r="Q44" t="n">
        <v>68370377.049919</v>
      </c>
      <c r="R44" t="n">
        <v>3686793.68543799</v>
      </c>
      <c r="S44" t="n">
        <v>20368400.0767552</v>
      </c>
      <c r="T44" t="n">
        <v>93208630.6122895</v>
      </c>
      <c r="U44" t="n">
        <v>3072506.17910137</v>
      </c>
      <c r="V44" t="n">
        <v>290739.077630133</v>
      </c>
      <c r="W44" t="n">
        <v>13732451.8475028</v>
      </c>
      <c r="X44" t="n">
        <v>4369821.29971617</v>
      </c>
      <c r="Y44" t="n">
        <v>4208511.79978151</v>
      </c>
      <c r="Z44" t="n">
        <v>47884587.8082858</v>
      </c>
      <c r="AA44" t="n">
        <v>10311628.3967063</v>
      </c>
      <c r="AB44" t="n">
        <v>40351958.731974</v>
      </c>
      <c r="AC44" t="n">
        <v>13655497.9731368</v>
      </c>
      <c r="AD44" t="n">
        <v>12863122.7175818</v>
      </c>
      <c r="AE44" t="n">
        <v>5528994.59558456</v>
      </c>
      <c r="AF44" t="n">
        <v>32428642.7530987</v>
      </c>
      <c r="AG44" t="n">
        <v>2877638.60690545</v>
      </c>
      <c r="AH44" t="n">
        <v>645432.58243394</v>
      </c>
      <c r="AI44" t="n">
        <v>1200820.93645509</v>
      </c>
      <c r="AJ44" t="n">
        <v>27019872.9230304</v>
      </c>
      <c r="AK44" t="n">
        <v>2595084.23676891</v>
      </c>
      <c r="AL44" t="n">
        <v>1338492.84871177</v>
      </c>
      <c r="AM44" t="n">
        <v>17267349.1208477</v>
      </c>
      <c r="AN44" t="n">
        <v>6800272.83159396</v>
      </c>
      <c r="AO44" t="n">
        <v>3248174.86317396</v>
      </c>
      <c r="AP44" t="n">
        <v>1755516.67420256</v>
      </c>
      <c r="AQ44" t="n">
        <v>14385599.7467126</v>
      </c>
      <c r="AR44" t="n">
        <v>2959355.00355936</v>
      </c>
      <c r="AS44" t="n">
        <v>1254604.37380326</v>
      </c>
      <c r="AT44" t="n">
        <v>3863609.75989458</v>
      </c>
      <c r="AU44" t="n">
        <v>4799032.99221912</v>
      </c>
      <c r="AV44" t="n">
        <v>7067.13079162467</v>
      </c>
      <c r="AW44" t="n">
        <v>983793.658647063</v>
      </c>
      <c r="AX44" t="n">
        <v>3884591.92914496</v>
      </c>
      <c r="AY44" t="n">
        <v>8039267.21997686</v>
      </c>
      <c r="AZ44" t="n">
        <v>798504.606005353</v>
      </c>
      <c r="BA44" t="n">
        <v>2884344.96821806</v>
      </c>
      <c r="BB44" t="n">
        <v>25436763.9271251</v>
      </c>
      <c r="BC44" t="n">
        <v>2832354.57870942</v>
      </c>
      <c r="BD44" t="n">
        <v>11672992.1188899</v>
      </c>
      <c r="BE44" t="n">
        <v>3915853.72918834</v>
      </c>
      <c r="BF44" t="n">
        <v>6021458.78541379</v>
      </c>
      <c r="BG44" t="n">
        <v>12714344.64258</v>
      </c>
      <c r="BH44" t="n">
        <v>12219125.7862683</v>
      </c>
      <c r="BI44" t="n">
        <v>5532276.48633158</v>
      </c>
      <c r="BJ44" t="n">
        <v>8160112.66825017</v>
      </c>
      <c r="BK44" t="n">
        <v>924692.192353417</v>
      </c>
      <c r="BL44" t="n">
        <v>4458988.25678927</v>
      </c>
      <c r="BM44" t="n">
        <v>2861168.57593421</v>
      </c>
      <c r="BN44" t="n">
        <v>19963195.0121923</v>
      </c>
      <c r="BO44" t="n">
        <v>12358654.7797016</v>
      </c>
      <c r="BP44" t="n">
        <v>29220015.6933425</v>
      </c>
      <c r="BQ44" t="n">
        <v>2659309.06982618</v>
      </c>
      <c r="BR44" t="n">
        <v>3549381.74814501</v>
      </c>
      <c r="BS44" t="n">
        <v>40449175.8481857</v>
      </c>
      <c r="BT44" t="n">
        <v>6559348.64195676</v>
      </c>
      <c r="BU44" t="n">
        <v>654998166.871914</v>
      </c>
      <c r="BV44" t="n">
        <v>31317.9882675401</v>
      </c>
      <c r="BW44" t="n">
        <v>58892068.9094736</v>
      </c>
      <c r="BX44" t="n">
        <v>2264598.88935033</v>
      </c>
      <c r="BY44" t="n">
        <v>4962366.23445385</v>
      </c>
      <c r="BZ44" t="n">
        <v>7928670.69639891</v>
      </c>
      <c r="CA44" t="n">
        <v>172139322.512534</v>
      </c>
      <c r="CB44" t="n">
        <v>0</v>
      </c>
      <c r="CC44" t="n">
        <v>0</v>
      </c>
      <c r="CD44" t="n">
        <v>0</v>
      </c>
      <c r="CE44" t="n">
        <v>7746477.39792836</v>
      </c>
      <c r="CF44" t="n">
        <v>347417.77421012</v>
      </c>
      <c r="CG44" t="n">
        <v>0</v>
      </c>
      <c r="CH44" t="n">
        <v>0</v>
      </c>
      <c r="CI44" t="n">
        <v>0</v>
      </c>
      <c r="CJ44" t="n">
        <v>431924.800369339</v>
      </c>
      <c r="CK44" t="n">
        <v>0</v>
      </c>
      <c r="CL44" t="n">
        <v>0</v>
      </c>
      <c r="CM44" t="n">
        <v>4490782.4916164</v>
      </c>
      <c r="CN44" t="n">
        <v>413151.989228709</v>
      </c>
    </row>
    <row r="45">
      <c r="A45" t="s">
        <v>156</v>
      </c>
      <c r="B45" t="n">
        <v>0</v>
      </c>
      <c r="C45" t="n">
        <v>1300.94986346553</v>
      </c>
      <c r="D45" t="n">
        <v>0</v>
      </c>
      <c r="E45" t="n">
        <v>13724.5667342011</v>
      </c>
      <c r="F45" t="n">
        <v>13963.9309069816</v>
      </c>
      <c r="G45" t="n">
        <v>14797973.4361225</v>
      </c>
      <c r="H45" t="n">
        <v>5035365.32001901</v>
      </c>
      <c r="I45" t="n">
        <v>142689.55031676</v>
      </c>
      <c r="J45" t="n">
        <v>384871.176568618</v>
      </c>
      <c r="K45" t="n">
        <v>701380.445514443</v>
      </c>
      <c r="L45" t="n">
        <v>4926402.73576705</v>
      </c>
      <c r="M45" t="n">
        <v>1407392.68208809</v>
      </c>
      <c r="N45" t="n">
        <v>170437.185993872</v>
      </c>
      <c r="O45" t="n">
        <v>321590.757744488</v>
      </c>
      <c r="P45" t="n">
        <v>350792.247537388</v>
      </c>
      <c r="Q45" t="n">
        <v>2895086.20144988</v>
      </c>
      <c r="R45" t="n">
        <v>298262.243576186</v>
      </c>
      <c r="S45" t="n">
        <v>2493851.33700357</v>
      </c>
      <c r="T45" t="n">
        <v>1366185.33877931</v>
      </c>
      <c r="U45" t="n">
        <v>69073.030620632</v>
      </c>
      <c r="V45" t="n">
        <v>4158.4364309194</v>
      </c>
      <c r="W45" t="n">
        <v>586877.351876612</v>
      </c>
      <c r="X45" t="n">
        <v>949515.802676712</v>
      </c>
      <c r="Y45" t="n">
        <v>65292.4557931037</v>
      </c>
      <c r="Z45" t="n">
        <v>1598557.25993937</v>
      </c>
      <c r="AA45" t="n">
        <v>1158312.99160227</v>
      </c>
      <c r="AB45" t="n">
        <v>18213130.2475647</v>
      </c>
      <c r="AC45" t="n">
        <v>1523365.86715568</v>
      </c>
      <c r="AD45" t="n">
        <v>106733.372054791</v>
      </c>
      <c r="AE45" t="n">
        <v>307465.079685122</v>
      </c>
      <c r="AF45" t="n">
        <v>1636936.84878545</v>
      </c>
      <c r="AG45" t="n">
        <v>3031.88075030311</v>
      </c>
      <c r="AH45" t="n">
        <v>964041.051400857</v>
      </c>
      <c r="AI45" t="n">
        <v>0</v>
      </c>
      <c r="AJ45" t="n">
        <v>0</v>
      </c>
      <c r="AK45" t="n">
        <v>0</v>
      </c>
      <c r="AL45" t="n">
        <v>84062.813230872</v>
      </c>
      <c r="AM45" t="n">
        <v>1552534.84060467</v>
      </c>
      <c r="AN45" t="n">
        <v>65340.0572441052</v>
      </c>
      <c r="AO45" t="n">
        <v>2087062.97924746</v>
      </c>
      <c r="AP45" t="n">
        <v>2877757.0726749</v>
      </c>
      <c r="AQ45" t="n">
        <v>12382294.3602974</v>
      </c>
      <c r="AR45" t="n">
        <v>8283724.88304695</v>
      </c>
      <c r="AS45" t="n">
        <v>43571256.9704455</v>
      </c>
      <c r="AT45" t="n">
        <v>72573405.7269828</v>
      </c>
      <c r="AU45" t="n">
        <v>44755569.6336853</v>
      </c>
      <c r="AV45" t="n">
        <v>103703.703703704</v>
      </c>
      <c r="AW45" t="n">
        <v>97057.9384900882</v>
      </c>
      <c r="AX45" t="n">
        <v>58075506.7174781</v>
      </c>
      <c r="AY45" t="n">
        <v>25488922.5699076</v>
      </c>
      <c r="AZ45" t="n">
        <v>7400807.19374373</v>
      </c>
      <c r="BA45" t="n">
        <v>26359561.1702526</v>
      </c>
      <c r="BB45" t="n">
        <v>59859132.8155557</v>
      </c>
      <c r="BC45" t="n">
        <v>4444417.40511167</v>
      </c>
      <c r="BD45" t="n">
        <v>39081020.8588957</v>
      </c>
      <c r="BE45" t="n">
        <v>3584734.42744489</v>
      </c>
      <c r="BF45" t="n">
        <v>13046379.8519308</v>
      </c>
      <c r="BG45" t="n">
        <v>34755068.9323747</v>
      </c>
      <c r="BH45" t="n">
        <v>43488066.0301883</v>
      </c>
      <c r="BI45" t="n">
        <v>14894025.5220418</v>
      </c>
      <c r="BJ45" t="n">
        <v>5267559.76692262</v>
      </c>
      <c r="BK45" t="n">
        <v>22428322.740892</v>
      </c>
      <c r="BL45" t="n">
        <v>1148155.93072966</v>
      </c>
      <c r="BM45" t="n">
        <v>1136834.97467425</v>
      </c>
      <c r="BN45" t="n">
        <v>15217675.0676279</v>
      </c>
      <c r="BO45" t="n">
        <v>4227651.80051228</v>
      </c>
      <c r="BP45" t="n">
        <v>481523.181797662</v>
      </c>
      <c r="BQ45" t="n">
        <v>46387.6477402771</v>
      </c>
      <c r="BR45" t="n">
        <v>127478.180718944</v>
      </c>
      <c r="BS45" t="n">
        <v>224996936.295072</v>
      </c>
      <c r="BT45" t="n">
        <v>7532120.64670177</v>
      </c>
      <c r="BU45" t="n">
        <v>848776076.304319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155247.560026168</v>
      </c>
      <c r="C46" t="n">
        <v>1610.48751723158</v>
      </c>
      <c r="D46" t="n">
        <v>0</v>
      </c>
      <c r="E46" t="n">
        <v>48931.432942676</v>
      </c>
      <c r="F46" t="n">
        <v>1108.10240136977</v>
      </c>
      <c r="G46" t="n">
        <v>25204139.516735</v>
      </c>
      <c r="H46" t="n">
        <v>981793.088419377</v>
      </c>
      <c r="I46" t="n">
        <v>7175.99861794665</v>
      </c>
      <c r="J46" t="n">
        <v>9194.54028834227</v>
      </c>
      <c r="K46" t="n">
        <v>32687.4851799485</v>
      </c>
      <c r="L46" t="n">
        <v>122583.955458462</v>
      </c>
      <c r="M46" t="n">
        <v>39823.0055482357</v>
      </c>
      <c r="N46" t="n">
        <v>5274.74132984681</v>
      </c>
      <c r="O46" t="n">
        <v>39810.7502486598</v>
      </c>
      <c r="P46" t="n">
        <v>4902.90118714901</v>
      </c>
      <c r="Q46" t="n">
        <v>56588.2099689058</v>
      </c>
      <c r="R46" t="n">
        <v>7692.25807027772</v>
      </c>
      <c r="S46" t="n">
        <v>116628.253341334</v>
      </c>
      <c r="T46" t="n">
        <v>80390.9990287049</v>
      </c>
      <c r="U46" t="n">
        <v>15201.3720252818</v>
      </c>
      <c r="V46" t="n">
        <v>0</v>
      </c>
      <c r="W46" t="n">
        <v>57723.0521375287</v>
      </c>
      <c r="X46" t="n">
        <v>27477.7254643835</v>
      </c>
      <c r="Y46" t="n">
        <v>6143977.04485436</v>
      </c>
      <c r="Z46" t="n">
        <v>1332141.09404233</v>
      </c>
      <c r="AA46" t="n">
        <v>35625.1618284899</v>
      </c>
      <c r="AB46" t="n">
        <v>264085.066032253</v>
      </c>
      <c r="AC46" t="n">
        <v>49873.0159128756</v>
      </c>
      <c r="AD46" t="n">
        <v>39638.5982719684</v>
      </c>
      <c r="AE46" t="n">
        <v>13124.8576911401</v>
      </c>
      <c r="AF46" t="n">
        <v>92480.7562638627</v>
      </c>
      <c r="AG46" t="n">
        <v>413609.507608395</v>
      </c>
      <c r="AH46" t="n">
        <v>71453.0105894267</v>
      </c>
      <c r="AI46" t="n">
        <v>206948.989298874</v>
      </c>
      <c r="AJ46" t="n">
        <v>437979.740885476</v>
      </c>
      <c r="AK46" t="n">
        <v>215708.564231603</v>
      </c>
      <c r="AL46" t="n">
        <v>26016.0124485989</v>
      </c>
      <c r="AM46" t="n">
        <v>451043.146890222</v>
      </c>
      <c r="AN46" t="n">
        <v>199520.157402582</v>
      </c>
      <c r="AO46" t="n">
        <v>16404.0770133688</v>
      </c>
      <c r="AP46" t="n">
        <v>9076.35077956007</v>
      </c>
      <c r="AQ46" t="n">
        <v>47984.6783145443</v>
      </c>
      <c r="AR46" t="n">
        <v>18451.3425140931</v>
      </c>
      <c r="AS46" t="n">
        <v>216218.004905047</v>
      </c>
      <c r="AT46" t="n">
        <v>639612.41717276</v>
      </c>
      <c r="AU46" t="n">
        <v>17786.3093345709</v>
      </c>
      <c r="AV46" t="n">
        <v>1580.0386139931</v>
      </c>
      <c r="AW46" t="n">
        <v>16020.1508939661</v>
      </c>
      <c r="AX46" t="n">
        <v>202700.331589558</v>
      </c>
      <c r="AY46" t="n">
        <v>209089.814941227</v>
      </c>
      <c r="AZ46" t="n">
        <v>2827.68405563297</v>
      </c>
      <c r="BA46" t="n">
        <v>64140.2364795374</v>
      </c>
      <c r="BB46" t="n">
        <v>92723.5099200258</v>
      </c>
      <c r="BC46" t="n">
        <v>66943.1081474627</v>
      </c>
      <c r="BD46" t="n">
        <v>352597.433421151</v>
      </c>
      <c r="BE46" t="n">
        <v>96238.3575764175</v>
      </c>
      <c r="BF46" t="n">
        <v>166119.75373188</v>
      </c>
      <c r="BG46" t="n">
        <v>68510.2123441248</v>
      </c>
      <c r="BH46" t="n">
        <v>91971.8902766434</v>
      </c>
      <c r="BI46" t="n">
        <v>81104.6541850511</v>
      </c>
      <c r="BJ46" t="n">
        <v>70708.3482284047</v>
      </c>
      <c r="BK46" t="n">
        <v>11222.6108746822</v>
      </c>
      <c r="BL46" t="n">
        <v>49981.1520885991</v>
      </c>
      <c r="BM46" t="n">
        <v>35976.7149641993</v>
      </c>
      <c r="BN46" t="n">
        <v>206367.969775535</v>
      </c>
      <c r="BO46" t="n">
        <v>138969.855286041</v>
      </c>
      <c r="BP46" t="n">
        <v>547987.225507032</v>
      </c>
      <c r="BQ46" t="n">
        <v>34454.8532133798</v>
      </c>
      <c r="BR46" t="n">
        <v>760490.648033495</v>
      </c>
      <c r="BS46" t="n">
        <v>4401270.29822968</v>
      </c>
      <c r="BT46" t="n">
        <v>12147276.9575618</v>
      </c>
      <c r="BU46" t="n">
        <v>12421780.0471667</v>
      </c>
      <c r="BV46" t="n">
        <v>0</v>
      </c>
      <c r="BW46" t="n">
        <v>0</v>
      </c>
      <c r="BX46" t="n">
        <v>0</v>
      </c>
      <c r="BY46" t="n">
        <v>0</v>
      </c>
      <c r="BZ46" t="n">
        <v>40857912.4713406</v>
      </c>
      <c r="CA46" t="n">
        <v>186622394.128589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48135.1449482247</v>
      </c>
      <c r="D47" t="n">
        <v>0</v>
      </c>
      <c r="E47" t="n">
        <v>1452059.16047848</v>
      </c>
      <c r="F47" t="n">
        <v>716.099020870851</v>
      </c>
      <c r="G47" t="n">
        <v>120395299.087236</v>
      </c>
      <c r="H47" t="n">
        <v>0</v>
      </c>
      <c r="I47" t="n">
        <v>1453649.79385199</v>
      </c>
      <c r="J47" t="n">
        <v>2832516.81702693</v>
      </c>
      <c r="K47" t="n">
        <v>1105705.64351689</v>
      </c>
      <c r="L47" t="n">
        <v>2203265.54514205</v>
      </c>
      <c r="M47" t="n">
        <v>191003.292569097</v>
      </c>
      <c r="N47" t="n">
        <v>0</v>
      </c>
      <c r="O47" t="n">
        <v>91883.0736412823</v>
      </c>
      <c r="P47" t="n">
        <v>31118.6671202522</v>
      </c>
      <c r="Q47" t="n">
        <v>0</v>
      </c>
      <c r="R47" t="n">
        <v>1491311.21788093</v>
      </c>
      <c r="S47" t="n">
        <v>4959993.2147071</v>
      </c>
      <c r="T47" t="n">
        <v>3112206.96008918</v>
      </c>
      <c r="U47" t="n">
        <v>437462.527264003</v>
      </c>
      <c r="V47" t="n">
        <v>0</v>
      </c>
      <c r="W47" t="n">
        <v>4542269.91520939</v>
      </c>
      <c r="X47" t="n">
        <v>4315980.92125778</v>
      </c>
      <c r="Y47" t="n">
        <v>1160029.29792414</v>
      </c>
      <c r="Z47" t="n">
        <v>2443323.29161465</v>
      </c>
      <c r="AA47" t="n">
        <v>3849052.48762247</v>
      </c>
      <c r="AB47" t="n">
        <v>715840246.392635</v>
      </c>
      <c r="AC47" t="n">
        <v>23895441.4534007</v>
      </c>
      <c r="AD47" t="n">
        <v>28657910.3967113</v>
      </c>
      <c r="AE47" t="n">
        <v>5428348.99306146</v>
      </c>
      <c r="AF47" t="n">
        <v>141897156.636999</v>
      </c>
      <c r="AG47" t="n">
        <v>85483877.7547962</v>
      </c>
      <c r="AH47" t="n">
        <v>3834672.84458494</v>
      </c>
      <c r="AI47" t="n">
        <v>42089541.8519235</v>
      </c>
      <c r="AJ47" t="n">
        <v>251105618.763599</v>
      </c>
      <c r="AK47" t="n">
        <v>20997018.5512367</v>
      </c>
      <c r="AL47" t="n">
        <v>19208352.8232543</v>
      </c>
      <c r="AM47" t="n">
        <v>258295131.6895</v>
      </c>
      <c r="AN47" t="n">
        <v>61844364.1815456</v>
      </c>
      <c r="AO47" t="n">
        <v>10716902.7585167</v>
      </c>
      <c r="AP47" t="n">
        <v>19649398.6108757</v>
      </c>
      <c r="AQ47" t="n">
        <v>2713337.54677821</v>
      </c>
      <c r="AR47" t="n">
        <v>24616134.7043623</v>
      </c>
      <c r="AS47" t="n">
        <v>10442077.1015378</v>
      </c>
      <c r="AT47" t="n">
        <v>176703922.158908</v>
      </c>
      <c r="AU47" t="n">
        <v>2442519.04902937</v>
      </c>
      <c r="AV47" t="n">
        <v>0</v>
      </c>
      <c r="AW47" t="n">
        <v>0</v>
      </c>
      <c r="AX47" t="n">
        <v>0</v>
      </c>
      <c r="AY47" t="n">
        <v>108967703.115127</v>
      </c>
      <c r="AZ47" t="n">
        <v>7537859.17881306</v>
      </c>
      <c r="BA47" t="n">
        <v>10567571.8205067</v>
      </c>
      <c r="BB47" t="n">
        <v>110592712.745153</v>
      </c>
      <c r="BC47" t="n">
        <v>9598589.68100162</v>
      </c>
      <c r="BD47" t="n">
        <v>30900502.0858896</v>
      </c>
      <c r="BE47" t="n">
        <v>24445297.4208893</v>
      </c>
      <c r="BF47" t="n">
        <v>9443093.98806419</v>
      </c>
      <c r="BG47" t="n">
        <v>30369178.4659882</v>
      </c>
      <c r="BH47" t="n">
        <v>63483609.7925223</v>
      </c>
      <c r="BI47" t="n">
        <v>8080336.42691415</v>
      </c>
      <c r="BJ47" t="n">
        <v>20737050.0462887</v>
      </c>
      <c r="BK47" t="n">
        <v>5267120.25564199</v>
      </c>
      <c r="BL47" t="n">
        <v>8037091.5151076</v>
      </c>
      <c r="BM47" t="n">
        <v>991525.241069275</v>
      </c>
      <c r="BN47" t="n">
        <v>11264413.6259593</v>
      </c>
      <c r="BO47" t="n">
        <v>13232311.2852192</v>
      </c>
      <c r="BP47" t="n">
        <v>33791.1004770289</v>
      </c>
      <c r="BQ47" t="n">
        <v>1689835.7391101</v>
      </c>
      <c r="BR47" t="n">
        <v>7806520.97164579</v>
      </c>
      <c r="BS47" t="n">
        <v>10678497.3091917</v>
      </c>
      <c r="BT47" t="n">
        <v>24445965.5308634</v>
      </c>
      <c r="BU47" t="n">
        <v>273695136.015056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93993241.5881761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749975.974254909</v>
      </c>
      <c r="C48" t="n">
        <v>0</v>
      </c>
      <c r="D48" t="n">
        <v>0</v>
      </c>
      <c r="E48" t="n">
        <v>170840.896863602</v>
      </c>
      <c r="F48" t="n">
        <v>0</v>
      </c>
      <c r="G48" t="n">
        <v>4061783.27725073</v>
      </c>
      <c r="H48" t="n">
        <v>0</v>
      </c>
      <c r="I48" t="n">
        <v>1111996.33217469</v>
      </c>
      <c r="J48" t="n">
        <v>2451435.83080518</v>
      </c>
      <c r="K48" t="n">
        <v>241062.517432814</v>
      </c>
      <c r="L48" t="n">
        <v>6246963.45157588</v>
      </c>
      <c r="M48" t="n">
        <v>1860006.91508954</v>
      </c>
      <c r="N48" t="n">
        <v>1310948.01931619</v>
      </c>
      <c r="O48" t="n">
        <v>816959.78415238</v>
      </c>
      <c r="P48" t="n">
        <v>107799.483553581</v>
      </c>
      <c r="Q48" t="n">
        <v>2677329.75220948</v>
      </c>
      <c r="R48" t="n">
        <v>263089.134362229</v>
      </c>
      <c r="S48" t="n">
        <v>5502331.64259358</v>
      </c>
      <c r="T48" t="n">
        <v>9620717.44118168</v>
      </c>
      <c r="U48" t="n">
        <v>2963512.13038536</v>
      </c>
      <c r="V48" t="n">
        <v>248253.310486278</v>
      </c>
      <c r="W48" t="n">
        <v>8724066.45434338</v>
      </c>
      <c r="X48" t="n">
        <v>3362352.2405112</v>
      </c>
      <c r="Y48" t="n">
        <v>600346.575983481</v>
      </c>
      <c r="Z48" t="n">
        <v>14691976.199957</v>
      </c>
      <c r="AA48" t="n">
        <v>9439902.23717779</v>
      </c>
      <c r="AB48" t="n">
        <v>135118600.172294</v>
      </c>
      <c r="AC48" t="n">
        <v>38597863.5648659</v>
      </c>
      <c r="AD48" t="n">
        <v>45943564.230216</v>
      </c>
      <c r="AE48" t="n">
        <v>18198157.2493919</v>
      </c>
      <c r="AF48" t="n">
        <v>109961080.318036</v>
      </c>
      <c r="AG48" t="n">
        <v>197687.270694696</v>
      </c>
      <c r="AH48" t="n">
        <v>1299.90540224749</v>
      </c>
      <c r="AI48" t="n">
        <v>4022829.49182723</v>
      </c>
      <c r="AJ48" t="n">
        <v>13644081.3734111</v>
      </c>
      <c r="AK48" t="n">
        <v>1991958.18813239</v>
      </c>
      <c r="AL48" t="n">
        <v>5249788.52497461</v>
      </c>
      <c r="AM48" t="n">
        <v>4130196.03063781</v>
      </c>
      <c r="AN48" t="n">
        <v>31851248.3338768</v>
      </c>
      <c r="AO48" t="n">
        <v>1500806.32655956</v>
      </c>
      <c r="AP48" t="n">
        <v>2211796.70411693</v>
      </c>
      <c r="AQ48" t="n">
        <v>3455559.36556796</v>
      </c>
      <c r="AR48" t="n">
        <v>3339812.78281708</v>
      </c>
      <c r="AS48" t="n">
        <v>0</v>
      </c>
      <c r="AT48" t="n">
        <v>0</v>
      </c>
      <c r="AU48" t="n">
        <v>273745.772387088</v>
      </c>
      <c r="AV48" t="n">
        <v>0</v>
      </c>
      <c r="AW48" t="n">
        <v>6848.97658226523</v>
      </c>
      <c r="AX48" t="n">
        <v>1408804.58909267</v>
      </c>
      <c r="AY48" t="n">
        <v>7779692.88366177</v>
      </c>
      <c r="AZ48" t="n">
        <v>860735.976157067</v>
      </c>
      <c r="BA48" t="n">
        <v>1137988.13084106</v>
      </c>
      <c r="BB48" t="n">
        <v>6712609.74909416</v>
      </c>
      <c r="BC48" t="n">
        <v>78704.1522562345</v>
      </c>
      <c r="BD48" t="n">
        <v>61115336.058618</v>
      </c>
      <c r="BE48" t="n">
        <v>1962724.66607918</v>
      </c>
      <c r="BF48" t="n">
        <v>1956994.15658564</v>
      </c>
      <c r="BG48" t="n">
        <v>4141558.51676199</v>
      </c>
      <c r="BH48" t="n">
        <v>8308735.81147082</v>
      </c>
      <c r="BI48" t="n">
        <v>1655109.07159522</v>
      </c>
      <c r="BJ48" t="n">
        <v>1686129.70172487</v>
      </c>
      <c r="BK48" t="n">
        <v>967260.630414365</v>
      </c>
      <c r="BL48" t="n">
        <v>662410.236753134</v>
      </c>
      <c r="BM48" t="n">
        <v>2127987.04797968</v>
      </c>
      <c r="BN48" t="n">
        <v>5182704.36821111</v>
      </c>
      <c r="BO48" t="n">
        <v>3600160.07364081</v>
      </c>
      <c r="BP48" t="n">
        <v>1559461.66263746</v>
      </c>
      <c r="BQ48" t="n">
        <v>3594175.74686016</v>
      </c>
      <c r="BR48" t="n">
        <v>0</v>
      </c>
      <c r="BS48" t="n">
        <v>32641546.1458227</v>
      </c>
      <c r="BT48" t="n">
        <v>349098.642933801</v>
      </c>
      <c r="BU48" t="n">
        <v>1654154.27750427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1792382.75011749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75295.581303785</v>
      </c>
      <c r="C49" t="n">
        <v>0</v>
      </c>
      <c r="D49" t="n">
        <v>0</v>
      </c>
      <c r="E49" t="n">
        <v>1303.22652782028</v>
      </c>
      <c r="F49" t="n">
        <v>424.985747555249</v>
      </c>
      <c r="G49" t="n">
        <v>1736405.38607252</v>
      </c>
      <c r="H49" t="n">
        <v>2918812.04681088</v>
      </c>
      <c r="I49" t="n">
        <v>21170.6144828772</v>
      </c>
      <c r="J49" t="n">
        <v>1602.88294862449</v>
      </c>
      <c r="K49" t="n">
        <v>50929.493012244</v>
      </c>
      <c r="L49" t="n">
        <v>893267.845826802</v>
      </c>
      <c r="M49" t="n">
        <v>176595.750872743</v>
      </c>
      <c r="N49" t="n">
        <v>141609.919725661</v>
      </c>
      <c r="O49" t="n">
        <v>21812.0654272794</v>
      </c>
      <c r="P49" t="n">
        <v>37607.7720548992</v>
      </c>
      <c r="Q49" t="n">
        <v>4702323.76429243</v>
      </c>
      <c r="R49" t="n">
        <v>23601.4291989174</v>
      </c>
      <c r="S49" t="n">
        <v>355208.286181169</v>
      </c>
      <c r="T49" t="n">
        <v>23269.4445735678</v>
      </c>
      <c r="U49" t="n">
        <v>0</v>
      </c>
      <c r="V49" t="n">
        <v>0</v>
      </c>
      <c r="W49" t="n">
        <v>26718.6064234829</v>
      </c>
      <c r="X49" t="n">
        <v>234186.97452036</v>
      </c>
      <c r="Y49" t="n">
        <v>5166.57842490466</v>
      </c>
      <c r="Z49" t="n">
        <v>203623.687692862</v>
      </c>
      <c r="AA49" t="n">
        <v>27326.3301527767</v>
      </c>
      <c r="AB49" t="n">
        <v>17485001.4877826</v>
      </c>
      <c r="AC49" t="n">
        <v>2313242.10135339</v>
      </c>
      <c r="AD49" t="n">
        <v>650325.791156814</v>
      </c>
      <c r="AE49" t="n">
        <v>1031912.64395667</v>
      </c>
      <c r="AF49" t="n">
        <v>4000665.98231488</v>
      </c>
      <c r="AG49" t="n">
        <v>25910.505952969</v>
      </c>
      <c r="AH49" t="n">
        <v>90375.110617454</v>
      </c>
      <c r="AI49" t="n">
        <v>0</v>
      </c>
      <c r="AJ49" t="n">
        <v>82531.7995170196</v>
      </c>
      <c r="AK49" t="n">
        <v>173732.533340335</v>
      </c>
      <c r="AL49" t="n">
        <v>0</v>
      </c>
      <c r="AM49" t="n">
        <v>1700041.09748093</v>
      </c>
      <c r="AN49" t="n">
        <v>625611.759254511</v>
      </c>
      <c r="AO49" t="n">
        <v>132822935.717153</v>
      </c>
      <c r="AP49" t="n">
        <v>565664.738121659</v>
      </c>
      <c r="AQ49" t="n">
        <v>5449438.56954193</v>
      </c>
      <c r="AR49" t="n">
        <v>6632917.89760161</v>
      </c>
      <c r="AS49" t="n">
        <v>2679463.54753393</v>
      </c>
      <c r="AT49" t="n">
        <v>17379114.0747218</v>
      </c>
      <c r="AU49" t="n">
        <v>9311356.66221788</v>
      </c>
      <c r="AV49" t="n">
        <v>14581.5240045179</v>
      </c>
      <c r="AW49" t="n">
        <v>0</v>
      </c>
      <c r="AX49" t="n">
        <v>2820778.07062654</v>
      </c>
      <c r="AY49" t="n">
        <v>8517289.91704697</v>
      </c>
      <c r="AZ49" t="n">
        <v>5812863.73462224</v>
      </c>
      <c r="BA49" t="n">
        <v>5263252.83006227</v>
      </c>
      <c r="BB49" t="n">
        <v>28034590.8942658</v>
      </c>
      <c r="BC49" t="n">
        <v>4035695.1139935</v>
      </c>
      <c r="BD49" t="n">
        <v>12658173.5411512</v>
      </c>
      <c r="BE49" t="n">
        <v>164043.925854366</v>
      </c>
      <c r="BF49" t="n">
        <v>7421174.33323137</v>
      </c>
      <c r="BG49" t="n">
        <v>11285295.916857</v>
      </c>
      <c r="BH49" t="n">
        <v>10867912.6988368</v>
      </c>
      <c r="BI49" t="n">
        <v>1233860.1930429</v>
      </c>
      <c r="BJ49" t="n">
        <v>7864355.90790058</v>
      </c>
      <c r="BK49" t="n">
        <v>219512.143441204</v>
      </c>
      <c r="BL49" t="n">
        <v>407342.445723436</v>
      </c>
      <c r="BM49" t="n">
        <v>523512.153307617</v>
      </c>
      <c r="BN49" t="n">
        <v>921502.101577982</v>
      </c>
      <c r="BO49" t="n">
        <v>2835027.1716274</v>
      </c>
      <c r="BP49" t="n">
        <v>240649.446711665</v>
      </c>
      <c r="BQ49" t="n">
        <v>3268971.4741659</v>
      </c>
      <c r="BR49" t="n">
        <v>80698.5750679217</v>
      </c>
      <c r="BS49" t="n">
        <v>53257889.0834236</v>
      </c>
      <c r="BT49" t="n">
        <v>1015694.43575845</v>
      </c>
      <c r="BU49" t="n">
        <v>722109264.240481</v>
      </c>
      <c r="BV49" t="n">
        <v>0</v>
      </c>
      <c r="BW49" t="n">
        <v>0</v>
      </c>
      <c r="BX49" t="n">
        <v>562797683.091486</v>
      </c>
      <c r="BY49" t="n">
        <v>0</v>
      </c>
      <c r="BZ49" t="n">
        <v>2715992.21285436</v>
      </c>
      <c r="CA49" t="n">
        <v>381640361.781443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44951288.9960312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87441.589875091</v>
      </c>
      <c r="AC50" t="n">
        <v>555486.931878002</v>
      </c>
      <c r="AD50" t="n">
        <v>669457.570532045</v>
      </c>
      <c r="AE50" t="n">
        <v>0</v>
      </c>
      <c r="AF50" t="n">
        <v>121182.71035174</v>
      </c>
      <c r="AG50" t="n">
        <v>3442.67676042639</v>
      </c>
      <c r="AH50" t="n">
        <v>0</v>
      </c>
      <c r="AI50" t="n">
        <v>0</v>
      </c>
      <c r="AJ50" t="n">
        <v>1658.69758600333</v>
      </c>
      <c r="AK50" t="n">
        <v>0</v>
      </c>
      <c r="AL50" t="n">
        <v>136360.948090462</v>
      </c>
      <c r="AM50" t="n">
        <v>18924.5123081623</v>
      </c>
      <c r="AN50" t="n">
        <v>0</v>
      </c>
      <c r="AO50" t="n">
        <v>128971.080705283</v>
      </c>
      <c r="AP50" t="n">
        <v>90691980.6071485</v>
      </c>
      <c r="AQ50" t="n">
        <v>132708914.503984</v>
      </c>
      <c r="AR50" t="n">
        <v>174824.285170126</v>
      </c>
      <c r="AS50" t="n">
        <v>62452.8205679989</v>
      </c>
      <c r="AT50" t="n">
        <v>193412.294835797</v>
      </c>
      <c r="AU50" t="n">
        <v>0</v>
      </c>
      <c r="AV50" t="n">
        <v>0</v>
      </c>
      <c r="AW50" t="n">
        <v>0</v>
      </c>
      <c r="AX50" t="n">
        <v>81632.3045756069</v>
      </c>
      <c r="AY50" t="n">
        <v>975542.274580451</v>
      </c>
      <c r="AZ50" t="n">
        <v>12968.4543145183</v>
      </c>
      <c r="BA50" t="n">
        <v>70038.7844023023</v>
      </c>
      <c r="BB50" t="n">
        <v>6271466.50250571</v>
      </c>
      <c r="BC50" t="n">
        <v>816885.989481194</v>
      </c>
      <c r="BD50" t="n">
        <v>107448.406770161</v>
      </c>
      <c r="BE50" t="n">
        <v>0</v>
      </c>
      <c r="BF50" t="n">
        <v>1302025.02115388</v>
      </c>
      <c r="BG50" t="n">
        <v>112215.956514058</v>
      </c>
      <c r="BH50" t="n">
        <v>31167.9089926206</v>
      </c>
      <c r="BI50" t="n">
        <v>1980275.5215466</v>
      </c>
      <c r="BJ50" t="n">
        <v>2627745.02477475</v>
      </c>
      <c r="BK50" t="n">
        <v>542637.1960902</v>
      </c>
      <c r="BL50" t="n">
        <v>79819.7163963875</v>
      </c>
      <c r="BM50" t="n">
        <v>593438.401851729</v>
      </c>
      <c r="BN50" t="n">
        <v>5595669.30214783</v>
      </c>
      <c r="BO50" t="n">
        <v>633475.456875517</v>
      </c>
      <c r="BP50" t="n">
        <v>27406.8064163686</v>
      </c>
      <c r="BQ50" t="n">
        <v>799766.738454861</v>
      </c>
      <c r="BR50" t="n">
        <v>59081.8253826499</v>
      </c>
      <c r="BS50" t="n">
        <v>679926.154666363</v>
      </c>
      <c r="BT50" t="n">
        <v>0</v>
      </c>
      <c r="BU50" t="n">
        <v>53894449.8916903</v>
      </c>
      <c r="BV50" t="n">
        <v>0</v>
      </c>
      <c r="BW50" t="n">
        <v>0</v>
      </c>
      <c r="BX50" t="n">
        <v>124755007.632464</v>
      </c>
      <c r="BY50" t="n">
        <v>0</v>
      </c>
      <c r="BZ50" t="n">
        <v>-1631116.65861823</v>
      </c>
      <c r="CA50" t="n">
        <v>369622031.134971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1462096.47005963</v>
      </c>
      <c r="C51" t="n">
        <v>6881.71337241291</v>
      </c>
      <c r="D51" t="n">
        <v>0</v>
      </c>
      <c r="E51" t="n">
        <v>325661.38944653</v>
      </c>
      <c r="F51" t="n">
        <v>47079.3342318913</v>
      </c>
      <c r="G51" t="n">
        <v>15232482.0180344</v>
      </c>
      <c r="H51" t="n">
        <v>37396745.9770349</v>
      </c>
      <c r="I51" t="n">
        <v>643596.299505685</v>
      </c>
      <c r="J51" t="n">
        <v>2219564.49442699</v>
      </c>
      <c r="K51" t="n">
        <v>1895598.21742742</v>
      </c>
      <c r="L51" t="n">
        <v>22112217.2709002</v>
      </c>
      <c r="M51" t="n">
        <v>8401955.1701814</v>
      </c>
      <c r="N51" t="n">
        <v>1781677.83549761</v>
      </c>
      <c r="O51" t="n">
        <v>2516990.09036883</v>
      </c>
      <c r="P51" t="n">
        <v>1034693.31594338</v>
      </c>
      <c r="Q51" t="n">
        <v>36155596.1422611</v>
      </c>
      <c r="R51" t="n">
        <v>943824.139020678</v>
      </c>
      <c r="S51" t="n">
        <v>9883437.72569593</v>
      </c>
      <c r="T51" t="n">
        <v>6898092.37548002</v>
      </c>
      <c r="U51" t="n">
        <v>545169.85753281</v>
      </c>
      <c r="V51" t="n">
        <v>53421.6095020691</v>
      </c>
      <c r="W51" t="n">
        <v>2114178.80189025</v>
      </c>
      <c r="X51" t="n">
        <v>4174721.09114807</v>
      </c>
      <c r="Y51" t="n">
        <v>103614.438673021</v>
      </c>
      <c r="Z51" t="n">
        <v>5440901.08623077</v>
      </c>
      <c r="AA51" t="n">
        <v>2490023.86514</v>
      </c>
      <c r="AB51" t="n">
        <v>104074121.743325</v>
      </c>
      <c r="AC51" t="n">
        <v>17857518.2620614</v>
      </c>
      <c r="AD51" t="n">
        <v>10404660.6664574</v>
      </c>
      <c r="AE51" t="n">
        <v>3525238.11186732</v>
      </c>
      <c r="AF51" t="n">
        <v>50110976.7494157</v>
      </c>
      <c r="AG51" t="n">
        <v>4488327.42985669</v>
      </c>
      <c r="AH51" t="n">
        <v>241288.819732941</v>
      </c>
      <c r="AI51" t="n">
        <v>2022869.75454238</v>
      </c>
      <c r="AJ51" t="n">
        <v>6065809.36542015</v>
      </c>
      <c r="AK51" t="n">
        <v>20910242.2028132</v>
      </c>
      <c r="AL51" t="n">
        <v>26807378.792956</v>
      </c>
      <c r="AM51" t="n">
        <v>8782193.47301695</v>
      </c>
      <c r="AN51" t="n">
        <v>2913194.64128175</v>
      </c>
      <c r="AO51" t="n">
        <v>14150557.6900992</v>
      </c>
      <c r="AP51" t="n">
        <v>14876362.0398983</v>
      </c>
      <c r="AQ51" t="n">
        <v>1527705754.25726</v>
      </c>
      <c r="AR51" t="n">
        <v>68260479.527106</v>
      </c>
      <c r="AS51" t="n">
        <v>63630781.6583053</v>
      </c>
      <c r="AT51" t="n">
        <v>139178047.812236</v>
      </c>
      <c r="AU51" t="n">
        <v>87619456.0941959</v>
      </c>
      <c r="AV51" t="n">
        <v>345115.43726687</v>
      </c>
      <c r="AW51" t="n">
        <v>158913.628739452</v>
      </c>
      <c r="AX51" t="n">
        <v>70677024.0340794</v>
      </c>
      <c r="AY51" t="n">
        <v>41733187.8386908</v>
      </c>
      <c r="AZ51" t="n">
        <v>30215805.4215504</v>
      </c>
      <c r="BA51" t="n">
        <v>19886767.563757</v>
      </c>
      <c r="BB51" t="n">
        <v>97194902.7042621</v>
      </c>
      <c r="BC51" t="n">
        <v>25118947.0978589</v>
      </c>
      <c r="BD51" t="n">
        <v>109963607.199399</v>
      </c>
      <c r="BE51" t="n">
        <v>11912687.218369</v>
      </c>
      <c r="BF51" t="n">
        <v>41238326.3868352</v>
      </c>
      <c r="BG51" t="n">
        <v>61581717.071303</v>
      </c>
      <c r="BH51" t="n">
        <v>26764764.8209088</v>
      </c>
      <c r="BI51" t="n">
        <v>21685081.7848336</v>
      </c>
      <c r="BJ51" t="n">
        <v>9531834.58496128</v>
      </c>
      <c r="BK51" t="n">
        <v>5788843.26066568</v>
      </c>
      <c r="BL51" t="n">
        <v>13538975.6041999</v>
      </c>
      <c r="BM51" t="n">
        <v>26644508.7968059</v>
      </c>
      <c r="BN51" t="n">
        <v>51874598.0534781</v>
      </c>
      <c r="BO51" t="n">
        <v>51874113.5278921</v>
      </c>
      <c r="BP51" t="n">
        <v>42477908.1057637</v>
      </c>
      <c r="BQ51" t="n">
        <v>45815867.9380736</v>
      </c>
      <c r="BR51" t="n">
        <v>9371797.77795427</v>
      </c>
      <c r="BS51" t="n">
        <v>707931379.104716</v>
      </c>
      <c r="BT51" t="n">
        <v>10524914.2209918</v>
      </c>
      <c r="BU51" t="n">
        <v>3906740829.78762</v>
      </c>
      <c r="BV51" t="n">
        <v>0</v>
      </c>
      <c r="BW51" t="n">
        <v>118483100.307242</v>
      </c>
      <c r="BX51" t="n">
        <v>527639329.847689</v>
      </c>
      <c r="BY51" t="n">
        <v>0</v>
      </c>
      <c r="BZ51" t="n">
        <v>0</v>
      </c>
      <c r="CA51" t="n">
        <v>231705587.731131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0</v>
      </c>
      <c r="E52" t="n">
        <v>15140.0547522251</v>
      </c>
      <c r="F52" t="n">
        <v>1431.79188833919</v>
      </c>
      <c r="G52" t="n">
        <v>38506104.5424553</v>
      </c>
      <c r="H52" t="n">
        <v>9151655.37139554</v>
      </c>
      <c r="I52" t="n">
        <v>743988.764109146</v>
      </c>
      <c r="J52" t="n">
        <v>2024132.26234851</v>
      </c>
      <c r="K52" t="n">
        <v>3026601.06108245</v>
      </c>
      <c r="L52" t="n">
        <v>25615832.6430096</v>
      </c>
      <c r="M52" t="n">
        <v>10202436.0837085</v>
      </c>
      <c r="N52" t="n">
        <v>818649.887319699</v>
      </c>
      <c r="O52" t="n">
        <v>5105983.13818581</v>
      </c>
      <c r="P52" t="n">
        <v>861323.281535201</v>
      </c>
      <c r="Q52" t="n">
        <v>54754664.8897269</v>
      </c>
      <c r="R52" t="n">
        <v>1651972.78378967</v>
      </c>
      <c r="S52" t="n">
        <v>11371029.6972187</v>
      </c>
      <c r="T52" t="n">
        <v>5842497.79877966</v>
      </c>
      <c r="U52" t="n">
        <v>516445.668646953</v>
      </c>
      <c r="V52" t="n">
        <v>45873.1823503586</v>
      </c>
      <c r="W52" t="n">
        <v>3596202.60205986</v>
      </c>
      <c r="X52" t="n">
        <v>2026873.02468259</v>
      </c>
      <c r="Y52" t="n">
        <v>159058.33575128</v>
      </c>
      <c r="Z52" t="n">
        <v>4308205.04140645</v>
      </c>
      <c r="AA52" t="n">
        <v>1789680.06292678</v>
      </c>
      <c r="AB52" t="n">
        <v>26746556.7625987</v>
      </c>
      <c r="AC52" t="n">
        <v>32595732.2881176</v>
      </c>
      <c r="AD52" t="n">
        <v>15237693.8129209</v>
      </c>
      <c r="AE52" t="n">
        <v>7678233.81501672</v>
      </c>
      <c r="AF52" t="n">
        <v>60390044.0479275</v>
      </c>
      <c r="AG52" t="n">
        <v>1374620.25842236</v>
      </c>
      <c r="AH52" t="n">
        <v>0</v>
      </c>
      <c r="AI52" t="n">
        <v>0</v>
      </c>
      <c r="AJ52" t="n">
        <v>513240.972896669</v>
      </c>
      <c r="AK52" t="n">
        <v>2652640.97551749</v>
      </c>
      <c r="AL52" t="n">
        <v>1217116.17620541</v>
      </c>
      <c r="AM52" t="n">
        <v>4519234.0741359</v>
      </c>
      <c r="AN52" t="n">
        <v>1339466.72735683</v>
      </c>
      <c r="AO52" t="n">
        <v>17696746.7915434</v>
      </c>
      <c r="AP52" t="n">
        <v>2375861.64572744</v>
      </c>
      <c r="AQ52" t="n">
        <v>45349030.8609603</v>
      </c>
      <c r="AR52" t="n">
        <v>54094843.4264496</v>
      </c>
      <c r="AS52" t="n">
        <v>106711537.609472</v>
      </c>
      <c r="AT52" t="n">
        <v>102835004.336557</v>
      </c>
      <c r="AU52" t="n">
        <v>50837537.4792203</v>
      </c>
      <c r="AV52" t="n">
        <v>701135.229704818</v>
      </c>
      <c r="AW52" t="n">
        <v>8922.33692652866</v>
      </c>
      <c r="AX52" t="n">
        <v>6222571.59124947</v>
      </c>
      <c r="AY52" t="n">
        <v>17630043.5367366</v>
      </c>
      <c r="AZ52" t="n">
        <v>27188442.3418838</v>
      </c>
      <c r="BA52" t="n">
        <v>26458509.3890924</v>
      </c>
      <c r="BB52" t="n">
        <v>123919808.28529</v>
      </c>
      <c r="BC52" t="n">
        <v>15109180.6183864</v>
      </c>
      <c r="BD52" t="n">
        <v>222481718.0854</v>
      </c>
      <c r="BE52" t="n">
        <v>13689692.9713333</v>
      </c>
      <c r="BF52" t="n">
        <v>67916169.151621</v>
      </c>
      <c r="BG52" t="n">
        <v>15667015.5812542</v>
      </c>
      <c r="BH52" t="n">
        <v>26254565.0566916</v>
      </c>
      <c r="BI52" t="n">
        <v>4372533.55448792</v>
      </c>
      <c r="BJ52" t="n">
        <v>7876126.8927843</v>
      </c>
      <c r="BK52" t="n">
        <v>5955355.20501156</v>
      </c>
      <c r="BL52" t="n">
        <v>10216081.3742282</v>
      </c>
      <c r="BM52" t="n">
        <v>5110623.34235319</v>
      </c>
      <c r="BN52" t="n">
        <v>75417411.8763786</v>
      </c>
      <c r="BO52" t="n">
        <v>51287219.5021853</v>
      </c>
      <c r="BP52" t="n">
        <v>8410433.03851548</v>
      </c>
      <c r="BQ52" t="n">
        <v>16433475.4334629</v>
      </c>
      <c r="BR52" t="n">
        <v>1921884.39898219</v>
      </c>
      <c r="BS52" t="n">
        <v>238919955.414717</v>
      </c>
      <c r="BT52" t="n">
        <v>12205304.6142899</v>
      </c>
      <c r="BU52" t="n">
        <v>556535309.201649</v>
      </c>
      <c r="BV52" t="n">
        <v>0</v>
      </c>
      <c r="BW52" t="n">
        <v>0</v>
      </c>
      <c r="BX52" t="n">
        <v>169447471.23819</v>
      </c>
      <c r="BY52" t="n">
        <v>0</v>
      </c>
      <c r="BZ52" t="n">
        <v>0</v>
      </c>
      <c r="CA52" t="n">
        <v>46398368.8407985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30729811.3661431</v>
      </c>
    </row>
    <row r="53">
      <c r="A53" t="s">
        <v>164</v>
      </c>
      <c r="B53" t="n">
        <v>1707416.86796866</v>
      </c>
      <c r="C53" t="n">
        <v>89113.1844188484</v>
      </c>
      <c r="D53" t="n">
        <v>0</v>
      </c>
      <c r="E53" t="n">
        <v>413015.924966923</v>
      </c>
      <c r="F53" t="n">
        <v>13520.2323472038</v>
      </c>
      <c r="G53" t="n">
        <v>18188093.6638219</v>
      </c>
      <c r="H53" t="n">
        <v>13515067.5989315</v>
      </c>
      <c r="I53" t="n">
        <v>317449.991992761</v>
      </c>
      <c r="J53" t="n">
        <v>703510.199499981</v>
      </c>
      <c r="K53" t="n">
        <v>1881414.48631698</v>
      </c>
      <c r="L53" t="n">
        <v>9779061.80901763</v>
      </c>
      <c r="M53" t="n">
        <v>4605513.43637478</v>
      </c>
      <c r="N53" t="n">
        <v>4537884.04662466</v>
      </c>
      <c r="O53" t="n">
        <v>5264034.05480396</v>
      </c>
      <c r="P53" t="n">
        <v>1903510.77497495</v>
      </c>
      <c r="Q53" t="n">
        <v>12343019.0625225</v>
      </c>
      <c r="R53" t="n">
        <v>627693.67405207</v>
      </c>
      <c r="S53" t="n">
        <v>8802510.05996288</v>
      </c>
      <c r="T53" t="n">
        <v>5435397.18328564</v>
      </c>
      <c r="U53" t="n">
        <v>601024.002809128</v>
      </c>
      <c r="V53" t="n">
        <v>344856.759120004</v>
      </c>
      <c r="W53" t="n">
        <v>1695377.63389485</v>
      </c>
      <c r="X53" t="n">
        <v>1518528.16444381</v>
      </c>
      <c r="Y53" t="n">
        <v>322032.344751686</v>
      </c>
      <c r="Z53" t="n">
        <v>11888133.3672215</v>
      </c>
      <c r="AA53" t="n">
        <v>2637099.01667234</v>
      </c>
      <c r="AB53" t="n">
        <v>86599749.1750309</v>
      </c>
      <c r="AC53" t="n">
        <v>10707116.4220246</v>
      </c>
      <c r="AD53" t="n">
        <v>8875297.14649764</v>
      </c>
      <c r="AE53" t="n">
        <v>5826227.09513966</v>
      </c>
      <c r="AF53" t="n">
        <v>24127644.7817691</v>
      </c>
      <c r="AG53" t="n">
        <v>983560.527879586</v>
      </c>
      <c r="AH53" t="n">
        <v>3969781.08498701</v>
      </c>
      <c r="AI53" t="n">
        <v>1769133.48054552</v>
      </c>
      <c r="AJ53" t="n">
        <v>1999953.54882471</v>
      </c>
      <c r="AK53" t="n">
        <v>19207940.9843771</v>
      </c>
      <c r="AL53" t="n">
        <v>15616640.1638395</v>
      </c>
      <c r="AM53" t="n">
        <v>3778104.57738821</v>
      </c>
      <c r="AN53" t="n">
        <v>768998.920075579</v>
      </c>
      <c r="AO53" t="n">
        <v>7986885.92427549</v>
      </c>
      <c r="AP53" t="n">
        <v>5085704.7464519</v>
      </c>
      <c r="AQ53" t="n">
        <v>71561950.4695468</v>
      </c>
      <c r="AR53" t="n">
        <v>4253302.29416188</v>
      </c>
      <c r="AS53" t="n">
        <v>171708788.073768</v>
      </c>
      <c r="AT53" t="n">
        <v>466462367.4161</v>
      </c>
      <c r="AU53" t="n">
        <v>4485441.00480583</v>
      </c>
      <c r="AV53" t="n">
        <v>255101.692353729</v>
      </c>
      <c r="AW53" t="n">
        <v>394738275.901597</v>
      </c>
      <c r="AX53" t="n">
        <v>84688174.7165997</v>
      </c>
      <c r="AY53" t="n">
        <v>67907744.108622</v>
      </c>
      <c r="AZ53" t="n">
        <v>4827980.93610351</v>
      </c>
      <c r="BA53" t="n">
        <v>7530983.94049733</v>
      </c>
      <c r="BB53" t="n">
        <v>36779441.9313091</v>
      </c>
      <c r="BC53" t="n">
        <v>96011781.6566793</v>
      </c>
      <c r="BD53" t="n">
        <v>16749264.4935535</v>
      </c>
      <c r="BE53" t="n">
        <v>2980583.66129817</v>
      </c>
      <c r="BF53" t="n">
        <v>10308865.5994733</v>
      </c>
      <c r="BG53" t="n">
        <v>16273625.6076473</v>
      </c>
      <c r="BH53" t="n">
        <v>17479558.0654307</v>
      </c>
      <c r="BI53" t="n">
        <v>5113870.22483192</v>
      </c>
      <c r="BJ53" t="n">
        <v>3721401.25063787</v>
      </c>
      <c r="BK53" t="n">
        <v>1934461.33277247</v>
      </c>
      <c r="BL53" t="n">
        <v>5039857.25212392</v>
      </c>
      <c r="BM53" t="n">
        <v>10451839.8249214</v>
      </c>
      <c r="BN53" t="n">
        <v>19953411.0271195</v>
      </c>
      <c r="BO53" t="n">
        <v>26025789.4059056</v>
      </c>
      <c r="BP53" t="n">
        <v>0</v>
      </c>
      <c r="BQ53" t="n">
        <v>6514357.95298377</v>
      </c>
      <c r="BR53" t="n">
        <v>1824437.52877381</v>
      </c>
      <c r="BS53" t="n">
        <v>57672307.9739494</v>
      </c>
      <c r="BT53" t="n">
        <v>5466912.93781001</v>
      </c>
      <c r="BU53" t="n">
        <v>995275977.775177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708585903.033404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530933.690526491</v>
      </c>
      <c r="C54" t="n">
        <v>6361.74082649445</v>
      </c>
      <c r="D54" t="n">
        <v>0</v>
      </c>
      <c r="E54" t="n">
        <v>3722597.85580696</v>
      </c>
      <c r="F54" t="n">
        <v>576115.278641498</v>
      </c>
      <c r="G54" t="n">
        <v>6970344.5283699</v>
      </c>
      <c r="H54" t="n">
        <v>8235451.51098998</v>
      </c>
      <c r="I54" t="n">
        <v>45427.2415226658</v>
      </c>
      <c r="J54" t="n">
        <v>162340.436665872</v>
      </c>
      <c r="K54" t="n">
        <v>9334441.88038664</v>
      </c>
      <c r="L54" t="n">
        <v>38657743.7601403</v>
      </c>
      <c r="M54" t="n">
        <v>13535099.658676</v>
      </c>
      <c r="N54" t="n">
        <v>792935.46492206</v>
      </c>
      <c r="O54" t="n">
        <v>5878538.04684659</v>
      </c>
      <c r="P54" t="n">
        <v>3880400.74904948</v>
      </c>
      <c r="Q54" t="n">
        <v>28500649.0458391</v>
      </c>
      <c r="R54" t="n">
        <v>2623318.15422661</v>
      </c>
      <c r="S54" t="n">
        <v>17818421.0283114</v>
      </c>
      <c r="T54" t="n">
        <v>534260.045766963</v>
      </c>
      <c r="U54" t="n">
        <v>37530.2462752882</v>
      </c>
      <c r="V54" t="n">
        <v>3389.17683146913</v>
      </c>
      <c r="W54" t="n">
        <v>124492.23183916</v>
      </c>
      <c r="X54" t="n">
        <v>241205.316244812</v>
      </c>
      <c r="Y54" t="n">
        <v>31928.4926610915</v>
      </c>
      <c r="Z54" t="n">
        <v>254213.429431811</v>
      </c>
      <c r="AA54" t="n">
        <v>416315.482271634</v>
      </c>
      <c r="AB54" t="n">
        <v>26238600.6655431</v>
      </c>
      <c r="AC54" t="n">
        <v>841389.067054101</v>
      </c>
      <c r="AD54" t="n">
        <v>3436065.9276668</v>
      </c>
      <c r="AE54" t="n">
        <v>4977192.58531222</v>
      </c>
      <c r="AF54" t="n">
        <v>5238002.30001199</v>
      </c>
      <c r="AG54" t="n">
        <v>5139721.80266321</v>
      </c>
      <c r="AH54" t="n">
        <v>1023418.70338929</v>
      </c>
      <c r="AI54" t="n">
        <v>8511198.79329977</v>
      </c>
      <c r="AJ54" t="n">
        <v>1604264.65856247</v>
      </c>
      <c r="AK54" t="n">
        <v>35006740.1305407</v>
      </c>
      <c r="AL54" t="n">
        <v>3305714.93267658</v>
      </c>
      <c r="AM54" t="n">
        <v>11095451.8898583</v>
      </c>
      <c r="AN54" t="n">
        <v>204136.309111957</v>
      </c>
      <c r="AO54" t="n">
        <v>1876480.13700607</v>
      </c>
      <c r="AP54" t="n">
        <v>9501140.82438206</v>
      </c>
      <c r="AQ54" t="n">
        <v>2825682.21055631</v>
      </c>
      <c r="AR54" t="n">
        <v>584025.748492257</v>
      </c>
      <c r="AS54" t="n">
        <v>375744282.270248</v>
      </c>
      <c r="AT54" t="n">
        <v>1232718833.93003</v>
      </c>
      <c r="AU54" t="n">
        <v>75265384.6301278</v>
      </c>
      <c r="AV54" t="n">
        <v>30676134.1061344</v>
      </c>
      <c r="AW54" t="n">
        <v>26367.8044945718</v>
      </c>
      <c r="AX54" t="n">
        <v>41975847.5467051</v>
      </c>
      <c r="AY54" t="n">
        <v>50766459.3944042</v>
      </c>
      <c r="AZ54" t="n">
        <v>4300413.55169719</v>
      </c>
      <c r="BA54" t="n">
        <v>4293154.32554248</v>
      </c>
      <c r="BB54" t="n">
        <v>23095737.1667524</v>
      </c>
      <c r="BC54" t="n">
        <v>118611630.049043</v>
      </c>
      <c r="BD54" t="n">
        <v>10734139.7038731</v>
      </c>
      <c r="BE54" t="n">
        <v>422400.382160269</v>
      </c>
      <c r="BF54" t="n">
        <v>21346933.0750154</v>
      </c>
      <c r="BG54" t="n">
        <v>14805647.5664091</v>
      </c>
      <c r="BH54" t="n">
        <v>110683345.532856</v>
      </c>
      <c r="BI54" t="n">
        <v>5820223.1188543</v>
      </c>
      <c r="BJ54" t="n">
        <v>29043255.946171</v>
      </c>
      <c r="BK54" t="n">
        <v>6634949.17260015</v>
      </c>
      <c r="BL54" t="n">
        <v>781514.851288271</v>
      </c>
      <c r="BM54" t="n">
        <v>33424905.7108324</v>
      </c>
      <c r="BN54" t="n">
        <v>50658475.6994656</v>
      </c>
      <c r="BO54" t="n">
        <v>32450822.2837731</v>
      </c>
      <c r="BP54" t="n">
        <v>0</v>
      </c>
      <c r="BQ54" t="n">
        <v>21603.7162180538</v>
      </c>
      <c r="BR54" t="n">
        <v>84106.516434274</v>
      </c>
      <c r="BS54" t="n">
        <v>229310592.229528</v>
      </c>
      <c r="BT54" t="n">
        <v>15692006.2326469</v>
      </c>
      <c r="BU54" t="n">
        <v>3263874926.21198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2784037005.1009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1788906.62664414</v>
      </c>
      <c r="C55" t="n">
        <v>81952.525249186</v>
      </c>
      <c r="D55" t="n">
        <v>0</v>
      </c>
      <c r="E55" t="n">
        <v>489130.111515896</v>
      </c>
      <c r="F55" t="n">
        <v>85633.527817546</v>
      </c>
      <c r="G55" t="n">
        <v>6156712.28074943</v>
      </c>
      <c r="H55" t="n">
        <v>777005.205733461</v>
      </c>
      <c r="I55" t="n">
        <v>116395.318736703</v>
      </c>
      <c r="J55" t="n">
        <v>854594.176674418</v>
      </c>
      <c r="K55" t="n">
        <v>1330497.96186219</v>
      </c>
      <c r="L55" t="n">
        <v>5756229.94140137</v>
      </c>
      <c r="M55" t="n">
        <v>3669868.43375201</v>
      </c>
      <c r="N55" t="n">
        <v>495239.99635417</v>
      </c>
      <c r="O55" t="n">
        <v>4504818.82358172</v>
      </c>
      <c r="P55" t="n">
        <v>2330888.93264527</v>
      </c>
      <c r="Q55" t="n">
        <v>19476138.4613191</v>
      </c>
      <c r="R55" t="n">
        <v>624858.344319967</v>
      </c>
      <c r="S55" t="n">
        <v>4030222.56952642</v>
      </c>
      <c r="T55" t="n">
        <v>6262186.97776343</v>
      </c>
      <c r="U55" t="n">
        <v>507123.982925546</v>
      </c>
      <c r="V55" t="n">
        <v>60082.1351736907</v>
      </c>
      <c r="W55" t="n">
        <v>732554.024106383</v>
      </c>
      <c r="X55" t="n">
        <v>209049.037233777</v>
      </c>
      <c r="Y55" t="n">
        <v>101883.076429028</v>
      </c>
      <c r="Z55" t="n">
        <v>7400848.99792511</v>
      </c>
      <c r="AA55" t="n">
        <v>1216882.35841236</v>
      </c>
      <c r="AB55" t="n">
        <v>105292296.221012</v>
      </c>
      <c r="AC55" t="n">
        <v>9320586.9523585</v>
      </c>
      <c r="AD55" t="n">
        <v>5376825.6150981</v>
      </c>
      <c r="AE55" t="n">
        <v>3468083.24772093</v>
      </c>
      <c r="AF55" t="n">
        <v>19418056.3652928</v>
      </c>
      <c r="AG55" t="n">
        <v>593416.819197519</v>
      </c>
      <c r="AH55" t="n">
        <v>28981.1748706017</v>
      </c>
      <c r="AI55" t="n">
        <v>2015857.08321083</v>
      </c>
      <c r="AJ55" t="n">
        <v>14067748.2793187</v>
      </c>
      <c r="AK55" t="n">
        <v>39190562.9588584</v>
      </c>
      <c r="AL55" t="n">
        <v>2526286.17855839</v>
      </c>
      <c r="AM55" t="n">
        <v>7829816.79349395</v>
      </c>
      <c r="AN55" t="n">
        <v>5897163.02133159</v>
      </c>
      <c r="AO55" t="n">
        <v>866341.006014461</v>
      </c>
      <c r="AP55" t="n">
        <v>8153281.52230637</v>
      </c>
      <c r="AQ55" t="n">
        <v>8765704.05906836</v>
      </c>
      <c r="AR55" t="n">
        <v>1519603.48660196</v>
      </c>
      <c r="AS55" t="n">
        <v>10808714.5031544</v>
      </c>
      <c r="AT55" t="n">
        <v>99641799.254571</v>
      </c>
      <c r="AU55" t="n">
        <v>2175401208.78406</v>
      </c>
      <c r="AV55" t="n">
        <v>1198055.04710974</v>
      </c>
      <c r="AW55" t="n">
        <v>18541753.6121458</v>
      </c>
      <c r="AX55" t="n">
        <v>80229344.4218605</v>
      </c>
      <c r="AY55" t="n">
        <v>54466545.6945524</v>
      </c>
      <c r="AZ55" t="n">
        <v>7205587.83111345</v>
      </c>
      <c r="BA55" t="n">
        <v>5726779.74153515</v>
      </c>
      <c r="BB55" t="n">
        <v>33423208.9852006</v>
      </c>
      <c r="BC55" t="n">
        <v>1240332.41750159</v>
      </c>
      <c r="BD55" t="n">
        <v>20074403.5995797</v>
      </c>
      <c r="BE55" t="n">
        <v>4448524.9571029</v>
      </c>
      <c r="BF55" t="n">
        <v>12370215.1368415</v>
      </c>
      <c r="BG55" t="n">
        <v>35057211.3606929</v>
      </c>
      <c r="BH55" t="n">
        <v>42122861.3641346</v>
      </c>
      <c r="BI55" t="n">
        <v>14741641.4608432</v>
      </c>
      <c r="BJ55" t="n">
        <v>35736681.5889914</v>
      </c>
      <c r="BK55" t="n">
        <v>4910960.55318525</v>
      </c>
      <c r="BL55" t="n">
        <v>4377510.75456265</v>
      </c>
      <c r="BM55" t="n">
        <v>2871747.77695868</v>
      </c>
      <c r="BN55" t="n">
        <v>19589770.6422639</v>
      </c>
      <c r="BO55" t="n">
        <v>8645831.19775363</v>
      </c>
      <c r="BP55" t="n">
        <v>0</v>
      </c>
      <c r="BQ55" t="n">
        <v>1247248.24637522</v>
      </c>
      <c r="BR55" t="n">
        <v>4813333.52707871</v>
      </c>
      <c r="BS55" t="n">
        <v>9651262.09589412</v>
      </c>
      <c r="BT55" t="n">
        <v>17729833.079907</v>
      </c>
      <c r="BU55" t="n">
        <v>1178242447.93158</v>
      </c>
      <c r="BV55" t="n">
        <v>0</v>
      </c>
      <c r="BW55" t="n">
        <v>0</v>
      </c>
      <c r="BX55" t="n">
        <v>0</v>
      </c>
      <c r="BY55" t="n">
        <v>15125437.0484167</v>
      </c>
      <c r="BZ55" t="n">
        <v>0</v>
      </c>
      <c r="CA55" t="n">
        <v>685632372.387382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21194660.2305201</v>
      </c>
      <c r="AV56" t="n">
        <v>597275.090760193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216887.621155951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65914.6100631206</v>
      </c>
      <c r="BR56" t="n">
        <v>0</v>
      </c>
      <c r="BS56" t="n">
        <v>2249512.32146965</v>
      </c>
      <c r="BT56" t="n">
        <v>0</v>
      </c>
      <c r="BU56" t="n">
        <v>451046044.039178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27586589522.2459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8361399.33514904</v>
      </c>
      <c r="C58" t="n">
        <v>16912.3482250519</v>
      </c>
      <c r="D58" t="n">
        <v>0</v>
      </c>
      <c r="E58" t="n">
        <v>573686.889489607</v>
      </c>
      <c r="F58" t="n">
        <v>99358.7391458306</v>
      </c>
      <c r="G58" t="n">
        <v>122294278.568108</v>
      </c>
      <c r="H58" t="n">
        <v>138952307.077219</v>
      </c>
      <c r="I58" t="n">
        <v>1634241.25597164</v>
      </c>
      <c r="J58" t="n">
        <v>3706917.12168721</v>
      </c>
      <c r="K58" t="n">
        <v>3688435.98994066</v>
      </c>
      <c r="L58" t="n">
        <v>125115776.012898</v>
      </c>
      <c r="M58" t="n">
        <v>21191312.6702977</v>
      </c>
      <c r="N58" t="n">
        <v>22192341.9262854</v>
      </c>
      <c r="O58" t="n">
        <v>15826859.4347109</v>
      </c>
      <c r="P58" t="n">
        <v>4959183.95107292</v>
      </c>
      <c r="Q58" t="n">
        <v>89214366.8920476</v>
      </c>
      <c r="R58" t="n">
        <v>7506266.463334</v>
      </c>
      <c r="S58" t="n">
        <v>49211999.7168704</v>
      </c>
      <c r="T58" t="n">
        <v>32114545.0487942</v>
      </c>
      <c r="U58" t="n">
        <v>4198105.30549841</v>
      </c>
      <c r="V58" t="n">
        <v>627923.90106883</v>
      </c>
      <c r="W58" t="n">
        <v>12436976.2103167</v>
      </c>
      <c r="X58" t="n">
        <v>22517089.0349049</v>
      </c>
      <c r="Y58" t="n">
        <v>189348.121800001</v>
      </c>
      <c r="Z58" t="n">
        <v>59211600.6201933</v>
      </c>
      <c r="AA58" t="n">
        <v>20259685.6170932</v>
      </c>
      <c r="AB58" t="n">
        <v>1049984664.92699</v>
      </c>
      <c r="AC58" t="n">
        <v>248724099.764691</v>
      </c>
      <c r="AD58" t="n">
        <v>468826336.750668</v>
      </c>
      <c r="AE58" t="n">
        <v>192653378.033047</v>
      </c>
      <c r="AF58" t="n">
        <v>1183889857.03905</v>
      </c>
      <c r="AG58" t="n">
        <v>1194561.01561943</v>
      </c>
      <c r="AH58" t="n">
        <v>663161.997141991</v>
      </c>
      <c r="AI58" t="n">
        <v>10972060.0554159</v>
      </c>
      <c r="AJ58" t="n">
        <v>39015086.8751277</v>
      </c>
      <c r="AK58" t="n">
        <v>53999801.2367491</v>
      </c>
      <c r="AL58" t="n">
        <v>10549883.0604744</v>
      </c>
      <c r="AM58" t="n">
        <v>67306423.7256359</v>
      </c>
      <c r="AN58" t="n">
        <v>101908709.281723</v>
      </c>
      <c r="AO58" t="n">
        <v>64872874.2716084</v>
      </c>
      <c r="AP58" t="n">
        <v>71174080.9757747</v>
      </c>
      <c r="AQ58" t="n">
        <v>573913959.99354</v>
      </c>
      <c r="AR58" t="n">
        <v>71618390.9784813</v>
      </c>
      <c r="AS58" t="n">
        <v>246055527.240643</v>
      </c>
      <c r="AT58" t="n">
        <v>1164791238.5765</v>
      </c>
      <c r="AU58" t="n">
        <v>794680756.481263</v>
      </c>
      <c r="AV58" t="n">
        <v>324273.504273504</v>
      </c>
      <c r="AW58" t="n">
        <v>82936008.4397804</v>
      </c>
      <c r="AX58" t="n">
        <v>1486108051.87446</v>
      </c>
      <c r="AY58" t="n">
        <v>287518117.543084</v>
      </c>
      <c r="AZ58" t="n">
        <v>234221842.483482</v>
      </c>
      <c r="BA58" t="n">
        <v>95172911.8911209</v>
      </c>
      <c r="BB58" t="n">
        <v>772713368.721015</v>
      </c>
      <c r="BC58" t="n">
        <v>663029341.785385</v>
      </c>
      <c r="BD58" t="n">
        <v>462083392.392638</v>
      </c>
      <c r="BE58" t="n">
        <v>46356806.6520986</v>
      </c>
      <c r="BF58" t="n">
        <v>874057749.584689</v>
      </c>
      <c r="BG58" t="n">
        <v>717307543.31169</v>
      </c>
      <c r="BH58" t="n">
        <v>997727676.904673</v>
      </c>
      <c r="BI58" t="n">
        <v>620875580.046404</v>
      </c>
      <c r="BJ58" t="n">
        <v>202087074.552088</v>
      </c>
      <c r="BK58" t="n">
        <v>137371210.3851</v>
      </c>
      <c r="BL58" t="n">
        <v>251786810.479572</v>
      </c>
      <c r="BM58" t="n">
        <v>25754013.3736356</v>
      </c>
      <c r="BN58" t="n">
        <v>692094622.813567</v>
      </c>
      <c r="BO58" t="n">
        <v>756068948.6967</v>
      </c>
      <c r="BP58" t="n">
        <v>2441407.00946534</v>
      </c>
      <c r="BQ58" t="n">
        <v>83862240.307601</v>
      </c>
      <c r="BR58" t="n">
        <v>3806134.25289418</v>
      </c>
      <c r="BS58" t="n">
        <v>296340775.210104</v>
      </c>
      <c r="BT58" t="n">
        <v>17738366.9667888</v>
      </c>
      <c r="BU58" t="n">
        <v>80131326.1427927</v>
      </c>
      <c r="BV58" t="n">
        <v>274128066.306202</v>
      </c>
      <c r="BW58" t="n">
        <v>0</v>
      </c>
      <c r="BX58" t="n">
        <v>0</v>
      </c>
      <c r="BY58" t="n">
        <v>1700823002.97471</v>
      </c>
      <c r="BZ58" t="n">
        <v>0</v>
      </c>
      <c r="CA58" t="n">
        <v>24393390.0928735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1859134.45909472</v>
      </c>
      <c r="C59" t="n">
        <v>24083.7215089937</v>
      </c>
      <c r="D59" t="n">
        <v>0</v>
      </c>
      <c r="E59" t="n">
        <v>2539841.1024275</v>
      </c>
      <c r="F59" t="n">
        <v>182871.731827443</v>
      </c>
      <c r="G59" t="n">
        <v>11415975.0192197</v>
      </c>
      <c r="H59" t="n">
        <v>74532989.3666701</v>
      </c>
      <c r="I59" t="n">
        <v>182784.298312723</v>
      </c>
      <c r="J59" t="n">
        <v>818068.217894671</v>
      </c>
      <c r="K59" t="n">
        <v>1647580.6253139</v>
      </c>
      <c r="L59" t="n">
        <v>14403383.1568688</v>
      </c>
      <c r="M59" t="n">
        <v>4855259.85603001</v>
      </c>
      <c r="N59" t="n">
        <v>1279453.85000855</v>
      </c>
      <c r="O59" t="n">
        <v>2870399.41526597</v>
      </c>
      <c r="P59" t="n">
        <v>4964963.23424242</v>
      </c>
      <c r="Q59" t="n">
        <v>19871466.3553191</v>
      </c>
      <c r="R59" t="n">
        <v>497104.18424945</v>
      </c>
      <c r="S59" t="n">
        <v>6860959.86542369</v>
      </c>
      <c r="T59" t="n">
        <v>6829160.70988943</v>
      </c>
      <c r="U59" t="n">
        <v>192821.121249662</v>
      </c>
      <c r="V59" t="n">
        <v>2411207.94333045</v>
      </c>
      <c r="W59" t="n">
        <v>2256353.75402697</v>
      </c>
      <c r="X59" t="n">
        <v>1748814.61396995</v>
      </c>
      <c r="Y59" t="n">
        <v>407943.312087026</v>
      </c>
      <c r="Z59" t="n">
        <v>15376581.480566</v>
      </c>
      <c r="AA59" t="n">
        <v>2178565.06343249</v>
      </c>
      <c r="AB59" t="n">
        <v>89475205.6612996</v>
      </c>
      <c r="AC59" t="n">
        <v>3304565.48374508</v>
      </c>
      <c r="AD59" t="n">
        <v>6021766.98697803</v>
      </c>
      <c r="AE59" t="n">
        <v>9754073.3277362</v>
      </c>
      <c r="AF59" t="n">
        <v>21736260.0461504</v>
      </c>
      <c r="AG59" t="n">
        <v>13902563.8118783</v>
      </c>
      <c r="AH59" t="n">
        <v>6727030.3816926</v>
      </c>
      <c r="AI59" t="n">
        <v>29317847.7982601</v>
      </c>
      <c r="AJ59" t="n">
        <v>40352413.4554594</v>
      </c>
      <c r="AK59" t="n">
        <v>9717637.11862208</v>
      </c>
      <c r="AL59" t="n">
        <v>576629.730862944</v>
      </c>
      <c r="AM59" t="n">
        <v>7998161.13660991</v>
      </c>
      <c r="AN59" t="n">
        <v>16916429.9622118</v>
      </c>
      <c r="AO59" t="n">
        <v>4498291.41313027</v>
      </c>
      <c r="AP59" t="n">
        <v>8034761.89708024</v>
      </c>
      <c r="AQ59" t="n">
        <v>58751658.9731404</v>
      </c>
      <c r="AR59" t="n">
        <v>17764695.9442681</v>
      </c>
      <c r="AS59" t="n">
        <v>12389073.9683641</v>
      </c>
      <c r="AT59" t="n">
        <v>82510911.4291289</v>
      </c>
      <c r="AU59" t="n">
        <v>39564806.7869948</v>
      </c>
      <c r="AV59" t="n">
        <v>3955.64385995641</v>
      </c>
      <c r="AW59" t="n">
        <v>26079999.4331394</v>
      </c>
      <c r="AX59" t="n">
        <v>7399330.67376818</v>
      </c>
      <c r="AY59" t="n">
        <v>87983348.9340854</v>
      </c>
      <c r="AZ59" t="n">
        <v>7060260.09590704</v>
      </c>
      <c r="BA59" t="n">
        <v>10587296.4169157</v>
      </c>
      <c r="BB59" t="n">
        <v>66545170.5460049</v>
      </c>
      <c r="BC59" t="n">
        <v>96634008.2182325</v>
      </c>
      <c r="BD59" t="n">
        <v>35440643.7189137</v>
      </c>
      <c r="BE59" t="n">
        <v>11988388.7356455</v>
      </c>
      <c r="BF59" t="n">
        <v>12790700.7393889</v>
      </c>
      <c r="BG59" t="n">
        <v>18134964.9503349</v>
      </c>
      <c r="BH59" t="n">
        <v>16794150.2945558</v>
      </c>
      <c r="BI59" t="n">
        <v>3703566.04634546</v>
      </c>
      <c r="BJ59" t="n">
        <v>2423195.0519131</v>
      </c>
      <c r="BK59" t="n">
        <v>6365413.54276793</v>
      </c>
      <c r="BL59" t="n">
        <v>10060319.9845872</v>
      </c>
      <c r="BM59" t="n">
        <v>5829348.5416375</v>
      </c>
      <c r="BN59" t="n">
        <v>39453923.0277159</v>
      </c>
      <c r="BO59" t="n">
        <v>10864741.2513497</v>
      </c>
      <c r="BP59" t="n">
        <v>1089135.61835507</v>
      </c>
      <c r="BQ59" t="n">
        <v>698827.526539856</v>
      </c>
      <c r="BR59" t="n">
        <v>405361.913490615</v>
      </c>
      <c r="BS59" t="n">
        <v>36443178.0288463</v>
      </c>
      <c r="BT59" t="n">
        <v>1483171.12255223</v>
      </c>
      <c r="BU59" t="n">
        <v>492909086.315644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1928758114.75006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600645.778067951</v>
      </c>
      <c r="C60" t="n">
        <v>38846.5747711986</v>
      </c>
      <c r="D60" t="n">
        <v>0</v>
      </c>
      <c r="E60" t="n">
        <v>967170.002352298</v>
      </c>
      <c r="F60" t="n">
        <v>29995.3634823577</v>
      </c>
      <c r="G60" t="n">
        <v>64507031.1545572</v>
      </c>
      <c r="H60" t="n">
        <v>33542222.2066958</v>
      </c>
      <c r="I60" t="n">
        <v>600645.028653575</v>
      </c>
      <c r="J60" t="n">
        <v>1055142.46363421</v>
      </c>
      <c r="K60" t="n">
        <v>2365364.81693709</v>
      </c>
      <c r="L60" t="n">
        <v>29486345.3154708</v>
      </c>
      <c r="M60" t="n">
        <v>9999275.71875133</v>
      </c>
      <c r="N60" t="n">
        <v>14146319.3964146</v>
      </c>
      <c r="O60" t="n">
        <v>4115465.31190537</v>
      </c>
      <c r="P60" t="n">
        <v>4298762.40570618</v>
      </c>
      <c r="Q60" t="n">
        <v>54598576.0511618</v>
      </c>
      <c r="R60" t="n">
        <v>1142132.44815897</v>
      </c>
      <c r="S60" t="n">
        <v>30062525.7987565</v>
      </c>
      <c r="T60" t="n">
        <v>5280725.17952401</v>
      </c>
      <c r="U60" t="n">
        <v>733344.690581668</v>
      </c>
      <c r="V60" t="n">
        <v>209712.016963678</v>
      </c>
      <c r="W60" t="n">
        <v>3968963.30329584</v>
      </c>
      <c r="X60" t="n">
        <v>2569335.26616842</v>
      </c>
      <c r="Y60" t="n">
        <v>521349.076875808</v>
      </c>
      <c r="Z60" t="n">
        <v>35754609.6953977</v>
      </c>
      <c r="AA60" t="n">
        <v>5065182.44827861</v>
      </c>
      <c r="AB60" t="n">
        <v>136456441.900953</v>
      </c>
      <c r="AC60" t="n">
        <v>5246360.77061321</v>
      </c>
      <c r="AD60" t="n">
        <v>8215573.35413006</v>
      </c>
      <c r="AE60" t="n">
        <v>4699524.52722699</v>
      </c>
      <c r="AF60" t="n">
        <v>34350304.918345</v>
      </c>
      <c r="AG60" t="n">
        <v>953608.504078795</v>
      </c>
      <c r="AH60" t="n">
        <v>2196161.62471407</v>
      </c>
      <c r="AI60" t="n">
        <v>1832439.24759057</v>
      </c>
      <c r="AJ60" t="n">
        <v>804042.728700942</v>
      </c>
      <c r="AK60" t="n">
        <v>3353113.39795545</v>
      </c>
      <c r="AL60" t="n">
        <v>1520022.7379064</v>
      </c>
      <c r="AM60" t="n">
        <v>4162479.28923672</v>
      </c>
      <c r="AN60" t="n">
        <v>2485801.01399473</v>
      </c>
      <c r="AO60" t="n">
        <v>23702498.6182862</v>
      </c>
      <c r="AP60" t="n">
        <v>14023726.8100112</v>
      </c>
      <c r="AQ60" t="n">
        <v>46997722.3201224</v>
      </c>
      <c r="AR60" t="n">
        <v>24626924.1503929</v>
      </c>
      <c r="AS60" t="n">
        <v>34837843.0804072</v>
      </c>
      <c r="AT60" t="n">
        <v>305528991.900057</v>
      </c>
      <c r="AU60" t="n">
        <v>314498153.049483</v>
      </c>
      <c r="AV60" t="n">
        <v>642083.298977783</v>
      </c>
      <c r="AW60" t="n">
        <v>15950646.1134362</v>
      </c>
      <c r="AX60" t="n">
        <v>64179379.8265406</v>
      </c>
      <c r="AY60" t="n">
        <v>16336043.0655006</v>
      </c>
      <c r="AZ60" t="n">
        <v>19855692.2790599</v>
      </c>
      <c r="BA60" t="n">
        <v>30018558.6181428</v>
      </c>
      <c r="BB60" t="n">
        <v>125480651.197329</v>
      </c>
      <c r="BC60" t="n">
        <v>125938111.474142</v>
      </c>
      <c r="BD60" t="n">
        <v>64377238.5716236</v>
      </c>
      <c r="BE60" t="n">
        <v>4766919.77858728</v>
      </c>
      <c r="BF60" t="n">
        <v>7189469.78681083</v>
      </c>
      <c r="BG60" t="n">
        <v>44076782.3586007</v>
      </c>
      <c r="BH60" t="n">
        <v>151917368.590303</v>
      </c>
      <c r="BI60" t="n">
        <v>23562855.4131675</v>
      </c>
      <c r="BJ60" t="n">
        <v>8696231.52177173</v>
      </c>
      <c r="BK60" t="n">
        <v>13901981.4645019</v>
      </c>
      <c r="BL60" t="n">
        <v>16869965.3145354</v>
      </c>
      <c r="BM60" t="n">
        <v>7311026.54223446</v>
      </c>
      <c r="BN60" t="n">
        <v>18307251.3681886</v>
      </c>
      <c r="BO60" t="n">
        <v>36976035.1546523</v>
      </c>
      <c r="BP60" t="n">
        <v>0</v>
      </c>
      <c r="BQ60" t="n">
        <v>532070.693829267</v>
      </c>
      <c r="BR60" t="n">
        <v>342385.328011907</v>
      </c>
      <c r="BS60" t="n">
        <v>115558382.475836</v>
      </c>
      <c r="BT60" t="n">
        <v>6437276.26251377</v>
      </c>
      <c r="BU60" t="n">
        <v>1033142932.48038</v>
      </c>
      <c r="BV60" t="n">
        <v>0</v>
      </c>
      <c r="BW60" t="n">
        <v>0</v>
      </c>
      <c r="BX60" t="n">
        <v>0</v>
      </c>
      <c r="BY60" t="n">
        <v>218767789.475054</v>
      </c>
      <c r="BZ60" t="n">
        <v>0</v>
      </c>
      <c r="CA60" t="n">
        <v>183237282.304482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802387.671392747</v>
      </c>
      <c r="C61" t="n">
        <v>14609.1223028767</v>
      </c>
      <c r="D61" t="n">
        <v>0</v>
      </c>
      <c r="E61" t="n">
        <v>1166917.19083193</v>
      </c>
      <c r="F61" t="n">
        <v>9692.87005992737</v>
      </c>
      <c r="G61" t="n">
        <v>24878868.6200912</v>
      </c>
      <c r="H61" t="n">
        <v>31432833.0443676</v>
      </c>
      <c r="I61" t="n">
        <v>493579.151080421</v>
      </c>
      <c r="J61" t="n">
        <v>964042.24071439</v>
      </c>
      <c r="K61" t="n">
        <v>1965742.85828485</v>
      </c>
      <c r="L61" t="n">
        <v>29169847.6883002</v>
      </c>
      <c r="M61" t="n">
        <v>15441573.7671728</v>
      </c>
      <c r="N61" t="n">
        <v>2420904.0268558</v>
      </c>
      <c r="O61" t="n">
        <v>1989916.29381894</v>
      </c>
      <c r="P61" t="n">
        <v>1390990.95388822</v>
      </c>
      <c r="Q61" t="n">
        <v>112809358.300097</v>
      </c>
      <c r="R61" t="n">
        <v>1111469.20748902</v>
      </c>
      <c r="S61" t="n">
        <v>10312917.9208821</v>
      </c>
      <c r="T61" t="n">
        <v>6137658.56312198</v>
      </c>
      <c r="U61" t="n">
        <v>547887.683837737</v>
      </c>
      <c r="V61" t="n">
        <v>30019.8215070701</v>
      </c>
      <c r="W61" t="n">
        <v>1934555.85787161</v>
      </c>
      <c r="X61" t="n">
        <v>3620162.67697057</v>
      </c>
      <c r="Y61" t="n">
        <v>549905.207105176</v>
      </c>
      <c r="Z61" t="n">
        <v>3721575.47610526</v>
      </c>
      <c r="AA61" t="n">
        <v>3121999.61954908</v>
      </c>
      <c r="AB61" t="n">
        <v>169079713.153367</v>
      </c>
      <c r="AC61" t="n">
        <v>37404629.5139892</v>
      </c>
      <c r="AD61" t="n">
        <v>11500574.9107636</v>
      </c>
      <c r="AE61" t="n">
        <v>12645741.4429774</v>
      </c>
      <c r="AF61" t="n">
        <v>47206612.0013992</v>
      </c>
      <c r="AG61" t="n">
        <v>1106519.42308912</v>
      </c>
      <c r="AH61" t="n">
        <v>3085691.32776944</v>
      </c>
      <c r="AI61" t="n">
        <v>670458.714869029</v>
      </c>
      <c r="AJ61" t="n">
        <v>2714842.52620707</v>
      </c>
      <c r="AK61" t="n">
        <v>5115489.52559208</v>
      </c>
      <c r="AL61" t="n">
        <v>320282.388714797</v>
      </c>
      <c r="AM61" t="n">
        <v>1741991.96382022</v>
      </c>
      <c r="AN61" t="n">
        <v>2690385.45296593</v>
      </c>
      <c r="AO61" t="n">
        <v>44143374.4005333</v>
      </c>
      <c r="AP61" t="n">
        <v>10262317.0883479</v>
      </c>
      <c r="AQ61" t="n">
        <v>61975671.8064378</v>
      </c>
      <c r="AR61" t="n">
        <v>52930549.5338249</v>
      </c>
      <c r="AS61" t="n">
        <v>53741726.5889585</v>
      </c>
      <c r="AT61" t="n">
        <v>250796464.803095</v>
      </c>
      <c r="AU61" t="n">
        <v>183442274.223659</v>
      </c>
      <c r="AV61" t="n">
        <v>420709.386149297</v>
      </c>
      <c r="AW61" t="n">
        <v>7888944.86582592</v>
      </c>
      <c r="AX61" t="n">
        <v>22954173.8946592</v>
      </c>
      <c r="AY61" t="n">
        <v>12583114.3533408</v>
      </c>
      <c r="AZ61" t="n">
        <v>32347247.4720509</v>
      </c>
      <c r="BA61" t="n">
        <v>55845445.5578582</v>
      </c>
      <c r="BB61" t="n">
        <v>98510870.5362384</v>
      </c>
      <c r="BC61" t="n">
        <v>28126307.5687865</v>
      </c>
      <c r="BD61" t="n">
        <v>139876672.376078</v>
      </c>
      <c r="BE61" t="n">
        <v>5866200.21253284</v>
      </c>
      <c r="BF61" t="n">
        <v>29958856.0051354</v>
      </c>
      <c r="BG61" t="n">
        <v>42415513.7024221</v>
      </c>
      <c r="BH61" t="n">
        <v>46585135.2772713</v>
      </c>
      <c r="BI61" t="n">
        <v>16658801.9593555</v>
      </c>
      <c r="BJ61" t="n">
        <v>20235038.8176169</v>
      </c>
      <c r="BK61" t="n">
        <v>3497660.94194811</v>
      </c>
      <c r="BL61" t="n">
        <v>10737678.4480404</v>
      </c>
      <c r="BM61" t="n">
        <v>6869878.18085017</v>
      </c>
      <c r="BN61" t="n">
        <v>45998054.1779496</v>
      </c>
      <c r="BO61" t="n">
        <v>29762727.7090694</v>
      </c>
      <c r="BP61" t="n">
        <v>33446680.7410518</v>
      </c>
      <c r="BQ61" t="n">
        <v>58002164.0307447</v>
      </c>
      <c r="BR61" t="n">
        <v>594034.847062118</v>
      </c>
      <c r="BS61" t="n">
        <v>321801413.419876</v>
      </c>
      <c r="BT61" t="n">
        <v>28140563.3681988</v>
      </c>
      <c r="BU61" t="n">
        <v>0</v>
      </c>
      <c r="BV61" t="n">
        <v>0</v>
      </c>
      <c r="BW61" t="n">
        <v>370974117.029178</v>
      </c>
      <c r="BX61" t="n">
        <v>2115016746.34075</v>
      </c>
      <c r="BY61" t="n">
        <v>0</v>
      </c>
      <c r="BZ61" t="n">
        <v>0</v>
      </c>
      <c r="CA61" t="n">
        <v>430402880.720581</v>
      </c>
      <c r="CB61" t="n">
        <v>0</v>
      </c>
      <c r="CC61" t="n">
        <v>0</v>
      </c>
      <c r="CD61" t="n">
        <v>0</v>
      </c>
      <c r="CE61" t="n">
        <v>362973.473742895</v>
      </c>
      <c r="CF61" t="n">
        <v>952525.641792004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9470279.4542874</v>
      </c>
      <c r="CN61" t="n">
        <v>65818066.1040626</v>
      </c>
    </row>
    <row r="62">
      <c r="A62" t="s">
        <v>173</v>
      </c>
      <c r="B62" t="n">
        <v>936699.495602524</v>
      </c>
      <c r="C62" t="n">
        <v>58523.9698156657</v>
      </c>
      <c r="D62" t="n">
        <v>0</v>
      </c>
      <c r="E62" t="n">
        <v>893921.54635806</v>
      </c>
      <c r="F62" t="n">
        <v>42487.5357700978</v>
      </c>
      <c r="G62" t="n">
        <v>41777672.1175179</v>
      </c>
      <c r="H62" t="n">
        <v>74688412.267209</v>
      </c>
      <c r="I62" t="n">
        <v>667785.537318597</v>
      </c>
      <c r="J62" t="n">
        <v>1571961.97101367</v>
      </c>
      <c r="K62" t="n">
        <v>3811938.26935347</v>
      </c>
      <c r="L62" t="n">
        <v>24405191.1305613</v>
      </c>
      <c r="M62" t="n">
        <v>9017566.374892</v>
      </c>
      <c r="N62" t="n">
        <v>7028279.30419593</v>
      </c>
      <c r="O62" t="n">
        <v>6624058.24824542</v>
      </c>
      <c r="P62" t="n">
        <v>2850360.70269133</v>
      </c>
      <c r="Q62" t="n">
        <v>50852812.776806</v>
      </c>
      <c r="R62" t="n">
        <v>2163380.21543694</v>
      </c>
      <c r="S62" t="n">
        <v>22117842.2686252</v>
      </c>
      <c r="T62" t="n">
        <v>14444225.4881859</v>
      </c>
      <c r="U62" t="n">
        <v>1000352.4869255</v>
      </c>
      <c r="V62" t="n">
        <v>124713.085926922</v>
      </c>
      <c r="W62" t="n">
        <v>3752584.95180863</v>
      </c>
      <c r="X62" t="n">
        <v>3489607.9869681</v>
      </c>
      <c r="Y62" t="n">
        <v>585979.22965756</v>
      </c>
      <c r="Z62" t="n">
        <v>25592199.8709473</v>
      </c>
      <c r="AA62" t="n">
        <v>5867161.94736842</v>
      </c>
      <c r="AB62" t="n">
        <v>289057477.974313</v>
      </c>
      <c r="AC62" t="n">
        <v>57601649.4115954</v>
      </c>
      <c r="AD62" t="n">
        <v>34222382.4324181</v>
      </c>
      <c r="AE62" t="n">
        <v>10490817.4190012</v>
      </c>
      <c r="AF62" t="n">
        <v>135044110.624873</v>
      </c>
      <c r="AG62" t="n">
        <v>1017102.93450883</v>
      </c>
      <c r="AH62" t="n">
        <v>1320940.70179605</v>
      </c>
      <c r="AI62" t="n">
        <v>5052640.18171787</v>
      </c>
      <c r="AJ62" t="n">
        <v>3369374.60582686</v>
      </c>
      <c r="AK62" t="n">
        <v>7225669.45537587</v>
      </c>
      <c r="AL62" t="n">
        <v>8015727.72425077</v>
      </c>
      <c r="AM62" t="n">
        <v>4311405.46987024</v>
      </c>
      <c r="AN62" t="n">
        <v>4896839.19227947</v>
      </c>
      <c r="AO62" t="n">
        <v>33064818.0373118</v>
      </c>
      <c r="AP62" t="n">
        <v>26527202.2358643</v>
      </c>
      <c r="AQ62" t="n">
        <v>148709618.078046</v>
      </c>
      <c r="AR62" t="n">
        <v>47804048.7151358</v>
      </c>
      <c r="AS62" t="n">
        <v>86148754.8024894</v>
      </c>
      <c r="AT62" t="n">
        <v>298767300.250859</v>
      </c>
      <c r="AU62" t="n">
        <v>258495295.249408</v>
      </c>
      <c r="AV62" t="n">
        <v>266077.256774911</v>
      </c>
      <c r="AW62" t="n">
        <v>6580408.2172551</v>
      </c>
      <c r="AX62" t="n">
        <v>78845157.8847723</v>
      </c>
      <c r="AY62" t="n">
        <v>51810658.5745172</v>
      </c>
      <c r="AZ62" t="n">
        <v>21750025.3885658</v>
      </c>
      <c r="BA62" t="n">
        <v>56022873.8248807</v>
      </c>
      <c r="BB62" t="n">
        <v>325090163.435807</v>
      </c>
      <c r="BC62" t="n">
        <v>150128041.23764</v>
      </c>
      <c r="BD62" t="n">
        <v>113720541.251875</v>
      </c>
      <c r="BE62" t="n">
        <v>7658155.1242425</v>
      </c>
      <c r="BF62" t="n">
        <v>37516617.3297458</v>
      </c>
      <c r="BG62" t="n">
        <v>67762141.0479998</v>
      </c>
      <c r="BH62" t="n">
        <v>94399960.9693353</v>
      </c>
      <c r="BI62" t="n">
        <v>32659448.8089594</v>
      </c>
      <c r="BJ62" t="n">
        <v>18947861.2406758</v>
      </c>
      <c r="BK62" t="n">
        <v>13315203.8771072</v>
      </c>
      <c r="BL62" t="n">
        <v>18902598.8460289</v>
      </c>
      <c r="BM62" t="n">
        <v>13916668.376042</v>
      </c>
      <c r="BN62" t="n">
        <v>56077380.0936176</v>
      </c>
      <c r="BO62" t="n">
        <v>61927359.306273</v>
      </c>
      <c r="BP62" t="n">
        <v>103435818.07306</v>
      </c>
      <c r="BQ62" t="n">
        <v>11315465.8883996</v>
      </c>
      <c r="BR62" t="n">
        <v>1993250.07397288</v>
      </c>
      <c r="BS62" t="n">
        <v>172172482.337013</v>
      </c>
      <c r="BT62" t="n">
        <v>31682225.5754678</v>
      </c>
      <c r="BU62" t="n">
        <v>224090557.338851</v>
      </c>
      <c r="BV62" t="n">
        <v>0</v>
      </c>
      <c r="BW62" t="n">
        <v>131589910.671266</v>
      </c>
      <c r="BX62" t="n">
        <v>1282106373.80743</v>
      </c>
      <c r="BY62" t="n">
        <v>8945976.04866404</v>
      </c>
      <c r="BZ62" t="n">
        <v>0</v>
      </c>
      <c r="CA62" t="n">
        <v>2213891879.86928</v>
      </c>
      <c r="CB62" t="n">
        <v>0</v>
      </c>
      <c r="CC62" t="n">
        <v>0</v>
      </c>
      <c r="CD62" t="n">
        <v>0</v>
      </c>
      <c r="CE62" t="n">
        <v>0</v>
      </c>
      <c r="CF62" t="n">
        <v>311561388.554574</v>
      </c>
      <c r="CG62" t="n">
        <v>0</v>
      </c>
      <c r="CH62" t="n">
        <v>0</v>
      </c>
      <c r="CI62" t="n">
        <v>0</v>
      </c>
      <c r="CJ62" t="n">
        <v>361803159.746358</v>
      </c>
      <c r="CK62" t="n">
        <v>0</v>
      </c>
      <c r="CL62" t="n">
        <v>0</v>
      </c>
      <c r="CM62" t="n">
        <v>0</v>
      </c>
      <c r="CN62" t="n">
        <v>40693864.7313908</v>
      </c>
    </row>
    <row r="63">
      <c r="A63" t="s">
        <v>174</v>
      </c>
      <c r="B63" t="n">
        <v>0</v>
      </c>
      <c r="C63" t="n">
        <v>0</v>
      </c>
      <c r="D63" t="n">
        <v>0</v>
      </c>
      <c r="E63" t="n">
        <v>14054341.9544601</v>
      </c>
      <c r="F63" t="n">
        <v>469652.895692336</v>
      </c>
      <c r="G63" t="n">
        <v>737586.975228266</v>
      </c>
      <c r="H63" t="n">
        <v>72520799.4575747</v>
      </c>
      <c r="I63" t="n">
        <v>820144.575590557</v>
      </c>
      <c r="J63" t="n">
        <v>6394726.9860789</v>
      </c>
      <c r="K63" t="n">
        <v>6809633.53110658</v>
      </c>
      <c r="L63" t="n">
        <v>95579093.991943</v>
      </c>
      <c r="M63" t="n">
        <v>107314632.882585</v>
      </c>
      <c r="N63" t="n">
        <v>24737119.6850675</v>
      </c>
      <c r="O63" t="n">
        <v>44213952.6191269</v>
      </c>
      <c r="P63" t="n">
        <v>18896092.9874701</v>
      </c>
      <c r="Q63" t="n">
        <v>206443534.273456</v>
      </c>
      <c r="R63" t="n">
        <v>2371000.04702121</v>
      </c>
      <c r="S63" t="n">
        <v>102981601.763496</v>
      </c>
      <c r="T63" t="n">
        <v>136067967.335835</v>
      </c>
      <c r="U63" t="n">
        <v>5572138.34078183</v>
      </c>
      <c r="V63" t="n">
        <v>1110379.51118151</v>
      </c>
      <c r="W63" t="n">
        <v>15532572.3965524</v>
      </c>
      <c r="X63" t="n">
        <v>4118368.38987935</v>
      </c>
      <c r="Y63" t="n">
        <v>4872121.55805413</v>
      </c>
      <c r="Z63" t="n">
        <v>221059951.286485</v>
      </c>
      <c r="AA63" t="n">
        <v>11636645.5820446</v>
      </c>
      <c r="AB63" t="n">
        <v>906054578.031344</v>
      </c>
      <c r="AC63" t="n">
        <v>18494482.1221355</v>
      </c>
      <c r="AD63" t="n">
        <v>68307644.830904</v>
      </c>
      <c r="AE63" t="n">
        <v>96861098.3982932</v>
      </c>
      <c r="AF63" t="n">
        <v>240707044.902785</v>
      </c>
      <c r="AG63" t="n">
        <v>16680530.9052795</v>
      </c>
      <c r="AH63" t="n">
        <v>37151.0007960467</v>
      </c>
      <c r="AI63" t="n">
        <v>16481816.4117282</v>
      </c>
      <c r="AJ63" t="n">
        <v>17178273.3562929</v>
      </c>
      <c r="AK63" t="n">
        <v>4793341.18682444</v>
      </c>
      <c r="AL63" t="n">
        <v>67813.6778463302</v>
      </c>
      <c r="AM63" t="n">
        <v>53232050.6449494</v>
      </c>
      <c r="AN63" t="n">
        <v>14143845.872712</v>
      </c>
      <c r="AO63" t="n">
        <v>26777874.7257373</v>
      </c>
      <c r="AP63" t="n">
        <v>8871950.43343185</v>
      </c>
      <c r="AQ63" t="n">
        <v>71676350.0767626</v>
      </c>
      <c r="AR63" t="n">
        <v>17305134.6045479</v>
      </c>
      <c r="AS63" t="n">
        <v>54367383.6156486</v>
      </c>
      <c r="AT63" t="n">
        <v>492503815.015455</v>
      </c>
      <c r="AU63" t="n">
        <v>170496351.425177</v>
      </c>
      <c r="AV63" t="n">
        <v>391262.182386707</v>
      </c>
      <c r="AW63" t="n">
        <v>260989.591006558</v>
      </c>
      <c r="AX63" t="n">
        <v>137446656.545933</v>
      </c>
      <c r="AY63" t="n">
        <v>256302145.8901</v>
      </c>
      <c r="AZ63" t="n">
        <v>39101447.8090107</v>
      </c>
      <c r="BA63" t="n">
        <v>40012106.0207422</v>
      </c>
      <c r="BB63" t="n">
        <v>179689650.397102</v>
      </c>
      <c r="BC63" t="n">
        <v>736149.853327465</v>
      </c>
      <c r="BD63" t="n">
        <v>191315751.810884</v>
      </c>
      <c r="BE63" t="n">
        <v>43284301.2831187</v>
      </c>
      <c r="BF63" t="n">
        <v>143093741.084405</v>
      </c>
      <c r="BG63" t="n">
        <v>525883480.480344</v>
      </c>
      <c r="BH63" t="n">
        <v>114235856.341303</v>
      </c>
      <c r="BI63" t="n">
        <v>111412253.632193</v>
      </c>
      <c r="BJ63" t="n">
        <v>28375953.2649248</v>
      </c>
      <c r="BK63" t="n">
        <v>28134076.6793457</v>
      </c>
      <c r="BL63" t="n">
        <v>30178493.6089696</v>
      </c>
      <c r="BM63" t="n">
        <v>140521259.38206</v>
      </c>
      <c r="BN63" t="n">
        <v>470882985.27593</v>
      </c>
      <c r="BO63" t="n">
        <v>104385035.457132</v>
      </c>
      <c r="BP63" t="n">
        <v>0</v>
      </c>
      <c r="BQ63" t="n">
        <v>0</v>
      </c>
      <c r="BR63" t="n">
        <v>1018575.61771297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75031229.196562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648993.543557678</v>
      </c>
      <c r="C64" t="n">
        <v>12230.3791321491</v>
      </c>
      <c r="D64" t="n">
        <v>0</v>
      </c>
      <c r="E64" t="n">
        <v>881932.221913559</v>
      </c>
      <c r="F64" t="n">
        <v>126326.423791875</v>
      </c>
      <c r="G64" t="n">
        <v>93867716.9498889</v>
      </c>
      <c r="H64" t="n">
        <v>36936919.4190421</v>
      </c>
      <c r="I64" t="n">
        <v>789082.856520126</v>
      </c>
      <c r="J64" t="n">
        <v>2240382.75458003</v>
      </c>
      <c r="K64" t="n">
        <v>16860855.6145135</v>
      </c>
      <c r="L64" t="n">
        <v>134149492.112677</v>
      </c>
      <c r="M64" t="n">
        <v>18862599.829911</v>
      </c>
      <c r="N64" t="n">
        <v>9295693.81150217</v>
      </c>
      <c r="O64" t="n">
        <v>7164486.45719337</v>
      </c>
      <c r="P64" t="n">
        <v>5494311.11666633</v>
      </c>
      <c r="Q64" t="n">
        <v>225825578.413422</v>
      </c>
      <c r="R64" t="n">
        <v>1250802.85950609</v>
      </c>
      <c r="S64" t="n">
        <v>29972801.7154672</v>
      </c>
      <c r="T64" t="n">
        <v>13761795.9832009</v>
      </c>
      <c r="U64" t="n">
        <v>1082272.49440457</v>
      </c>
      <c r="V64" t="n">
        <v>793376.990219392</v>
      </c>
      <c r="W64" t="n">
        <v>6633210.07689205</v>
      </c>
      <c r="X64" t="n">
        <v>19073674.9427241</v>
      </c>
      <c r="Y64" t="n">
        <v>1517102.89734849</v>
      </c>
      <c r="Z64" t="n">
        <v>40650222.3399371</v>
      </c>
      <c r="AA64" t="n">
        <v>7996989.90122015</v>
      </c>
      <c r="AB64" t="n">
        <v>460647394.406216</v>
      </c>
      <c r="AC64" t="n">
        <v>43708972.801121</v>
      </c>
      <c r="AD64" t="n">
        <v>28597261.7576173</v>
      </c>
      <c r="AE64" t="n">
        <v>28248476.7695279</v>
      </c>
      <c r="AF64" t="n">
        <v>124114694.873543</v>
      </c>
      <c r="AG64" t="n">
        <v>8376546.12293748</v>
      </c>
      <c r="AH64" t="n">
        <v>1629924.73871883</v>
      </c>
      <c r="AI64" t="n">
        <v>42479214.6668974</v>
      </c>
      <c r="AJ64" t="n">
        <v>28217082.2970946</v>
      </c>
      <c r="AK64" t="n">
        <v>99704663.6839953</v>
      </c>
      <c r="AL64" t="n">
        <v>38642571.3098068</v>
      </c>
      <c r="AM64" t="n">
        <v>50943014.9762999</v>
      </c>
      <c r="AN64" t="n">
        <v>33953439.14619</v>
      </c>
      <c r="AO64" t="n">
        <v>85650574.9794405</v>
      </c>
      <c r="AP64" t="n">
        <v>19695078.5358941</v>
      </c>
      <c r="AQ64" t="n">
        <v>424735071.655737</v>
      </c>
      <c r="AR64" t="n">
        <v>75485909.7510587</v>
      </c>
      <c r="AS64" t="n">
        <v>125601420.682453</v>
      </c>
      <c r="AT64" t="n">
        <v>332651583.41976</v>
      </c>
      <c r="AU64" t="n">
        <v>236397533.377148</v>
      </c>
      <c r="AV64" t="n">
        <v>32203.5844385786</v>
      </c>
      <c r="AW64" t="n">
        <v>21854139.8568763</v>
      </c>
      <c r="AX64" t="n">
        <v>601604563.457944</v>
      </c>
      <c r="AY64" t="n">
        <v>347463711.059023</v>
      </c>
      <c r="AZ64" t="n">
        <v>61895717.0757429</v>
      </c>
      <c r="BA64" t="n">
        <v>186892619.727354</v>
      </c>
      <c r="BB64" t="n">
        <v>422276126.194806</v>
      </c>
      <c r="BC64" t="n">
        <v>169671814.413948</v>
      </c>
      <c r="BD64" t="n">
        <v>561663475.707286</v>
      </c>
      <c r="BE64" t="n">
        <v>41001081.0387807</v>
      </c>
      <c r="BF64" t="n">
        <v>68629319.4752437</v>
      </c>
      <c r="BG64" t="n">
        <v>219734510.997567</v>
      </c>
      <c r="BH64" t="n">
        <v>293945617.527256</v>
      </c>
      <c r="BI64" t="n">
        <v>116132189.072417</v>
      </c>
      <c r="BJ64" t="n">
        <v>32472887.8093112</v>
      </c>
      <c r="BK64" t="n">
        <v>26450405.0662775</v>
      </c>
      <c r="BL64" t="n">
        <v>22460059.1996616</v>
      </c>
      <c r="BM64" t="n">
        <v>26617162.2134105</v>
      </c>
      <c r="BN64" t="n">
        <v>73730905.8873193</v>
      </c>
      <c r="BO64" t="n">
        <v>111922967.596783</v>
      </c>
      <c r="BP64" t="n">
        <v>36191479.649317</v>
      </c>
      <c r="BQ64" t="n">
        <v>40172101.1052718</v>
      </c>
      <c r="BR64" t="n">
        <v>2359947.41477495</v>
      </c>
      <c r="BS64" t="n">
        <v>304218562.449778</v>
      </c>
      <c r="BT64" t="n">
        <v>32566672.9683206</v>
      </c>
      <c r="BU64" t="n">
        <v>615542623.837489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34752565.0472787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25564.1792341181</v>
      </c>
      <c r="C65" t="n">
        <v>85.7295271240055</v>
      </c>
      <c r="D65" t="n">
        <v>0</v>
      </c>
      <c r="E65" t="n">
        <v>17003.0315571485</v>
      </c>
      <c r="F65" t="n">
        <v>896.595488410311</v>
      </c>
      <c r="G65" t="n">
        <v>493137.471673553</v>
      </c>
      <c r="H65" t="n">
        <v>882984.659233071</v>
      </c>
      <c r="I65" t="n">
        <v>15720.4814091077</v>
      </c>
      <c r="J65" t="n">
        <v>46942.1373484036</v>
      </c>
      <c r="K65" t="n">
        <v>121801.493781021</v>
      </c>
      <c r="L65" t="n">
        <v>505717.984588577</v>
      </c>
      <c r="M65" t="n">
        <v>153689.821460229</v>
      </c>
      <c r="N65" t="n">
        <v>38373.9790547986</v>
      </c>
      <c r="O65" t="n">
        <v>80227.1309188173</v>
      </c>
      <c r="P65" t="n">
        <v>30946.1237690498</v>
      </c>
      <c r="Q65" t="n">
        <v>788219.951448309</v>
      </c>
      <c r="R65" t="n">
        <v>32757.9637755563</v>
      </c>
      <c r="S65" t="n">
        <v>186250.776263797</v>
      </c>
      <c r="T65" t="n">
        <v>438434.22731376</v>
      </c>
      <c r="U65" t="n">
        <v>26298.9987169352</v>
      </c>
      <c r="V65" t="n">
        <v>274.031151245363</v>
      </c>
      <c r="W65" t="n">
        <v>130855.298206326</v>
      </c>
      <c r="X65" t="n">
        <v>54444.7669193056</v>
      </c>
      <c r="Y65" t="n">
        <v>32126.2204852721</v>
      </c>
      <c r="Z65" t="n">
        <v>1180163.48096622</v>
      </c>
      <c r="AA65" t="n">
        <v>118524.990282237</v>
      </c>
      <c r="AB65" t="n">
        <v>1512345.61785004</v>
      </c>
      <c r="AC65" t="n">
        <v>513546.019702213</v>
      </c>
      <c r="AD65" t="n">
        <v>348157.133255338</v>
      </c>
      <c r="AE65" t="n">
        <v>125759.318001911</v>
      </c>
      <c r="AF65" t="n">
        <v>673284.278508967</v>
      </c>
      <c r="AG65" t="n">
        <v>22976.2857791144</v>
      </c>
      <c r="AH65" t="n">
        <v>30145.4670157381</v>
      </c>
      <c r="AI65" t="n">
        <v>6972.35173662616</v>
      </c>
      <c r="AJ65" t="n">
        <v>229776.371880405</v>
      </c>
      <c r="AK65" t="n">
        <v>62006.0709913453</v>
      </c>
      <c r="AL65" t="n">
        <v>351760.859327218</v>
      </c>
      <c r="AM65" t="n">
        <v>140156.571808182</v>
      </c>
      <c r="AN65" t="n">
        <v>134913.676667462</v>
      </c>
      <c r="AO65" t="n">
        <v>23467.8518380457</v>
      </c>
      <c r="AP65" t="n">
        <v>55562.5510797487</v>
      </c>
      <c r="AQ65" t="n">
        <v>97915.6786925626</v>
      </c>
      <c r="AR65" t="n">
        <v>26443.9135098951</v>
      </c>
      <c r="AS65" t="n">
        <v>241332.928926673</v>
      </c>
      <c r="AT65" t="n">
        <v>314288.033311447</v>
      </c>
      <c r="AU65" t="n">
        <v>2847505.30860942</v>
      </c>
      <c r="AV65" t="n">
        <v>8989.1141121792</v>
      </c>
      <c r="AW65" t="n">
        <v>2131.96306382398</v>
      </c>
      <c r="AX65" t="n">
        <v>23252280.5516708</v>
      </c>
      <c r="AY65" t="n">
        <v>1104595.59737723</v>
      </c>
      <c r="AZ65" t="n">
        <v>199443.472250525</v>
      </c>
      <c r="BA65" t="n">
        <v>192766.550347383</v>
      </c>
      <c r="BB65" t="n">
        <v>1589347.26827837</v>
      </c>
      <c r="BC65" t="n">
        <v>643660.41062848</v>
      </c>
      <c r="BD65" t="n">
        <v>1586675.70366074</v>
      </c>
      <c r="BE65" t="n">
        <v>10722173.0197663</v>
      </c>
      <c r="BF65" t="n">
        <v>397930.160988893</v>
      </c>
      <c r="BG65" t="n">
        <v>1333867.5694824</v>
      </c>
      <c r="BH65" t="n">
        <v>1542193.01422246</v>
      </c>
      <c r="BI65" t="n">
        <v>992994.122948756</v>
      </c>
      <c r="BJ65" t="n">
        <v>426580.913221168</v>
      </c>
      <c r="BK65" t="n">
        <v>67506.4722818784</v>
      </c>
      <c r="BL65" t="n">
        <v>396595.451045728</v>
      </c>
      <c r="BM65" t="n">
        <v>472019.208352952</v>
      </c>
      <c r="BN65" t="n">
        <v>1298629.66479688</v>
      </c>
      <c r="BO65" t="n">
        <v>1083676.75338169</v>
      </c>
      <c r="BP65" t="n">
        <v>57895.5990560946</v>
      </c>
      <c r="BQ65" t="n">
        <v>401755.662151269</v>
      </c>
      <c r="BR65" t="n">
        <v>95205.7958038815</v>
      </c>
      <c r="BS65" t="n">
        <v>17505055.6576501</v>
      </c>
      <c r="BT65" t="n">
        <v>1971690.04175542</v>
      </c>
      <c r="BU65" t="n">
        <v>28835829.5057582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3130157.06482785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1372.49965747311</v>
      </c>
      <c r="C66" t="n">
        <v>0</v>
      </c>
      <c r="D66" t="n">
        <v>0</v>
      </c>
      <c r="E66" t="n">
        <v>0</v>
      </c>
      <c r="F66" t="n">
        <v>0</v>
      </c>
      <c r="G66" t="n">
        <v>462902.741922596</v>
      </c>
      <c r="H66" t="n">
        <v>9553.30559541469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65899.5517871213</v>
      </c>
      <c r="Y66" t="n">
        <v>1836.45542562</v>
      </c>
      <c r="Z66" t="n">
        <v>0</v>
      </c>
      <c r="AA66" t="n">
        <v>2023.56630540405</v>
      </c>
      <c r="AB66" t="n">
        <v>5190480.06420869</v>
      </c>
      <c r="AC66" t="n">
        <v>247875.885186249</v>
      </c>
      <c r="AD66" t="n">
        <v>2136457.42658331</v>
      </c>
      <c r="AE66" t="n">
        <v>0</v>
      </c>
      <c r="AF66" t="n">
        <v>8448148.80527871</v>
      </c>
      <c r="AG66" t="n">
        <v>127914.790141384</v>
      </c>
      <c r="AH66" t="n">
        <v>8635.41607130789</v>
      </c>
      <c r="AI66" t="n">
        <v>0</v>
      </c>
      <c r="AJ66" t="n">
        <v>0</v>
      </c>
      <c r="AK66" t="n">
        <v>0</v>
      </c>
      <c r="AL66" t="n">
        <v>59110.0486172176</v>
      </c>
      <c r="AM66" t="n">
        <v>75724.0606306482</v>
      </c>
      <c r="AN66" t="n">
        <v>0</v>
      </c>
      <c r="AO66" t="n">
        <v>0</v>
      </c>
      <c r="AP66" t="n">
        <v>0</v>
      </c>
      <c r="AQ66" t="n">
        <v>90853.555211373</v>
      </c>
      <c r="AR66" t="n">
        <v>178977.396544885</v>
      </c>
      <c r="AS66" t="n">
        <v>97723.9966998488</v>
      </c>
      <c r="AT66" t="n">
        <v>89430.1802073295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255028.778226602</v>
      </c>
      <c r="BB66" t="n">
        <v>129915.485726303</v>
      </c>
      <c r="BC66" t="n">
        <v>0</v>
      </c>
      <c r="BD66" t="n">
        <v>798018.84811382</v>
      </c>
      <c r="BE66" t="n">
        <v>0</v>
      </c>
      <c r="BF66" t="n">
        <v>15677520.4950371</v>
      </c>
      <c r="BG66" t="n">
        <v>0</v>
      </c>
      <c r="BH66" t="n">
        <v>18014.3131558811</v>
      </c>
      <c r="BI66" t="n">
        <v>0</v>
      </c>
      <c r="BJ66" t="n">
        <v>0</v>
      </c>
      <c r="BK66" t="n">
        <v>7353764.97221305</v>
      </c>
      <c r="BL66" t="n">
        <v>919129.347450367</v>
      </c>
      <c r="BM66" t="n">
        <v>0</v>
      </c>
      <c r="BN66" t="n">
        <v>0</v>
      </c>
      <c r="BO66" t="n">
        <v>6563536.36658283</v>
      </c>
      <c r="BP66" t="n">
        <v>0</v>
      </c>
      <c r="BQ66" t="n">
        <v>35414.0258068179</v>
      </c>
      <c r="BR66" t="n">
        <v>208302.163534563</v>
      </c>
      <c r="BS66" t="n">
        <v>29978852.5111732</v>
      </c>
      <c r="BT66" t="n">
        <v>16714.2420702038</v>
      </c>
      <c r="BU66" t="n">
        <v>1560187341.29259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52537612.8800172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1086078.11365033</v>
      </c>
      <c r="BC67" t="n">
        <v>0</v>
      </c>
      <c r="BD67" t="n">
        <v>1048784.45807771</v>
      </c>
      <c r="BE67" t="n">
        <v>0</v>
      </c>
      <c r="BF67" t="n">
        <v>0</v>
      </c>
      <c r="BG67" t="n">
        <v>210854797.185267</v>
      </c>
      <c r="BH67" t="n">
        <v>165792647.607872</v>
      </c>
      <c r="BI67" t="n">
        <v>2009164.73317865</v>
      </c>
      <c r="BJ67" t="n">
        <v>15866.1438762729</v>
      </c>
      <c r="BK67" t="n">
        <v>1232923.15794718</v>
      </c>
      <c r="BL67" t="n">
        <v>37851.294419659</v>
      </c>
      <c r="BM67" t="n">
        <v>0</v>
      </c>
      <c r="BN67" t="n">
        <v>0</v>
      </c>
      <c r="BO67" t="n">
        <v>632953.518155793</v>
      </c>
      <c r="BP67" t="n">
        <v>0</v>
      </c>
      <c r="BQ67" t="n">
        <v>4009218.12612395</v>
      </c>
      <c r="BR67" t="n">
        <v>0</v>
      </c>
      <c r="BS67" t="n">
        <v>128304141.150744</v>
      </c>
      <c r="BT67" t="n">
        <v>0</v>
      </c>
      <c r="BU67" t="n">
        <v>16713025385.9265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14054107.5268177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11951212.2551298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16544709996.5271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56759049.8364029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12610813.3785353</v>
      </c>
      <c r="BR69" t="n">
        <v>0</v>
      </c>
      <c r="BS69" t="n">
        <v>15369052.2020142</v>
      </c>
      <c r="BT69" t="n">
        <v>0</v>
      </c>
      <c r="BU69" t="n">
        <v>3747526386.74232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5775764.98358431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3638525869.23065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134118.248561599</v>
      </c>
      <c r="C71" t="n">
        <v>0</v>
      </c>
      <c r="D71" t="n">
        <v>0</v>
      </c>
      <c r="E71" t="n">
        <v>0</v>
      </c>
      <c r="F71" t="n">
        <v>1800.16994876769</v>
      </c>
      <c r="G71" t="n">
        <v>1131558.23473269</v>
      </c>
      <c r="H71" t="n">
        <v>1013223.96501812</v>
      </c>
      <c r="I71" t="n">
        <v>37364.6883143095</v>
      </c>
      <c r="J71" t="n">
        <v>83737.7755904161</v>
      </c>
      <c r="K71" t="n">
        <v>254449.568906957</v>
      </c>
      <c r="L71" t="n">
        <v>1211459.37834485</v>
      </c>
      <c r="M71" t="n">
        <v>370645.816187932</v>
      </c>
      <c r="N71" t="n">
        <v>28563.6382154317</v>
      </c>
      <c r="O71" t="n">
        <v>76993.6108222832</v>
      </c>
      <c r="P71" t="n">
        <v>72064.4469884835</v>
      </c>
      <c r="Q71" t="n">
        <v>766087.403975908</v>
      </c>
      <c r="R71" t="n">
        <v>62482.365344405</v>
      </c>
      <c r="S71" t="n">
        <v>557260.763941516</v>
      </c>
      <c r="T71" t="n">
        <v>451758.78049541</v>
      </c>
      <c r="U71" t="n">
        <v>25724.3947946913</v>
      </c>
      <c r="V71" t="n">
        <v>2787.65629840717</v>
      </c>
      <c r="W71" t="n">
        <v>210183.324375831</v>
      </c>
      <c r="X71" t="n">
        <v>256260.887312789</v>
      </c>
      <c r="Y71" t="n">
        <v>34286.153969671</v>
      </c>
      <c r="Z71" t="n">
        <v>348491.537883792</v>
      </c>
      <c r="AA71" t="n">
        <v>438884.864149783</v>
      </c>
      <c r="AB71" t="n">
        <v>25187620.9084578</v>
      </c>
      <c r="AC71" t="n">
        <v>3409646.6563653</v>
      </c>
      <c r="AD71" t="n">
        <v>4531497.41433529</v>
      </c>
      <c r="AE71" t="n">
        <v>511728.324780885</v>
      </c>
      <c r="AF71" t="n">
        <v>4470370.38814525</v>
      </c>
      <c r="AG71" t="n">
        <v>0</v>
      </c>
      <c r="AH71" t="n">
        <v>314895.51152446</v>
      </c>
      <c r="AI71" t="n">
        <v>0</v>
      </c>
      <c r="AJ71" t="n">
        <v>226206.052070347</v>
      </c>
      <c r="AK71" t="n">
        <v>315386.797364029</v>
      </c>
      <c r="AL71" t="n">
        <v>0</v>
      </c>
      <c r="AM71" t="n">
        <v>1919088.90582046</v>
      </c>
      <c r="AN71" t="n">
        <v>51101.7131873372</v>
      </c>
      <c r="AO71" t="n">
        <v>1004899.77386912</v>
      </c>
      <c r="AP71" t="n">
        <v>142252422.409239</v>
      </c>
      <c r="AQ71" t="n">
        <v>430173971.980855</v>
      </c>
      <c r="AR71" t="n">
        <v>1902270.08598494</v>
      </c>
      <c r="AS71" t="n">
        <v>17833551.6014805</v>
      </c>
      <c r="AT71" t="n">
        <v>20781672.3586152</v>
      </c>
      <c r="AU71" t="n">
        <v>5032508.21743875</v>
      </c>
      <c r="AV71" t="n">
        <v>83957.5442749482</v>
      </c>
      <c r="AW71" t="n">
        <v>0</v>
      </c>
      <c r="AX71" t="n">
        <v>27083941.4685226</v>
      </c>
      <c r="AY71" t="n">
        <v>4854983.2395811</v>
      </c>
      <c r="AZ71" t="n">
        <v>4119035.35589914</v>
      </c>
      <c r="BA71" t="n">
        <v>6700584.10623297</v>
      </c>
      <c r="BB71" t="n">
        <v>45131668.5025834</v>
      </c>
      <c r="BC71" t="n">
        <v>46661644.7612018</v>
      </c>
      <c r="BD71" t="n">
        <v>16710742.0376573</v>
      </c>
      <c r="BE71" t="n">
        <v>1022993.00668595</v>
      </c>
      <c r="BF71" t="n">
        <v>23422065.7733836</v>
      </c>
      <c r="BG71" t="n">
        <v>9386165.15319727</v>
      </c>
      <c r="BH71" t="n">
        <v>11892940.5818677</v>
      </c>
      <c r="BI71" t="n">
        <v>3001170.99112384</v>
      </c>
      <c r="BJ71" t="n">
        <v>9030010.14679387</v>
      </c>
      <c r="BK71" t="n">
        <v>144735505.787691</v>
      </c>
      <c r="BL71" t="n">
        <v>5912155.07160223</v>
      </c>
      <c r="BM71" t="n">
        <v>1615861.20217352</v>
      </c>
      <c r="BN71" t="n">
        <v>25774761.6422134</v>
      </c>
      <c r="BO71" t="n">
        <v>11224141.2144946</v>
      </c>
      <c r="BP71" t="n">
        <v>0</v>
      </c>
      <c r="BQ71" t="n">
        <v>75520.0713803272</v>
      </c>
      <c r="BR71" t="n">
        <v>126150.046768265</v>
      </c>
      <c r="BS71" t="n">
        <v>13045782.5732234</v>
      </c>
      <c r="BT71" t="n">
        <v>149385.941085885</v>
      </c>
      <c r="BU71" t="n">
        <v>804810570.537969</v>
      </c>
      <c r="BV71" t="n">
        <v>0</v>
      </c>
      <c r="BW71" t="n">
        <v>0</v>
      </c>
      <c r="BX71" t="n">
        <v>38840676.0412976</v>
      </c>
      <c r="BY71" t="n">
        <v>0</v>
      </c>
      <c r="BZ71" t="n">
        <v>0</v>
      </c>
      <c r="CA71" t="n">
        <v>14223709.724025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17088.7588659224</v>
      </c>
      <c r="C72" t="n">
        <v>0</v>
      </c>
      <c r="D72" t="n">
        <v>0</v>
      </c>
      <c r="E72" t="n">
        <v>0</v>
      </c>
      <c r="F72" t="n">
        <v>507.526098725219</v>
      </c>
      <c r="G72" t="n">
        <v>229884.108022389</v>
      </c>
      <c r="H72" t="n">
        <v>271877.889457044</v>
      </c>
      <c r="I72" t="n">
        <v>4461.59157568406</v>
      </c>
      <c r="J72" t="n">
        <v>15763.9459680375</v>
      </c>
      <c r="K72" t="n">
        <v>22016.6419982942</v>
      </c>
      <c r="L72" t="n">
        <v>165132.744058229</v>
      </c>
      <c r="M72" t="n">
        <v>43586.9992411596</v>
      </c>
      <c r="N72" t="n">
        <v>4737.06642786059</v>
      </c>
      <c r="O72" t="n">
        <v>7661.28977482198</v>
      </c>
      <c r="P72" t="n">
        <v>9435.27727999342</v>
      </c>
      <c r="Q72" t="n">
        <v>101639.907208195</v>
      </c>
      <c r="R72" t="n">
        <v>10362.2344245487</v>
      </c>
      <c r="S72" t="n">
        <v>73934.0342157154</v>
      </c>
      <c r="T72" t="n">
        <v>44952.4952620334</v>
      </c>
      <c r="U72" t="n">
        <v>0</v>
      </c>
      <c r="V72" t="n">
        <v>0</v>
      </c>
      <c r="W72" t="n">
        <v>18769.3354278787</v>
      </c>
      <c r="X72" t="n">
        <v>32902.4186961301</v>
      </c>
      <c r="Y72" t="n">
        <v>2177.6564675824</v>
      </c>
      <c r="Z72" t="n">
        <v>47680.6466474229</v>
      </c>
      <c r="AA72" t="n">
        <v>40792.0318937081</v>
      </c>
      <c r="AB72" t="n">
        <v>1855248.97214975</v>
      </c>
      <c r="AC72" t="n">
        <v>29392.9554185238</v>
      </c>
      <c r="AD72" t="n">
        <v>183923.422425547</v>
      </c>
      <c r="AE72" t="n">
        <v>7072.19393535111</v>
      </c>
      <c r="AF72" t="n">
        <v>1161532.28261574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14965.5134635482</v>
      </c>
      <c r="AN72" t="n">
        <v>3632.0734792778</v>
      </c>
      <c r="AO72" t="n">
        <v>74580.474767665</v>
      </c>
      <c r="AP72" t="n">
        <v>97813.9564616466</v>
      </c>
      <c r="AQ72" t="n">
        <v>251378.244822677</v>
      </c>
      <c r="AR72" t="n">
        <v>294445.489758938</v>
      </c>
      <c r="AS72" t="n">
        <v>1540896.88384136</v>
      </c>
      <c r="AT72" t="n">
        <v>2545096.92019084</v>
      </c>
      <c r="AU72" t="n">
        <v>371378.79806189</v>
      </c>
      <c r="AV72" t="n">
        <v>3591.79092754845</v>
      </c>
      <c r="AW72" t="n">
        <v>0</v>
      </c>
      <c r="AX72" t="n">
        <v>0</v>
      </c>
      <c r="AY72" t="n">
        <v>631611.785482466</v>
      </c>
      <c r="AZ72" t="n">
        <v>304733.666450893</v>
      </c>
      <c r="BA72" t="n">
        <v>957636.120735934</v>
      </c>
      <c r="BB72" t="n">
        <v>1765363.04760942</v>
      </c>
      <c r="BC72" t="n">
        <v>4751306.33108183</v>
      </c>
      <c r="BD72" t="n">
        <v>1874160.52302823</v>
      </c>
      <c r="BE72" t="n">
        <v>134444.189336685</v>
      </c>
      <c r="BF72" t="n">
        <v>422695.14295849</v>
      </c>
      <c r="BG72" t="n">
        <v>1448953.78268671</v>
      </c>
      <c r="BH72" t="n">
        <v>59811.5031902844</v>
      </c>
      <c r="BI72" t="n">
        <v>211228.289754595</v>
      </c>
      <c r="BJ72" t="n">
        <v>333379.049035357</v>
      </c>
      <c r="BK72" t="n">
        <v>480751.4377329</v>
      </c>
      <c r="BL72" t="n">
        <v>1056232.60194575</v>
      </c>
      <c r="BM72" t="n">
        <v>1006344.91474126</v>
      </c>
      <c r="BN72" t="n">
        <v>3244635.19820482</v>
      </c>
      <c r="BO72" t="n">
        <v>171273.735522394</v>
      </c>
      <c r="BP72" t="n">
        <v>16905.1862745912</v>
      </c>
      <c r="BQ72" t="n">
        <v>4420.39085704067</v>
      </c>
      <c r="BR72" t="n">
        <v>2024.6172274037</v>
      </c>
      <c r="BS72" t="n">
        <v>2891662.13565147</v>
      </c>
      <c r="BT72" t="n">
        <v>260132.717346382</v>
      </c>
      <c r="BU72" t="n">
        <v>970451536.825879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219433.879538636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1953.90509690315</v>
      </c>
      <c r="C73" t="n">
        <v>0</v>
      </c>
      <c r="D73" t="n">
        <v>0</v>
      </c>
      <c r="E73" t="n">
        <v>19783.8018241671</v>
      </c>
      <c r="F73" t="n">
        <v>18494.4492772115</v>
      </c>
      <c r="G73" t="n">
        <v>12357531.7737848</v>
      </c>
      <c r="H73" t="n">
        <v>2699637.19124694</v>
      </c>
      <c r="I73" t="n">
        <v>164262.575267949</v>
      </c>
      <c r="J73" t="n">
        <v>494766.436349761</v>
      </c>
      <c r="K73" t="n">
        <v>892086.774853842</v>
      </c>
      <c r="L73" t="n">
        <v>6423333.20393913</v>
      </c>
      <c r="M73" t="n">
        <v>1875779.47104627</v>
      </c>
      <c r="N73" t="n">
        <v>227484.446960843</v>
      </c>
      <c r="O73" t="n">
        <v>459890.180445298</v>
      </c>
      <c r="P73" t="n">
        <v>473492.596240152</v>
      </c>
      <c r="Q73" t="n">
        <v>3782754.85159466</v>
      </c>
      <c r="R73" t="n">
        <v>383165.477305115</v>
      </c>
      <c r="S73" t="n">
        <v>3284190.73400799</v>
      </c>
      <c r="T73" t="n">
        <v>1771130.50798034</v>
      </c>
      <c r="U73" t="n">
        <v>104484.899170047</v>
      </c>
      <c r="V73" t="n">
        <v>6660.3747734502</v>
      </c>
      <c r="W73" t="n">
        <v>759705.204912627</v>
      </c>
      <c r="X73" t="n">
        <v>1718301.32430846</v>
      </c>
      <c r="Y73" t="n">
        <v>84532.1844930202</v>
      </c>
      <c r="Z73" t="n">
        <v>2123204.6558147</v>
      </c>
      <c r="AA73" t="n">
        <v>1711177.67420497</v>
      </c>
      <c r="AB73" t="n">
        <v>31816366.6860414</v>
      </c>
      <c r="AC73" t="n">
        <v>373043.24380753</v>
      </c>
      <c r="AD73" t="n">
        <v>826257.811292031</v>
      </c>
      <c r="AE73" t="n">
        <v>416037.506458287</v>
      </c>
      <c r="AF73" t="n">
        <v>2278683.59366198</v>
      </c>
      <c r="AG73" t="n">
        <v>0</v>
      </c>
      <c r="AH73" t="n">
        <v>39339.1042598514</v>
      </c>
      <c r="AI73" t="n">
        <v>0</v>
      </c>
      <c r="AJ73" t="n">
        <v>0</v>
      </c>
      <c r="AK73" t="n">
        <v>0</v>
      </c>
      <c r="AL73" t="n">
        <v>218789.202657018</v>
      </c>
      <c r="AM73" t="n">
        <v>2817214.55544147</v>
      </c>
      <c r="AN73" t="n">
        <v>130815.174222891</v>
      </c>
      <c r="AO73" t="n">
        <v>3283059.98140144</v>
      </c>
      <c r="AP73" t="n">
        <v>5152288.80276213</v>
      </c>
      <c r="AQ73" t="n">
        <v>11278455.5542666</v>
      </c>
      <c r="AR73" t="n">
        <v>12983023.0897985</v>
      </c>
      <c r="AS73" t="n">
        <v>67575166.9400921</v>
      </c>
      <c r="AT73" t="n">
        <v>112863643.675059</v>
      </c>
      <c r="AU73" t="n">
        <v>16022225.7496681</v>
      </c>
      <c r="AV73" t="n">
        <v>161944.977384462</v>
      </c>
      <c r="AW73" t="n">
        <v>64772.1661556037</v>
      </c>
      <c r="AX73" t="n">
        <v>87302541.2996973</v>
      </c>
      <c r="AY73" t="n">
        <v>30515847.928769</v>
      </c>
      <c r="AZ73" t="n">
        <v>10490739.5909598</v>
      </c>
      <c r="BA73" t="n">
        <v>42884499.7130009</v>
      </c>
      <c r="BB73" t="n">
        <v>74499483.231902</v>
      </c>
      <c r="BC73" t="n">
        <v>12924122.5495703</v>
      </c>
      <c r="BD73" t="n">
        <v>54115742.5237537</v>
      </c>
      <c r="BE73" t="n">
        <v>6871356.86202817</v>
      </c>
      <c r="BF73" t="n">
        <v>14985260.4831027</v>
      </c>
      <c r="BG73" t="n">
        <v>41904305.599681</v>
      </c>
      <c r="BH73" t="n">
        <v>2841506.73377038</v>
      </c>
      <c r="BI73" t="n">
        <v>5369139.63983725</v>
      </c>
      <c r="BJ73" t="n">
        <v>5222179.73033453</v>
      </c>
      <c r="BK73" t="n">
        <v>1030917.82936823</v>
      </c>
      <c r="BL73" t="n">
        <v>2586652.28044559</v>
      </c>
      <c r="BM73" t="n">
        <v>3853832.05475127</v>
      </c>
      <c r="BN73" t="n">
        <v>24669053.465269</v>
      </c>
      <c r="BO73" t="n">
        <v>6321731.01074634</v>
      </c>
      <c r="BP73" t="n">
        <v>20065597.4689602</v>
      </c>
      <c r="BQ73" t="n">
        <v>5503280.78366111</v>
      </c>
      <c r="BR73" t="n">
        <v>252789.197063776</v>
      </c>
      <c r="BS73" t="n">
        <v>35245490.5093252</v>
      </c>
      <c r="BT73" t="n">
        <v>1064807.12478331</v>
      </c>
      <c r="BU73" t="n">
        <v>1752465170.07054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958864.878527451</v>
      </c>
      <c r="C74" t="n">
        <v>5203.79945386213</v>
      </c>
      <c r="D74" t="n">
        <v>0</v>
      </c>
      <c r="E74" t="n">
        <v>90582.1404457274</v>
      </c>
      <c r="F74" t="n">
        <v>45114.2383148636</v>
      </c>
      <c r="G74" t="n">
        <v>30074208.3711311</v>
      </c>
      <c r="H74" t="n">
        <v>4092826.44898679</v>
      </c>
      <c r="I74" t="n">
        <v>289838.149080919</v>
      </c>
      <c r="J74" t="n">
        <v>773118.416089592</v>
      </c>
      <c r="K74" t="n">
        <v>1650306.93062222</v>
      </c>
      <c r="L74" t="n">
        <v>9407201.20397728</v>
      </c>
      <c r="M74" t="n">
        <v>3035947.07136144</v>
      </c>
      <c r="N74" t="n">
        <v>298265.075489276</v>
      </c>
      <c r="O74" t="n">
        <v>1079626.11528507</v>
      </c>
      <c r="P74" t="n">
        <v>676123.767430934</v>
      </c>
      <c r="Q74" t="n">
        <v>6323477.75579842</v>
      </c>
      <c r="R74" t="n">
        <v>546814.113223007</v>
      </c>
      <c r="S74" t="n">
        <v>4655189.16240666</v>
      </c>
      <c r="T74" t="n">
        <v>3338883.45127678</v>
      </c>
      <c r="U74" t="n">
        <v>268617.341302458</v>
      </c>
      <c r="V74" t="n">
        <v>24950.6185855164</v>
      </c>
      <c r="W74" t="n">
        <v>1406897.76134804</v>
      </c>
      <c r="X74" t="n">
        <v>1936025.72753563</v>
      </c>
      <c r="Y74" t="n">
        <v>227435.387679311</v>
      </c>
      <c r="Z74" t="n">
        <v>3145128.9179295</v>
      </c>
      <c r="AA74" t="n">
        <v>2590016.62718521</v>
      </c>
      <c r="AB74" t="n">
        <v>95423956.9645709</v>
      </c>
      <c r="AC74" t="n">
        <v>10046660.8428945</v>
      </c>
      <c r="AD74" t="n">
        <v>13857549.4717803</v>
      </c>
      <c r="AE74" t="n">
        <v>10337188.0238963</v>
      </c>
      <c r="AF74" t="n">
        <v>38539425.9432172</v>
      </c>
      <c r="AG74" t="n">
        <v>24603712.2887097</v>
      </c>
      <c r="AH74" t="n">
        <v>9210.58329363877</v>
      </c>
      <c r="AI74" t="n">
        <v>201030.994265094</v>
      </c>
      <c r="AJ74" t="n">
        <v>4933764.75357073</v>
      </c>
      <c r="AK74" t="n">
        <v>3293308.30388693</v>
      </c>
      <c r="AL74" t="n">
        <v>1429067.82492482</v>
      </c>
      <c r="AM74" t="n">
        <v>13443336.365467</v>
      </c>
      <c r="AN74" t="n">
        <v>2962082.5950661</v>
      </c>
      <c r="AO74" t="n">
        <v>3569540.2541891</v>
      </c>
      <c r="AP74" t="n">
        <v>8651600.88090797</v>
      </c>
      <c r="AQ74" t="n">
        <v>12877586.1347093</v>
      </c>
      <c r="AR74" t="n">
        <v>14016406.4630102</v>
      </c>
      <c r="AS74" t="n">
        <v>120196570.952953</v>
      </c>
      <c r="AT74" t="n">
        <v>139344118.553561</v>
      </c>
      <c r="AU74" t="n">
        <v>113289780.597627</v>
      </c>
      <c r="AV74" t="n">
        <v>470256.41025641</v>
      </c>
      <c r="AW74" t="n">
        <v>64705.2923267255</v>
      </c>
      <c r="AX74" t="n">
        <v>303634552.386711</v>
      </c>
      <c r="AY74" t="n">
        <v>88852950.9665856</v>
      </c>
      <c r="AZ74" t="n">
        <v>23538678.4356572</v>
      </c>
      <c r="BA74" t="n">
        <v>69558154.0463177</v>
      </c>
      <c r="BB74" t="n">
        <v>226890456.50109</v>
      </c>
      <c r="BC74" t="n">
        <v>78444812.1464957</v>
      </c>
      <c r="BD74" t="n">
        <v>129232324.907975</v>
      </c>
      <c r="BE74" t="n">
        <v>7745329.80708977</v>
      </c>
      <c r="BF74" t="n">
        <v>39014888.3191073</v>
      </c>
      <c r="BG74" t="n">
        <v>335084798.755248</v>
      </c>
      <c r="BH74" t="n">
        <v>251795261.842536</v>
      </c>
      <c r="BI74" t="n">
        <v>165231960.556845</v>
      </c>
      <c r="BJ74" t="n">
        <v>58450874.0401895</v>
      </c>
      <c r="BK74" t="n">
        <v>4904495.79742223</v>
      </c>
      <c r="BL74" t="n">
        <v>17487298.0218825</v>
      </c>
      <c r="BM74" t="n">
        <v>74287464.3976989</v>
      </c>
      <c r="BN74" t="n">
        <v>76993338.8006904</v>
      </c>
      <c r="BO74" t="n">
        <v>21006891.291246</v>
      </c>
      <c r="BP74" t="n">
        <v>8954641.62641265</v>
      </c>
      <c r="BQ74" t="n">
        <v>2180219.44379303</v>
      </c>
      <c r="BR74" t="n">
        <v>1839328.03608762</v>
      </c>
      <c r="BS74" t="n">
        <v>150459528.09131</v>
      </c>
      <c r="BT74" t="n">
        <v>4442019.86856771</v>
      </c>
      <c r="BU74" t="n">
        <v>8787837704.1438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33788303.3000881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863564.781983483</v>
      </c>
      <c r="C75" t="n">
        <v>29321.6583325132</v>
      </c>
      <c r="D75" t="n">
        <v>0</v>
      </c>
      <c r="E75" t="n">
        <v>320790.042767802</v>
      </c>
      <c r="F75" t="n">
        <v>49241.6630868479</v>
      </c>
      <c r="G75" t="n">
        <v>13503568.4045893</v>
      </c>
      <c r="H75" t="n">
        <v>47335493.6542955</v>
      </c>
      <c r="I75" t="n">
        <v>737006.954728223</v>
      </c>
      <c r="J75" t="n">
        <v>3094404.47981356</v>
      </c>
      <c r="K75" t="n">
        <v>8651443.4250646</v>
      </c>
      <c r="L75" t="n">
        <v>37590122.4328339</v>
      </c>
      <c r="M75" t="n">
        <v>9230902.05434408</v>
      </c>
      <c r="N75" t="n">
        <v>3663580.96087532</v>
      </c>
      <c r="O75" t="n">
        <v>3489884.99983435</v>
      </c>
      <c r="P75" t="n">
        <v>2283594.45988278</v>
      </c>
      <c r="Q75" t="n">
        <v>32752868.1326065</v>
      </c>
      <c r="R75" t="n">
        <v>861051.912859338</v>
      </c>
      <c r="S75" t="n">
        <v>11264741.1716976</v>
      </c>
      <c r="T75" t="n">
        <v>11961872.9127135</v>
      </c>
      <c r="U75" t="n">
        <v>871302.810945194</v>
      </c>
      <c r="V75" t="n">
        <v>31241.8527541831</v>
      </c>
      <c r="W75" t="n">
        <v>8603530.8424929</v>
      </c>
      <c r="X75" t="n">
        <v>3942524.95247572</v>
      </c>
      <c r="Y75" t="n">
        <v>1207260.35482857</v>
      </c>
      <c r="Z75" t="n">
        <v>26026606.0576861</v>
      </c>
      <c r="AA75" t="n">
        <v>6137834.18962888</v>
      </c>
      <c r="AB75" t="n">
        <v>195436256.671773</v>
      </c>
      <c r="AC75" t="n">
        <v>23614900.9014056</v>
      </c>
      <c r="AD75" t="n">
        <v>35267672.4688438</v>
      </c>
      <c r="AE75" t="n">
        <v>20267374.2571368</v>
      </c>
      <c r="AF75" t="n">
        <v>62462698.3926983</v>
      </c>
      <c r="AG75" t="n">
        <v>1326195.67571708</v>
      </c>
      <c r="AH75" t="n">
        <v>312672.66490636</v>
      </c>
      <c r="AI75" t="n">
        <v>3983365.58037942</v>
      </c>
      <c r="AJ75" t="n">
        <v>30959424.6270248</v>
      </c>
      <c r="AK75" t="n">
        <v>38531573.825548</v>
      </c>
      <c r="AL75" t="n">
        <v>13894192.6099311</v>
      </c>
      <c r="AM75" t="n">
        <v>19065458.0361086</v>
      </c>
      <c r="AN75" t="n">
        <v>8263353.81135905</v>
      </c>
      <c r="AO75" t="n">
        <v>8607332.30208969</v>
      </c>
      <c r="AP75" t="n">
        <v>4957511.06947631</v>
      </c>
      <c r="AQ75" t="n">
        <v>68722948.1925215</v>
      </c>
      <c r="AR75" t="n">
        <v>10929948.7132968</v>
      </c>
      <c r="AS75" t="n">
        <v>47659545.0660453</v>
      </c>
      <c r="AT75" t="n">
        <v>143425433.540909</v>
      </c>
      <c r="AU75" t="n">
        <v>192828738.980791</v>
      </c>
      <c r="AV75" t="n">
        <v>75247.7577419397</v>
      </c>
      <c r="AW75" t="n">
        <v>265571908.693721</v>
      </c>
      <c r="AX75" t="n">
        <v>42497847.3050992</v>
      </c>
      <c r="AY75" t="n">
        <v>178357265.57102</v>
      </c>
      <c r="AZ75" t="n">
        <v>9524315.58762208</v>
      </c>
      <c r="BA75" t="n">
        <v>22301389.5812533</v>
      </c>
      <c r="BB75" t="n">
        <v>99123780.1614676</v>
      </c>
      <c r="BC75" t="n">
        <v>103824801.721193</v>
      </c>
      <c r="BD75" t="n">
        <v>142723057.494053</v>
      </c>
      <c r="BE75" t="n">
        <v>55810261.2675596</v>
      </c>
      <c r="BF75" t="n">
        <v>54577767.7122277</v>
      </c>
      <c r="BG75" t="n">
        <v>65970674.2463417</v>
      </c>
      <c r="BH75" t="n">
        <v>129993290.580544</v>
      </c>
      <c r="BI75" t="n">
        <v>28220381.4824368</v>
      </c>
      <c r="BJ75" t="n">
        <v>11297559.1603981</v>
      </c>
      <c r="BK75" t="n">
        <v>6447641.78639954</v>
      </c>
      <c r="BL75" t="n">
        <v>16493599.4609061</v>
      </c>
      <c r="BM75" t="n">
        <v>15148163.5082231</v>
      </c>
      <c r="BN75" t="n">
        <v>98484448.1266501</v>
      </c>
      <c r="BO75" t="n">
        <v>66793616.0979164</v>
      </c>
      <c r="BP75" t="n">
        <v>32340043.4911928</v>
      </c>
      <c r="BQ75" t="n">
        <v>55141242.0982628</v>
      </c>
      <c r="BR75" t="n">
        <v>3552211.24676472</v>
      </c>
      <c r="BS75" t="n">
        <v>270909611.176336</v>
      </c>
      <c r="BT75" t="n">
        <v>19061074.5871928</v>
      </c>
      <c r="BU75" t="n">
        <v>8113817900.75092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942473.872592667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8176529474.33557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1466000676.50271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5646.47444389457</v>
      </c>
      <c r="C78" t="n">
        <v>250.894891995805</v>
      </c>
      <c r="D78" t="n">
        <v>0</v>
      </c>
      <c r="E78" t="n">
        <v>1588.11209493985</v>
      </c>
      <c r="F78" t="n">
        <v>0</v>
      </c>
      <c r="G78" t="n">
        <v>751445.576591557</v>
      </c>
      <c r="H78" t="n">
        <v>13100.7915874546</v>
      </c>
      <c r="I78" t="n">
        <v>0</v>
      </c>
      <c r="J78" t="n">
        <v>0</v>
      </c>
      <c r="K78" t="n">
        <v>54105.9347687852</v>
      </c>
      <c r="L78" t="n">
        <v>582462.441994063</v>
      </c>
      <c r="M78" t="n">
        <v>517642.318696477</v>
      </c>
      <c r="N78" t="n">
        <v>89022.0784455608</v>
      </c>
      <c r="O78" t="n">
        <v>629064.427625378</v>
      </c>
      <c r="P78" t="n">
        <v>0</v>
      </c>
      <c r="Q78" t="n">
        <v>0</v>
      </c>
      <c r="R78" t="n">
        <v>0</v>
      </c>
      <c r="S78" t="n">
        <v>96190.418927344</v>
      </c>
      <c r="T78" t="n">
        <v>0</v>
      </c>
      <c r="U78" t="n">
        <v>2960.24228041463</v>
      </c>
      <c r="V78" t="n">
        <v>0</v>
      </c>
      <c r="W78" t="n">
        <v>0</v>
      </c>
      <c r="X78" t="n">
        <v>114152.116696152</v>
      </c>
      <c r="Y78" t="n">
        <v>11332.7882141763</v>
      </c>
      <c r="Z78" t="n">
        <v>152891.795355317</v>
      </c>
      <c r="AA78" t="n">
        <v>0</v>
      </c>
      <c r="AB78" t="n">
        <v>42948449.0816173</v>
      </c>
      <c r="AC78" t="n">
        <v>1913270.28849599</v>
      </c>
      <c r="AD78" t="n">
        <v>2037824.05609951</v>
      </c>
      <c r="AE78" t="n">
        <v>652258.493113991</v>
      </c>
      <c r="AF78" t="n">
        <v>9055479.13470768</v>
      </c>
      <c r="AG78" t="n">
        <v>1754.1415270957</v>
      </c>
      <c r="AH78" t="n">
        <v>0</v>
      </c>
      <c r="AI78" t="n">
        <v>5609387.20026005</v>
      </c>
      <c r="AJ78" t="n">
        <v>3216372.50654799</v>
      </c>
      <c r="AK78" t="n">
        <v>1377798.48039934</v>
      </c>
      <c r="AL78" t="n">
        <v>567418.150656785</v>
      </c>
      <c r="AM78" t="n">
        <v>1568031.23392244</v>
      </c>
      <c r="AN78" t="n">
        <v>1289519.43221139</v>
      </c>
      <c r="AO78" t="n">
        <v>634098.579370336</v>
      </c>
      <c r="AP78" t="n">
        <v>1272589.21399244</v>
      </c>
      <c r="AQ78" t="n">
        <v>602188.616243099</v>
      </c>
      <c r="AR78" t="n">
        <v>1599770.22893309</v>
      </c>
      <c r="AS78" t="n">
        <v>3382908.41166392</v>
      </c>
      <c r="AT78" t="n">
        <v>23132747.9596222</v>
      </c>
      <c r="AU78" t="n">
        <v>602669.979932497</v>
      </c>
      <c r="AV78" t="n">
        <v>0</v>
      </c>
      <c r="AW78" t="n">
        <v>0</v>
      </c>
      <c r="AX78" t="n">
        <v>866230.769061079</v>
      </c>
      <c r="AY78" t="n">
        <v>7398182.35893016</v>
      </c>
      <c r="AZ78" t="n">
        <v>618930.185297523</v>
      </c>
      <c r="BA78" t="n">
        <v>945104.060041202</v>
      </c>
      <c r="BB78" t="n">
        <v>5631230.32403003</v>
      </c>
      <c r="BC78" t="n">
        <v>743062.249320775</v>
      </c>
      <c r="BD78" t="n">
        <v>2491034.59548064</v>
      </c>
      <c r="BE78" t="n">
        <v>369267.035893263</v>
      </c>
      <c r="BF78" t="n">
        <v>2520854.15134447</v>
      </c>
      <c r="BG78" t="n">
        <v>2884399.90629227</v>
      </c>
      <c r="BH78" t="n">
        <v>8031164.93448196</v>
      </c>
      <c r="BI78" t="n">
        <v>1116104.48329338</v>
      </c>
      <c r="BJ78" t="n">
        <v>1594191.06677005</v>
      </c>
      <c r="BK78" t="n">
        <v>264000.839926614</v>
      </c>
      <c r="BL78" t="n">
        <v>199528.341751251</v>
      </c>
      <c r="BM78" t="n">
        <v>1267661.74537063</v>
      </c>
      <c r="BN78" t="n">
        <v>14235422.0926153</v>
      </c>
      <c r="BO78" t="n">
        <v>1195348.56929529</v>
      </c>
      <c r="BP78" t="n">
        <v>1629.19700879544</v>
      </c>
      <c r="BQ78" t="n">
        <v>127801.387899907</v>
      </c>
      <c r="BR78" t="n">
        <v>95997.8870634139</v>
      </c>
      <c r="BS78" t="n">
        <v>5213466.03928953</v>
      </c>
      <c r="BT78" t="n">
        <v>147552.916179464</v>
      </c>
      <c r="BU78" t="n">
        <v>18752522.8934115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5149886.62195013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20630681700.014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8679039.5533152</v>
      </c>
      <c r="H80" t="n">
        <v>0</v>
      </c>
      <c r="I80" t="n">
        <v>149378.122987858</v>
      </c>
      <c r="J80" t="n">
        <v>587434.953709995</v>
      </c>
      <c r="K80" t="n">
        <v>1567791.58409111</v>
      </c>
      <c r="L80" t="n">
        <v>6585040.8427841</v>
      </c>
      <c r="M80" t="n">
        <v>2312145.12057328</v>
      </c>
      <c r="N80" t="n">
        <v>447397.613233913</v>
      </c>
      <c r="O80" t="n">
        <v>1010713.81005411</v>
      </c>
      <c r="P80" t="n">
        <v>435661.339683531</v>
      </c>
      <c r="Q80" t="n">
        <v>12037463.6797127</v>
      </c>
      <c r="R80" t="n">
        <v>292048.446835015</v>
      </c>
      <c r="S80" t="n">
        <v>2576979.71490369</v>
      </c>
      <c r="T80" t="n">
        <v>6236666.7034858</v>
      </c>
      <c r="U80" t="n">
        <v>414438.183723792</v>
      </c>
      <c r="V80" t="n">
        <v>8316.8728618388</v>
      </c>
      <c r="W80" t="n">
        <v>1808868.55030462</v>
      </c>
      <c r="X80" t="n">
        <v>641231.451158299</v>
      </c>
      <c r="Y80" t="n">
        <v>440724.07660345</v>
      </c>
      <c r="Z80" t="n">
        <v>17363191.0510488</v>
      </c>
      <c r="AA80" t="n">
        <v>1402925.67305866</v>
      </c>
      <c r="AB80" t="n">
        <v>17031800.0111043</v>
      </c>
      <c r="AC80" t="n">
        <v>5854257.25807761</v>
      </c>
      <c r="AD80" t="n">
        <v>5265513.02136967</v>
      </c>
      <c r="AE80" t="n">
        <v>1653950.08382341</v>
      </c>
      <c r="AF80" t="n">
        <v>8865825.75147556</v>
      </c>
      <c r="AG80" t="n">
        <v>24255.0460024249</v>
      </c>
      <c r="AH80" t="n">
        <v>0</v>
      </c>
      <c r="AI80" t="n">
        <v>0</v>
      </c>
      <c r="AJ80" t="n">
        <v>2131999.89869326</v>
      </c>
      <c r="AK80" t="n">
        <v>139399.293286219</v>
      </c>
      <c r="AL80" t="n">
        <v>2563915.8035416</v>
      </c>
      <c r="AM80" t="n">
        <v>888444.793178394</v>
      </c>
      <c r="AN80" t="n">
        <v>1807741.58375358</v>
      </c>
      <c r="AO80" t="n">
        <v>455509.777216707</v>
      </c>
      <c r="AP80" t="n">
        <v>1301406.06471285</v>
      </c>
      <c r="AQ80" t="n">
        <v>1636616.2980567</v>
      </c>
      <c r="AR80" t="n">
        <v>579000.839576292</v>
      </c>
      <c r="AS80" t="n">
        <v>5117744.6226062</v>
      </c>
      <c r="AT80" t="n">
        <v>8783528.29444862</v>
      </c>
      <c r="AU80" t="n">
        <v>2658035.43570844</v>
      </c>
      <c r="AV80" t="n">
        <v>0</v>
      </c>
      <c r="AW80" t="n">
        <v>0</v>
      </c>
      <c r="AX80" t="n">
        <v>23840100.6623481</v>
      </c>
      <c r="AY80" t="n">
        <v>34266734.2581389</v>
      </c>
      <c r="AZ80" t="n">
        <v>5322185.42019225</v>
      </c>
      <c r="BA80" t="n">
        <v>2461089.24931106</v>
      </c>
      <c r="BB80" t="n">
        <v>15105224.3392747</v>
      </c>
      <c r="BC80" t="n">
        <v>8719845.55527612</v>
      </c>
      <c r="BD80" t="n">
        <v>15367452.2699386</v>
      </c>
      <c r="BE80" t="n">
        <v>13676697.6147496</v>
      </c>
      <c r="BF80" t="n">
        <v>3131131.16446339</v>
      </c>
      <c r="BG80" t="n">
        <v>10293698.7602256</v>
      </c>
      <c r="BH80" t="n">
        <v>11835927.2494533</v>
      </c>
      <c r="BI80" t="n">
        <v>11880278.4222738</v>
      </c>
      <c r="BJ80" t="n">
        <v>3792008.38642923</v>
      </c>
      <c r="BK80" t="n">
        <v>1051610.9288373</v>
      </c>
      <c r="BL80" t="n">
        <v>3305679.71265022</v>
      </c>
      <c r="BM80" t="n">
        <v>6855200.37359964</v>
      </c>
      <c r="BN80" t="n">
        <v>18396954.6005361</v>
      </c>
      <c r="BO80" t="n">
        <v>16182113.5302094</v>
      </c>
      <c r="BP80" t="n">
        <v>11742407.4157675</v>
      </c>
      <c r="BQ80" t="n">
        <v>5679173.44477393</v>
      </c>
      <c r="BR80" t="n">
        <v>1469034.27304688</v>
      </c>
      <c r="BS80" t="n">
        <v>84242864.8702938</v>
      </c>
      <c r="BT80" t="n">
        <v>14707691.2036188</v>
      </c>
      <c r="BU80" t="n">
        <v>1484178748.99477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-43917.4753524023</v>
      </c>
      <c r="C81" t="n">
        <v>161317.783069726</v>
      </c>
      <c r="D81" t="n">
        <v>0</v>
      </c>
      <c r="E81" t="n">
        <v>0</v>
      </c>
      <c r="F81" t="n">
        <v>101686.060963661</v>
      </c>
      <c r="G81" t="n">
        <v>67688068.6070547</v>
      </c>
      <c r="H81" t="n">
        <v>23521015.0699033</v>
      </c>
      <c r="I81" t="n">
        <v>0</v>
      </c>
      <c r="J81" t="n">
        <v>-6752.12590471259</v>
      </c>
      <c r="K81" t="n">
        <v>171574160.042139</v>
      </c>
      <c r="L81" t="n">
        <v>12699721.6253693</v>
      </c>
      <c r="M81" t="n">
        <v>60316.8292323465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2604689.17420373</v>
      </c>
      <c r="T81" t="n">
        <v>-6126.39165371886</v>
      </c>
      <c r="U81" t="n">
        <v>-7674.78118007022</v>
      </c>
      <c r="V81" t="n">
        <v>0</v>
      </c>
      <c r="W81" t="n">
        <v>-377852.541619187</v>
      </c>
      <c r="X81" t="n">
        <v>0</v>
      </c>
      <c r="Y81" t="n">
        <v>0</v>
      </c>
      <c r="Z81" t="n">
        <v>-12996.4004873119</v>
      </c>
      <c r="AA81" t="n">
        <v>-7194.49063106999</v>
      </c>
      <c r="AB81" t="n">
        <v>0</v>
      </c>
      <c r="AC81" t="n">
        <v>-163667.407215073</v>
      </c>
      <c r="AD81" t="n">
        <v>0</v>
      </c>
      <c r="AE81" t="n">
        <v>0</v>
      </c>
      <c r="AF81" t="n">
        <v>2471884.50319951</v>
      </c>
      <c r="AG81" t="n">
        <v>-776161.472077596</v>
      </c>
      <c r="AH81" t="n">
        <v>0</v>
      </c>
      <c r="AI81" t="n">
        <v>-1936245.89213223</v>
      </c>
      <c r="AJ81" t="n">
        <v>1651405.19730917</v>
      </c>
      <c r="AK81" t="n">
        <v>69699.6466431095</v>
      </c>
      <c r="AL81" t="n">
        <v>4917674.57400601</v>
      </c>
      <c r="AM81" t="n">
        <v>13694613.6807094</v>
      </c>
      <c r="AN81" t="n">
        <v>0</v>
      </c>
      <c r="AO81" t="n">
        <v>0</v>
      </c>
      <c r="AP81" t="n">
        <v>2309537.52329323</v>
      </c>
      <c r="AQ81" t="n">
        <v>21534.4249744302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281504.164928699</v>
      </c>
      <c r="AZ81" t="n">
        <v>0</v>
      </c>
      <c r="BA81" t="n">
        <v>0</v>
      </c>
      <c r="BB81" t="n">
        <v>0</v>
      </c>
      <c r="BC81" t="n">
        <v>3768460.38532282</v>
      </c>
      <c r="BD81" t="n">
        <v>0</v>
      </c>
      <c r="BE81" t="n">
        <v>0</v>
      </c>
      <c r="BF81" t="n">
        <v>6088310.5975677</v>
      </c>
      <c r="BG81" t="n">
        <v>0</v>
      </c>
      <c r="BH81" t="n">
        <v>0</v>
      </c>
      <c r="BI81" t="n">
        <v>0</v>
      </c>
      <c r="BJ81" t="n">
        <v>0</v>
      </c>
      <c r="BK81" t="n">
        <v>-1287316.82668014</v>
      </c>
      <c r="BL81" t="n">
        <v>6548273.93460101</v>
      </c>
      <c r="BM81" t="n">
        <v>0</v>
      </c>
      <c r="BN81" t="n">
        <v>0</v>
      </c>
      <c r="BO81" t="n">
        <v>323833350.911556</v>
      </c>
      <c r="BP81" t="n">
        <v>-658926.459302063</v>
      </c>
      <c r="BQ81" t="n">
        <v>0</v>
      </c>
      <c r="BR81" t="n">
        <v>0</v>
      </c>
      <c r="BS81" t="n">
        <v>0</v>
      </c>
      <c r="BT81" t="n">
        <v>0</v>
      </c>
      <c r="BU81" t="n">
        <v>875684276.041523</v>
      </c>
      <c r="BV81" t="n">
        <v>-55354076.7740291</v>
      </c>
      <c r="BW81" t="n">
        <v>-2410348473.15233</v>
      </c>
      <c r="BX81" t="n">
        <v>0</v>
      </c>
      <c r="BY81" t="n">
        <v>-11237381.9845259</v>
      </c>
      <c r="BZ81" t="n">
        <v>45386311.8733102</v>
      </c>
      <c r="CA81" t="n">
        <v>462016897.006667</v>
      </c>
      <c r="CB81" t="n">
        <v>0</v>
      </c>
      <c r="CC81" t="n">
        <v>0</v>
      </c>
      <c r="CD81" t="n">
        <v>-73292.3889758743</v>
      </c>
      <c r="CE81" t="n">
        <v>0</v>
      </c>
      <c r="CF81" t="n">
        <v>0</v>
      </c>
      <c r="CG81" t="n">
        <v>0</v>
      </c>
      <c r="CH81" t="n">
        <v>-10132672.7759146</v>
      </c>
      <c r="CI81" t="n">
        <v>604662.209050963</v>
      </c>
      <c r="CJ81" t="n">
        <v>0</v>
      </c>
      <c r="CK81" t="n">
        <v>0</v>
      </c>
      <c r="CL81" t="n">
        <v>42331444.6463479</v>
      </c>
      <c r="CM81" t="n">
        <v>-175815224.685363</v>
      </c>
      <c r="CN81" t="n">
        <v>0</v>
      </c>
    </row>
    <row r="82">
      <c r="A82" t="s">
        <v>193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-2409242430.5894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1372893133.18225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225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52124548.4718515</v>
      </c>
      <c r="C10" t="n">
        <v>126407.80130845</v>
      </c>
      <c r="D10" t="n">
        <v>0</v>
      </c>
      <c r="E10" t="n">
        <v>14040.9832639991</v>
      </c>
      <c r="F10" t="n">
        <v>436.076493261538</v>
      </c>
      <c r="G10" t="n">
        <v>0</v>
      </c>
      <c r="H10" t="n">
        <v>3353691.73166616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2262547.51027648</v>
      </c>
      <c r="T10" t="n">
        <v>376341554.118541</v>
      </c>
      <c r="U10" t="n">
        <v>3039837.90528142</v>
      </c>
      <c r="V10" t="n">
        <v>0</v>
      </c>
      <c r="W10" t="n">
        <v>0</v>
      </c>
      <c r="X10" t="n">
        <v>0</v>
      </c>
      <c r="Y10" t="n">
        <v>0</v>
      </c>
      <c r="Z10" t="n">
        <v>47654604.5622029</v>
      </c>
      <c r="AA10" t="n">
        <v>0</v>
      </c>
      <c r="AB10" t="n">
        <v>2221310.57072446</v>
      </c>
      <c r="AC10" t="n">
        <v>2461754.34912581</v>
      </c>
      <c r="AD10" t="n">
        <v>4106879.0845992</v>
      </c>
      <c r="AE10" t="n">
        <v>385887.058477403</v>
      </c>
      <c r="AF10" t="n">
        <v>1331136.73549604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113096.713188399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2287.34511724211</v>
      </c>
      <c r="AT10" t="n">
        <v>0</v>
      </c>
      <c r="AU10" t="n">
        <v>0</v>
      </c>
      <c r="AV10" t="n">
        <v>0</v>
      </c>
      <c r="AW10" t="n">
        <v>0</v>
      </c>
      <c r="AX10" t="n">
        <v>9147.88623082165</v>
      </c>
      <c r="AY10" t="n">
        <v>0</v>
      </c>
      <c r="AZ10" t="n">
        <v>2781.97787837054</v>
      </c>
      <c r="BA10" t="n">
        <v>0</v>
      </c>
      <c r="BB10" t="n">
        <v>4049768.74417115</v>
      </c>
      <c r="BC10" t="n">
        <v>103341.555942086</v>
      </c>
      <c r="BD10" t="n">
        <v>6040255.52212585</v>
      </c>
      <c r="BE10" t="n">
        <v>0</v>
      </c>
      <c r="BF10" t="n">
        <v>1992149.55931508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2790136.1141359</v>
      </c>
      <c r="BM10" t="n">
        <v>154184.631270365</v>
      </c>
      <c r="BN10" t="n">
        <v>37843807.4794394</v>
      </c>
      <c r="BO10" t="n">
        <v>67826.6913873069</v>
      </c>
      <c r="BP10" t="n">
        <v>64874.0902621381</v>
      </c>
      <c r="BQ10" t="n">
        <v>30262.1446797535</v>
      </c>
      <c r="BR10" t="n">
        <v>0</v>
      </c>
      <c r="BS10" t="n">
        <v>15525756.0094566</v>
      </c>
      <c r="BT10" t="n">
        <v>0</v>
      </c>
      <c r="BU10" t="n">
        <v>427341176.234989</v>
      </c>
      <c r="BV10" t="n">
        <v>0</v>
      </c>
      <c r="BW10" t="n">
        <v>0</v>
      </c>
      <c r="BX10" t="n">
        <v>0</v>
      </c>
      <c r="BY10" t="n">
        <v>0</v>
      </c>
      <c r="BZ10" t="n">
        <v>-32239403.0353435</v>
      </c>
      <c r="CA10" t="n">
        <v>45735469.9081381</v>
      </c>
      <c r="CB10" t="n">
        <v>-414028818.587794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16525309.6800816</v>
      </c>
      <c r="C11" t="n">
        <v>1724235.83175318</v>
      </c>
      <c r="D11" t="n">
        <v>0</v>
      </c>
      <c r="E11" t="n">
        <v>66561.5536645458</v>
      </c>
      <c r="F11" t="n">
        <v>0</v>
      </c>
      <c r="G11" t="n">
        <v>0</v>
      </c>
      <c r="H11" t="n">
        <v>0</v>
      </c>
      <c r="I11" t="n">
        <v>7089776.09080813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390992.778006495</v>
      </c>
      <c r="S11" t="n">
        <v>4938461.60871299</v>
      </c>
      <c r="T11" t="n">
        <v>43711148.5722127</v>
      </c>
      <c r="U11" t="n">
        <v>0</v>
      </c>
      <c r="V11" t="n">
        <v>108655.277762442</v>
      </c>
      <c r="W11" t="n">
        <v>6139321.75511392</v>
      </c>
      <c r="X11" t="n">
        <v>201834.892618819</v>
      </c>
      <c r="Y11" t="n">
        <v>0</v>
      </c>
      <c r="Z11" t="n">
        <v>3273439.28657186</v>
      </c>
      <c r="AA11" t="n">
        <v>9214335.26920778</v>
      </c>
      <c r="AB11" t="n">
        <v>0</v>
      </c>
      <c r="AC11" t="n">
        <v>0</v>
      </c>
      <c r="AD11" t="n">
        <v>9867226.5761547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8974.18983008478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1354582.21860879</v>
      </c>
      <c r="BC11" t="n">
        <v>101687.63434399</v>
      </c>
      <c r="BD11" t="n">
        <v>22079.672801636</v>
      </c>
      <c r="BE11" t="n">
        <v>0</v>
      </c>
      <c r="BF11" t="n">
        <v>1091289.36818937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2394017.20690171</v>
      </c>
      <c r="BM11" t="n">
        <v>2864483.7414211</v>
      </c>
      <c r="BN11" t="n">
        <v>54175865.6506747</v>
      </c>
      <c r="BO11" t="n">
        <v>870784.345940623</v>
      </c>
      <c r="BP11" t="n">
        <v>0</v>
      </c>
      <c r="BQ11" t="n">
        <v>81564.8790127686</v>
      </c>
      <c r="BR11" t="n">
        <v>80575.4268237279</v>
      </c>
      <c r="BS11" t="n">
        <v>20759221.5654344</v>
      </c>
      <c r="BT11" t="n">
        <v>0</v>
      </c>
      <c r="BU11" t="n">
        <v>45345809.1667405</v>
      </c>
      <c r="BV11" t="n">
        <v>0</v>
      </c>
      <c r="BW11" t="n">
        <v>0</v>
      </c>
      <c r="BX11" t="n">
        <v>0</v>
      </c>
      <c r="BY11" t="n">
        <v>0</v>
      </c>
      <c r="BZ11" t="n">
        <v>2681590.83617192</v>
      </c>
      <c r="CA11" t="n">
        <v>12880385.6940987</v>
      </c>
      <c r="CB11" t="n">
        <v>-169875708.603533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0</v>
      </c>
      <c r="E12" t="n">
        <v>0</v>
      </c>
      <c r="F12" t="n">
        <v>320.607316534947</v>
      </c>
      <c r="G12" t="n">
        <v>36470217.506398</v>
      </c>
      <c r="H12" t="n">
        <v>0</v>
      </c>
      <c r="I12" t="n">
        <v>2877.99172624742</v>
      </c>
      <c r="J12" t="n">
        <v>327.314543597536</v>
      </c>
      <c r="K12" t="n">
        <v>2399.99727825923</v>
      </c>
      <c r="L12" t="n">
        <v>0</v>
      </c>
      <c r="M12" t="n">
        <v>0</v>
      </c>
      <c r="N12" t="n">
        <v>0</v>
      </c>
      <c r="O12" t="n">
        <v>0</v>
      </c>
      <c r="P12" t="n">
        <v>274.273007280702</v>
      </c>
      <c r="Q12" t="n">
        <v>0</v>
      </c>
      <c r="R12" t="n">
        <v>0</v>
      </c>
      <c r="S12" t="n">
        <v>0</v>
      </c>
      <c r="T12" t="n">
        <v>593.963180288801</v>
      </c>
      <c r="U12" t="n">
        <v>0</v>
      </c>
      <c r="V12" t="n">
        <v>0</v>
      </c>
      <c r="W12" t="n">
        <v>8039.41577913167</v>
      </c>
      <c r="X12" t="n">
        <v>1195.54585609946</v>
      </c>
      <c r="Y12" t="n">
        <v>159112347.781418</v>
      </c>
      <c r="Z12" t="n">
        <v>6967487.7763081</v>
      </c>
      <c r="AA12" t="n">
        <v>0</v>
      </c>
      <c r="AB12" t="n">
        <v>13693.1440452511</v>
      </c>
      <c r="AC12" t="n">
        <v>15031.0019667089</v>
      </c>
      <c r="AD12" t="n">
        <v>0</v>
      </c>
      <c r="AE12" t="n">
        <v>1027.90402505397</v>
      </c>
      <c r="AF12" t="n">
        <v>25167.6805547712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66481.4672936446</v>
      </c>
      <c r="AM12" t="n">
        <v>0</v>
      </c>
      <c r="AN12" t="n">
        <v>308871.378762367</v>
      </c>
      <c r="AO12" t="n">
        <v>196955.06113359</v>
      </c>
      <c r="AP12" t="n">
        <v>0</v>
      </c>
      <c r="AQ12" t="n">
        <v>23622.2209017015</v>
      </c>
      <c r="AR12" t="n">
        <v>27932.8577175022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88946.5554951582</v>
      </c>
      <c r="AY12" t="n">
        <v>0</v>
      </c>
      <c r="AZ12" t="n">
        <v>0</v>
      </c>
      <c r="BA12" t="n">
        <v>1046.51939848168</v>
      </c>
      <c r="BB12" t="n">
        <v>16114.5860974379</v>
      </c>
      <c r="BC12" t="n">
        <v>20175.6796095892</v>
      </c>
      <c r="BD12" t="n">
        <v>0</v>
      </c>
      <c r="BE12" t="n">
        <v>15792.2891343563</v>
      </c>
      <c r="BF12" t="n">
        <v>1998203.38559629</v>
      </c>
      <c r="BG12" t="n">
        <v>1341.38450646528</v>
      </c>
      <c r="BH12" t="n">
        <v>0</v>
      </c>
      <c r="BI12" t="n">
        <v>2117.30042969536</v>
      </c>
      <c r="BJ12" t="n">
        <v>0</v>
      </c>
      <c r="BK12" t="n">
        <v>0</v>
      </c>
      <c r="BL12" t="n">
        <v>121731.988353408</v>
      </c>
      <c r="BM12" t="n">
        <v>828.706130856777</v>
      </c>
      <c r="BN12" t="n">
        <v>1154.4422682861</v>
      </c>
      <c r="BO12" t="n">
        <v>27358.5757453206</v>
      </c>
      <c r="BP12" t="n">
        <v>0</v>
      </c>
      <c r="BQ12" t="n">
        <v>0</v>
      </c>
      <c r="BR12" t="n">
        <v>1079698.26046717</v>
      </c>
      <c r="BS12" t="n">
        <v>0</v>
      </c>
      <c r="BT12" t="n">
        <v>17263778.4661566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1196119.36657317</v>
      </c>
      <c r="CA12" t="n">
        <v>18734015.7791841</v>
      </c>
      <c r="CB12" t="n">
        <v>-178021535.382372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1412971.45006052</v>
      </c>
      <c r="C13" t="n">
        <v>0</v>
      </c>
      <c r="D13" t="n">
        <v>0</v>
      </c>
      <c r="E13" t="n">
        <v>8091722.48068943</v>
      </c>
      <c r="F13" t="n">
        <v>6488.44434802508</v>
      </c>
      <c r="G13" t="n">
        <v>34043472.7277302</v>
      </c>
      <c r="H13" t="n">
        <v>61517114.535484</v>
      </c>
      <c r="I13" t="n">
        <v>8235.18869512509</v>
      </c>
      <c r="J13" t="n">
        <v>15482152.7353489</v>
      </c>
      <c r="K13" t="n">
        <v>33439240.8987485</v>
      </c>
      <c r="L13" t="n">
        <v>5678560.58400052</v>
      </c>
      <c r="M13" t="n">
        <v>552270.718967293</v>
      </c>
      <c r="N13" t="n">
        <v>31141.2647653686</v>
      </c>
      <c r="O13" t="n">
        <v>1252942.04448056</v>
      </c>
      <c r="P13" t="n">
        <v>128845.609185854</v>
      </c>
      <c r="Q13" t="n">
        <v>3159682.35779608</v>
      </c>
      <c r="R13" t="n">
        <v>37296.8168346028</v>
      </c>
      <c r="S13" t="n">
        <v>1667124.25775716</v>
      </c>
      <c r="T13" t="n">
        <v>4027967.60382385</v>
      </c>
      <c r="U13" t="n">
        <v>135242.231414187</v>
      </c>
      <c r="V13" t="n">
        <v>0</v>
      </c>
      <c r="W13" t="n">
        <v>4988064.3596825</v>
      </c>
      <c r="X13" t="n">
        <v>0</v>
      </c>
      <c r="Y13" t="n">
        <v>1605330.88673094</v>
      </c>
      <c r="Z13" t="n">
        <v>38900504.9208756</v>
      </c>
      <c r="AA13" t="n">
        <v>399715.95622589</v>
      </c>
      <c r="AB13" t="n">
        <v>132361.13341868</v>
      </c>
      <c r="AC13" t="n">
        <v>0</v>
      </c>
      <c r="AD13" t="n">
        <v>0</v>
      </c>
      <c r="AE13" t="n">
        <v>0</v>
      </c>
      <c r="AF13" t="n">
        <v>16058.5946384447</v>
      </c>
      <c r="AG13" t="n">
        <v>0</v>
      </c>
      <c r="AH13" t="n">
        <v>167740.666801891</v>
      </c>
      <c r="AI13" t="n">
        <v>0</v>
      </c>
      <c r="AJ13" t="n">
        <v>14163.6030782321</v>
      </c>
      <c r="AK13" t="n">
        <v>8045.29470890244</v>
      </c>
      <c r="AL13" t="n">
        <v>0</v>
      </c>
      <c r="AM13" t="n">
        <v>4143.49314144219</v>
      </c>
      <c r="AN13" t="n">
        <v>10056.1010400732</v>
      </c>
      <c r="AO13" t="n">
        <v>65006.2790156689</v>
      </c>
      <c r="AP13" t="n">
        <v>135408.470522356</v>
      </c>
      <c r="AQ13" t="n">
        <v>2702718.7142136</v>
      </c>
      <c r="AR13" t="n">
        <v>1911438.17720905</v>
      </c>
      <c r="AS13" t="n">
        <v>0</v>
      </c>
      <c r="AT13" t="n">
        <v>0</v>
      </c>
      <c r="AU13" t="n">
        <v>0</v>
      </c>
      <c r="AV13" t="n">
        <v>0</v>
      </c>
      <c r="AW13" t="n">
        <v>29875.224398754</v>
      </c>
      <c r="AX13" t="n">
        <v>0</v>
      </c>
      <c r="AY13" t="n">
        <v>0</v>
      </c>
      <c r="AZ13" t="n">
        <v>0</v>
      </c>
      <c r="BA13" t="n">
        <v>0</v>
      </c>
      <c r="BB13" t="n">
        <v>8319238.99682742</v>
      </c>
      <c r="BC13" t="n">
        <v>250972.139492441</v>
      </c>
      <c r="BD13" t="n">
        <v>4273962.84071596</v>
      </c>
      <c r="BE13" t="n">
        <v>320160.870637278</v>
      </c>
      <c r="BF13" t="n">
        <v>4533943.65423645</v>
      </c>
      <c r="BG13" t="n">
        <v>0</v>
      </c>
      <c r="BH13" t="n">
        <v>106456.992636885</v>
      </c>
      <c r="BI13" t="n">
        <v>304168.808652776</v>
      </c>
      <c r="BJ13" t="n">
        <v>1001140.4243429</v>
      </c>
      <c r="BK13" t="n">
        <v>1062454.03776242</v>
      </c>
      <c r="BL13" t="n">
        <v>3699115.45613173</v>
      </c>
      <c r="BM13" t="n">
        <v>538039.32090339</v>
      </c>
      <c r="BN13" t="n">
        <v>3761352.25445746</v>
      </c>
      <c r="BO13" t="n">
        <v>6294144.68506392</v>
      </c>
      <c r="BP13" t="n">
        <v>0</v>
      </c>
      <c r="BQ13" t="n">
        <v>6737783.04969232</v>
      </c>
      <c r="BR13" t="n">
        <v>0</v>
      </c>
      <c r="BS13" t="n">
        <v>17297749.8609559</v>
      </c>
      <c r="BT13" t="n">
        <v>16300339.095451</v>
      </c>
      <c r="BU13" t="n">
        <v>750325.002091392</v>
      </c>
      <c r="BV13" t="n">
        <v>0</v>
      </c>
      <c r="BW13" t="n">
        <v>106832.127776369</v>
      </c>
      <c r="BX13" t="n">
        <v>0</v>
      </c>
      <c r="BY13" t="n">
        <v>0</v>
      </c>
      <c r="BZ13" t="n">
        <v>1961216.22674577</v>
      </c>
      <c r="CA13" t="n">
        <v>20078669.310188</v>
      </c>
      <c r="CB13" t="n">
        <v>-55097742.414284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0</v>
      </c>
      <c r="E14" t="n">
        <v>237184.689481098</v>
      </c>
      <c r="F14" t="n">
        <v>22562.4494553607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22281.3126537787</v>
      </c>
      <c r="BC14" t="n">
        <v>3120.19194527123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15014000.2779329</v>
      </c>
      <c r="BW14" t="n">
        <v>27648.957327953</v>
      </c>
      <c r="BX14" t="n">
        <v>0</v>
      </c>
      <c r="BY14" t="n">
        <v>0</v>
      </c>
      <c r="BZ14" t="n">
        <v>-767.070578492641</v>
      </c>
      <c r="CA14" t="n">
        <v>3774562.25674106</v>
      </c>
      <c r="CB14" t="n">
        <v>-125407.535827242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5680615.63398206</v>
      </c>
      <c r="C15" t="n">
        <v>13778.6408654092</v>
      </c>
      <c r="D15" t="n">
        <v>0</v>
      </c>
      <c r="E15" t="n">
        <v>2950454.87240369</v>
      </c>
      <c r="F15" t="n">
        <v>17681.4157035285</v>
      </c>
      <c r="G15" t="n">
        <v>106925384.337725</v>
      </c>
      <c r="H15" t="n">
        <v>19560772.0029137</v>
      </c>
      <c r="I15" t="n">
        <v>971865.397115863</v>
      </c>
      <c r="J15" t="n">
        <v>3371691.64657799</v>
      </c>
      <c r="K15" t="n">
        <v>10492773.8037685</v>
      </c>
      <c r="L15" t="n">
        <v>30178941.1834566</v>
      </c>
      <c r="M15" t="n">
        <v>6445257.15769447</v>
      </c>
      <c r="N15" t="n">
        <v>2830657.11841953</v>
      </c>
      <c r="O15" t="n">
        <v>4663744.88010359</v>
      </c>
      <c r="P15" t="n">
        <v>2272733.0515291</v>
      </c>
      <c r="Q15" t="n">
        <v>57040827.9474871</v>
      </c>
      <c r="R15" t="n">
        <v>966696.703782955</v>
      </c>
      <c r="S15" t="n">
        <v>6747416.9576668</v>
      </c>
      <c r="T15" t="n">
        <v>14170679.7938619</v>
      </c>
      <c r="U15" t="n">
        <v>1780179.70132655</v>
      </c>
      <c r="V15" t="n">
        <v>29028.2736836146</v>
      </c>
      <c r="W15" t="n">
        <v>11687958.9674233</v>
      </c>
      <c r="X15" t="n">
        <v>3827943.76322404</v>
      </c>
      <c r="Y15" t="n">
        <v>1818644.83201545</v>
      </c>
      <c r="Z15" t="n">
        <v>46440517.2234624</v>
      </c>
      <c r="AA15" t="n">
        <v>9112253.53355201</v>
      </c>
      <c r="AB15" t="n">
        <v>44655670.6778282</v>
      </c>
      <c r="AC15" t="n">
        <v>14276408.0652898</v>
      </c>
      <c r="AD15" t="n">
        <v>43503778.9261736</v>
      </c>
      <c r="AE15" t="n">
        <v>21605008.8627614</v>
      </c>
      <c r="AF15" t="n">
        <v>47385161.5574705</v>
      </c>
      <c r="AG15" t="n">
        <v>1083981.83841734</v>
      </c>
      <c r="AH15" t="n">
        <v>54687.8366190978</v>
      </c>
      <c r="AI15" t="n">
        <v>634950.871693041</v>
      </c>
      <c r="AJ15" t="n">
        <v>5861445.00336722</v>
      </c>
      <c r="AK15" t="n">
        <v>2051680.26640519</v>
      </c>
      <c r="AL15" t="n">
        <v>9646527.02006802</v>
      </c>
      <c r="AM15" t="n">
        <v>3429034.798975</v>
      </c>
      <c r="AN15" t="n">
        <v>7103413.20413322</v>
      </c>
      <c r="AO15" t="n">
        <v>1823647.88756513</v>
      </c>
      <c r="AP15" t="n">
        <v>2119181.43303213</v>
      </c>
      <c r="AQ15" t="n">
        <v>33850187.1212251</v>
      </c>
      <c r="AR15" t="n">
        <v>5596714.21001801</v>
      </c>
      <c r="AS15" t="n">
        <v>8052770.28571834</v>
      </c>
      <c r="AT15" t="n">
        <v>13180965.0275063</v>
      </c>
      <c r="AU15" t="n">
        <v>5795582.52029346</v>
      </c>
      <c r="AV15" t="n">
        <v>210452.753961207</v>
      </c>
      <c r="AW15" t="n">
        <v>670333.692389327</v>
      </c>
      <c r="AX15" t="n">
        <v>69093453.949349</v>
      </c>
      <c r="AY15" t="n">
        <v>9358586.66014617</v>
      </c>
      <c r="AZ15" t="n">
        <v>1950415.21574461</v>
      </c>
      <c r="BA15" t="n">
        <v>2381627.44362369</v>
      </c>
      <c r="BB15" t="n">
        <v>19031903.0795975</v>
      </c>
      <c r="BC15" t="n">
        <v>23376051.709902</v>
      </c>
      <c r="BD15" t="n">
        <v>9422117.79162363</v>
      </c>
      <c r="BE15" t="n">
        <v>5423063.35153935</v>
      </c>
      <c r="BF15" t="n">
        <v>35475594.9539741</v>
      </c>
      <c r="BG15" t="n">
        <v>15082480.9900025</v>
      </c>
      <c r="BH15" t="n">
        <v>27223932.2633918</v>
      </c>
      <c r="BI15" t="n">
        <v>21102426.5398472</v>
      </c>
      <c r="BJ15" t="n">
        <v>5311539.91313466</v>
      </c>
      <c r="BK15" t="n">
        <v>2561042.81506496</v>
      </c>
      <c r="BL15" t="n">
        <v>11103962.4706679</v>
      </c>
      <c r="BM15" t="n">
        <v>13525687.7549039</v>
      </c>
      <c r="BN15" t="n">
        <v>60864684.3757049</v>
      </c>
      <c r="BO15" t="n">
        <v>23029967.4666645</v>
      </c>
      <c r="BP15" t="n">
        <v>8686788.3821953</v>
      </c>
      <c r="BQ15" t="n">
        <v>2399329.36440654</v>
      </c>
      <c r="BR15" t="n">
        <v>4559641.72964429</v>
      </c>
      <c r="BS15" t="n">
        <v>72614957.4197043</v>
      </c>
      <c r="BT15" t="n">
        <v>7009184.06467201</v>
      </c>
      <c r="BU15" t="n">
        <v>863463715.193339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53891052.3108611</v>
      </c>
      <c r="CB15" t="n">
        <v>-24711693.3556244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3732985.4049542</v>
      </c>
      <c r="C16" t="n">
        <v>20815.1978154485</v>
      </c>
      <c r="D16" t="n">
        <v>0</v>
      </c>
      <c r="E16" t="n">
        <v>9604451.80059395</v>
      </c>
      <c r="F16" t="n">
        <v>247412.211710879</v>
      </c>
      <c r="G16" t="n">
        <v>81402920.413347</v>
      </c>
      <c r="H16" t="n">
        <v>2394558.21289268</v>
      </c>
      <c r="I16" t="n">
        <v>702300.130465304</v>
      </c>
      <c r="J16" t="n">
        <v>3001319.96464475</v>
      </c>
      <c r="K16" t="n">
        <v>8697117.52437909</v>
      </c>
      <c r="L16" t="n">
        <v>34658109.6988637</v>
      </c>
      <c r="M16" t="n">
        <v>9288791.70178136</v>
      </c>
      <c r="N16" t="n">
        <v>3898750.62960982</v>
      </c>
      <c r="O16" t="n">
        <v>3973942.93498546</v>
      </c>
      <c r="P16" t="n">
        <v>2353702.82218635</v>
      </c>
      <c r="Q16" t="n">
        <v>33598237.2326157</v>
      </c>
      <c r="R16" t="n">
        <v>838862.560058022</v>
      </c>
      <c r="S16" t="n">
        <v>9365797.2434134</v>
      </c>
      <c r="T16" t="n">
        <v>12620366.8066608</v>
      </c>
      <c r="U16" t="n">
        <v>897949.398068216</v>
      </c>
      <c r="V16" t="n">
        <v>24950.6185855164</v>
      </c>
      <c r="W16" t="n">
        <v>8835317.9412657</v>
      </c>
      <c r="X16" t="n">
        <v>3958371.07349642</v>
      </c>
      <c r="Y16" t="n">
        <v>9974510.82999314</v>
      </c>
      <c r="Z16" t="n">
        <v>27981250.2491827</v>
      </c>
      <c r="AA16" t="n">
        <v>5921065.78937063</v>
      </c>
      <c r="AB16" t="n">
        <v>44420310.7360316</v>
      </c>
      <c r="AC16" t="n">
        <v>17285796.1620227</v>
      </c>
      <c r="AD16" t="n">
        <v>18180251.0399993</v>
      </c>
      <c r="AE16" t="n">
        <v>21289306.2071629</v>
      </c>
      <c r="AF16" t="n">
        <v>41516673.5004042</v>
      </c>
      <c r="AG16" t="n">
        <v>985361.243848511</v>
      </c>
      <c r="AH16" t="n">
        <v>7497414.80102195</v>
      </c>
      <c r="AI16" t="n">
        <v>677157.033314002</v>
      </c>
      <c r="AJ16" t="n">
        <v>2725074.21103959</v>
      </c>
      <c r="AK16" t="n">
        <v>9932199.64664311</v>
      </c>
      <c r="AL16" t="n">
        <v>24147043.100568</v>
      </c>
      <c r="AM16" t="n">
        <v>11325427.565567</v>
      </c>
      <c r="AN16" t="n">
        <v>9855458.6343192</v>
      </c>
      <c r="AO16" t="n">
        <v>1167761.42886465</v>
      </c>
      <c r="AP16" t="n">
        <v>1338065.39047941</v>
      </c>
      <c r="AQ16" t="n">
        <v>51338069.1390417</v>
      </c>
      <c r="AR16" t="n">
        <v>5675354.76416365</v>
      </c>
      <c r="AS16" t="n">
        <v>57037029.0600185</v>
      </c>
      <c r="AT16" t="n">
        <v>70387459.7713507</v>
      </c>
      <c r="AU16" t="n">
        <v>28915115.2127742</v>
      </c>
      <c r="AV16" t="n">
        <v>39088.3190883191</v>
      </c>
      <c r="AW16" t="n">
        <v>1135480822.39554</v>
      </c>
      <c r="AX16" t="n">
        <v>324004543.878926</v>
      </c>
      <c r="AY16" t="n">
        <v>24414088.4856344</v>
      </c>
      <c r="AZ16" t="n">
        <v>2227094.75737659</v>
      </c>
      <c r="BA16" t="n">
        <v>874334.338571033</v>
      </c>
      <c r="BB16" t="n">
        <v>30048161.1443259</v>
      </c>
      <c r="BC16" t="n">
        <v>14414783.4469972</v>
      </c>
      <c r="BD16" t="n">
        <v>10719681.1451943</v>
      </c>
      <c r="BE16" t="n">
        <v>2116288.99933494</v>
      </c>
      <c r="BF16" t="n">
        <v>50048398.1367402</v>
      </c>
      <c r="BG16" t="n">
        <v>10473561.7761973</v>
      </c>
      <c r="BH16" t="n">
        <v>16421708.5863627</v>
      </c>
      <c r="BI16" t="n">
        <v>14631960.5568445</v>
      </c>
      <c r="BJ16" t="n">
        <v>9662481.62065022</v>
      </c>
      <c r="BK16" t="n">
        <v>2257337.25241799</v>
      </c>
      <c r="BL16" t="n">
        <v>7734281.15975033</v>
      </c>
      <c r="BM16" t="n">
        <v>25600156.0086421</v>
      </c>
      <c r="BN16" t="n">
        <v>28732589.935983</v>
      </c>
      <c r="BO16" t="n">
        <v>46348917.0558988</v>
      </c>
      <c r="BP16" t="n">
        <v>84503094.51793</v>
      </c>
      <c r="BQ16" t="n">
        <v>3571848.87600134</v>
      </c>
      <c r="BR16" t="n">
        <v>4309976.58621191</v>
      </c>
      <c r="BS16" t="n">
        <v>434487596.707754</v>
      </c>
      <c r="BT16" t="n">
        <v>430950208.519773</v>
      </c>
      <c r="BU16" t="n">
        <v>0</v>
      </c>
      <c r="BV16" t="n">
        <v>4582083891.22241</v>
      </c>
      <c r="BW16" t="n">
        <v>0</v>
      </c>
      <c r="BX16" t="n">
        <v>0</v>
      </c>
      <c r="BY16" t="n">
        <v>7904216976.40699</v>
      </c>
      <c r="BZ16" t="n">
        <v>0</v>
      </c>
      <c r="CA16" t="n">
        <v>904443.339875818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28371971.154586</v>
      </c>
      <c r="CI16" t="n">
        <v>0</v>
      </c>
      <c r="CJ16" t="n">
        <v>0</v>
      </c>
      <c r="CK16" t="n">
        <v>0</v>
      </c>
      <c r="CL16" t="n">
        <v>3190978807.7909</v>
      </c>
      <c r="CM16" t="n">
        <v>0</v>
      </c>
      <c r="CN16" t="n">
        <v>0</v>
      </c>
    </row>
    <row r="17">
      <c r="A17" t="s">
        <v>128</v>
      </c>
      <c r="B17" t="n">
        <v>475226.498203731</v>
      </c>
      <c r="C17" t="n">
        <v>20242.9063631657</v>
      </c>
      <c r="D17" t="n">
        <v>0</v>
      </c>
      <c r="E17" t="n">
        <v>148825.505290396</v>
      </c>
      <c r="F17" t="n">
        <v>10546.5471969848</v>
      </c>
      <c r="G17" t="n">
        <v>22799.6183292525</v>
      </c>
      <c r="H17" t="n">
        <v>153620764.379295</v>
      </c>
      <c r="I17" t="n">
        <v>23711206.4744477</v>
      </c>
      <c r="J17" t="n">
        <v>214876.411646669</v>
      </c>
      <c r="K17" t="n">
        <v>1201252.11669696</v>
      </c>
      <c r="L17" t="n">
        <v>2078916.36815328</v>
      </c>
      <c r="M17" t="n">
        <v>3732533.87505941</v>
      </c>
      <c r="N17" t="n">
        <v>684114.195090688</v>
      </c>
      <c r="O17" t="n">
        <v>4959305.03412486</v>
      </c>
      <c r="P17" t="n">
        <v>3526400.47476109</v>
      </c>
      <c r="Q17" t="n">
        <v>6568695.62333842</v>
      </c>
      <c r="R17" t="n">
        <v>18061577.4199721</v>
      </c>
      <c r="S17" t="n">
        <v>14668949.479711</v>
      </c>
      <c r="T17" t="n">
        <v>908711.322976365</v>
      </c>
      <c r="U17" t="n">
        <v>266718.252696241</v>
      </c>
      <c r="V17" t="n">
        <v>0</v>
      </c>
      <c r="W17" t="n">
        <v>13715358.6722501</v>
      </c>
      <c r="X17" t="n">
        <v>12331.3740607365</v>
      </c>
      <c r="Y17" t="n">
        <v>0</v>
      </c>
      <c r="Z17" t="n">
        <v>1350104.65471226</v>
      </c>
      <c r="AA17" t="n">
        <v>5881177.47980656</v>
      </c>
      <c r="AB17" t="n">
        <v>25528479.3872396</v>
      </c>
      <c r="AC17" t="n">
        <v>626503.392816394</v>
      </c>
      <c r="AD17" t="n">
        <v>3688385.31931128</v>
      </c>
      <c r="AE17" t="n">
        <v>572568.472832494</v>
      </c>
      <c r="AF17" t="n">
        <v>3789245.44664339</v>
      </c>
      <c r="AG17" t="n">
        <v>0</v>
      </c>
      <c r="AH17" t="n">
        <v>2662890.42261085</v>
      </c>
      <c r="AI17" t="n">
        <v>0</v>
      </c>
      <c r="AJ17" t="n">
        <v>296811.656696509</v>
      </c>
      <c r="AK17" t="n">
        <v>0</v>
      </c>
      <c r="AL17" t="n">
        <v>117548.174383978</v>
      </c>
      <c r="AM17" t="n">
        <v>175042.554237525</v>
      </c>
      <c r="AN17" t="n">
        <v>602891.416381549</v>
      </c>
      <c r="AO17" t="n">
        <v>132236.539687691</v>
      </c>
      <c r="AP17" t="n">
        <v>580900.165164611</v>
      </c>
      <c r="AQ17" t="n">
        <v>6382958.97194289</v>
      </c>
      <c r="AR17" t="n">
        <v>2706195.3199656</v>
      </c>
      <c r="AS17" t="n">
        <v>1203244.40950727</v>
      </c>
      <c r="AT17" t="n">
        <v>131024.597784982</v>
      </c>
      <c r="AU17" t="n">
        <v>0</v>
      </c>
      <c r="AV17" t="n">
        <v>0</v>
      </c>
      <c r="AW17" t="n">
        <v>121498.223638105</v>
      </c>
      <c r="AX17" t="n">
        <v>20975778.6853287</v>
      </c>
      <c r="AY17" t="n">
        <v>4665140.21886896</v>
      </c>
      <c r="AZ17" t="n">
        <v>79004.9670989233</v>
      </c>
      <c r="BA17" t="n">
        <v>202716.56028247</v>
      </c>
      <c r="BB17" t="n">
        <v>4044567.99755082</v>
      </c>
      <c r="BC17" t="n">
        <v>27390.512888766</v>
      </c>
      <c r="BD17" t="n">
        <v>4316137.28335301</v>
      </c>
      <c r="BE17" t="n">
        <v>203051.70019391</v>
      </c>
      <c r="BF17" t="n">
        <v>407566.224604762</v>
      </c>
      <c r="BG17" t="n">
        <v>2335299.46861583</v>
      </c>
      <c r="BH17" t="n">
        <v>2777429.47448965</v>
      </c>
      <c r="BI17" t="n">
        <v>50156.4994490545</v>
      </c>
      <c r="BJ17" t="n">
        <v>4000387.58611685</v>
      </c>
      <c r="BK17" t="n">
        <v>26698.3359143705</v>
      </c>
      <c r="BL17" t="n">
        <v>898645.393132815</v>
      </c>
      <c r="BM17" t="n">
        <v>3962023.32420424</v>
      </c>
      <c r="BN17" t="n">
        <v>4579656.10582004</v>
      </c>
      <c r="BO17" t="n">
        <v>2026791.757852</v>
      </c>
      <c r="BP17" t="n">
        <v>111398.26835696</v>
      </c>
      <c r="BQ17" t="n">
        <v>105808.552481226</v>
      </c>
      <c r="BR17" t="n">
        <v>10006.0500467878</v>
      </c>
      <c r="BS17" t="n">
        <v>14175832.4124091</v>
      </c>
      <c r="BT17" t="n">
        <v>936010.25012785</v>
      </c>
      <c r="BU17" t="n">
        <v>31006260.8801871</v>
      </c>
      <c r="BV17" t="n">
        <v>375296.799903399</v>
      </c>
      <c r="BW17" t="n">
        <v>0</v>
      </c>
      <c r="BX17" t="n">
        <v>0</v>
      </c>
      <c r="BY17" t="n">
        <v>29063343.8285538</v>
      </c>
      <c r="BZ17" t="n">
        <v>1194606.71518547</v>
      </c>
      <c r="CA17" t="n">
        <v>10547041.4843543</v>
      </c>
      <c r="CB17" t="n">
        <v>-157313367.770336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742507.091182691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15636.7016507099</v>
      </c>
      <c r="C18" t="n">
        <v>20624.579633441</v>
      </c>
      <c r="D18" t="n">
        <v>0</v>
      </c>
      <c r="E18" t="n">
        <v>451502.78250285</v>
      </c>
      <c r="F18" t="n">
        <v>39144.4820418844</v>
      </c>
      <c r="G18" t="n">
        <v>284517.175554101</v>
      </c>
      <c r="H18" t="n">
        <v>238583082.677101</v>
      </c>
      <c r="I18" t="n">
        <v>954866.348007804</v>
      </c>
      <c r="J18" t="n">
        <v>21729387.0704609</v>
      </c>
      <c r="K18" t="n">
        <v>8030721.45165216</v>
      </c>
      <c r="L18" t="n">
        <v>21674807.8203152</v>
      </c>
      <c r="M18" t="n">
        <v>9321087.77548137</v>
      </c>
      <c r="N18" t="n">
        <v>1125661.65257014</v>
      </c>
      <c r="O18" t="n">
        <v>18965587.5953263</v>
      </c>
      <c r="P18" t="n">
        <v>8732123.32961524</v>
      </c>
      <c r="Q18" t="n">
        <v>12592310.4217534</v>
      </c>
      <c r="R18" t="n">
        <v>1164700.13584023</v>
      </c>
      <c r="S18" t="n">
        <v>11325894.7523861</v>
      </c>
      <c r="T18" t="n">
        <v>11650147.7498184</v>
      </c>
      <c r="U18" t="n">
        <v>118259.572572711</v>
      </c>
      <c r="V18" t="n">
        <v>0</v>
      </c>
      <c r="W18" t="n">
        <v>1367617.17656098</v>
      </c>
      <c r="X18" t="n">
        <v>4159.47156451525</v>
      </c>
      <c r="Y18" t="n">
        <v>884578.883002684</v>
      </c>
      <c r="Z18" t="n">
        <v>8727288.31989803</v>
      </c>
      <c r="AA18" t="n">
        <v>6612371.1633202</v>
      </c>
      <c r="AB18" t="n">
        <v>492453.525176542</v>
      </c>
      <c r="AC18" t="n">
        <v>1486453.97729066</v>
      </c>
      <c r="AD18" t="n">
        <v>552516.339139086</v>
      </c>
      <c r="AE18" t="n">
        <v>1104294.10830436</v>
      </c>
      <c r="AF18" t="n">
        <v>3115256.25397904</v>
      </c>
      <c r="AG18" t="n">
        <v>0</v>
      </c>
      <c r="AH18" t="n">
        <v>19603.2051573851</v>
      </c>
      <c r="AI18" t="n">
        <v>0</v>
      </c>
      <c r="AJ18" t="n">
        <v>327012.968177465</v>
      </c>
      <c r="AK18" t="n">
        <v>0</v>
      </c>
      <c r="AL18" t="n">
        <v>0</v>
      </c>
      <c r="AM18" t="n">
        <v>57193.2329450698</v>
      </c>
      <c r="AN18" t="n">
        <v>589099.344372852</v>
      </c>
      <c r="AO18" t="n">
        <v>5587.1675742322</v>
      </c>
      <c r="AP18" t="n">
        <v>6182.74258607629</v>
      </c>
      <c r="AQ18" t="n">
        <v>31556324.4817987</v>
      </c>
      <c r="AR18" t="n">
        <v>2016516.04486263</v>
      </c>
      <c r="AS18" t="n">
        <v>188143.057003358</v>
      </c>
      <c r="AT18" t="n">
        <v>782905.060744818</v>
      </c>
      <c r="AU18" t="n">
        <v>710555.121769332</v>
      </c>
      <c r="AV18" t="n">
        <v>0</v>
      </c>
      <c r="AW18" t="n">
        <v>518165.46964103</v>
      </c>
      <c r="AX18" t="n">
        <v>182414.915622206</v>
      </c>
      <c r="AY18" t="n">
        <v>7576935.25921197</v>
      </c>
      <c r="AZ18" t="n">
        <v>0</v>
      </c>
      <c r="BA18" t="n">
        <v>712990.017487815</v>
      </c>
      <c r="BB18" t="n">
        <v>26562164.7296899</v>
      </c>
      <c r="BC18" t="n">
        <v>462978.654766053</v>
      </c>
      <c r="BD18" t="n">
        <v>4689219.84702405</v>
      </c>
      <c r="BE18" t="n">
        <v>2427885.94708565</v>
      </c>
      <c r="BF18" t="n">
        <v>1129902.80557776</v>
      </c>
      <c r="BG18" t="n">
        <v>14038311.4279216</v>
      </c>
      <c r="BH18" t="n">
        <v>21763744.6951808</v>
      </c>
      <c r="BI18" t="n">
        <v>1579941.61080594</v>
      </c>
      <c r="BJ18" t="n">
        <v>3047595.26599941</v>
      </c>
      <c r="BK18" t="n">
        <v>48710.2588548693</v>
      </c>
      <c r="BL18" t="n">
        <v>829181.552085437</v>
      </c>
      <c r="BM18" t="n">
        <v>379051.54454413</v>
      </c>
      <c r="BN18" t="n">
        <v>14941689.7606893</v>
      </c>
      <c r="BO18" t="n">
        <v>7525368.58348382</v>
      </c>
      <c r="BP18" t="n">
        <v>305933.083544692</v>
      </c>
      <c r="BQ18" t="n">
        <v>2198609.27673268</v>
      </c>
      <c r="BR18" t="n">
        <v>0</v>
      </c>
      <c r="BS18" t="n">
        <v>12295701.4966049</v>
      </c>
      <c r="BT18" t="n">
        <v>9054588.63913257</v>
      </c>
      <c r="BU18" t="n">
        <v>96146811.2550005</v>
      </c>
      <c r="BV18" t="n">
        <v>0</v>
      </c>
      <c r="BW18" t="n">
        <v>0</v>
      </c>
      <c r="BX18" t="n">
        <v>0</v>
      </c>
      <c r="BY18" t="n">
        <v>0</v>
      </c>
      <c r="BZ18" t="n">
        <v>4153463.71719271</v>
      </c>
      <c r="CA18" t="n">
        <v>115662675.550941</v>
      </c>
      <c r="CB18" t="n">
        <v>-295009570.102817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159740.985354535</v>
      </c>
      <c r="C19" t="n">
        <v>0</v>
      </c>
      <c r="D19" t="n">
        <v>0</v>
      </c>
      <c r="E19" t="n">
        <v>630039.074693769</v>
      </c>
      <c r="F19" t="n">
        <v>30046.0458254417</v>
      </c>
      <c r="G19" t="n">
        <v>18441.41041812</v>
      </c>
      <c r="H19" t="n">
        <v>22567145.3954935</v>
      </c>
      <c r="I19" t="n">
        <v>316246.911240914</v>
      </c>
      <c r="J19" t="n">
        <v>2425469.49768785</v>
      </c>
      <c r="K19" t="n">
        <v>328884172.401735</v>
      </c>
      <c r="L19" t="n">
        <v>839117056.384567</v>
      </c>
      <c r="M19" t="n">
        <v>172084424.06835</v>
      </c>
      <c r="N19" t="n">
        <v>20309452.3227861</v>
      </c>
      <c r="O19" t="n">
        <v>168798657.278702</v>
      </c>
      <c r="P19" t="n">
        <v>56670187.0284983</v>
      </c>
      <c r="Q19" t="n">
        <v>270048218.293359</v>
      </c>
      <c r="R19" t="n">
        <v>9884405.11575687</v>
      </c>
      <c r="S19" t="n">
        <v>83691374.2868996</v>
      </c>
      <c r="T19" t="n">
        <v>6820621.73104873</v>
      </c>
      <c r="U19" t="n">
        <v>250056.109391909</v>
      </c>
      <c r="V19" t="n">
        <v>0</v>
      </c>
      <c r="W19" t="n">
        <v>4031610.39379123</v>
      </c>
      <c r="X19" t="n">
        <v>81658.7266639764</v>
      </c>
      <c r="Y19" t="n">
        <v>9757.43774643321</v>
      </c>
      <c r="Z19" t="n">
        <v>439484.628051866</v>
      </c>
      <c r="AA19" t="n">
        <v>5609146.02400422</v>
      </c>
      <c r="AB19" t="n">
        <v>3123400.57499761</v>
      </c>
      <c r="AC19" t="n">
        <v>41685.0173067323</v>
      </c>
      <c r="AD19" t="n">
        <v>0</v>
      </c>
      <c r="AE19" t="n">
        <v>0</v>
      </c>
      <c r="AF19" t="n">
        <v>3962720.83488943</v>
      </c>
      <c r="AG19" t="n">
        <v>0</v>
      </c>
      <c r="AH19" t="n">
        <v>818314.46990607</v>
      </c>
      <c r="AI19" t="n">
        <v>0</v>
      </c>
      <c r="AJ19" t="n">
        <v>0</v>
      </c>
      <c r="AK19" t="n">
        <v>0</v>
      </c>
      <c r="AL19" t="n">
        <v>0</v>
      </c>
      <c r="AM19" t="n">
        <v>581393.685089466</v>
      </c>
      <c r="AN19" t="n">
        <v>0</v>
      </c>
      <c r="AO19" t="n">
        <v>57696.7099640736</v>
      </c>
      <c r="AP19" t="n">
        <v>97349.112803121</v>
      </c>
      <c r="AQ19" t="n">
        <v>4299280.09187899</v>
      </c>
      <c r="AR19" t="n">
        <v>2073302.18822835</v>
      </c>
      <c r="AS19" t="n">
        <v>0</v>
      </c>
      <c r="AT19" t="n">
        <v>0</v>
      </c>
      <c r="AU19" t="n">
        <v>0</v>
      </c>
      <c r="AV19" t="n">
        <v>0</v>
      </c>
      <c r="AW19" t="n">
        <v>5301.8501728691</v>
      </c>
      <c r="AX19" t="n">
        <v>10128743.3589406</v>
      </c>
      <c r="AY19" t="n">
        <v>1297445.050425</v>
      </c>
      <c r="AZ19" t="n">
        <v>0</v>
      </c>
      <c r="BA19" t="n">
        <v>0</v>
      </c>
      <c r="BB19" t="n">
        <v>11548608.3770474</v>
      </c>
      <c r="BC19" t="n">
        <v>465085.41537131</v>
      </c>
      <c r="BD19" t="n">
        <v>3593979.17474707</v>
      </c>
      <c r="BE19" t="n">
        <v>2320327.69394727</v>
      </c>
      <c r="BF19" t="n">
        <v>2479026.72494705</v>
      </c>
      <c r="BG19" t="n">
        <v>1375455.94487567</v>
      </c>
      <c r="BH19" t="n">
        <v>165021.880994033</v>
      </c>
      <c r="BI19" t="n">
        <v>173613.312216829</v>
      </c>
      <c r="BJ19" t="n">
        <v>2437320.53970447</v>
      </c>
      <c r="BK19" t="n">
        <v>120217.246300424</v>
      </c>
      <c r="BL19" t="n">
        <v>2120796.43164978</v>
      </c>
      <c r="BM19" t="n">
        <v>164348.05083517</v>
      </c>
      <c r="BN19" t="n">
        <v>663941.136153881</v>
      </c>
      <c r="BO19" t="n">
        <v>5727624.16455627</v>
      </c>
      <c r="BP19" t="n">
        <v>1971770.84931247</v>
      </c>
      <c r="BQ19" t="n">
        <v>1806888.92356076</v>
      </c>
      <c r="BR19" t="n">
        <v>0</v>
      </c>
      <c r="BS19" t="n">
        <v>552269.358549661</v>
      </c>
      <c r="BT19" t="n">
        <v>2917416.65322616</v>
      </c>
      <c r="BU19" t="n">
        <v>4040256.0175212</v>
      </c>
      <c r="BV19" t="n">
        <v>0</v>
      </c>
      <c r="BW19" t="n">
        <v>0</v>
      </c>
      <c r="BX19" t="n">
        <v>0</v>
      </c>
      <c r="BY19" t="n">
        <v>0</v>
      </c>
      <c r="BZ19" t="n">
        <v>16346501.5254276</v>
      </c>
      <c r="CA19" t="n">
        <v>162714682.762196</v>
      </c>
      <c r="CB19" t="n">
        <v>-1052701085.3117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2754599.86985883</v>
      </c>
      <c r="C20" t="n">
        <v>70236.0547792641</v>
      </c>
      <c r="D20" t="n">
        <v>0</v>
      </c>
      <c r="E20" t="n">
        <v>1493177.60851107</v>
      </c>
      <c r="F20" t="n">
        <v>54408.3068022948</v>
      </c>
      <c r="G20" t="n">
        <v>6840344.78552037</v>
      </c>
      <c r="H20" t="n">
        <v>380152625.366789</v>
      </c>
      <c r="I20" t="n">
        <v>3484646.81752765</v>
      </c>
      <c r="J20" t="n">
        <v>3065151.91780857</v>
      </c>
      <c r="K20" t="n">
        <v>16775312.6697141</v>
      </c>
      <c r="L20" t="n">
        <v>477482246.460074</v>
      </c>
      <c r="M20" t="n">
        <v>128952726.797911</v>
      </c>
      <c r="N20" t="n">
        <v>25253268.4343194</v>
      </c>
      <c r="O20" t="n">
        <v>102792478.21664</v>
      </c>
      <c r="P20" t="n">
        <v>37547022.6351548</v>
      </c>
      <c r="Q20" t="n">
        <v>461354936.647761</v>
      </c>
      <c r="R20" t="n">
        <v>13449118.3076782</v>
      </c>
      <c r="S20" t="n">
        <v>61774705.1839029</v>
      </c>
      <c r="T20" t="n">
        <v>50860832.869049</v>
      </c>
      <c r="U20" t="n">
        <v>1814889.11453788</v>
      </c>
      <c r="V20" t="n">
        <v>73403.557512386</v>
      </c>
      <c r="W20" t="n">
        <v>23716825.4847911</v>
      </c>
      <c r="X20" t="n">
        <v>4332264.05076191</v>
      </c>
      <c r="Y20" t="n">
        <v>996430.317463715</v>
      </c>
      <c r="Z20" t="n">
        <v>64205708.0594932</v>
      </c>
      <c r="AA20" t="n">
        <v>27814704.1252259</v>
      </c>
      <c r="AB20" t="n">
        <v>14615479.4234156</v>
      </c>
      <c r="AC20" t="n">
        <v>2256682.58937174</v>
      </c>
      <c r="AD20" t="n">
        <v>2051293.39561819</v>
      </c>
      <c r="AE20" t="n">
        <v>802840.581695157</v>
      </c>
      <c r="AF20" t="n">
        <v>12359609.5283681</v>
      </c>
      <c r="AG20" t="n">
        <v>488267.640860375</v>
      </c>
      <c r="AH20" t="n">
        <v>693391.390573015</v>
      </c>
      <c r="AI20" t="n">
        <v>8245880.3012962</v>
      </c>
      <c r="AJ20" t="n">
        <v>4637550.43952321</v>
      </c>
      <c r="AK20" t="n">
        <v>3853750.11295365</v>
      </c>
      <c r="AL20" t="n">
        <v>19374401.632156</v>
      </c>
      <c r="AM20" t="n">
        <v>1938370.81104527</v>
      </c>
      <c r="AN20" t="n">
        <v>5018403.02078821</v>
      </c>
      <c r="AO20" t="n">
        <v>2648027.25794274</v>
      </c>
      <c r="AP20" t="n">
        <v>389344.31664331</v>
      </c>
      <c r="AQ20" t="n">
        <v>133762480.294057</v>
      </c>
      <c r="AR20" t="n">
        <v>5878009.91546539</v>
      </c>
      <c r="AS20" t="n">
        <v>2165936.40318165</v>
      </c>
      <c r="AT20" t="n">
        <v>4198526.31504127</v>
      </c>
      <c r="AU20" t="n">
        <v>0</v>
      </c>
      <c r="AV20" t="n">
        <v>11730.6858058172</v>
      </c>
      <c r="AW20" t="n">
        <v>145240.52682245</v>
      </c>
      <c r="AX20" t="n">
        <v>8621466.58734139</v>
      </c>
      <c r="AY20" t="n">
        <v>22558345.5463546</v>
      </c>
      <c r="AZ20" t="n">
        <v>225531.282277389</v>
      </c>
      <c r="BA20" t="n">
        <v>14487967.2423667</v>
      </c>
      <c r="BB20" t="n">
        <v>37825387.9219727</v>
      </c>
      <c r="BC20" t="n">
        <v>5324240.93289626</v>
      </c>
      <c r="BD20" t="n">
        <v>15502924.6931443</v>
      </c>
      <c r="BE20" t="n">
        <v>26720253.9463405</v>
      </c>
      <c r="BF20" t="n">
        <v>5939009.02998492</v>
      </c>
      <c r="BG20" t="n">
        <v>2535467.91426104</v>
      </c>
      <c r="BH20" t="n">
        <v>10804827.9316045</v>
      </c>
      <c r="BI20" t="n">
        <v>306421.924048638</v>
      </c>
      <c r="BJ20" t="n">
        <v>21844886.764889</v>
      </c>
      <c r="BK20" t="n">
        <v>202776.691149517</v>
      </c>
      <c r="BL20" t="n">
        <v>3818780.43671558</v>
      </c>
      <c r="BM20" t="n">
        <v>7377248.8614223</v>
      </c>
      <c r="BN20" t="n">
        <v>21285108.4045487</v>
      </c>
      <c r="BO20" t="n">
        <v>29380173.2429685</v>
      </c>
      <c r="BP20" t="n">
        <v>38523556.8752894</v>
      </c>
      <c r="BQ20" t="n">
        <v>4744620.27545418</v>
      </c>
      <c r="BR20" t="n">
        <v>824143.153244805</v>
      </c>
      <c r="BS20" t="n">
        <v>25440068.1545483</v>
      </c>
      <c r="BT20" t="n">
        <v>21139050.2912362</v>
      </c>
      <c r="BU20" t="n">
        <v>150183673.354674</v>
      </c>
      <c r="BV20" t="n">
        <v>0</v>
      </c>
      <c r="BW20" t="n">
        <v>200284777.65911</v>
      </c>
      <c r="BX20" t="n">
        <v>0</v>
      </c>
      <c r="BY20" t="n">
        <v>0</v>
      </c>
      <c r="BZ20" t="n">
        <v>90014563.0005619</v>
      </c>
      <c r="CA20" t="n">
        <v>660049299.43282</v>
      </c>
      <c r="CB20" t="n">
        <v>-954917291.055269</v>
      </c>
      <c r="CC20" t="n">
        <v>0</v>
      </c>
      <c r="CD20" t="n">
        <v>0</v>
      </c>
      <c r="CE20" t="n">
        <v>266697.567536983</v>
      </c>
      <c r="CF20" t="n">
        <v>0</v>
      </c>
      <c r="CG20" t="n">
        <v>0</v>
      </c>
      <c r="CH20" t="n">
        <v>0</v>
      </c>
      <c r="CI20" t="n">
        <v>6899671.68015171</v>
      </c>
      <c r="CJ20" t="n">
        <v>0</v>
      </c>
      <c r="CK20" t="n">
        <v>0</v>
      </c>
      <c r="CL20" t="n">
        <v>0</v>
      </c>
      <c r="CM20" t="n">
        <v>1573191.51474779</v>
      </c>
      <c r="CN20" t="n">
        <v>0</v>
      </c>
    </row>
    <row r="21">
      <c r="A21" t="s">
        <v>132</v>
      </c>
      <c r="B21" t="n">
        <v>4311348.29405929</v>
      </c>
      <c r="C21" t="n">
        <v>23267.6870565361</v>
      </c>
      <c r="D21" t="n">
        <v>0</v>
      </c>
      <c r="E21" t="n">
        <v>6551105.89491821</v>
      </c>
      <c r="F21" t="n">
        <v>322224.954094095</v>
      </c>
      <c r="G21" t="n">
        <v>14920395.0931146</v>
      </c>
      <c r="H21" t="n">
        <v>161982900.433225</v>
      </c>
      <c r="I21" t="n">
        <v>598711.464591506</v>
      </c>
      <c r="J21" t="n">
        <v>234827.843531938</v>
      </c>
      <c r="K21" t="n">
        <v>3740192.26214597</v>
      </c>
      <c r="L21" t="n">
        <v>73109460.2232371</v>
      </c>
      <c r="M21" t="n">
        <v>218022295.376173</v>
      </c>
      <c r="N21" t="n">
        <v>2091336.51980421</v>
      </c>
      <c r="O21" t="n">
        <v>30625435.7555832</v>
      </c>
      <c r="P21" t="n">
        <v>58363732.6258913</v>
      </c>
      <c r="Q21" t="n">
        <v>150894818.339702</v>
      </c>
      <c r="R21" t="n">
        <v>395437.609813184</v>
      </c>
      <c r="S21" t="n">
        <v>14163529.7275573</v>
      </c>
      <c r="T21" t="n">
        <v>16943980.3547947</v>
      </c>
      <c r="U21" t="n">
        <v>128708.42537008</v>
      </c>
      <c r="V21" t="n">
        <v>1499.71554937873</v>
      </c>
      <c r="W21" t="n">
        <v>6998738.83458454</v>
      </c>
      <c r="X21" t="n">
        <v>10071803.8357284</v>
      </c>
      <c r="Y21" t="n">
        <v>54302.9249683507</v>
      </c>
      <c r="Z21" t="n">
        <v>33625288.8608584</v>
      </c>
      <c r="AA21" t="n">
        <v>7903584.98005143</v>
      </c>
      <c r="AB21" t="n">
        <v>17686876.7272262</v>
      </c>
      <c r="AC21" t="n">
        <v>1494862.18572396</v>
      </c>
      <c r="AD21" t="n">
        <v>1233537.53027529</v>
      </c>
      <c r="AE21" t="n">
        <v>675922.568104165</v>
      </c>
      <c r="AF21" t="n">
        <v>4936875.03937111</v>
      </c>
      <c r="AG21" t="n">
        <v>10685.8900069997</v>
      </c>
      <c r="AH21" t="n">
        <v>83849.8241512408</v>
      </c>
      <c r="AI21" t="n">
        <v>542728.815951316</v>
      </c>
      <c r="AJ21" t="n">
        <v>1342197.05045512</v>
      </c>
      <c r="AK21" t="n">
        <v>550165.901821965</v>
      </c>
      <c r="AL21" t="n">
        <v>1295379.49218097</v>
      </c>
      <c r="AM21" t="n">
        <v>39652526.8309266</v>
      </c>
      <c r="AN21" t="n">
        <v>9843880.16217775</v>
      </c>
      <c r="AO21" t="n">
        <v>302356.591623079</v>
      </c>
      <c r="AP21" t="n">
        <v>287857.744717545</v>
      </c>
      <c r="AQ21" t="n">
        <v>14451873.5319228</v>
      </c>
      <c r="AR21" t="n">
        <v>1970484.08624294</v>
      </c>
      <c r="AS21" t="n">
        <v>33096.3950834545</v>
      </c>
      <c r="AT21" t="n">
        <v>846991.12763519</v>
      </c>
      <c r="AU21" t="n">
        <v>17038697.6525972</v>
      </c>
      <c r="AV21" t="n">
        <v>0</v>
      </c>
      <c r="AW21" t="n">
        <v>255366.035387161</v>
      </c>
      <c r="AX21" t="n">
        <v>374064.250530046</v>
      </c>
      <c r="AY21" t="n">
        <v>9942660.76051402</v>
      </c>
      <c r="AZ21" t="n">
        <v>105220.313054003</v>
      </c>
      <c r="BA21" t="n">
        <v>17352981.7496532</v>
      </c>
      <c r="BB21" t="n">
        <v>22179599.9066491</v>
      </c>
      <c r="BC21" t="n">
        <v>3607766.53612268</v>
      </c>
      <c r="BD21" t="n">
        <v>31251842.3797169</v>
      </c>
      <c r="BE21" t="n">
        <v>50809975.7915909</v>
      </c>
      <c r="BF21" t="n">
        <v>28583486.6802609</v>
      </c>
      <c r="BG21" t="n">
        <v>8435598.07315561</v>
      </c>
      <c r="BH21" t="n">
        <v>5905879.1735225</v>
      </c>
      <c r="BI21" t="n">
        <v>1659346.5990153</v>
      </c>
      <c r="BJ21" t="n">
        <v>1471617.73165624</v>
      </c>
      <c r="BK21" t="n">
        <v>128105.698934112</v>
      </c>
      <c r="BL21" t="n">
        <v>1306160.96665859</v>
      </c>
      <c r="BM21" t="n">
        <v>336996.896677979</v>
      </c>
      <c r="BN21" t="n">
        <v>4115794.99186237</v>
      </c>
      <c r="BO21" t="n">
        <v>44558478.2308857</v>
      </c>
      <c r="BP21" t="n">
        <v>8200445.19895414</v>
      </c>
      <c r="BQ21" t="n">
        <v>981848.60247957</v>
      </c>
      <c r="BR21" t="n">
        <v>248584.106791535</v>
      </c>
      <c r="BS21" t="n">
        <v>35163783.0988154</v>
      </c>
      <c r="BT21" t="n">
        <v>13330131.6463123</v>
      </c>
      <c r="BU21" t="n">
        <v>92620196.1299879</v>
      </c>
      <c r="BV21" t="n">
        <v>0</v>
      </c>
      <c r="BW21" t="n">
        <v>1555115527.04647</v>
      </c>
      <c r="BX21" t="n">
        <v>0</v>
      </c>
      <c r="BY21" t="n">
        <v>0</v>
      </c>
      <c r="BZ21" t="n">
        <v>37470868.7306234</v>
      </c>
      <c r="CA21" t="n">
        <v>1620848989.61784</v>
      </c>
      <c r="CB21" t="n">
        <v>-1915454943.97463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3216037.17591643</v>
      </c>
      <c r="CJ21" t="n">
        <v>0</v>
      </c>
      <c r="CK21" t="n">
        <v>0</v>
      </c>
      <c r="CL21" t="n">
        <v>0</v>
      </c>
      <c r="CM21" t="n">
        <v>66545498.0722025</v>
      </c>
      <c r="CN21" t="n">
        <v>0</v>
      </c>
    </row>
    <row r="22">
      <c r="A22" t="s">
        <v>133</v>
      </c>
      <c r="B22" t="n">
        <v>20974.9735165698</v>
      </c>
      <c r="C22" t="n">
        <v>0</v>
      </c>
      <c r="D22" t="n">
        <v>0</v>
      </c>
      <c r="E22" t="n">
        <v>56634.1459661993</v>
      </c>
      <c r="F22" t="n">
        <v>11693.2165807289</v>
      </c>
      <c r="G22" t="n">
        <v>555041.973253266</v>
      </c>
      <c r="H22" t="n">
        <v>32634089.9393249</v>
      </c>
      <c r="I22" t="n">
        <v>1055734.73914914</v>
      </c>
      <c r="J22" t="n">
        <v>735832.93498976</v>
      </c>
      <c r="K22" t="n">
        <v>3618497.81935877</v>
      </c>
      <c r="L22" t="n">
        <v>61364594.4301337</v>
      </c>
      <c r="M22" t="n">
        <v>28129907.4884226</v>
      </c>
      <c r="N22" t="n">
        <v>131930519.195249</v>
      </c>
      <c r="O22" t="n">
        <v>23653520.3084584</v>
      </c>
      <c r="P22" t="n">
        <v>29429343.5602599</v>
      </c>
      <c r="Q22" t="n">
        <v>494853402.270802</v>
      </c>
      <c r="R22" t="n">
        <v>2099643.7339475</v>
      </c>
      <c r="S22" t="n">
        <v>20319726.045814</v>
      </c>
      <c r="T22" t="n">
        <v>9440583.78496276</v>
      </c>
      <c r="U22" t="n">
        <v>954794.63576363</v>
      </c>
      <c r="V22" t="n">
        <v>16765.1405793775</v>
      </c>
      <c r="W22" t="n">
        <v>-211357.855173482</v>
      </c>
      <c r="X22" t="n">
        <v>3849276.26460885</v>
      </c>
      <c r="Y22" t="n">
        <v>254141.262827303</v>
      </c>
      <c r="Z22" t="n">
        <v>27725005.1199948</v>
      </c>
      <c r="AA22" t="n">
        <v>5953067.59526009</v>
      </c>
      <c r="AB22" t="n">
        <v>267748713.553868</v>
      </c>
      <c r="AC22" t="n">
        <v>6103061.1618456</v>
      </c>
      <c r="AD22" t="n">
        <v>4715743.50242567</v>
      </c>
      <c r="AE22" t="n">
        <v>3877906.43145594</v>
      </c>
      <c r="AF22" t="n">
        <v>11471709.9179716</v>
      </c>
      <c r="AG22" t="n">
        <v>11216.7440492984</v>
      </c>
      <c r="AH22" t="n">
        <v>75820.2716012383</v>
      </c>
      <c r="AI22" t="n">
        <v>2467.38864325827</v>
      </c>
      <c r="AJ22" t="n">
        <v>853640.470065637</v>
      </c>
      <c r="AK22" t="n">
        <v>34849.8233215548</v>
      </c>
      <c r="AL22" t="n">
        <v>210157.03307718</v>
      </c>
      <c r="AM22" t="n">
        <v>412209.658834688</v>
      </c>
      <c r="AN22" t="n">
        <v>1127825.99007829</v>
      </c>
      <c r="AO22" t="n">
        <v>12314855.8945311</v>
      </c>
      <c r="AP22" t="n">
        <v>5997192.97994848</v>
      </c>
      <c r="AQ22" t="n">
        <v>232297972.058217</v>
      </c>
      <c r="AR22" t="n">
        <v>31244841.4246646</v>
      </c>
      <c r="AS22" t="n">
        <v>4104400.93637584</v>
      </c>
      <c r="AT22" t="n">
        <v>27460440.7606476</v>
      </c>
      <c r="AU22" t="n">
        <v>1275066.66542573</v>
      </c>
      <c r="AV22" t="n">
        <v>407896.973130067</v>
      </c>
      <c r="AW22" t="n">
        <v>3772.31503101909</v>
      </c>
      <c r="AX22" t="n">
        <v>3203451.53580983</v>
      </c>
      <c r="AY22" t="n">
        <v>2418222.89189217</v>
      </c>
      <c r="AZ22" t="n">
        <v>9325400.44273567</v>
      </c>
      <c r="BA22" t="n">
        <v>33216330.568305</v>
      </c>
      <c r="BB22" t="n">
        <v>74183635.3404004</v>
      </c>
      <c r="BC22" t="n">
        <v>64478168.7928755</v>
      </c>
      <c r="BD22" t="n">
        <v>49417471.3213026</v>
      </c>
      <c r="BE22" t="n">
        <v>8820167.56880708</v>
      </c>
      <c r="BF22" t="n">
        <v>10850488.7456171</v>
      </c>
      <c r="BG22" t="n">
        <v>52211045.2362476</v>
      </c>
      <c r="BH22" t="n">
        <v>6211104.20119637</v>
      </c>
      <c r="BI22" t="n">
        <v>1834279.7619525</v>
      </c>
      <c r="BJ22" t="n">
        <v>6595422.51676758</v>
      </c>
      <c r="BK22" t="n">
        <v>174360.716277803</v>
      </c>
      <c r="BL22" t="n">
        <v>1291980.73941199</v>
      </c>
      <c r="BM22" t="n">
        <v>1377789.13973076</v>
      </c>
      <c r="BN22" t="n">
        <v>1390342.92220994</v>
      </c>
      <c r="BO22" t="n">
        <v>26528703.5230234</v>
      </c>
      <c r="BP22" t="n">
        <v>56500107.8233643</v>
      </c>
      <c r="BQ22" t="n">
        <v>12029255.2819757</v>
      </c>
      <c r="BR22" t="n">
        <v>0</v>
      </c>
      <c r="BS22" t="n">
        <v>14978716.3758539</v>
      </c>
      <c r="BT22" t="n">
        <v>7196727.40317987</v>
      </c>
      <c r="BU22" t="n">
        <v>946617222.678037</v>
      </c>
      <c r="BV22" t="n">
        <v>0</v>
      </c>
      <c r="BW22" t="n">
        <v>1125846184.58436</v>
      </c>
      <c r="BX22" t="n">
        <v>0</v>
      </c>
      <c r="BY22" t="n">
        <v>2463311.64379596</v>
      </c>
      <c r="BZ22" t="n">
        <v>14941371.6068813</v>
      </c>
      <c r="CA22" t="n">
        <v>564805713.026347</v>
      </c>
      <c r="CB22" t="n">
        <v>-3550482512.63214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26365211.5059565</v>
      </c>
      <c r="CJ22" t="n">
        <v>0</v>
      </c>
      <c r="CK22" t="n">
        <v>0</v>
      </c>
      <c r="CL22" t="n">
        <v>0</v>
      </c>
      <c r="CM22" t="n">
        <v>70450887.3774346</v>
      </c>
      <c r="CN22" t="n">
        <v>0</v>
      </c>
    </row>
    <row r="23">
      <c r="A23" t="s">
        <v>134</v>
      </c>
      <c r="B23" t="n">
        <v>4414457.18661256</v>
      </c>
      <c r="C23" t="n">
        <v>31175.5813476787</v>
      </c>
      <c r="D23" t="n">
        <v>0</v>
      </c>
      <c r="E23" t="n">
        <v>132659.742747886</v>
      </c>
      <c r="F23" t="n">
        <v>42686.5752098745</v>
      </c>
      <c r="G23" t="n">
        <v>173089.946270915</v>
      </c>
      <c r="H23" t="n">
        <v>198374885.225537</v>
      </c>
      <c r="I23" t="n">
        <v>700621.924931867</v>
      </c>
      <c r="J23" t="n">
        <v>240730.524800611</v>
      </c>
      <c r="K23" t="n">
        <v>7773564.74184454</v>
      </c>
      <c r="L23" t="n">
        <v>47088836.7138255</v>
      </c>
      <c r="M23" t="n">
        <v>97762254.3607342</v>
      </c>
      <c r="N23" t="n">
        <v>13227693.5367546</v>
      </c>
      <c r="O23" t="n">
        <v>151344236.017047</v>
      </c>
      <c r="P23" t="n">
        <v>10453827.8270676</v>
      </c>
      <c r="Q23" t="n">
        <v>70497158.5701519</v>
      </c>
      <c r="R23" t="n">
        <v>542646.524580543</v>
      </c>
      <c r="S23" t="n">
        <v>15998448.4479894</v>
      </c>
      <c r="T23" t="n">
        <v>7557505.18486928</v>
      </c>
      <c r="U23" t="n">
        <v>268617.341302458</v>
      </c>
      <c r="V23" t="n">
        <v>4158.4364309194</v>
      </c>
      <c r="W23" t="n">
        <v>3044193.93624678</v>
      </c>
      <c r="X23" t="n">
        <v>665894.199279772</v>
      </c>
      <c r="Y23" t="n">
        <v>179846.777172005</v>
      </c>
      <c r="Z23" t="n">
        <v>9208331.99704474</v>
      </c>
      <c r="AA23" t="n">
        <v>4730724.93947183</v>
      </c>
      <c r="AB23" t="n">
        <v>6682807.16916642</v>
      </c>
      <c r="AC23" t="n">
        <v>2706569.57738333</v>
      </c>
      <c r="AD23" t="n">
        <v>1181478.80402468</v>
      </c>
      <c r="AE23" t="n">
        <v>6851014.8311828</v>
      </c>
      <c r="AF23" t="n">
        <v>2396634.84071057</v>
      </c>
      <c r="AG23" t="n">
        <v>4030.28143896379</v>
      </c>
      <c r="AH23" t="n">
        <v>227470.739784252</v>
      </c>
      <c r="AI23" t="n">
        <v>59231.2771820608</v>
      </c>
      <c r="AJ23" t="n">
        <v>213620.469281859</v>
      </c>
      <c r="AK23" t="n">
        <v>1978851.10116435</v>
      </c>
      <c r="AL23" t="n">
        <v>69967.5973641646</v>
      </c>
      <c r="AM23" t="n">
        <v>505750.876813603</v>
      </c>
      <c r="AN23" t="n">
        <v>795790.167142919</v>
      </c>
      <c r="AO23" t="n">
        <v>16463.7990680041</v>
      </c>
      <c r="AP23" t="n">
        <v>0</v>
      </c>
      <c r="AQ23" t="n">
        <v>58937804.3432209</v>
      </c>
      <c r="AR23" t="n">
        <v>825536.688525745</v>
      </c>
      <c r="AS23" t="n">
        <v>1049447.9675344</v>
      </c>
      <c r="AT23" t="n">
        <v>2343000.58173627</v>
      </c>
      <c r="AU23" t="n">
        <v>1160814.47365424</v>
      </c>
      <c r="AV23" t="n">
        <v>0</v>
      </c>
      <c r="AW23" t="n">
        <v>32156.9503901272</v>
      </c>
      <c r="AX23" t="n">
        <v>9751282.53490559</v>
      </c>
      <c r="AY23" t="n">
        <v>3100155.86530154</v>
      </c>
      <c r="AZ23" t="n">
        <v>0</v>
      </c>
      <c r="BA23" t="n">
        <v>22399690.7675587</v>
      </c>
      <c r="BB23" t="n">
        <v>47486395.2358806</v>
      </c>
      <c r="BC23" t="n">
        <v>604681.441428467</v>
      </c>
      <c r="BD23" t="n">
        <v>16331609.8335818</v>
      </c>
      <c r="BE23" t="n">
        <v>12916757.6938864</v>
      </c>
      <c r="BF23" t="n">
        <v>6950619.69897851</v>
      </c>
      <c r="BG23" t="n">
        <v>105794.096225656</v>
      </c>
      <c r="BH23" t="n">
        <v>9138142.96306558</v>
      </c>
      <c r="BI23" t="n">
        <v>18284637.6515401</v>
      </c>
      <c r="BJ23" t="n">
        <v>3719607.00178412</v>
      </c>
      <c r="BK23" t="n">
        <v>371580.396924858</v>
      </c>
      <c r="BL23" t="n">
        <v>3665808.9444005</v>
      </c>
      <c r="BM23" t="n">
        <v>5684944.2559005</v>
      </c>
      <c r="BN23" t="n">
        <v>4008076.51635987</v>
      </c>
      <c r="BO23" t="n">
        <v>27754453.1061862</v>
      </c>
      <c r="BP23" t="n">
        <v>10847438.3162978</v>
      </c>
      <c r="BQ23" t="n">
        <v>13971353.4607971</v>
      </c>
      <c r="BR23" t="n">
        <v>346012.204808561</v>
      </c>
      <c r="BS23" t="n">
        <v>10347039.3353449</v>
      </c>
      <c r="BT23" t="n">
        <v>15802456.9610141</v>
      </c>
      <c r="BU23" t="n">
        <v>407503655.639278</v>
      </c>
      <c r="BV23" t="n">
        <v>0</v>
      </c>
      <c r="BW23" t="n">
        <v>488844875.793367</v>
      </c>
      <c r="BX23" t="n">
        <v>0</v>
      </c>
      <c r="BY23" t="n">
        <v>59249410.449547</v>
      </c>
      <c r="BZ23" t="n">
        <v>35404997.6196958</v>
      </c>
      <c r="CA23" t="n">
        <v>462031858.186195</v>
      </c>
      <c r="CB23" t="n">
        <v>-1507458549.66351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2928989.63932859</v>
      </c>
      <c r="CJ23" t="n">
        <v>0</v>
      </c>
      <c r="CK23" t="n">
        <v>0</v>
      </c>
      <c r="CL23" t="n">
        <v>0</v>
      </c>
      <c r="CM23" t="n">
        <v>7609412.93146439</v>
      </c>
      <c r="CN23" t="n">
        <v>0</v>
      </c>
    </row>
    <row r="24">
      <c r="A24" t="s">
        <v>135</v>
      </c>
      <c r="B24" t="n">
        <v>1890729.53301908</v>
      </c>
      <c r="C24" t="n">
        <v>36697.446079269</v>
      </c>
      <c r="D24" t="n">
        <v>0</v>
      </c>
      <c r="E24" t="n">
        <v>1415689.48242515</v>
      </c>
      <c r="F24" t="n">
        <v>38695.5560540526</v>
      </c>
      <c r="G24" t="n">
        <v>318905.032835863</v>
      </c>
      <c r="H24" t="n">
        <v>10883517.5399495</v>
      </c>
      <c r="I24" t="n">
        <v>2681443.99082624</v>
      </c>
      <c r="J24" t="n">
        <v>1088848.88493969</v>
      </c>
      <c r="K24" t="n">
        <v>3705524.47364571</v>
      </c>
      <c r="L24" t="n">
        <v>23380369.6189822</v>
      </c>
      <c r="M24" t="n">
        <v>74736310.422349</v>
      </c>
      <c r="N24" t="n">
        <v>5110894.19861356</v>
      </c>
      <c r="O24" t="n">
        <v>11013939.9776315</v>
      </c>
      <c r="P24" t="n">
        <v>296947046.042919</v>
      </c>
      <c r="Q24" t="n">
        <v>122521332.086013</v>
      </c>
      <c r="R24" t="n">
        <v>1851829.38453985</v>
      </c>
      <c r="S24" t="n">
        <v>15525410.4457234</v>
      </c>
      <c r="T24" t="n">
        <v>21216351.090228</v>
      </c>
      <c r="U24" t="n">
        <v>319165.562380819</v>
      </c>
      <c r="V24" t="n">
        <v>1572.22687600126</v>
      </c>
      <c r="W24" t="n">
        <v>7044351.8506092</v>
      </c>
      <c r="X24" t="n">
        <v>1021273.53869374</v>
      </c>
      <c r="Y24" t="n">
        <v>167893.89931285</v>
      </c>
      <c r="Z24" t="n">
        <v>12845954.6282344</v>
      </c>
      <c r="AA24" t="n">
        <v>3236099.57406724</v>
      </c>
      <c r="AB24" t="n">
        <v>59724008.2588107</v>
      </c>
      <c r="AC24" t="n">
        <v>36300193.9041347</v>
      </c>
      <c r="AD24" t="n">
        <v>21107116.5014933</v>
      </c>
      <c r="AE24" t="n">
        <v>2607452.72293095</v>
      </c>
      <c r="AF24" t="n">
        <v>31501549.8635985</v>
      </c>
      <c r="AG24" t="n">
        <v>0</v>
      </c>
      <c r="AH24" t="n">
        <v>144677.540680224</v>
      </c>
      <c r="AI24" t="n">
        <v>0</v>
      </c>
      <c r="AJ24" t="n">
        <v>20380292.0682288</v>
      </c>
      <c r="AK24" t="n">
        <v>5501825.73740445</v>
      </c>
      <c r="AL24" t="n">
        <v>28961.346846426</v>
      </c>
      <c r="AM24" t="n">
        <v>658090.301375808</v>
      </c>
      <c r="AN24" t="n">
        <v>12818306.407937</v>
      </c>
      <c r="AO24" t="n">
        <v>995585.831515879</v>
      </c>
      <c r="AP24" t="n">
        <v>1562539.61831773</v>
      </c>
      <c r="AQ24" t="n">
        <v>17943943.0452582</v>
      </c>
      <c r="AR24" t="n">
        <v>1379941.59690226</v>
      </c>
      <c r="AS24" t="n">
        <v>1025632.1804729</v>
      </c>
      <c r="AT24" t="n">
        <v>642226.702294962</v>
      </c>
      <c r="AU24" t="n">
        <v>0</v>
      </c>
      <c r="AV24" t="n">
        <v>0</v>
      </c>
      <c r="AW24" t="n">
        <v>0</v>
      </c>
      <c r="AX24" t="n">
        <v>0</v>
      </c>
      <c r="AY24" t="n">
        <v>33350817.8303792</v>
      </c>
      <c r="AZ24" t="n">
        <v>0</v>
      </c>
      <c r="BA24" t="n">
        <v>608972.656968474</v>
      </c>
      <c r="BB24" t="n">
        <v>26000490.9186469</v>
      </c>
      <c r="BC24" t="n">
        <v>6987677.42870254</v>
      </c>
      <c r="BD24" t="n">
        <v>87904147.5381025</v>
      </c>
      <c r="BE24" t="n">
        <v>13203966.7114593</v>
      </c>
      <c r="BF24" t="n">
        <v>8673274.22907219</v>
      </c>
      <c r="BG24" t="n">
        <v>6179473.86928033</v>
      </c>
      <c r="BH24" t="n">
        <v>18050107.890959</v>
      </c>
      <c r="BI24" t="n">
        <v>2052362.06042203</v>
      </c>
      <c r="BJ24" t="n">
        <v>23442227.0671916</v>
      </c>
      <c r="BK24" t="n">
        <v>347051.044495803</v>
      </c>
      <c r="BL24" t="n">
        <v>922153.507597086</v>
      </c>
      <c r="BM24" t="n">
        <v>970916.374834657</v>
      </c>
      <c r="BN24" t="n">
        <v>9534895.2946767</v>
      </c>
      <c r="BO24" t="n">
        <v>85360701.8804046</v>
      </c>
      <c r="BP24" t="n">
        <v>49794140.5792734</v>
      </c>
      <c r="BQ24" t="n">
        <v>529435.937324234</v>
      </c>
      <c r="BR24" t="n">
        <v>13334221.0381638</v>
      </c>
      <c r="BS24" t="n">
        <v>53745630.0690241</v>
      </c>
      <c r="BT24" t="n">
        <v>5967161.16134284</v>
      </c>
      <c r="BU24" t="n">
        <v>1312093405.73863</v>
      </c>
      <c r="BV24" t="n">
        <v>0</v>
      </c>
      <c r="BW24" t="n">
        <v>830743500.028127</v>
      </c>
      <c r="BX24" t="n">
        <v>0</v>
      </c>
      <c r="BY24" t="n">
        <v>0</v>
      </c>
      <c r="BZ24" t="n">
        <v>29886392.1585659</v>
      </c>
      <c r="CA24" t="n">
        <v>194430871.486797</v>
      </c>
      <c r="CB24" t="n">
        <v>-2381824841.28813</v>
      </c>
      <c r="CC24" t="n">
        <v>0</v>
      </c>
      <c r="CD24" t="n">
        <v>0</v>
      </c>
      <c r="CE24" t="n">
        <v>58355612.255916</v>
      </c>
      <c r="CF24" t="n">
        <v>0</v>
      </c>
      <c r="CG24" t="n">
        <v>0</v>
      </c>
      <c r="CH24" t="n">
        <v>0</v>
      </c>
      <c r="CI24" t="n">
        <v>9168878.48475998</v>
      </c>
      <c r="CJ24" t="n">
        <v>0</v>
      </c>
      <c r="CK24" t="n">
        <v>0</v>
      </c>
      <c r="CL24" t="n">
        <v>0</v>
      </c>
      <c r="CM24" t="n">
        <v>188254100.377652</v>
      </c>
      <c r="CN24" t="n">
        <v>0</v>
      </c>
    </row>
    <row r="25">
      <c r="A25" t="s">
        <v>136</v>
      </c>
      <c r="B25" t="n">
        <v>0</v>
      </c>
      <c r="C25" t="n">
        <v>4387.3360737978</v>
      </c>
      <c r="D25" t="n">
        <v>0</v>
      </c>
      <c r="E25" t="n">
        <v>8234.74004052068</v>
      </c>
      <c r="F25" t="n">
        <v>0</v>
      </c>
      <c r="G25" t="n">
        <v>0</v>
      </c>
      <c r="H25" t="n">
        <v>107803.33499404</v>
      </c>
      <c r="I25" t="n">
        <v>10338.4453559801</v>
      </c>
      <c r="J25" t="n">
        <v>0</v>
      </c>
      <c r="K25" t="n">
        <v>0</v>
      </c>
      <c r="L25" t="n">
        <v>813995.108615977</v>
      </c>
      <c r="M25" t="n">
        <v>783987.859455238</v>
      </c>
      <c r="N25" t="n">
        <v>0</v>
      </c>
      <c r="O25" t="n">
        <v>0</v>
      </c>
      <c r="P25" t="n">
        <v>758465.399741155</v>
      </c>
      <c r="Q25" t="n">
        <v>4026591357.38398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230686.294446692</v>
      </c>
      <c r="AD25" t="n">
        <v>0</v>
      </c>
      <c r="AE25" t="n">
        <v>0</v>
      </c>
      <c r="AF25" t="n">
        <v>0</v>
      </c>
      <c r="AG25" t="n">
        <v>1848122.54420178</v>
      </c>
      <c r="AH25" t="n">
        <v>1673526.85167275</v>
      </c>
      <c r="AI25" t="n">
        <v>4808155.85400431</v>
      </c>
      <c r="AJ25" t="n">
        <v>17242.1519425528</v>
      </c>
      <c r="AK25" t="n">
        <v>778622.243624799</v>
      </c>
      <c r="AL25" t="n">
        <v>0</v>
      </c>
      <c r="AM25" t="n">
        <v>17997644.9025108</v>
      </c>
      <c r="AN25" t="n">
        <v>0</v>
      </c>
      <c r="AO25" t="n">
        <v>0</v>
      </c>
      <c r="AP25" t="n">
        <v>0</v>
      </c>
      <c r="AQ25" t="n">
        <v>27233.5897135766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7506284.63478779</v>
      </c>
      <c r="BC25" t="n">
        <v>349064.374823563</v>
      </c>
      <c r="BD25" t="n">
        <v>321116.102902363</v>
      </c>
      <c r="BE25" t="n">
        <v>552267.374983851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111693.816838813</v>
      </c>
      <c r="BM25" t="n">
        <v>0</v>
      </c>
      <c r="BN25" t="n">
        <v>0</v>
      </c>
      <c r="BO25" t="n">
        <v>933142.782668148</v>
      </c>
      <c r="BP25" t="n">
        <v>189759430.476016</v>
      </c>
      <c r="BQ25" t="n">
        <v>6577252.93268405</v>
      </c>
      <c r="BR25" t="n">
        <v>2558.9801573012</v>
      </c>
      <c r="BS25" t="n">
        <v>0</v>
      </c>
      <c r="BT25" t="n">
        <v>286046.660801793</v>
      </c>
      <c r="BU25" t="n">
        <v>144026573.7717</v>
      </c>
      <c r="BV25" t="n">
        <v>0</v>
      </c>
      <c r="BW25" t="n">
        <v>1566918496.47395</v>
      </c>
      <c r="BX25" t="n">
        <v>0</v>
      </c>
      <c r="BY25" t="n">
        <v>0</v>
      </c>
      <c r="BZ25" t="n">
        <v>1192297256.35963</v>
      </c>
      <c r="CA25" t="n">
        <v>6610035624.89057</v>
      </c>
      <c r="CB25" t="n">
        <v>-3435211063.23459</v>
      </c>
      <c r="CC25" t="n">
        <v>0</v>
      </c>
      <c r="CD25" t="n">
        <v>0</v>
      </c>
      <c r="CE25" t="n">
        <v>4314746542.26413</v>
      </c>
      <c r="CF25" t="n">
        <v>0</v>
      </c>
      <c r="CG25" t="n">
        <v>0</v>
      </c>
      <c r="CH25" t="n">
        <v>0</v>
      </c>
      <c r="CI25" t="n">
        <v>111403407.921177</v>
      </c>
      <c r="CJ25" t="n">
        <v>0</v>
      </c>
      <c r="CK25" t="n">
        <v>0</v>
      </c>
      <c r="CL25" t="n">
        <v>0</v>
      </c>
      <c r="CM25" t="n">
        <v>917076.763330849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70342585.7426549</v>
      </c>
      <c r="I26" t="n">
        <v>588034.104367519</v>
      </c>
      <c r="J26" t="n">
        <v>0</v>
      </c>
      <c r="K26" t="n">
        <v>0</v>
      </c>
      <c r="L26" t="n">
        <v>0</v>
      </c>
      <c r="M26" t="n">
        <v>1207600.68910326</v>
      </c>
      <c r="N26" t="n">
        <v>179595.563063014</v>
      </c>
      <c r="O26" t="n">
        <v>0</v>
      </c>
      <c r="P26" t="n">
        <v>30268.4462845033</v>
      </c>
      <c r="Q26" t="n">
        <v>8413821.20509065</v>
      </c>
      <c r="R26" t="n">
        <v>16816267.9389594</v>
      </c>
      <c r="S26" t="n">
        <v>1172428.7244127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1098673.995965</v>
      </c>
      <c r="AB26" t="n">
        <v>7542551.62156184</v>
      </c>
      <c r="AC26" t="n">
        <v>948913.36749246</v>
      </c>
      <c r="AD26" t="n">
        <v>0</v>
      </c>
      <c r="AE26" t="n">
        <v>61875.4246026147</v>
      </c>
      <c r="AF26" t="n">
        <v>13276316.5926981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4027.8580787861</v>
      </c>
      <c r="AP26" t="n">
        <v>0</v>
      </c>
      <c r="AQ26" t="n">
        <v>994938.028568236</v>
      </c>
      <c r="AR26" t="n">
        <v>970233.3747452</v>
      </c>
      <c r="AS26" t="n">
        <v>0</v>
      </c>
      <c r="AT26" t="n">
        <v>0</v>
      </c>
      <c r="AU26" t="n">
        <v>0</v>
      </c>
      <c r="AV26" t="n">
        <v>0</v>
      </c>
      <c r="AW26" t="n">
        <v>27379978.2606616</v>
      </c>
      <c r="AX26" t="n">
        <v>288580.777904743</v>
      </c>
      <c r="AY26" t="n">
        <v>0</v>
      </c>
      <c r="AZ26" t="n">
        <v>55544.7773548189</v>
      </c>
      <c r="BA26" t="n">
        <v>15748.9976100948</v>
      </c>
      <c r="BB26" t="n">
        <v>5470092.88106316</v>
      </c>
      <c r="BC26" t="n">
        <v>75814.3094247978</v>
      </c>
      <c r="BD26" t="n">
        <v>16107.3107885648</v>
      </c>
      <c r="BE26" t="n">
        <v>0</v>
      </c>
      <c r="BF26" t="n">
        <v>0</v>
      </c>
      <c r="BG26" t="n">
        <v>2397946.91042093</v>
      </c>
      <c r="BH26" t="n">
        <v>859073.128787942</v>
      </c>
      <c r="BI26" t="n">
        <v>10621.0356143432</v>
      </c>
      <c r="BJ26" t="n">
        <v>1327207.97054902</v>
      </c>
      <c r="BK26" t="n">
        <v>2703979.65744519</v>
      </c>
      <c r="BL26" t="n">
        <v>3724319.35994668</v>
      </c>
      <c r="BM26" t="n">
        <v>8314.09393415256</v>
      </c>
      <c r="BN26" t="n">
        <v>1499879.47814043</v>
      </c>
      <c r="BO26" t="n">
        <v>3319042.02470512</v>
      </c>
      <c r="BP26" t="n">
        <v>0</v>
      </c>
      <c r="BQ26" t="n">
        <v>0</v>
      </c>
      <c r="BR26" t="n">
        <v>380875.623669091</v>
      </c>
      <c r="BS26" t="n">
        <v>60670.2135985947</v>
      </c>
      <c r="BT26" t="n">
        <v>5338672.85182047</v>
      </c>
      <c r="BU26" t="n">
        <v>485937668.518279</v>
      </c>
      <c r="BV26" t="n">
        <v>0</v>
      </c>
      <c r="BW26" t="n">
        <v>154949233.002231</v>
      </c>
      <c r="BX26" t="n">
        <v>0</v>
      </c>
      <c r="BY26" t="n">
        <v>5420274.8709573</v>
      </c>
      <c r="BZ26" t="n">
        <v>3991339.48453574</v>
      </c>
      <c r="CA26" t="n">
        <v>23941387.2051864</v>
      </c>
      <c r="CB26" t="n">
        <v>-506988817.360702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1246333.84076958</v>
      </c>
      <c r="CJ26" t="n">
        <v>0</v>
      </c>
      <c r="CK26" t="n">
        <v>0</v>
      </c>
      <c r="CL26" t="n">
        <v>0</v>
      </c>
      <c r="CM26" t="n">
        <v>9650489.42493926</v>
      </c>
      <c r="CN26" t="n">
        <v>0</v>
      </c>
    </row>
    <row r="27">
      <c r="A27" t="s">
        <v>138</v>
      </c>
      <c r="B27" t="n">
        <v>90292.6373652957</v>
      </c>
      <c r="C27" t="n">
        <v>0</v>
      </c>
      <c r="D27" t="n">
        <v>0</v>
      </c>
      <c r="E27" t="n">
        <v>51182.802540577</v>
      </c>
      <c r="F27" t="n">
        <v>1464.06598625613</v>
      </c>
      <c r="G27" t="n">
        <v>0</v>
      </c>
      <c r="H27" t="n">
        <v>4552299.24107799</v>
      </c>
      <c r="I27" t="n">
        <v>22801.8361123512</v>
      </c>
      <c r="J27" t="n">
        <v>92039.7952055302</v>
      </c>
      <c r="K27" t="n">
        <v>68157.9125440505</v>
      </c>
      <c r="L27" t="n">
        <v>729980.228209336</v>
      </c>
      <c r="M27" t="n">
        <v>11969887.7164137</v>
      </c>
      <c r="N27" t="n">
        <v>2062.29808555826</v>
      </c>
      <c r="O27" t="n">
        <v>6523448.1132476</v>
      </c>
      <c r="P27" t="n">
        <v>3751668.20817819</v>
      </c>
      <c r="Q27" t="n">
        <v>757051.288038599</v>
      </c>
      <c r="R27" t="n">
        <v>14435.9495337736</v>
      </c>
      <c r="S27" t="n">
        <v>79073828.906301</v>
      </c>
      <c r="T27" t="n">
        <v>119200.447331444</v>
      </c>
      <c r="U27" t="n">
        <v>34168.1697721034</v>
      </c>
      <c r="V27" t="n">
        <v>209821.714469516</v>
      </c>
      <c r="W27" t="n">
        <v>0</v>
      </c>
      <c r="X27" t="n">
        <v>19493.4643671111</v>
      </c>
      <c r="Y27" t="n">
        <v>632.033465224458</v>
      </c>
      <c r="Z27" t="n">
        <v>2711873.98301136</v>
      </c>
      <c r="AA27" t="n">
        <v>375346.26452359</v>
      </c>
      <c r="AB27" t="n">
        <v>4529049.2998832</v>
      </c>
      <c r="AC27" t="n">
        <v>4384203.24323233</v>
      </c>
      <c r="AD27" t="n">
        <v>1128244.12086248</v>
      </c>
      <c r="AE27" t="n">
        <v>21552.326877778</v>
      </c>
      <c r="AF27" t="n">
        <v>8547294.98090058</v>
      </c>
      <c r="AG27" t="n">
        <v>0</v>
      </c>
      <c r="AH27" t="n">
        <v>891.587979821686</v>
      </c>
      <c r="AI27" t="n">
        <v>0</v>
      </c>
      <c r="AJ27" t="n">
        <v>21277.0756534164</v>
      </c>
      <c r="AK27" t="n">
        <v>173148.201523488</v>
      </c>
      <c r="AL27" t="n">
        <v>6102.98431466368</v>
      </c>
      <c r="AM27" t="n">
        <v>487277.936056505</v>
      </c>
      <c r="AN27" t="n">
        <v>789413.358737373</v>
      </c>
      <c r="AO27" t="n">
        <v>13092.1981713399</v>
      </c>
      <c r="AP27" t="n">
        <v>23652.6179817486</v>
      </c>
      <c r="AQ27" t="n">
        <v>1417242.82675886</v>
      </c>
      <c r="AR27" t="n">
        <v>270390.385892164</v>
      </c>
      <c r="AS27" t="n">
        <v>349291.686980279</v>
      </c>
      <c r="AT27" t="n">
        <v>479541.537803333</v>
      </c>
      <c r="AU27" t="n">
        <v>385860.785590513</v>
      </c>
      <c r="AV27" t="n">
        <v>0</v>
      </c>
      <c r="AW27" t="n">
        <v>0</v>
      </c>
      <c r="AX27" t="n">
        <v>1363197.9889451</v>
      </c>
      <c r="AY27" t="n">
        <v>809095.325203243</v>
      </c>
      <c r="AZ27" t="n">
        <v>67429.7074849884</v>
      </c>
      <c r="BA27" t="n">
        <v>135118.352425086</v>
      </c>
      <c r="BB27" t="n">
        <v>13852188.9379782</v>
      </c>
      <c r="BC27" t="n">
        <v>118846.898726766</v>
      </c>
      <c r="BD27" t="n">
        <v>13457160.4102121</v>
      </c>
      <c r="BE27" t="n">
        <v>1487338.28500098</v>
      </c>
      <c r="BF27" t="n">
        <v>4705031.18967204</v>
      </c>
      <c r="BG27" t="n">
        <v>119078745.693686</v>
      </c>
      <c r="BH27" t="n">
        <v>186782861.188415</v>
      </c>
      <c r="BI27" t="n">
        <v>7575711.18470271</v>
      </c>
      <c r="BJ27" t="n">
        <v>14759564.4375893</v>
      </c>
      <c r="BK27" t="n">
        <v>373772.042926655</v>
      </c>
      <c r="BL27" t="n">
        <v>2163763.64088356</v>
      </c>
      <c r="BM27" t="n">
        <v>223360.139503633</v>
      </c>
      <c r="BN27" t="n">
        <v>7262104.89693741</v>
      </c>
      <c r="BO27" t="n">
        <v>8317350.38593188</v>
      </c>
      <c r="BP27" t="n">
        <v>5958197.63269966</v>
      </c>
      <c r="BQ27" t="n">
        <v>1741441.28450086</v>
      </c>
      <c r="BR27" t="n">
        <v>0</v>
      </c>
      <c r="BS27" t="n">
        <v>42291076.4870364</v>
      </c>
      <c r="BT27" t="n">
        <v>134211.779207597</v>
      </c>
      <c r="BU27" t="n">
        <v>890123013.534928</v>
      </c>
      <c r="BV27" t="n">
        <v>0</v>
      </c>
      <c r="BW27" t="n">
        <v>581432889.057605</v>
      </c>
      <c r="BX27" t="n">
        <v>0</v>
      </c>
      <c r="BY27" t="n">
        <v>0</v>
      </c>
      <c r="BZ27" t="n">
        <v>44783878.623969</v>
      </c>
      <c r="CA27" t="n">
        <v>201058600.33082</v>
      </c>
      <c r="CB27" t="n">
        <v>-1495760624.8567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43570.4484154476</v>
      </c>
      <c r="CJ27" t="n">
        <v>0</v>
      </c>
      <c r="CK27" t="n">
        <v>0</v>
      </c>
      <c r="CL27" t="n">
        <v>0</v>
      </c>
      <c r="CM27" t="n">
        <v>3821408.78951704</v>
      </c>
      <c r="CN27" t="n">
        <v>0</v>
      </c>
    </row>
    <row r="28">
      <c r="A28" t="s">
        <v>139</v>
      </c>
      <c r="B28" t="n">
        <v>30114323.5879618</v>
      </c>
      <c r="C28" t="n">
        <v>61478.0956572395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21385.7237673715</v>
      </c>
      <c r="J28" t="n">
        <v>769791.074818765</v>
      </c>
      <c r="K28" t="n">
        <v>17724.4143252954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87229.7737640453</v>
      </c>
      <c r="T28" t="n">
        <v>512489419.959477</v>
      </c>
      <c r="U28" t="n">
        <v>36268.1871751654</v>
      </c>
      <c r="V28" t="n">
        <v>306658.393771799</v>
      </c>
      <c r="W28" t="n">
        <v>1492893.32523391</v>
      </c>
      <c r="X28" t="n">
        <v>1363217.72481789</v>
      </c>
      <c r="Y28" t="n">
        <v>298278.868263765</v>
      </c>
      <c r="Z28" t="n">
        <v>34886184.8889589</v>
      </c>
      <c r="AA28" t="n">
        <v>792432.854141828</v>
      </c>
      <c r="AB28" t="n">
        <v>12001819.2145996</v>
      </c>
      <c r="AC28" t="n">
        <v>5408.61429275147</v>
      </c>
      <c r="AD28" t="n">
        <v>20253266.2465362</v>
      </c>
      <c r="AE28" t="n">
        <v>4184288.30343766</v>
      </c>
      <c r="AF28" t="n">
        <v>8992185.76167122</v>
      </c>
      <c r="AG28" t="n">
        <v>941448.193689303</v>
      </c>
      <c r="AH28" t="n">
        <v>2637.92860095499</v>
      </c>
      <c r="AI28" t="n">
        <v>2147360.78352762</v>
      </c>
      <c r="AJ28" t="n">
        <v>90662.9195678914</v>
      </c>
      <c r="AK28" t="n">
        <v>0</v>
      </c>
      <c r="AL28" t="n">
        <v>0</v>
      </c>
      <c r="AM28" t="n">
        <v>32106.2153941735</v>
      </c>
      <c r="AN28" t="n">
        <v>0</v>
      </c>
      <c r="AO28" t="n">
        <v>131525.26557098</v>
      </c>
      <c r="AP28" t="n">
        <v>139027.50791868</v>
      </c>
      <c r="AQ28" t="n">
        <v>0</v>
      </c>
      <c r="AR28" t="n">
        <v>533843.016461319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28645978.7816894</v>
      </c>
      <c r="BC28" t="n">
        <v>549245.545256937</v>
      </c>
      <c r="BD28" t="n">
        <v>0</v>
      </c>
      <c r="BE28" t="n">
        <v>0</v>
      </c>
      <c r="BF28" t="n">
        <v>65387904.8854702</v>
      </c>
      <c r="BG28" t="n">
        <v>43554.7187690646</v>
      </c>
      <c r="BH28" t="n">
        <v>39243096.8719843</v>
      </c>
      <c r="BI28" t="n">
        <v>49765298.1851641</v>
      </c>
      <c r="BJ28" t="n">
        <v>124661315.600542</v>
      </c>
      <c r="BK28" t="n">
        <v>4316998.07253953</v>
      </c>
      <c r="BL28" t="n">
        <v>34254053.0883611</v>
      </c>
      <c r="BM28" t="n">
        <v>29382743.5665374</v>
      </c>
      <c r="BN28" t="n">
        <v>428209928.301286</v>
      </c>
      <c r="BO28" t="n">
        <v>8410249.25695942</v>
      </c>
      <c r="BP28" t="n">
        <v>14930054.0544818</v>
      </c>
      <c r="BQ28" t="n">
        <v>141363.895185114</v>
      </c>
      <c r="BR28" t="n">
        <v>2455834.04304828</v>
      </c>
      <c r="BS28" t="n">
        <v>328957838.871831</v>
      </c>
      <c r="BT28" t="n">
        <v>0</v>
      </c>
      <c r="BU28" t="n">
        <v>3547207736.70374</v>
      </c>
      <c r="BV28" t="n">
        <v>0</v>
      </c>
      <c r="BW28" t="n">
        <v>0</v>
      </c>
      <c r="BX28" t="n">
        <v>0</v>
      </c>
      <c r="BY28" t="n">
        <v>0</v>
      </c>
      <c r="BZ28" t="n">
        <v>49719191.6242483</v>
      </c>
      <c r="CA28" t="n">
        <v>167651464.845456</v>
      </c>
      <c r="CB28" t="n">
        <v>-1105364615.97048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99218.1408787288</v>
      </c>
      <c r="C29" t="n">
        <v>15321.8595253572</v>
      </c>
      <c r="D29" t="n">
        <v>0</v>
      </c>
      <c r="E29" t="n">
        <v>2744.91334684023</v>
      </c>
      <c r="F29" t="n">
        <v>0</v>
      </c>
      <c r="G29" t="n">
        <v>0</v>
      </c>
      <c r="H29" t="n">
        <v>4668708.99127832</v>
      </c>
      <c r="I29" t="n">
        <v>406974.749876819</v>
      </c>
      <c r="J29" t="n">
        <v>370959.754983351</v>
      </c>
      <c r="K29" t="n">
        <v>0</v>
      </c>
      <c r="L29" t="n">
        <v>2749.45059861811</v>
      </c>
      <c r="M29" t="n">
        <v>1364669.4238543</v>
      </c>
      <c r="N29" t="n">
        <v>1577.43761845106</v>
      </c>
      <c r="O29" t="n">
        <v>0</v>
      </c>
      <c r="P29" t="n">
        <v>2161661.87916068</v>
      </c>
      <c r="Q29" t="n">
        <v>33764823.5575078</v>
      </c>
      <c r="R29" t="n">
        <v>10103954.3960654</v>
      </c>
      <c r="S29" t="n">
        <v>8987867.26582396</v>
      </c>
      <c r="T29" t="n">
        <v>665700.902075866</v>
      </c>
      <c r="U29" t="n">
        <v>22473028.4373303</v>
      </c>
      <c r="V29" t="n">
        <v>2470885.23519053</v>
      </c>
      <c r="W29" t="n">
        <v>7856964.9285368</v>
      </c>
      <c r="X29" t="n">
        <v>612363.755745912</v>
      </c>
      <c r="Y29" t="n">
        <v>19224.2142308075</v>
      </c>
      <c r="Z29" t="n">
        <v>10103.9272430009</v>
      </c>
      <c r="AA29" t="n">
        <v>11269394.0394441</v>
      </c>
      <c r="AB29" t="n">
        <v>14394390.8291632</v>
      </c>
      <c r="AC29" t="n">
        <v>190217.965648122</v>
      </c>
      <c r="AD29" t="n">
        <v>1027758.26342972</v>
      </c>
      <c r="AE29" t="n">
        <v>31865598.9934173</v>
      </c>
      <c r="AF29" t="n">
        <v>5325157.90636393</v>
      </c>
      <c r="AG29" t="n">
        <v>0</v>
      </c>
      <c r="AH29" t="n">
        <v>0</v>
      </c>
      <c r="AI29" t="n">
        <v>69331.4871378896</v>
      </c>
      <c r="AJ29" t="n">
        <v>21582.0682211556</v>
      </c>
      <c r="AK29" t="n">
        <v>0</v>
      </c>
      <c r="AL29" t="n">
        <v>23349.7686666938</v>
      </c>
      <c r="AM29" t="n">
        <v>111657.615101944</v>
      </c>
      <c r="AN29" t="n">
        <v>45978.9906627459</v>
      </c>
      <c r="AO29" t="n">
        <v>919.822647170729</v>
      </c>
      <c r="AP29" t="n">
        <v>2883697.35883471</v>
      </c>
      <c r="AQ29" t="n">
        <v>11958.3805077372</v>
      </c>
      <c r="AR29" t="n">
        <v>3183.44175636437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226110.582685391</v>
      </c>
      <c r="AY29" t="n">
        <v>2476526.12746877</v>
      </c>
      <c r="AZ29" t="n">
        <v>0</v>
      </c>
      <c r="BA29" t="n">
        <v>0</v>
      </c>
      <c r="BB29" t="n">
        <v>2459117.89136351</v>
      </c>
      <c r="BC29" t="n">
        <v>73218.9044512</v>
      </c>
      <c r="BD29" t="n">
        <v>1324766.00327439</v>
      </c>
      <c r="BE29" t="n">
        <v>2177066.69031557</v>
      </c>
      <c r="BF29" t="n">
        <v>306439.678194342</v>
      </c>
      <c r="BG29" t="n">
        <v>867015.972081419</v>
      </c>
      <c r="BH29" t="n">
        <v>4723801.03339779</v>
      </c>
      <c r="BI29" t="n">
        <v>43689403.717338</v>
      </c>
      <c r="BJ29" t="n">
        <v>19384690.2074931</v>
      </c>
      <c r="BK29" t="n">
        <v>0</v>
      </c>
      <c r="BL29" t="n">
        <v>1515173.97738659</v>
      </c>
      <c r="BM29" t="n">
        <v>13432990.2670738</v>
      </c>
      <c r="BN29" t="n">
        <v>3495443.34066726</v>
      </c>
      <c r="BO29" t="n">
        <v>5144422.82364568</v>
      </c>
      <c r="BP29" t="n">
        <v>4526669.85033116</v>
      </c>
      <c r="BQ29" t="n">
        <v>1245054.82783657</v>
      </c>
      <c r="BR29" t="n">
        <v>2696.78074066026</v>
      </c>
      <c r="BS29" t="n">
        <v>21065477.6217912</v>
      </c>
      <c r="BT29" t="n">
        <v>142784.389449041</v>
      </c>
      <c r="BU29" t="n">
        <v>157888744.137264</v>
      </c>
      <c r="BV29" t="n">
        <v>0</v>
      </c>
      <c r="BW29" t="n">
        <v>2447428.8007457</v>
      </c>
      <c r="BX29" t="n">
        <v>0</v>
      </c>
      <c r="BY29" t="n">
        <v>2431416.85881786</v>
      </c>
      <c r="BZ29" t="n">
        <v>2633249.36906026</v>
      </c>
      <c r="CA29" t="n">
        <v>60488443.316365</v>
      </c>
      <c r="CB29" t="n">
        <v>-412122931.53412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5144268.46580671</v>
      </c>
      <c r="CJ29" t="n">
        <v>0</v>
      </c>
      <c r="CK29" t="n">
        <v>0</v>
      </c>
      <c r="CL29" t="n">
        <v>0</v>
      </c>
      <c r="CM29" t="n">
        <v>22921.7333989525</v>
      </c>
      <c r="CN29" t="n">
        <v>0</v>
      </c>
    </row>
    <row r="30">
      <c r="A30" t="s">
        <v>141</v>
      </c>
      <c r="B30" t="n">
        <v>96101.4886284151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3065719.22660042</v>
      </c>
      <c r="Q30" t="n">
        <v>0</v>
      </c>
      <c r="R30" t="n">
        <v>0</v>
      </c>
      <c r="S30" t="n">
        <v>2963386.86143862</v>
      </c>
      <c r="T30" t="n">
        <v>74188.7834092575</v>
      </c>
      <c r="U30" t="n">
        <v>3101711.91625285</v>
      </c>
      <c r="V30" t="n">
        <v>3701497.59731315</v>
      </c>
      <c r="W30" t="n">
        <v>0</v>
      </c>
      <c r="X30" t="n">
        <v>25276972.6976759</v>
      </c>
      <c r="Y30" t="n">
        <v>0</v>
      </c>
      <c r="Z30" t="n">
        <v>0</v>
      </c>
      <c r="AA30" t="n">
        <v>789.257230412314</v>
      </c>
      <c r="AB30" t="n">
        <v>2706778.27021559</v>
      </c>
      <c r="AC30" t="n">
        <v>1019614.29480222</v>
      </c>
      <c r="AD30" t="n">
        <v>71155.5813698604</v>
      </c>
      <c r="AE30" t="n">
        <v>298693.627500183</v>
      </c>
      <c r="AF30" t="n">
        <v>1954743.49872107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474799.448605748</v>
      </c>
      <c r="AP30" t="n">
        <v>310675.104011425</v>
      </c>
      <c r="AQ30" t="n">
        <v>22358728.6763414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1270382.01021026</v>
      </c>
      <c r="AZ30" t="n">
        <v>0</v>
      </c>
      <c r="BA30" t="n">
        <v>0</v>
      </c>
      <c r="BB30" t="n">
        <v>21911.9137530674</v>
      </c>
      <c r="BC30" t="n">
        <v>28022.1027842778</v>
      </c>
      <c r="BD30" t="n">
        <v>1552795.65103989</v>
      </c>
      <c r="BE30" t="n">
        <v>127926.693934818</v>
      </c>
      <c r="BF30" t="n">
        <v>1257609.54179921</v>
      </c>
      <c r="BG30" t="n">
        <v>854421.935941859</v>
      </c>
      <c r="BH30" t="n">
        <v>1324669.11372751</v>
      </c>
      <c r="BI30" t="n">
        <v>0</v>
      </c>
      <c r="BJ30" t="n">
        <v>8179163.70100876</v>
      </c>
      <c r="BK30" t="n">
        <v>500443.322328852</v>
      </c>
      <c r="BL30" t="n">
        <v>662849.874982294</v>
      </c>
      <c r="BM30" t="n">
        <v>219316.989726659</v>
      </c>
      <c r="BN30" t="n">
        <v>5821117.35301914</v>
      </c>
      <c r="BO30" t="n">
        <v>15481818.7909619</v>
      </c>
      <c r="BP30" t="n">
        <v>3646835.95016273</v>
      </c>
      <c r="BQ30" t="n">
        <v>443912.075624681</v>
      </c>
      <c r="BR30" t="n">
        <v>156880.541432277</v>
      </c>
      <c r="BS30" t="n">
        <v>26847616.8675877</v>
      </c>
      <c r="BT30" t="n">
        <v>25261.5226553088</v>
      </c>
      <c r="BU30" t="n">
        <v>1604025013.69385</v>
      </c>
      <c r="BV30" t="n">
        <v>0</v>
      </c>
      <c r="BW30" t="n">
        <v>0</v>
      </c>
      <c r="BX30" t="n">
        <v>0</v>
      </c>
      <c r="BY30" t="n">
        <v>0</v>
      </c>
      <c r="BZ30" t="n">
        <v>-1888459.57068511</v>
      </c>
      <c r="CA30" t="n">
        <v>12191693.297037</v>
      </c>
      <c r="CB30" t="n">
        <v>-1720082562.26875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707317.289331455</v>
      </c>
      <c r="C31" t="n">
        <v>0</v>
      </c>
      <c r="D31" t="n">
        <v>0</v>
      </c>
      <c r="E31" t="n">
        <v>228230.96009885</v>
      </c>
      <c r="F31" t="n">
        <v>3964.32043496722</v>
      </c>
      <c r="G31" t="n">
        <v>157755.051376852</v>
      </c>
      <c r="H31" t="n">
        <v>12734285.8513378</v>
      </c>
      <c r="I31" t="n">
        <v>1120242.23352694</v>
      </c>
      <c r="J31" t="n">
        <v>2561131.2231775</v>
      </c>
      <c r="K31" t="n">
        <v>5289249.63624831</v>
      </c>
      <c r="L31" t="n">
        <v>24142737.1969856</v>
      </c>
      <c r="M31" t="n">
        <v>9459503.79812846</v>
      </c>
      <c r="N31" t="n">
        <v>2198818.95330048</v>
      </c>
      <c r="O31" t="n">
        <v>13616658.8290231</v>
      </c>
      <c r="P31" t="n">
        <v>6621082.46184255</v>
      </c>
      <c r="Q31" t="n">
        <v>17885830.9043563</v>
      </c>
      <c r="R31" t="n">
        <v>3934007.97349234</v>
      </c>
      <c r="S31" t="n">
        <v>28014843.6913873</v>
      </c>
      <c r="T31" t="n">
        <v>81461750.370467</v>
      </c>
      <c r="U31" t="n">
        <v>1458561.60555276</v>
      </c>
      <c r="V31" t="n">
        <v>29259.1667017857</v>
      </c>
      <c r="W31" t="n">
        <v>203461572.391845</v>
      </c>
      <c r="X31" t="n">
        <v>57787132.9460369</v>
      </c>
      <c r="Y31" t="n">
        <v>226474.922537959</v>
      </c>
      <c r="Z31" t="n">
        <v>41160492.1303228</v>
      </c>
      <c r="AA31" t="n">
        <v>16479061.1013395</v>
      </c>
      <c r="AB31" t="n">
        <v>43577491.7797683</v>
      </c>
      <c r="AC31" t="n">
        <v>1087721.99544386</v>
      </c>
      <c r="AD31" t="n">
        <v>11264738.3330127</v>
      </c>
      <c r="AE31" t="n">
        <v>2229994.63843842</v>
      </c>
      <c r="AF31" t="n">
        <v>8123456.65500903</v>
      </c>
      <c r="AG31" t="n">
        <v>65189.1957838381</v>
      </c>
      <c r="AH31" t="n">
        <v>154504.637329955</v>
      </c>
      <c r="AI31" t="n">
        <v>19650.8956118876</v>
      </c>
      <c r="AJ31" t="n">
        <v>521161.072950521</v>
      </c>
      <c r="AK31" t="n">
        <v>16534603.849043</v>
      </c>
      <c r="AL31" t="n">
        <v>851179.417804601</v>
      </c>
      <c r="AM31" t="n">
        <v>8125274.51066013</v>
      </c>
      <c r="AN31" t="n">
        <v>1304925.62816318</v>
      </c>
      <c r="AO31" t="n">
        <v>7367785.92919334</v>
      </c>
      <c r="AP31" t="n">
        <v>661868.01522786</v>
      </c>
      <c r="AQ31" t="n">
        <v>3402634.97192469</v>
      </c>
      <c r="AR31" t="n">
        <v>752044.416764777</v>
      </c>
      <c r="AS31" t="n">
        <v>4651818.34505248</v>
      </c>
      <c r="AT31" t="n">
        <v>7517805.41515647</v>
      </c>
      <c r="AU31" t="n">
        <v>19482170.6490457</v>
      </c>
      <c r="AV31" t="n">
        <v>370.393922880196</v>
      </c>
      <c r="AW31" t="n">
        <v>0</v>
      </c>
      <c r="AX31" t="n">
        <v>3662902.67602068</v>
      </c>
      <c r="AY31" t="n">
        <v>10477442.7243709</v>
      </c>
      <c r="AZ31" t="n">
        <v>2044884.35365478</v>
      </c>
      <c r="BA31" t="n">
        <v>2916919.56044809</v>
      </c>
      <c r="BB31" t="n">
        <v>17219024.912227</v>
      </c>
      <c r="BC31" t="n">
        <v>9982375.51399241</v>
      </c>
      <c r="BD31" t="n">
        <v>29005166.9458943</v>
      </c>
      <c r="BE31" t="n">
        <v>2693839.92990212</v>
      </c>
      <c r="BF31" t="n">
        <v>3548449.61012725</v>
      </c>
      <c r="BG31" t="n">
        <v>9228836.66897486</v>
      </c>
      <c r="BH31" t="n">
        <v>10581593.5028021</v>
      </c>
      <c r="BI31" t="n">
        <v>9329519.99339848</v>
      </c>
      <c r="BJ31" t="n">
        <v>10145810.9816841</v>
      </c>
      <c r="BK31" t="n">
        <v>351313.053715967</v>
      </c>
      <c r="BL31" t="n">
        <v>1090535.88041139</v>
      </c>
      <c r="BM31" t="n">
        <v>14487384.9312203</v>
      </c>
      <c r="BN31" t="n">
        <v>30445374.1851093</v>
      </c>
      <c r="BO31" t="n">
        <v>5940871.84127095</v>
      </c>
      <c r="BP31" t="n">
        <v>1860715.0042714</v>
      </c>
      <c r="BQ31" t="n">
        <v>6731539.22801035</v>
      </c>
      <c r="BR31" t="n">
        <v>541813.632737579</v>
      </c>
      <c r="BS31" t="n">
        <v>73326585.2265257</v>
      </c>
      <c r="BT31" t="n">
        <v>139550.125730399</v>
      </c>
      <c r="BU31" t="n">
        <v>151237815.682041</v>
      </c>
      <c r="BV31" t="n">
        <v>0</v>
      </c>
      <c r="BW31" t="n">
        <v>0</v>
      </c>
      <c r="BX31" t="n">
        <v>0</v>
      </c>
      <c r="BY31" t="n">
        <v>0</v>
      </c>
      <c r="BZ31" t="n">
        <v>6363697.97293899</v>
      </c>
      <c r="CA31" t="n">
        <v>126080687.06534</v>
      </c>
      <c r="CB31" t="n">
        <v>-241953799.400145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25430.8406853302</v>
      </c>
      <c r="C32" t="n">
        <v>0</v>
      </c>
      <c r="D32" t="n">
        <v>0</v>
      </c>
      <c r="E32" t="n">
        <v>4401.60572931622</v>
      </c>
      <c r="F32" t="n">
        <v>0</v>
      </c>
      <c r="G32" t="n">
        <v>93013.7720675894</v>
      </c>
      <c r="H32" t="n">
        <v>270341.162072412</v>
      </c>
      <c r="I32" t="n">
        <v>7150.30702734654</v>
      </c>
      <c r="J32" t="n">
        <v>0</v>
      </c>
      <c r="K32" t="n">
        <v>0</v>
      </c>
      <c r="L32" t="n">
        <v>228148.763334143</v>
      </c>
      <c r="M32" t="n">
        <v>32240.3500070292</v>
      </c>
      <c r="N32" t="n">
        <v>0</v>
      </c>
      <c r="O32" t="n">
        <v>36834.7751152337</v>
      </c>
      <c r="P32" t="n">
        <v>9072.78870721234</v>
      </c>
      <c r="Q32" t="n">
        <v>0</v>
      </c>
      <c r="R32" t="n">
        <v>0</v>
      </c>
      <c r="S32" t="n">
        <v>0</v>
      </c>
      <c r="T32" t="n">
        <v>257852.162920692</v>
      </c>
      <c r="U32" t="n">
        <v>0</v>
      </c>
      <c r="V32" t="n">
        <v>3334.1303178846</v>
      </c>
      <c r="W32" t="n">
        <v>0</v>
      </c>
      <c r="X32" t="n">
        <v>10422234.5831273</v>
      </c>
      <c r="Y32" t="n">
        <v>1744.99526448852</v>
      </c>
      <c r="Z32" t="n">
        <v>1458595.75306102</v>
      </c>
      <c r="AA32" t="n">
        <v>0</v>
      </c>
      <c r="AB32" t="n">
        <v>90863768.26549</v>
      </c>
      <c r="AC32" t="n">
        <v>1945570.77944552</v>
      </c>
      <c r="AD32" t="n">
        <v>2299661.6348512</v>
      </c>
      <c r="AE32" t="n">
        <v>1428009.08355173</v>
      </c>
      <c r="AF32" t="n">
        <v>46201511.3633118</v>
      </c>
      <c r="AG32" t="n">
        <v>19447.0892081163</v>
      </c>
      <c r="AH32" t="n">
        <v>24616.0510205136</v>
      </c>
      <c r="AI32" t="n">
        <v>0</v>
      </c>
      <c r="AJ32" t="n">
        <v>950978.923887713</v>
      </c>
      <c r="AK32" t="n">
        <v>1564736.133067</v>
      </c>
      <c r="AL32" t="n">
        <v>176830.328689016</v>
      </c>
      <c r="AM32" t="n">
        <v>1543347.93890659</v>
      </c>
      <c r="AN32" t="n">
        <v>126556.066256254</v>
      </c>
      <c r="AO32" t="n">
        <v>22584777.9596116</v>
      </c>
      <c r="AP32" t="n">
        <v>11304573.3365527</v>
      </c>
      <c r="AQ32" t="n">
        <v>8672319.29143092</v>
      </c>
      <c r="AR32" t="n">
        <v>18952038.066925</v>
      </c>
      <c r="AS32" t="n">
        <v>7986886.19126697</v>
      </c>
      <c r="AT32" t="n">
        <v>40365912.9379542</v>
      </c>
      <c r="AU32" t="n">
        <v>110298778.789286</v>
      </c>
      <c r="AV32" t="n">
        <v>0</v>
      </c>
      <c r="AW32" t="n">
        <v>0</v>
      </c>
      <c r="AX32" t="n">
        <v>793038.798297204</v>
      </c>
      <c r="AY32" t="n">
        <v>8120007.98612209</v>
      </c>
      <c r="AZ32" t="n">
        <v>5823795.88179308</v>
      </c>
      <c r="BA32" t="n">
        <v>2710825.54193807</v>
      </c>
      <c r="BB32" t="n">
        <v>55192930.6255464</v>
      </c>
      <c r="BC32" t="n">
        <v>12817182.4932719</v>
      </c>
      <c r="BD32" t="n">
        <v>27595373.1681374</v>
      </c>
      <c r="BE32" t="n">
        <v>187538.114236083</v>
      </c>
      <c r="BF32" t="n">
        <v>13557939.3828915</v>
      </c>
      <c r="BG32" t="n">
        <v>17972380.6217306</v>
      </c>
      <c r="BH32" t="n">
        <v>37664195.2181366</v>
      </c>
      <c r="BI32" t="n">
        <v>2214887.8811857</v>
      </c>
      <c r="BJ32" t="n">
        <v>22667833.2777903</v>
      </c>
      <c r="BK32" t="n">
        <v>5093156.08130386</v>
      </c>
      <c r="BL32" t="n">
        <v>2048448.93724046</v>
      </c>
      <c r="BM32" t="n">
        <v>5936203.02613308</v>
      </c>
      <c r="BN32" t="n">
        <v>9154368.8317304</v>
      </c>
      <c r="BO32" t="n">
        <v>11738469.4496143</v>
      </c>
      <c r="BP32" t="n">
        <v>4141408.49091175</v>
      </c>
      <c r="BQ32" t="n">
        <v>7205866.87362041</v>
      </c>
      <c r="BR32" t="n">
        <v>277423.931223894</v>
      </c>
      <c r="BS32" t="n">
        <v>77207608.3583771</v>
      </c>
      <c r="BT32" t="n">
        <v>2349419.37077257</v>
      </c>
      <c r="BU32" t="n">
        <v>29925026.7037615</v>
      </c>
      <c r="BV32" t="n">
        <v>0</v>
      </c>
      <c r="BW32" t="n">
        <v>0</v>
      </c>
      <c r="BX32" t="n">
        <v>0</v>
      </c>
      <c r="BY32" t="n">
        <v>0</v>
      </c>
      <c r="BZ32" t="n">
        <v>1488015.98910082</v>
      </c>
      <c r="CA32" t="n">
        <v>9556076.8909332</v>
      </c>
      <c r="CB32" t="n">
        <v>-38527594.9314304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8615076.03609816</v>
      </c>
      <c r="C33" t="n">
        <v>74580.7940395943</v>
      </c>
      <c r="D33" t="n">
        <v>0</v>
      </c>
      <c r="E33" t="n">
        <v>3163242.63001785</v>
      </c>
      <c r="F33" t="n">
        <v>71353.3570945837</v>
      </c>
      <c r="G33" t="n">
        <v>94681539.7388318</v>
      </c>
      <c r="H33" t="n">
        <v>80451199.1248743</v>
      </c>
      <c r="I33" t="n">
        <v>597447.391414837</v>
      </c>
      <c r="J33" t="n">
        <v>551339.309945893</v>
      </c>
      <c r="K33" t="n">
        <v>3114127.06159268</v>
      </c>
      <c r="L33" t="n">
        <v>14928427.1301752</v>
      </c>
      <c r="M33" t="n">
        <v>3375229.11237319</v>
      </c>
      <c r="N33" t="n">
        <v>392011.509210712</v>
      </c>
      <c r="O33" t="n">
        <v>3384633.08549146</v>
      </c>
      <c r="P33" t="n">
        <v>330678.728411161</v>
      </c>
      <c r="Q33" t="n">
        <v>4365830.27867709</v>
      </c>
      <c r="R33" t="n">
        <v>358677.308239926</v>
      </c>
      <c r="S33" t="n">
        <v>5620327.01306709</v>
      </c>
      <c r="T33" t="n">
        <v>4347690.90616458</v>
      </c>
      <c r="U33" t="n">
        <v>189328.94454117</v>
      </c>
      <c r="V33" t="n">
        <v>3059.74016312553</v>
      </c>
      <c r="W33" t="n">
        <v>5477111.17951437</v>
      </c>
      <c r="X33" t="n">
        <v>1766568.68309155</v>
      </c>
      <c r="Y33" t="n">
        <v>7705092.78007711</v>
      </c>
      <c r="Z33" t="n">
        <v>56484640.7146429</v>
      </c>
      <c r="AA33" t="n">
        <v>1518236.35473024</v>
      </c>
      <c r="AB33" t="n">
        <v>14213382.3011219</v>
      </c>
      <c r="AC33" t="n">
        <v>2872886.90463444</v>
      </c>
      <c r="AD33" t="n">
        <v>2236591.3829594</v>
      </c>
      <c r="AE33" t="n">
        <v>801483.193264718</v>
      </c>
      <c r="AF33" t="n">
        <v>5308539.33586856</v>
      </c>
      <c r="AG33" t="n">
        <v>33965679.0528706</v>
      </c>
      <c r="AH33" t="n">
        <v>6609608.45262909</v>
      </c>
      <c r="AI33" t="n">
        <v>19464517.8466683</v>
      </c>
      <c r="AJ33" t="n">
        <v>22768188.0109794</v>
      </c>
      <c r="AK33" t="n">
        <v>10439675.9454703</v>
      </c>
      <c r="AL33" t="n">
        <v>1308953.79330084</v>
      </c>
      <c r="AM33" t="n">
        <v>32367633.5266965</v>
      </c>
      <c r="AN33" t="n">
        <v>13642605.1446311</v>
      </c>
      <c r="AO33" t="n">
        <v>978248.696676088</v>
      </c>
      <c r="AP33" t="n">
        <v>490550.735223023</v>
      </c>
      <c r="AQ33" t="n">
        <v>3647471.56441661</v>
      </c>
      <c r="AR33" t="n">
        <v>915144.167334166</v>
      </c>
      <c r="AS33" t="n">
        <v>10005781.6415862</v>
      </c>
      <c r="AT33" t="n">
        <v>29421712.7944426</v>
      </c>
      <c r="AU33" t="n">
        <v>642948.889030631</v>
      </c>
      <c r="AV33" t="n">
        <v>96645.9828463079</v>
      </c>
      <c r="AW33" t="n">
        <v>99493.0753583067</v>
      </c>
      <c r="AX33" t="n">
        <v>10040306.0859352</v>
      </c>
      <c r="AY33" t="n">
        <v>10352972.3119867</v>
      </c>
      <c r="AZ33" t="n">
        <v>170551.815410952</v>
      </c>
      <c r="BA33" t="n">
        <v>3095006.67882934</v>
      </c>
      <c r="BB33" t="n">
        <v>6589356.65316926</v>
      </c>
      <c r="BC33" t="n">
        <v>4835539.03237644</v>
      </c>
      <c r="BD33" t="n">
        <v>15078126.0747148</v>
      </c>
      <c r="BE33" t="n">
        <v>6675005.37510471</v>
      </c>
      <c r="BF33" t="n">
        <v>9798096.99843652</v>
      </c>
      <c r="BG33" t="n">
        <v>3038437.19595272</v>
      </c>
      <c r="BH33" t="n">
        <v>5030063.1461236</v>
      </c>
      <c r="BI33" t="n">
        <v>5066245.16248269</v>
      </c>
      <c r="BJ33" t="n">
        <v>3585394.85755592</v>
      </c>
      <c r="BK33" t="n">
        <v>698024.194486917</v>
      </c>
      <c r="BL33" t="n">
        <v>2688846.84865137</v>
      </c>
      <c r="BM33" t="n">
        <v>2458067.56647476</v>
      </c>
      <c r="BN33" t="n">
        <v>13531055.8635921</v>
      </c>
      <c r="BO33" t="n">
        <v>8857748.5642506</v>
      </c>
      <c r="BP33" t="n">
        <v>46365994.8722976</v>
      </c>
      <c r="BQ33" t="n">
        <v>2439336.64996125</v>
      </c>
      <c r="BR33" t="n">
        <v>3012610.14264509</v>
      </c>
      <c r="BS33" t="n">
        <v>307821979.792665</v>
      </c>
      <c r="BT33" t="n">
        <v>52369507.1152029</v>
      </c>
      <c r="BU33" t="n">
        <v>400048857.117198</v>
      </c>
      <c r="BV33" t="n">
        <v>0</v>
      </c>
      <c r="BW33" t="n">
        <v>0</v>
      </c>
      <c r="BX33" t="n">
        <v>0</v>
      </c>
      <c r="BY33" t="n">
        <v>0</v>
      </c>
      <c r="BZ33" t="n">
        <v>5585721.2093144</v>
      </c>
      <c r="CA33" t="n">
        <v>82545080.9519507</v>
      </c>
      <c r="CB33" t="n">
        <v>-602512044.055874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28828176.9941734</v>
      </c>
      <c r="C34" t="n">
        <v>580965.364129236</v>
      </c>
      <c r="D34" t="n">
        <v>0</v>
      </c>
      <c r="E34" t="n">
        <v>2607599.46535967</v>
      </c>
      <c r="F34" t="n">
        <v>99752.2777235417</v>
      </c>
      <c r="G34" t="n">
        <v>7091980.99360744</v>
      </c>
      <c r="H34" t="n">
        <v>56208405.925648</v>
      </c>
      <c r="I34" t="n">
        <v>3527465.33748356</v>
      </c>
      <c r="J34" t="n">
        <v>6504806.79469682</v>
      </c>
      <c r="K34" t="n">
        <v>5395165.31979892</v>
      </c>
      <c r="L34" t="n">
        <v>76948707.5324368</v>
      </c>
      <c r="M34" t="n">
        <v>12244669.1224457</v>
      </c>
      <c r="N34" t="n">
        <v>8415587.97182964</v>
      </c>
      <c r="O34" t="n">
        <v>25597471.2951219</v>
      </c>
      <c r="P34" t="n">
        <v>15481544.7970744</v>
      </c>
      <c r="Q34" t="n">
        <v>44326988.724287</v>
      </c>
      <c r="R34" t="n">
        <v>5383823.15389581</v>
      </c>
      <c r="S34" t="n">
        <v>95315877.4527521</v>
      </c>
      <c r="T34" t="n">
        <v>27649270.7571808</v>
      </c>
      <c r="U34" t="n">
        <v>45314522.860887</v>
      </c>
      <c r="V34" t="n">
        <v>164154.307594217</v>
      </c>
      <c r="W34" t="n">
        <v>36331180.5722446</v>
      </c>
      <c r="X34" t="n">
        <v>16983651.8785902</v>
      </c>
      <c r="Y34" t="n">
        <v>20683918.5908844</v>
      </c>
      <c r="Z34" t="n">
        <v>1601302992.09764</v>
      </c>
      <c r="AA34" t="n">
        <v>243351721.111121</v>
      </c>
      <c r="AB34" t="n">
        <v>11571985.1956467</v>
      </c>
      <c r="AC34" t="n">
        <v>946933.793613235</v>
      </c>
      <c r="AD34" t="n">
        <v>763216.668504395</v>
      </c>
      <c r="AE34" t="n">
        <v>263552.702238179</v>
      </c>
      <c r="AF34" t="n">
        <v>3990865.30318915</v>
      </c>
      <c r="AG34" t="n">
        <v>2532.3666757465</v>
      </c>
      <c r="AH34" t="n">
        <v>347766.278284147</v>
      </c>
      <c r="AI34" t="n">
        <v>34417.238406413</v>
      </c>
      <c r="AJ34" t="n">
        <v>643455.572001669</v>
      </c>
      <c r="AK34" t="n">
        <v>194944.814440465</v>
      </c>
      <c r="AL34" t="n">
        <v>47345.6307225017</v>
      </c>
      <c r="AM34" t="n">
        <v>289752.355845593</v>
      </c>
      <c r="AN34" t="n">
        <v>2199443.13017859</v>
      </c>
      <c r="AO34" t="n">
        <v>1436461.64642225</v>
      </c>
      <c r="AP34" t="n">
        <v>3616555.66562522</v>
      </c>
      <c r="AQ34" t="n">
        <v>10709608.9691751</v>
      </c>
      <c r="AR34" t="n">
        <v>2552836.56514427</v>
      </c>
      <c r="AS34" t="n">
        <v>289985.057816123</v>
      </c>
      <c r="AT34" t="n">
        <v>1465821.9638183</v>
      </c>
      <c r="AU34" t="n">
        <v>1366998.31518369</v>
      </c>
      <c r="AV34" t="n">
        <v>0</v>
      </c>
      <c r="AW34" t="n">
        <v>2379524.38872665</v>
      </c>
      <c r="AX34" t="n">
        <v>50453351.4709635</v>
      </c>
      <c r="AY34" t="n">
        <v>1555866.79209457</v>
      </c>
      <c r="AZ34" t="n">
        <v>662329.098698769</v>
      </c>
      <c r="BA34" t="n">
        <v>1580216.72445729</v>
      </c>
      <c r="BB34" t="n">
        <v>219290937.326925</v>
      </c>
      <c r="BC34" t="n">
        <v>15848457.6353086</v>
      </c>
      <c r="BD34" t="n">
        <v>57423045.6494271</v>
      </c>
      <c r="BE34" t="n">
        <v>14229691.8046946</v>
      </c>
      <c r="BF34" t="n">
        <v>9833438.2633834</v>
      </c>
      <c r="BG34" t="n">
        <v>279229293.623033</v>
      </c>
      <c r="BH34" t="n">
        <v>87091381.757068</v>
      </c>
      <c r="BI34" t="n">
        <v>36097990.6600049</v>
      </c>
      <c r="BJ34" t="n">
        <v>4637947.89392293</v>
      </c>
      <c r="BK34" t="n">
        <v>1619612.8018008</v>
      </c>
      <c r="BL34" t="n">
        <v>5251211.58923943</v>
      </c>
      <c r="BM34" t="n">
        <v>419520.634504985</v>
      </c>
      <c r="BN34" t="n">
        <v>8645456.80775071</v>
      </c>
      <c r="BO34" t="n">
        <v>35461878.4188449</v>
      </c>
      <c r="BP34" t="n">
        <v>19573115.9451374</v>
      </c>
      <c r="BQ34" t="n">
        <v>8873529.40486311</v>
      </c>
      <c r="BR34" t="n">
        <v>348965.351563066</v>
      </c>
      <c r="BS34" t="n">
        <v>205103885.249047</v>
      </c>
      <c r="BT34" t="n">
        <v>8557633.3362513</v>
      </c>
      <c r="BU34" t="n">
        <v>2471813442.04566</v>
      </c>
      <c r="BV34" t="n">
        <v>0</v>
      </c>
      <c r="BW34" t="n">
        <v>17250183.8623183</v>
      </c>
      <c r="BX34" t="n">
        <v>0</v>
      </c>
      <c r="BY34" t="n">
        <v>0</v>
      </c>
      <c r="BZ34" t="n">
        <v>104431785.894163</v>
      </c>
      <c r="CA34" t="n">
        <v>851302871.100634</v>
      </c>
      <c r="CB34" t="n">
        <v>-3301491905.98266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2907618.96940332</v>
      </c>
      <c r="C35" t="n">
        <v>30535.0143728308</v>
      </c>
      <c r="D35" t="n">
        <v>0</v>
      </c>
      <c r="E35" t="n">
        <v>2525523.42300878</v>
      </c>
      <c r="F35" t="n">
        <v>70610.6095594131</v>
      </c>
      <c r="G35" t="n">
        <v>204382.489913491</v>
      </c>
      <c r="H35" t="n">
        <v>161791233.01219</v>
      </c>
      <c r="I35" t="n">
        <v>1603455.62462109</v>
      </c>
      <c r="J35" t="n">
        <v>2196081.3296619</v>
      </c>
      <c r="K35" t="n">
        <v>2782932.48199816</v>
      </c>
      <c r="L35" t="n">
        <v>37472902.7816668</v>
      </c>
      <c r="M35" t="n">
        <v>64158619.3749582</v>
      </c>
      <c r="N35" t="n">
        <v>12696528.0504167</v>
      </c>
      <c r="O35" t="n">
        <v>30448354.8141814</v>
      </c>
      <c r="P35" t="n">
        <v>40455890.8905928</v>
      </c>
      <c r="Q35" t="n">
        <v>140555996.24463</v>
      </c>
      <c r="R35" t="n">
        <v>10724081.7635362</v>
      </c>
      <c r="S35" t="n">
        <v>82906197.3088612</v>
      </c>
      <c r="T35" t="n">
        <v>75568434.4347244</v>
      </c>
      <c r="U35" t="n">
        <v>1789325.65842101</v>
      </c>
      <c r="V35" t="n">
        <v>172864.907869011</v>
      </c>
      <c r="W35" t="n">
        <v>14076627.8741071</v>
      </c>
      <c r="X35" t="n">
        <v>18481488.6433202</v>
      </c>
      <c r="Y35" t="n">
        <v>463459.538224028</v>
      </c>
      <c r="Z35" t="n">
        <v>83359758.0712348</v>
      </c>
      <c r="AA35" t="n">
        <v>89368277.4495489</v>
      </c>
      <c r="AB35" t="n">
        <v>138174935.760643</v>
      </c>
      <c r="AC35" t="n">
        <v>8444793.15429749</v>
      </c>
      <c r="AD35" t="n">
        <v>17170994.5888577</v>
      </c>
      <c r="AE35" t="n">
        <v>3027963.17324664</v>
      </c>
      <c r="AF35" t="n">
        <v>27722760.2805982</v>
      </c>
      <c r="AG35" t="n">
        <v>1378971.44611978</v>
      </c>
      <c r="AH35" t="n">
        <v>8729.29745650554</v>
      </c>
      <c r="AI35" t="n">
        <v>0</v>
      </c>
      <c r="AJ35" t="n">
        <v>3504386.42848943</v>
      </c>
      <c r="AK35" t="n">
        <v>876726.802214184</v>
      </c>
      <c r="AL35" t="n">
        <v>2379748.93907542</v>
      </c>
      <c r="AM35" t="n">
        <v>10197498.8257708</v>
      </c>
      <c r="AN35" t="n">
        <v>2485533.86953178</v>
      </c>
      <c r="AO35" t="n">
        <v>1370297.47785761</v>
      </c>
      <c r="AP35" t="n">
        <v>1114184.78332052</v>
      </c>
      <c r="AQ35" t="n">
        <v>69088404.3638199</v>
      </c>
      <c r="AR35" t="n">
        <v>2495473.82009605</v>
      </c>
      <c r="AS35" t="n">
        <v>307313.046597802</v>
      </c>
      <c r="AT35" t="n">
        <v>2957543.8941448</v>
      </c>
      <c r="AU35" t="n">
        <v>24754693.9962786</v>
      </c>
      <c r="AV35" t="n">
        <v>0</v>
      </c>
      <c r="AW35" t="n">
        <v>89765.3750306796</v>
      </c>
      <c r="AX35" t="n">
        <v>2588537.43922185</v>
      </c>
      <c r="AY35" t="n">
        <v>31832162.8486885</v>
      </c>
      <c r="AZ35" t="n">
        <v>182069.051415362</v>
      </c>
      <c r="BA35" t="n">
        <v>13434425.7774434</v>
      </c>
      <c r="BB35" t="n">
        <v>58168850.5456244</v>
      </c>
      <c r="BC35" t="n">
        <v>1178977.53684062</v>
      </c>
      <c r="BD35" t="n">
        <v>16244391.246006</v>
      </c>
      <c r="BE35" t="n">
        <v>4133058.10349679</v>
      </c>
      <c r="BF35" t="n">
        <v>10445585.5948037</v>
      </c>
      <c r="BG35" t="n">
        <v>73323728.7602975</v>
      </c>
      <c r="BH35" t="n">
        <v>39311428.1880413</v>
      </c>
      <c r="BI35" t="n">
        <v>22493763.974306</v>
      </c>
      <c r="BJ35" t="n">
        <v>15643796.528622</v>
      </c>
      <c r="BK35" t="n">
        <v>297929.944152335</v>
      </c>
      <c r="BL35" t="n">
        <v>2084847.08599837</v>
      </c>
      <c r="BM35" t="n">
        <v>892667.393402779</v>
      </c>
      <c r="BN35" t="n">
        <v>52981772.5178576</v>
      </c>
      <c r="BO35" t="n">
        <v>25483927.5040883</v>
      </c>
      <c r="BP35" t="n">
        <v>21639123.21489</v>
      </c>
      <c r="BQ35" t="n">
        <v>3811657.60629694</v>
      </c>
      <c r="BR35" t="n">
        <v>151523.418878839</v>
      </c>
      <c r="BS35" t="n">
        <v>91781093.1087096</v>
      </c>
      <c r="BT35" t="n">
        <v>16140688.7191505</v>
      </c>
      <c r="BU35" t="n">
        <v>379971774.288654</v>
      </c>
      <c r="BV35" t="n">
        <v>0</v>
      </c>
      <c r="BW35" t="n">
        <v>1793066.27823853</v>
      </c>
      <c r="BX35" t="n">
        <v>0</v>
      </c>
      <c r="BY35" t="n">
        <v>272168.94826137</v>
      </c>
      <c r="BZ35" t="n">
        <v>11857475.9199498</v>
      </c>
      <c r="CA35" t="n">
        <v>263614029.398946</v>
      </c>
      <c r="CB35" t="n">
        <v>-675549288.245754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78152.7605225751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27152864.8258078</v>
      </c>
      <c r="C36" t="n">
        <v>400008.44658718</v>
      </c>
      <c r="D36" t="n">
        <v>0</v>
      </c>
      <c r="E36" t="n">
        <v>3086611.78735572</v>
      </c>
      <c r="F36" t="n">
        <v>101208.942198687</v>
      </c>
      <c r="G36" t="n">
        <v>25841775.7271447</v>
      </c>
      <c r="H36" t="n">
        <v>210114679.83109</v>
      </c>
      <c r="I36" t="n">
        <v>5713441.60769823</v>
      </c>
      <c r="J36" t="n">
        <v>5648813.10187369</v>
      </c>
      <c r="K36" t="n">
        <v>47473958.4754186</v>
      </c>
      <c r="L36" t="n">
        <v>126962728.419428</v>
      </c>
      <c r="M36" t="n">
        <v>74136825.2095525</v>
      </c>
      <c r="N36" t="n">
        <v>23854244.5449046</v>
      </c>
      <c r="O36" t="n">
        <v>59220756.4596713</v>
      </c>
      <c r="P36" t="n">
        <v>49864953.0185644</v>
      </c>
      <c r="Q36" t="n">
        <v>244798087.611832</v>
      </c>
      <c r="R36" t="n">
        <v>9016408.84355073</v>
      </c>
      <c r="S36" t="n">
        <v>68309512.2281474</v>
      </c>
      <c r="T36" t="n">
        <v>137965355.828102</v>
      </c>
      <c r="U36" t="n">
        <v>6519606.18970547</v>
      </c>
      <c r="V36" t="n">
        <v>1058900.54042957</v>
      </c>
      <c r="W36" t="n">
        <v>29399804.1329305</v>
      </c>
      <c r="X36" t="n">
        <v>12754069.8180921</v>
      </c>
      <c r="Y36" t="n">
        <v>7212178.06042787</v>
      </c>
      <c r="Z36" t="n">
        <v>195488588.335063</v>
      </c>
      <c r="AA36" t="n">
        <v>36245018.2526948</v>
      </c>
      <c r="AB36" t="n">
        <v>180365348.298781</v>
      </c>
      <c r="AC36" t="n">
        <v>14202459.3601496</v>
      </c>
      <c r="AD36" t="n">
        <v>13006980.0549107</v>
      </c>
      <c r="AE36" t="n">
        <v>7929820.68106068</v>
      </c>
      <c r="AF36" t="n">
        <v>53379099.9006061</v>
      </c>
      <c r="AG36" t="n">
        <v>3282713.3071042</v>
      </c>
      <c r="AH36" t="n">
        <v>2054181.08648645</v>
      </c>
      <c r="AI36" t="n">
        <v>4987596.17942869</v>
      </c>
      <c r="AJ36" t="n">
        <v>13332572.6321284</v>
      </c>
      <c r="AK36" t="n">
        <v>7095709.55510483</v>
      </c>
      <c r="AL36" t="n">
        <v>3564002.3414023</v>
      </c>
      <c r="AM36" t="n">
        <v>13801282.5824235</v>
      </c>
      <c r="AN36" t="n">
        <v>7993489.40506837</v>
      </c>
      <c r="AO36" t="n">
        <v>22813904.4007543</v>
      </c>
      <c r="AP36" t="n">
        <v>2130586.53436901</v>
      </c>
      <c r="AQ36" t="n">
        <v>83429224.1736948</v>
      </c>
      <c r="AR36" t="n">
        <v>6396075.24076511</v>
      </c>
      <c r="AS36" t="n">
        <v>6328808.57618326</v>
      </c>
      <c r="AT36" t="n">
        <v>20466348.890948</v>
      </c>
      <c r="AU36" t="n">
        <v>11571967.8447857</v>
      </c>
      <c r="AV36" t="n">
        <v>82753.2307631861</v>
      </c>
      <c r="AW36" t="n">
        <v>2293034.87619647</v>
      </c>
      <c r="AX36" t="n">
        <v>13148221.0867078</v>
      </c>
      <c r="AY36" t="n">
        <v>104132768.728865</v>
      </c>
      <c r="AZ36" t="n">
        <v>1925085.35879981</v>
      </c>
      <c r="BA36" t="n">
        <v>13103327.0816801</v>
      </c>
      <c r="BB36" t="n">
        <v>68547482.0292194</v>
      </c>
      <c r="BC36" t="n">
        <v>18850136.6017762</v>
      </c>
      <c r="BD36" t="n">
        <v>39507239.046664</v>
      </c>
      <c r="BE36" t="n">
        <v>14181314.2507043</v>
      </c>
      <c r="BF36" t="n">
        <v>21090681.0911357</v>
      </c>
      <c r="BG36" t="n">
        <v>100361681.860103</v>
      </c>
      <c r="BH36" t="n">
        <v>63951467.6045703</v>
      </c>
      <c r="BI36" t="n">
        <v>22463509.3829726</v>
      </c>
      <c r="BJ36" t="n">
        <v>25246790.2422052</v>
      </c>
      <c r="BK36" t="n">
        <v>1810785.30986404</v>
      </c>
      <c r="BL36" t="n">
        <v>12734160.5991959</v>
      </c>
      <c r="BM36" t="n">
        <v>9514744.8739767</v>
      </c>
      <c r="BN36" t="n">
        <v>87375230.1396398</v>
      </c>
      <c r="BO36" t="n">
        <v>39410302.8729852</v>
      </c>
      <c r="BP36" t="n">
        <v>39184167.0700079</v>
      </c>
      <c r="BQ36" t="n">
        <v>7537136.77560636</v>
      </c>
      <c r="BR36" t="n">
        <v>3053968.36437998</v>
      </c>
      <c r="BS36" t="n">
        <v>131433114.630582</v>
      </c>
      <c r="BT36" t="n">
        <v>26660842.0571292</v>
      </c>
      <c r="BU36" t="n">
        <v>1842285022.42522</v>
      </c>
      <c r="BV36" t="n">
        <v>299471.263227072</v>
      </c>
      <c r="BW36" t="n">
        <v>698574125.601883</v>
      </c>
      <c r="BX36" t="n">
        <v>80641699.9769472</v>
      </c>
      <c r="BY36" t="n">
        <v>12549316.8351552</v>
      </c>
      <c r="BZ36" t="n">
        <v>106369889.073154</v>
      </c>
      <c r="CA36" t="n">
        <v>2404247446.191</v>
      </c>
      <c r="CB36" t="n">
        <v>895558107.646938</v>
      </c>
      <c r="CC36" t="n">
        <v>0</v>
      </c>
      <c r="CD36" t="n">
        <v>0</v>
      </c>
      <c r="CE36" t="n">
        <v>63604187.5876083</v>
      </c>
      <c r="CF36" t="n">
        <v>5624619.48077293</v>
      </c>
      <c r="CG36" t="n">
        <v>0</v>
      </c>
      <c r="CH36" t="n">
        <v>0</v>
      </c>
      <c r="CI36" t="n">
        <v>444668.299980601</v>
      </c>
      <c r="CJ36" t="n">
        <v>0</v>
      </c>
      <c r="CK36" t="n">
        <v>0</v>
      </c>
      <c r="CL36" t="n">
        <v>0</v>
      </c>
      <c r="CM36" t="n">
        <v>29404750.9736887</v>
      </c>
      <c r="CN36" t="n">
        <v>6680480.98728224</v>
      </c>
    </row>
    <row r="37">
      <c r="A37" t="s">
        <v>148</v>
      </c>
      <c r="B37" t="n">
        <v>31718.1766434017</v>
      </c>
      <c r="C37" t="n">
        <v>1300.94986346553</v>
      </c>
      <c r="D37" t="n">
        <v>0</v>
      </c>
      <c r="E37" t="n">
        <v>447420.875534957</v>
      </c>
      <c r="F37" t="n">
        <v>16022.7155919853</v>
      </c>
      <c r="G37" t="n">
        <v>196931.205423684</v>
      </c>
      <c r="H37" t="n">
        <v>17738411.7260029</v>
      </c>
      <c r="I37" t="n">
        <v>635414.403754323</v>
      </c>
      <c r="J37" t="n">
        <v>452392.435615744</v>
      </c>
      <c r="K37" t="n">
        <v>726135.049473776</v>
      </c>
      <c r="L37" t="n">
        <v>8565504.25414774</v>
      </c>
      <c r="M37" t="n">
        <v>17873887.0625187</v>
      </c>
      <c r="N37" t="n">
        <v>980013.819464763</v>
      </c>
      <c r="O37" t="n">
        <v>68912.3052309617</v>
      </c>
      <c r="P37" t="n">
        <v>9157375.04256876</v>
      </c>
      <c r="Q37" t="n">
        <v>37331374.7029063</v>
      </c>
      <c r="R37" t="n">
        <v>602738.283893542</v>
      </c>
      <c r="S37" t="n">
        <v>6816526.98780975</v>
      </c>
      <c r="T37" t="n">
        <v>8264502.34086674</v>
      </c>
      <c r="U37" t="n">
        <v>130471.280061194</v>
      </c>
      <c r="V37" t="n">
        <v>0</v>
      </c>
      <c r="W37" t="n">
        <v>2484179.47575168</v>
      </c>
      <c r="X37" t="n">
        <v>406935.344004305</v>
      </c>
      <c r="Y37" t="n">
        <v>3264.62278965518</v>
      </c>
      <c r="Z37" t="n">
        <v>5757405.4158792</v>
      </c>
      <c r="AA37" t="n">
        <v>1000034.19771873</v>
      </c>
      <c r="AB37" t="n">
        <v>1146922.55967032</v>
      </c>
      <c r="AC37" t="n">
        <v>13722882.6049561</v>
      </c>
      <c r="AD37" t="n">
        <v>9410325.63616404</v>
      </c>
      <c r="AE37" t="n">
        <v>1198053.58635927</v>
      </c>
      <c r="AF37" t="n">
        <v>14007345.5181305</v>
      </c>
      <c r="AG37" t="n">
        <v>0</v>
      </c>
      <c r="AH37" t="n">
        <v>24561.5554497034</v>
      </c>
      <c r="AI37" t="n">
        <v>0</v>
      </c>
      <c r="AJ37" t="n">
        <v>6390886.98649059</v>
      </c>
      <c r="AK37" t="n">
        <v>104549.469964664</v>
      </c>
      <c r="AL37" t="n">
        <v>21015.703307718</v>
      </c>
      <c r="AM37" t="n">
        <v>98716.0881309326</v>
      </c>
      <c r="AN37" t="n">
        <v>566280.496115579</v>
      </c>
      <c r="AO37" t="n">
        <v>405817.801520339</v>
      </c>
      <c r="AP37" t="n">
        <v>678197.526681345</v>
      </c>
      <c r="AQ37" t="n">
        <v>1550478.59815898</v>
      </c>
      <c r="AR37" t="n">
        <v>68792.1789595594</v>
      </c>
      <c r="AS37" t="n">
        <v>413175.712650776</v>
      </c>
      <c r="AT37" t="n">
        <v>278211.303444074</v>
      </c>
      <c r="AU37" t="n">
        <v>502871.568917812</v>
      </c>
      <c r="AV37" t="n">
        <v>0</v>
      </c>
      <c r="AW37" t="n">
        <v>1067637.32339097</v>
      </c>
      <c r="AX37" t="n">
        <v>1885275.76126319</v>
      </c>
      <c r="AY37" t="n">
        <v>14382303.6990844</v>
      </c>
      <c r="AZ37" t="n">
        <v>0</v>
      </c>
      <c r="BA37" t="n">
        <v>269856.277336739</v>
      </c>
      <c r="BB37" t="n">
        <v>6216860.92641225</v>
      </c>
      <c r="BC37" t="n">
        <v>0</v>
      </c>
      <c r="BD37" t="n">
        <v>29332845.3169734</v>
      </c>
      <c r="BE37" t="n">
        <v>935774.047324972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45328.0572774698</v>
      </c>
      <c r="BL37" t="n">
        <v>227107.766517954</v>
      </c>
      <c r="BM37" t="n">
        <v>282071.835821432</v>
      </c>
      <c r="BN37" t="n">
        <v>1536056.40353991</v>
      </c>
      <c r="BO37" t="n">
        <v>36735189.091457</v>
      </c>
      <c r="BP37" t="n">
        <v>0</v>
      </c>
      <c r="BQ37" t="n">
        <v>0</v>
      </c>
      <c r="BR37" t="n">
        <v>0</v>
      </c>
      <c r="BS37" t="n">
        <v>0</v>
      </c>
      <c r="BT37" t="n">
        <v>22284.3806115437</v>
      </c>
      <c r="BU37" t="n">
        <v>2826702608.17961</v>
      </c>
      <c r="BV37" t="n">
        <v>0</v>
      </c>
      <c r="BW37" t="n">
        <v>340625786.452536</v>
      </c>
      <c r="BX37" t="n">
        <v>0</v>
      </c>
      <c r="BY37" t="n">
        <v>64725.0010459583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121992.987090006</v>
      </c>
      <c r="C38" t="n">
        <v>0</v>
      </c>
      <c r="D38" t="n">
        <v>0</v>
      </c>
      <c r="E38" t="n">
        <v>0</v>
      </c>
      <c r="F38" t="n">
        <v>0</v>
      </c>
      <c r="G38" t="n">
        <v>1139387.68852274</v>
      </c>
      <c r="H38" t="n">
        <v>1774690.30671834</v>
      </c>
      <c r="I38" t="n">
        <v>0</v>
      </c>
      <c r="J38" t="n">
        <v>6752.12590471259</v>
      </c>
      <c r="K38" t="n">
        <v>0</v>
      </c>
      <c r="L38" t="n">
        <v>49511.585284091</v>
      </c>
      <c r="M38" t="n">
        <v>150792.073080866</v>
      </c>
      <c r="N38" t="n">
        <v>7101.54941641132</v>
      </c>
      <c r="O38" t="n">
        <v>45941.5368206411</v>
      </c>
      <c r="P38" t="n">
        <v>22631.757905638</v>
      </c>
      <c r="Q38" t="n">
        <v>0</v>
      </c>
      <c r="R38" t="n">
        <v>31068.9837058527</v>
      </c>
      <c r="S38" t="n">
        <v>304804.052300436</v>
      </c>
      <c r="T38" t="n">
        <v>85769.483152064</v>
      </c>
      <c r="U38" t="n">
        <v>0</v>
      </c>
      <c r="V38" t="n">
        <v>0</v>
      </c>
      <c r="W38" t="n">
        <v>8039.41577913167</v>
      </c>
      <c r="X38" t="n">
        <v>172639.236850311</v>
      </c>
      <c r="Y38" t="n">
        <v>4352.83038620691</v>
      </c>
      <c r="Z38" t="n">
        <v>662816.42485291</v>
      </c>
      <c r="AA38" t="n">
        <v>7194.49063107003</v>
      </c>
      <c r="AB38" t="n">
        <v>91753.8047736258</v>
      </c>
      <c r="AC38" t="n">
        <v>138487.806105062</v>
      </c>
      <c r="AD38" t="n">
        <v>391355.697534232</v>
      </c>
      <c r="AE38" t="n">
        <v>95420.1971436585</v>
      </c>
      <c r="AF38" t="n">
        <v>505363.053987455</v>
      </c>
      <c r="AG38" t="n">
        <v>0</v>
      </c>
      <c r="AH38" t="n">
        <v>12280.7777248517</v>
      </c>
      <c r="AI38" t="n">
        <v>0</v>
      </c>
      <c r="AJ38" t="n">
        <v>1068556.30414123</v>
      </c>
      <c r="AK38" t="n">
        <v>487897.526501767</v>
      </c>
      <c r="AL38" t="n">
        <v>0</v>
      </c>
      <c r="AM38" t="n">
        <v>305122.454222883</v>
      </c>
      <c r="AN38" t="n">
        <v>0</v>
      </c>
      <c r="AO38" t="n">
        <v>8281.99594939467</v>
      </c>
      <c r="AP38" t="n">
        <v>0</v>
      </c>
      <c r="AQ38" t="n">
        <v>0</v>
      </c>
      <c r="AR38" t="n">
        <v>11465.3631599266</v>
      </c>
      <c r="AS38" t="n">
        <v>37561.4284227978</v>
      </c>
      <c r="AT38" t="n">
        <v>119233.415761746</v>
      </c>
      <c r="AU38" t="n">
        <v>35919.3977798437</v>
      </c>
      <c r="AV38" t="n">
        <v>0</v>
      </c>
      <c r="AW38" t="n">
        <v>841168.800247431</v>
      </c>
      <c r="AX38" t="n">
        <v>165243.293815897</v>
      </c>
      <c r="AY38" t="n">
        <v>76773.8631623723</v>
      </c>
      <c r="AZ38" t="n">
        <v>0</v>
      </c>
      <c r="BA38" t="n">
        <v>10794.2510934695</v>
      </c>
      <c r="BB38" t="n">
        <v>62418.2823936973</v>
      </c>
      <c r="BC38" t="n">
        <v>0</v>
      </c>
      <c r="BD38" t="n">
        <v>827987.73006135</v>
      </c>
      <c r="BE38" t="n">
        <v>0</v>
      </c>
      <c r="BF38" t="n">
        <v>223652.226033099</v>
      </c>
      <c r="BG38" t="n">
        <v>27671.233226413</v>
      </c>
      <c r="BH38" t="n">
        <v>64047.2253758296</v>
      </c>
      <c r="BI38" t="n">
        <v>21838.747099768</v>
      </c>
      <c r="BJ38" t="n">
        <v>15866.1438762729</v>
      </c>
      <c r="BK38" t="n">
        <v>72524.8916439516</v>
      </c>
      <c r="BL38" t="n">
        <v>214490.668378068</v>
      </c>
      <c r="BM38" t="n">
        <v>316262.361375545</v>
      </c>
      <c r="BN38" t="n">
        <v>15813045.7666744</v>
      </c>
      <c r="BO38" t="n">
        <v>310505.499472653</v>
      </c>
      <c r="BP38" t="n">
        <v>0</v>
      </c>
      <c r="BQ38" t="n">
        <v>0</v>
      </c>
      <c r="BR38" t="n">
        <v>0</v>
      </c>
      <c r="BS38" t="n">
        <v>249497.600682049</v>
      </c>
      <c r="BT38" t="n">
        <v>0</v>
      </c>
      <c r="BU38" t="n">
        <v>2920068869.75717</v>
      </c>
      <c r="BV38" t="n">
        <v>0</v>
      </c>
      <c r="BW38" t="n">
        <v>4142805.94179813</v>
      </c>
      <c r="BX38" t="n">
        <v>17554.2624652463</v>
      </c>
      <c r="BY38" t="n">
        <v>94491.4367458554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3459.29010896452</v>
      </c>
      <c r="C39" t="n">
        <v>0</v>
      </c>
      <c r="D39" t="n">
        <v>0</v>
      </c>
      <c r="E39" t="n">
        <v>206.383451735754</v>
      </c>
      <c r="F39" t="n">
        <v>6.73022100506596</v>
      </c>
      <c r="G39" t="n">
        <v>31124.4665507379</v>
      </c>
      <c r="H39" t="n">
        <v>141825.680884148</v>
      </c>
      <c r="I39" t="n">
        <v>383.160181864797</v>
      </c>
      <c r="J39" t="n">
        <v>398.888406651848</v>
      </c>
      <c r="K39" t="n">
        <v>354.521772486473</v>
      </c>
      <c r="L39" t="n">
        <v>5849.89013637735</v>
      </c>
      <c r="M39" t="n">
        <v>15440.8599208668</v>
      </c>
      <c r="N39" t="n">
        <v>915.340233912918</v>
      </c>
      <c r="O39" t="n">
        <v>2714.04098207537</v>
      </c>
      <c r="P39" t="n">
        <v>5135.26901244411</v>
      </c>
      <c r="Q39" t="n">
        <v>15548.1848950996</v>
      </c>
      <c r="R39" t="n">
        <v>2069.03067556397</v>
      </c>
      <c r="S39" t="n">
        <v>19345.9295001937</v>
      </c>
      <c r="T39" t="n">
        <v>8093.9042335014</v>
      </c>
      <c r="U39" t="n">
        <v>247.306453446674</v>
      </c>
      <c r="V39" t="n">
        <v>0</v>
      </c>
      <c r="W39" t="n">
        <v>1467.98495301359</v>
      </c>
      <c r="X39" t="n">
        <v>6225.2604009611</v>
      </c>
      <c r="Y39" t="n">
        <v>93.5082508118188</v>
      </c>
      <c r="Z39" t="n">
        <v>20520.531881921</v>
      </c>
      <c r="AA39" t="n">
        <v>927.319708838384</v>
      </c>
      <c r="AB39" t="n">
        <v>3695.75814547789</v>
      </c>
      <c r="AC39" t="n">
        <v>11900.0754531446</v>
      </c>
      <c r="AD39" t="n">
        <v>8789.31449528691</v>
      </c>
      <c r="AE39" t="n">
        <v>1252.67577247943</v>
      </c>
      <c r="AF39" t="n">
        <v>13688.3732442808</v>
      </c>
      <c r="AG39" t="n">
        <v>0</v>
      </c>
      <c r="AH39" t="n">
        <v>395.726668088823</v>
      </c>
      <c r="AI39" t="n">
        <v>113.646904880052</v>
      </c>
      <c r="AJ39" t="n">
        <v>32620.1356332215</v>
      </c>
      <c r="AK39" t="n">
        <v>13475.6981443758</v>
      </c>
      <c r="AL39" t="n">
        <v>225.731476019825</v>
      </c>
      <c r="AM39" t="n">
        <v>8675.32900559587</v>
      </c>
      <c r="AN39" t="n">
        <v>233.941057455436</v>
      </c>
      <c r="AO39" t="n">
        <v>444.788152619308</v>
      </c>
      <c r="AP39" t="n">
        <v>393.760969785769</v>
      </c>
      <c r="AQ39" t="n">
        <v>693.909330114752</v>
      </c>
      <c r="AR39" t="n">
        <v>307.876128542778</v>
      </c>
      <c r="AS39" t="n">
        <v>1512.93949489975</v>
      </c>
      <c r="AT39" t="n">
        <v>3415.19031893324</v>
      </c>
      <c r="AU39" t="n">
        <v>1157.44001899898</v>
      </c>
      <c r="AV39" t="n">
        <v>0</v>
      </c>
      <c r="AW39" t="n">
        <v>46912.8447775685</v>
      </c>
      <c r="AX39" t="n">
        <v>12666.2777631218</v>
      </c>
      <c r="AY39" t="n">
        <v>12919.2764142235</v>
      </c>
      <c r="AZ39" t="n">
        <v>122.673929537986</v>
      </c>
      <c r="BA39" t="n">
        <v>463.767916054021</v>
      </c>
      <c r="BB39" t="n">
        <v>5095.34504502383</v>
      </c>
      <c r="BC39" t="n">
        <v>0</v>
      </c>
      <c r="BD39" t="n">
        <v>38894.1848676414</v>
      </c>
      <c r="BE39" t="n">
        <v>463.902899723128</v>
      </c>
      <c r="BF39" t="n">
        <v>13612.8507984712</v>
      </c>
      <c r="BG39" t="n">
        <v>1486.09547537557</v>
      </c>
      <c r="BH39" t="n">
        <v>1100.698806592</v>
      </c>
      <c r="BI39" t="n">
        <v>234.571860150114</v>
      </c>
      <c r="BJ39" t="n">
        <v>511.258846324506</v>
      </c>
      <c r="BK39" t="n">
        <v>389.498048179877</v>
      </c>
      <c r="BL39" t="n">
        <v>948.649350988081</v>
      </c>
      <c r="BM39" t="n">
        <v>5600.46146040392</v>
      </c>
      <c r="BN39" t="n">
        <v>37474.2772860051</v>
      </c>
      <c r="BO39" t="n">
        <v>32966.8357737796</v>
      </c>
      <c r="BP39" t="n">
        <v>0</v>
      </c>
      <c r="BQ39" t="n">
        <v>213.537305349627</v>
      </c>
      <c r="BR39" t="n">
        <v>0</v>
      </c>
      <c r="BS39" t="n">
        <v>2947.86269699329</v>
      </c>
      <c r="BT39" t="n">
        <v>0</v>
      </c>
      <c r="BU39" t="n">
        <v>31685682.1694551</v>
      </c>
      <c r="BV39" t="n">
        <v>0</v>
      </c>
      <c r="BW39" t="n">
        <v>228663.560714653</v>
      </c>
      <c r="BX39" t="n">
        <v>61261.5291319279</v>
      </c>
      <c r="BY39" t="n">
        <v>26096.4791114961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3533075.9266344</v>
      </c>
      <c r="C40" t="n">
        <v>13954.5199490221</v>
      </c>
      <c r="D40" t="n">
        <v>0</v>
      </c>
      <c r="E40" t="n">
        <v>316512.921192764</v>
      </c>
      <c r="F40" t="n">
        <v>1600.24391165463</v>
      </c>
      <c r="G40" t="n">
        <v>34967178.2474273</v>
      </c>
      <c r="H40" t="n">
        <v>597897546.891781</v>
      </c>
      <c r="I40" t="n">
        <v>765273.217796442</v>
      </c>
      <c r="J40" t="n">
        <v>51301.7940067087</v>
      </c>
      <c r="K40" t="n">
        <v>140139.777548314</v>
      </c>
      <c r="L40" t="n">
        <v>3053718.623411</v>
      </c>
      <c r="M40" t="n">
        <v>9767645.55949981</v>
      </c>
      <c r="N40" t="n">
        <v>577653.754913785</v>
      </c>
      <c r="O40" t="n">
        <v>2628201.07084771</v>
      </c>
      <c r="P40" t="n">
        <v>2139300.33798283</v>
      </c>
      <c r="Q40" t="n">
        <v>3881734.73156113</v>
      </c>
      <c r="R40" t="n">
        <v>1821813.7755987</v>
      </c>
      <c r="S40" t="n">
        <v>16941710.1811226</v>
      </c>
      <c r="T40" t="n">
        <v>5437848.46169822</v>
      </c>
      <c r="U40" t="n">
        <v>294990.17562984</v>
      </c>
      <c r="V40" t="n">
        <v>3717.09072998815</v>
      </c>
      <c r="W40" t="n">
        <v>682686.303984154</v>
      </c>
      <c r="X40" t="n">
        <v>9435356.88157273</v>
      </c>
      <c r="Y40" t="n">
        <v>284032.279800135</v>
      </c>
      <c r="Z40" t="n">
        <v>37697355.2133681</v>
      </c>
      <c r="AA40" t="n">
        <v>649522.97876254</v>
      </c>
      <c r="AB40" t="n">
        <v>5730849.42990183</v>
      </c>
      <c r="AC40" t="n">
        <v>12626552.8839459</v>
      </c>
      <c r="AD40" t="n">
        <v>5151895.97329163</v>
      </c>
      <c r="AE40" t="n">
        <v>5127057.16990558</v>
      </c>
      <c r="AF40" t="n">
        <v>13924992.9036379</v>
      </c>
      <c r="AG40" t="n">
        <v>13550.4967054282</v>
      </c>
      <c r="AH40" t="n">
        <v>389697.230142327</v>
      </c>
      <c r="AI40" t="n">
        <v>4416715.19314451</v>
      </c>
      <c r="AJ40" t="n">
        <v>35276481.405216</v>
      </c>
      <c r="AK40" t="n">
        <v>14064730.999028</v>
      </c>
      <c r="AL40" t="n">
        <v>262993.52688395</v>
      </c>
      <c r="AM40" t="n">
        <v>12273255.5667217</v>
      </c>
      <c r="AN40" t="n">
        <v>77873.7954721315</v>
      </c>
      <c r="AO40" t="n">
        <v>466389.385886739</v>
      </c>
      <c r="AP40" t="n">
        <v>245764.319543233</v>
      </c>
      <c r="AQ40" t="n">
        <v>307982.724864239</v>
      </c>
      <c r="AR40" t="n">
        <v>481680.170854396</v>
      </c>
      <c r="AS40" t="n">
        <v>2140402.17563093</v>
      </c>
      <c r="AT40" t="n">
        <v>5364469.4106464</v>
      </c>
      <c r="AU40" t="n">
        <v>1701680.45725995</v>
      </c>
      <c r="AV40" t="n">
        <v>0</v>
      </c>
      <c r="AW40" t="n">
        <v>45532926.8794497</v>
      </c>
      <c r="AX40" t="n">
        <v>7855251.94857232</v>
      </c>
      <c r="AY40" t="n">
        <v>3774410.90885514</v>
      </c>
      <c r="AZ40" t="n">
        <v>224594.884343163</v>
      </c>
      <c r="BA40" t="n">
        <v>521025.970345968</v>
      </c>
      <c r="BB40" t="n">
        <v>3961350.38090337</v>
      </c>
      <c r="BC40" t="n">
        <v>0</v>
      </c>
      <c r="BD40" t="n">
        <v>14920642.4655947</v>
      </c>
      <c r="BE40" t="n">
        <v>283108.830328157</v>
      </c>
      <c r="BF40" t="n">
        <v>2887667.353185</v>
      </c>
      <c r="BG40" t="n">
        <v>3598857.10537784</v>
      </c>
      <c r="BH40" t="n">
        <v>1751841.62639794</v>
      </c>
      <c r="BI40" t="n">
        <v>1464070.79465362</v>
      </c>
      <c r="BJ40" t="n">
        <v>794204.804849293</v>
      </c>
      <c r="BK40" t="n">
        <v>2512070.88708257</v>
      </c>
      <c r="BL40" t="n">
        <v>3778134.22671279</v>
      </c>
      <c r="BM40" t="n">
        <v>8931684.86061136</v>
      </c>
      <c r="BN40" t="n">
        <v>60072755.4542779</v>
      </c>
      <c r="BO40" t="n">
        <v>22374859.7533905</v>
      </c>
      <c r="BP40" t="n">
        <v>15102.3814390126</v>
      </c>
      <c r="BQ40" t="n">
        <v>272480.380554546</v>
      </c>
      <c r="BR40" t="n">
        <v>10852.2465731847</v>
      </c>
      <c r="BS40" t="n">
        <v>4092376.0757012</v>
      </c>
      <c r="BT40" t="n">
        <v>0</v>
      </c>
      <c r="BU40" t="n">
        <v>10569650119.9062</v>
      </c>
      <c r="BV40" t="n">
        <v>0</v>
      </c>
      <c r="BW40" t="n">
        <v>343730991.16896</v>
      </c>
      <c r="BX40" t="n">
        <v>119897140.557894</v>
      </c>
      <c r="BY40" t="n">
        <v>84720644.1224118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219561.012384464</v>
      </c>
      <c r="C41" t="n">
        <v>601.909666045676</v>
      </c>
      <c r="D41" t="n">
        <v>0</v>
      </c>
      <c r="E41" t="n">
        <v>26219.5016457994</v>
      </c>
      <c r="F41" t="n">
        <v>17567.5591788291</v>
      </c>
      <c r="G41" t="n">
        <v>6838106.38246085</v>
      </c>
      <c r="H41" t="n">
        <v>1853671.57949901</v>
      </c>
      <c r="I41" t="n">
        <v>167711.126447927</v>
      </c>
      <c r="J41" t="n">
        <v>502823.177917909</v>
      </c>
      <c r="K41" t="n">
        <v>838748.65352527</v>
      </c>
      <c r="L41" t="n">
        <v>5945547.24299005</v>
      </c>
      <c r="M41" t="n">
        <v>1731003.78162911</v>
      </c>
      <c r="N41" t="n">
        <v>266938.631126268</v>
      </c>
      <c r="O41" t="n">
        <v>465404.73318832</v>
      </c>
      <c r="P41" t="n">
        <v>515326.739140956</v>
      </c>
      <c r="Q41" t="n">
        <v>4806468.70717041</v>
      </c>
      <c r="R41" t="n">
        <v>357890.696800352</v>
      </c>
      <c r="S41" t="n">
        <v>2720243.82102609</v>
      </c>
      <c r="T41" t="n">
        <v>2203396.81979203</v>
      </c>
      <c r="U41" t="n">
        <v>130067.522552043</v>
      </c>
      <c r="V41" t="n">
        <v>8968.38943852273</v>
      </c>
      <c r="W41" t="n">
        <v>731754.870333257</v>
      </c>
      <c r="X41" t="n">
        <v>1156463.58164096</v>
      </c>
      <c r="Y41" t="n">
        <v>86064.3926589933</v>
      </c>
      <c r="Z41" t="n">
        <v>2419703.92692383</v>
      </c>
      <c r="AA41" t="n">
        <v>1524132.85958433</v>
      </c>
      <c r="AB41" t="n">
        <v>43621375.5658614</v>
      </c>
      <c r="AC41" t="n">
        <v>1116055.54222213</v>
      </c>
      <c r="AD41" t="n">
        <v>338642.839377956</v>
      </c>
      <c r="AE41" t="n">
        <v>337286.7656609</v>
      </c>
      <c r="AF41" t="n">
        <v>1091692.42646049</v>
      </c>
      <c r="AG41" t="n">
        <v>292452.836093014</v>
      </c>
      <c r="AH41" t="n">
        <v>66856.6039070168</v>
      </c>
      <c r="AI41" t="n">
        <v>611835.942060127</v>
      </c>
      <c r="AJ41" t="n">
        <v>3681515.84673566</v>
      </c>
      <c r="AK41" t="n">
        <v>259284.10362091</v>
      </c>
      <c r="AL41" t="n">
        <v>143971.806172265</v>
      </c>
      <c r="AM41" t="n">
        <v>3166709.49299781</v>
      </c>
      <c r="AN41" t="n">
        <v>1176243.512571</v>
      </c>
      <c r="AO41" t="n">
        <v>2107612.82705974</v>
      </c>
      <c r="AP41" t="n">
        <v>3092735.71271843</v>
      </c>
      <c r="AQ41" t="n">
        <v>6827763.01086139</v>
      </c>
      <c r="AR41" t="n">
        <v>7084140.30294417</v>
      </c>
      <c r="AS41" t="n">
        <v>37860695.5505306</v>
      </c>
      <c r="AT41" t="n">
        <v>72611713.819326</v>
      </c>
      <c r="AU41" t="n">
        <v>2607609.57077315</v>
      </c>
      <c r="AV41" t="n">
        <v>106240.993877464</v>
      </c>
      <c r="AW41" t="n">
        <v>58547.6589312004</v>
      </c>
      <c r="AX41" t="n">
        <v>52069756.8244097</v>
      </c>
      <c r="AY41" t="n">
        <v>19492782.4813528</v>
      </c>
      <c r="AZ41" t="n">
        <v>5652811.73895819</v>
      </c>
      <c r="BA41" t="n">
        <v>22698900.8455093</v>
      </c>
      <c r="BB41" t="n">
        <v>35491145.830208</v>
      </c>
      <c r="BC41" t="n">
        <v>3929696.86715281</v>
      </c>
      <c r="BD41" t="n">
        <v>32341548.2387696</v>
      </c>
      <c r="BE41" t="n">
        <v>3842519.02211803</v>
      </c>
      <c r="BF41" t="n">
        <v>9884871.97782917</v>
      </c>
      <c r="BG41" t="n">
        <v>24861133.7764854</v>
      </c>
      <c r="BH41" t="n">
        <v>2413478.23713602</v>
      </c>
      <c r="BI41" t="n">
        <v>3725074.01604099</v>
      </c>
      <c r="BJ41" t="n">
        <v>6114880.12445561</v>
      </c>
      <c r="BK41" t="n">
        <v>677203.020214096</v>
      </c>
      <c r="BL41" t="n">
        <v>1182781.14997789</v>
      </c>
      <c r="BM41" t="n">
        <v>917579.255863362</v>
      </c>
      <c r="BN41" t="n">
        <v>13939497.298673</v>
      </c>
      <c r="BO41" t="n">
        <v>4442109.43742601</v>
      </c>
      <c r="BP41" t="n">
        <v>22526794.6284613</v>
      </c>
      <c r="BQ41" t="n">
        <v>11024506.2673395</v>
      </c>
      <c r="BR41" t="n">
        <v>775220.623846497</v>
      </c>
      <c r="BS41" t="n">
        <v>22769202.6640685</v>
      </c>
      <c r="BT41" t="n">
        <v>327774.402857518</v>
      </c>
      <c r="BU41" t="n">
        <v>833086211.19486</v>
      </c>
      <c r="BV41" t="n">
        <v>0</v>
      </c>
      <c r="BW41" t="n">
        <v>550010.109216019</v>
      </c>
      <c r="BX41" t="n">
        <v>65945.08962539</v>
      </c>
      <c r="BY41" t="n">
        <v>26415.7202071209</v>
      </c>
      <c r="BZ41" t="n">
        <v>81879.9580015633</v>
      </c>
      <c r="CA41" t="n">
        <v>141154982.412621</v>
      </c>
      <c r="CB41" t="n">
        <v>-690623760.482867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75929.4653217255</v>
      </c>
      <c r="CN41" t="n">
        <v>21694.1329490644</v>
      </c>
    </row>
    <row r="42">
      <c r="A42" t="s">
        <v>153</v>
      </c>
      <c r="B42" t="n">
        <v>2121073.82826855</v>
      </c>
      <c r="C42" t="n">
        <v>10715.872458298</v>
      </c>
      <c r="D42" t="n">
        <v>0</v>
      </c>
      <c r="E42" t="n">
        <v>863880.575537749</v>
      </c>
      <c r="F42" t="n">
        <v>7188.77158614577</v>
      </c>
      <c r="G42" t="n">
        <v>12059649.1182047</v>
      </c>
      <c r="H42" t="n">
        <v>7247826.86998755</v>
      </c>
      <c r="I42" t="n">
        <v>719276.354054145</v>
      </c>
      <c r="J42" t="n">
        <v>2458734.58482813</v>
      </c>
      <c r="K42" t="n">
        <v>8362842.33700592</v>
      </c>
      <c r="L42" t="n">
        <v>9244032.55006843</v>
      </c>
      <c r="M42" t="n">
        <v>2056313.12223858</v>
      </c>
      <c r="N42" t="n">
        <v>204733.133680852</v>
      </c>
      <c r="O42" t="n">
        <v>2136488.44610552</v>
      </c>
      <c r="P42" t="n">
        <v>1241808.36395555</v>
      </c>
      <c r="Q42" t="n">
        <v>7582835.5075709</v>
      </c>
      <c r="R42" t="n">
        <v>586469.554165751</v>
      </c>
      <c r="S42" t="n">
        <v>2482128.68223338</v>
      </c>
      <c r="T42" t="n">
        <v>13597634.1665389</v>
      </c>
      <c r="U42" t="n">
        <v>202820.786011312</v>
      </c>
      <c r="V42" t="n">
        <v>2854.40633744381</v>
      </c>
      <c r="W42" t="n">
        <v>6958655.01858075</v>
      </c>
      <c r="X42" t="n">
        <v>444382.047143655</v>
      </c>
      <c r="Y42" t="n">
        <v>1409140.48622166</v>
      </c>
      <c r="Z42" t="n">
        <v>21236209.5245478</v>
      </c>
      <c r="AA42" t="n">
        <v>4481593.0203063</v>
      </c>
      <c r="AB42" t="n">
        <v>1239939.18067334</v>
      </c>
      <c r="AC42" t="n">
        <v>142589.821188242</v>
      </c>
      <c r="AD42" t="n">
        <v>702105.790384721</v>
      </c>
      <c r="AE42" t="n">
        <v>138272.918986117</v>
      </c>
      <c r="AF42" t="n">
        <v>441150.984565725</v>
      </c>
      <c r="AG42" t="n">
        <v>175854.932669398</v>
      </c>
      <c r="AH42" t="n">
        <v>256051.832064127</v>
      </c>
      <c r="AI42" t="n">
        <v>94414.4574859711</v>
      </c>
      <c r="AJ42" t="n">
        <v>7780411.15572076</v>
      </c>
      <c r="AK42" t="n">
        <v>191371.075547931</v>
      </c>
      <c r="AL42" t="n">
        <v>64914.568171857</v>
      </c>
      <c r="AM42" t="n">
        <v>810040.503111933</v>
      </c>
      <c r="AN42" t="n">
        <v>149500.961547126</v>
      </c>
      <c r="AO42" t="n">
        <v>90957.9631377342</v>
      </c>
      <c r="AP42" t="n">
        <v>50326.9022060527</v>
      </c>
      <c r="AQ42" t="n">
        <v>2350261.21535648</v>
      </c>
      <c r="AR42" t="n">
        <v>106244.709619614</v>
      </c>
      <c r="AS42" t="n">
        <v>225598.331188269</v>
      </c>
      <c r="AT42" t="n">
        <v>613825.574658635</v>
      </c>
      <c r="AU42" t="n">
        <v>1676577.71585443</v>
      </c>
      <c r="AV42" t="n">
        <v>684.457769870713</v>
      </c>
      <c r="AW42" t="n">
        <v>316453.863562948</v>
      </c>
      <c r="AX42" t="n">
        <v>809443.509149914</v>
      </c>
      <c r="AY42" t="n">
        <v>667515.671466467</v>
      </c>
      <c r="AZ42" t="n">
        <v>145031.234153696</v>
      </c>
      <c r="BA42" t="n">
        <v>163005.000389446</v>
      </c>
      <c r="BB42" t="n">
        <v>3196217.83986154</v>
      </c>
      <c r="BC42" t="n">
        <v>208793.669190284</v>
      </c>
      <c r="BD42" t="n">
        <v>2364302.06574533</v>
      </c>
      <c r="BE42" t="n">
        <v>276695.057175095</v>
      </c>
      <c r="BF42" t="n">
        <v>579956.423184842</v>
      </c>
      <c r="BG42" t="n">
        <v>1961120.6159916</v>
      </c>
      <c r="BH42" t="n">
        <v>989164.606342416</v>
      </c>
      <c r="BI42" t="n">
        <v>637092.333682542</v>
      </c>
      <c r="BJ42" t="n">
        <v>1345005.54820797</v>
      </c>
      <c r="BK42" t="n">
        <v>52893.4332363892</v>
      </c>
      <c r="BL42" t="n">
        <v>368073.1528013</v>
      </c>
      <c r="BM42" t="n">
        <v>422439.005617097</v>
      </c>
      <c r="BN42" t="n">
        <v>3833328.39009399</v>
      </c>
      <c r="BO42" t="n">
        <v>709084.163463129</v>
      </c>
      <c r="BP42" t="n">
        <v>1017665.83626291</v>
      </c>
      <c r="BQ42" t="n">
        <v>2538190.64729932</v>
      </c>
      <c r="BR42" t="n">
        <v>2091731.85017173</v>
      </c>
      <c r="BS42" t="n">
        <v>10005777.1186957</v>
      </c>
      <c r="BT42" t="n">
        <v>5397043.33434324</v>
      </c>
      <c r="BU42" t="n">
        <v>41776748.2267168</v>
      </c>
      <c r="BV42" t="n">
        <v>0</v>
      </c>
      <c r="BW42" t="n">
        <v>4047943.10097055</v>
      </c>
      <c r="BX42" t="n">
        <v>0</v>
      </c>
      <c r="BY42" t="n">
        <v>191052.202256327</v>
      </c>
      <c r="BZ42" t="n">
        <v>1797019.09868788</v>
      </c>
      <c r="CA42" t="n">
        <v>38177424.5846242</v>
      </c>
      <c r="CB42" t="n">
        <v>1335487.97977615</v>
      </c>
      <c r="CC42" t="n">
        <v>0</v>
      </c>
      <c r="CD42" t="n">
        <v>0</v>
      </c>
      <c r="CE42" t="n">
        <v>921947.360777955</v>
      </c>
      <c r="CF42" t="n">
        <v>0</v>
      </c>
      <c r="CG42" t="n">
        <v>0</v>
      </c>
      <c r="CH42" t="n">
        <v>0</v>
      </c>
      <c r="CI42" t="n">
        <v>1352638.09865963</v>
      </c>
      <c r="CJ42" t="n">
        <v>0</v>
      </c>
      <c r="CK42" t="n">
        <v>0</v>
      </c>
      <c r="CL42" t="n">
        <v>0</v>
      </c>
      <c r="CM42" t="n">
        <v>2056639.28706667</v>
      </c>
      <c r="CN42" t="n">
        <v>0</v>
      </c>
    </row>
    <row r="43">
      <c r="A43" t="s">
        <v>154</v>
      </c>
      <c r="B43" t="n">
        <v>1152230.7192431</v>
      </c>
      <c r="C43" t="n">
        <v>8577.69329288892</v>
      </c>
      <c r="D43" t="n">
        <v>0</v>
      </c>
      <c r="E43" t="n">
        <v>436622.301417158</v>
      </c>
      <c r="F43" t="n">
        <v>6418.33398109025</v>
      </c>
      <c r="G43" t="n">
        <v>2909914.25193911</v>
      </c>
      <c r="H43" t="n">
        <v>7131328.48747706</v>
      </c>
      <c r="I43" t="n">
        <v>14700.1629478754</v>
      </c>
      <c r="J43" t="n">
        <v>834741.023348954</v>
      </c>
      <c r="K43" t="n">
        <v>2822297.50033535</v>
      </c>
      <c r="L43" t="n">
        <v>2591197.54665261</v>
      </c>
      <c r="M43" t="n">
        <v>480546.2725877</v>
      </c>
      <c r="N43" t="n">
        <v>99499.752704924</v>
      </c>
      <c r="O43" t="n">
        <v>1041257.58813315</v>
      </c>
      <c r="P43" t="n">
        <v>165541.397441193</v>
      </c>
      <c r="Q43" t="n">
        <v>1381403.49403689</v>
      </c>
      <c r="R43" t="n">
        <v>61455.1461131603</v>
      </c>
      <c r="S43" t="n">
        <v>1187548.51674564</v>
      </c>
      <c r="T43" t="n">
        <v>4554400.95024795</v>
      </c>
      <c r="U43" t="n">
        <v>177110.373854526</v>
      </c>
      <c r="V43" t="n">
        <v>0</v>
      </c>
      <c r="W43" t="n">
        <v>920999.207907117</v>
      </c>
      <c r="X43" t="n">
        <v>10163.2226136598</v>
      </c>
      <c r="Y43" t="n">
        <v>139912.436024455</v>
      </c>
      <c r="Z43" t="n">
        <v>7754996.72064605</v>
      </c>
      <c r="AA43" t="n">
        <v>824204.190273433</v>
      </c>
      <c r="AB43" t="n">
        <v>226863.852877627</v>
      </c>
      <c r="AC43" t="n">
        <v>124514.538352548</v>
      </c>
      <c r="AD43" t="n">
        <v>219917.71053992</v>
      </c>
      <c r="AE43" t="n">
        <v>43690.5760611465</v>
      </c>
      <c r="AF43" t="n">
        <v>190145.003579489</v>
      </c>
      <c r="AG43" t="n">
        <v>52474.8706741249</v>
      </c>
      <c r="AH43" t="n">
        <v>27834.1864010806</v>
      </c>
      <c r="AI43" t="n">
        <v>26160.7771265954</v>
      </c>
      <c r="AJ43" t="n">
        <v>75847.9061817825</v>
      </c>
      <c r="AK43" t="n">
        <v>28722.3881717622</v>
      </c>
      <c r="AL43" t="n">
        <v>86603.1920072204</v>
      </c>
      <c r="AM43" t="n">
        <v>66566.8073274319</v>
      </c>
      <c r="AN43" t="n">
        <v>35901.1382451704</v>
      </c>
      <c r="AO43" t="n">
        <v>13651.6446755325</v>
      </c>
      <c r="AP43" t="n">
        <v>0</v>
      </c>
      <c r="AQ43" t="n">
        <v>337214.97069931</v>
      </c>
      <c r="AR43" t="n">
        <v>51972.1246486989</v>
      </c>
      <c r="AS43" t="n">
        <v>38696.5350401857</v>
      </c>
      <c r="AT43" t="n">
        <v>65512.8802032463</v>
      </c>
      <c r="AU43" t="n">
        <v>0</v>
      </c>
      <c r="AV43" t="n">
        <v>328.731170218775</v>
      </c>
      <c r="AW43" t="n">
        <v>146653.510723014</v>
      </c>
      <c r="AX43" t="n">
        <v>290950.418948016</v>
      </c>
      <c r="AY43" t="n">
        <v>232008.978135879</v>
      </c>
      <c r="AZ43" t="n">
        <v>0</v>
      </c>
      <c r="BA43" t="n">
        <v>71170.9019743217</v>
      </c>
      <c r="BB43" t="n">
        <v>15494827.5736898</v>
      </c>
      <c r="BC43" t="n">
        <v>1490262.71322874</v>
      </c>
      <c r="BD43" t="n">
        <v>1319321.39833357</v>
      </c>
      <c r="BE43" t="n">
        <v>201709.581165159</v>
      </c>
      <c r="BF43" t="n">
        <v>7004494.33297046</v>
      </c>
      <c r="BG43" t="n">
        <v>1881492.23321536</v>
      </c>
      <c r="BH43" t="n">
        <v>2005875.08179367</v>
      </c>
      <c r="BI43" t="n">
        <v>161990.742115719</v>
      </c>
      <c r="BJ43" t="n">
        <v>196147.426200068</v>
      </c>
      <c r="BK43" t="n">
        <v>22414.9783059033</v>
      </c>
      <c r="BL43" t="n">
        <v>124784.514526095</v>
      </c>
      <c r="BM43" t="n">
        <v>63402.7742357989</v>
      </c>
      <c r="BN43" t="n">
        <v>647711.122651777</v>
      </c>
      <c r="BO43" t="n">
        <v>374024.035507989</v>
      </c>
      <c r="BP43" t="n">
        <v>11940607.8412533</v>
      </c>
      <c r="BQ43" t="n">
        <v>1261642.34497727</v>
      </c>
      <c r="BR43" t="n">
        <v>4602823.86343025</v>
      </c>
      <c r="BS43" t="n">
        <v>7042825.30356813</v>
      </c>
      <c r="BT43" t="n">
        <v>1542765.15067662</v>
      </c>
      <c r="BU43" t="n">
        <v>319001932.805315</v>
      </c>
      <c r="BV43" t="n">
        <v>0</v>
      </c>
      <c r="BW43" t="n">
        <v>43457.3894788605</v>
      </c>
      <c r="BX43" t="n">
        <v>0</v>
      </c>
      <c r="BY43" t="n">
        <v>0</v>
      </c>
      <c r="BZ43" t="n">
        <v>653830.766790342</v>
      </c>
      <c r="CA43" t="n">
        <v>64391784.8713198</v>
      </c>
      <c r="CB43" t="n">
        <v>137211891.927776</v>
      </c>
      <c r="CC43" t="n">
        <v>0</v>
      </c>
      <c r="CD43" t="n">
        <v>0</v>
      </c>
      <c r="CE43" t="n">
        <v>48480.9414902479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10635793.3238098</v>
      </c>
      <c r="C44" t="n">
        <v>221161.434669104</v>
      </c>
      <c r="D44" t="n">
        <v>0</v>
      </c>
      <c r="E44" t="n">
        <v>1452484.15211892</v>
      </c>
      <c r="F44" t="n">
        <v>32363.1309240613</v>
      </c>
      <c r="G44" t="n">
        <v>10878763.0084436</v>
      </c>
      <c r="H44" t="n">
        <v>101498297.359787</v>
      </c>
      <c r="I44" t="n">
        <v>2541029.09608753</v>
      </c>
      <c r="J44" t="n">
        <v>6246951.57687481</v>
      </c>
      <c r="K44" t="n">
        <v>29825456.870428</v>
      </c>
      <c r="L44" t="n">
        <v>52825364.7062141</v>
      </c>
      <c r="M44" t="n">
        <v>20223690.9525745</v>
      </c>
      <c r="N44" t="n">
        <v>4414162.24165081</v>
      </c>
      <c r="O44" t="n">
        <v>16599127.036735</v>
      </c>
      <c r="P44" t="n">
        <v>10347333.3709615</v>
      </c>
      <c r="Q44" t="n">
        <v>68370377.049919</v>
      </c>
      <c r="R44" t="n">
        <v>3686793.68543799</v>
      </c>
      <c r="S44" t="n">
        <v>20368400.0767552</v>
      </c>
      <c r="T44" t="n">
        <v>93208630.6122895</v>
      </c>
      <c r="U44" t="n">
        <v>3072506.17910137</v>
      </c>
      <c r="V44" t="n">
        <v>290739.077630133</v>
      </c>
      <c r="W44" t="n">
        <v>13732451.8475028</v>
      </c>
      <c r="X44" t="n">
        <v>4369821.29971617</v>
      </c>
      <c r="Y44" t="n">
        <v>4208511.79978151</v>
      </c>
      <c r="Z44" t="n">
        <v>47884587.8082858</v>
      </c>
      <c r="AA44" t="n">
        <v>10311628.3967063</v>
      </c>
      <c r="AB44" t="n">
        <v>40351958.731974</v>
      </c>
      <c r="AC44" t="n">
        <v>13655497.9731368</v>
      </c>
      <c r="AD44" t="n">
        <v>12863122.7175818</v>
      </c>
      <c r="AE44" t="n">
        <v>5528994.59558456</v>
      </c>
      <c r="AF44" t="n">
        <v>32428642.7530987</v>
      </c>
      <c r="AG44" t="n">
        <v>2877638.60690545</v>
      </c>
      <c r="AH44" t="n">
        <v>645432.58243394</v>
      </c>
      <c r="AI44" t="n">
        <v>1200820.93645509</v>
      </c>
      <c r="AJ44" t="n">
        <v>27019872.9230304</v>
      </c>
      <c r="AK44" t="n">
        <v>2595084.23676891</v>
      </c>
      <c r="AL44" t="n">
        <v>1338492.84871177</v>
      </c>
      <c r="AM44" t="n">
        <v>17267349.1208477</v>
      </c>
      <c r="AN44" t="n">
        <v>6800272.83159396</v>
      </c>
      <c r="AO44" t="n">
        <v>3248174.86317396</v>
      </c>
      <c r="AP44" t="n">
        <v>1755516.67420256</v>
      </c>
      <c r="AQ44" t="n">
        <v>14385599.7467126</v>
      </c>
      <c r="AR44" t="n">
        <v>2959355.00355936</v>
      </c>
      <c r="AS44" t="n">
        <v>1254604.37380326</v>
      </c>
      <c r="AT44" t="n">
        <v>3863609.75989458</v>
      </c>
      <c r="AU44" t="n">
        <v>4799032.99221912</v>
      </c>
      <c r="AV44" t="n">
        <v>7067.13079162467</v>
      </c>
      <c r="AW44" t="n">
        <v>983793.658647063</v>
      </c>
      <c r="AX44" t="n">
        <v>3884591.92914496</v>
      </c>
      <c r="AY44" t="n">
        <v>8039267.21997686</v>
      </c>
      <c r="AZ44" t="n">
        <v>798504.606005353</v>
      </c>
      <c r="BA44" t="n">
        <v>2884344.96821806</v>
      </c>
      <c r="BB44" t="n">
        <v>25436763.9271251</v>
      </c>
      <c r="BC44" t="n">
        <v>2832354.57870942</v>
      </c>
      <c r="BD44" t="n">
        <v>11672992.1188899</v>
      </c>
      <c r="BE44" t="n">
        <v>3915853.72918834</v>
      </c>
      <c r="BF44" t="n">
        <v>6021458.78541379</v>
      </c>
      <c r="BG44" t="n">
        <v>12714344.64258</v>
      </c>
      <c r="BH44" t="n">
        <v>12219125.7862683</v>
      </c>
      <c r="BI44" t="n">
        <v>5532276.48633158</v>
      </c>
      <c r="BJ44" t="n">
        <v>8160112.66825017</v>
      </c>
      <c r="BK44" t="n">
        <v>924692.192353417</v>
      </c>
      <c r="BL44" t="n">
        <v>4458988.25678927</v>
      </c>
      <c r="BM44" t="n">
        <v>2861168.57593421</v>
      </c>
      <c r="BN44" t="n">
        <v>19963195.0121923</v>
      </c>
      <c r="BO44" t="n">
        <v>12358654.7797016</v>
      </c>
      <c r="BP44" t="n">
        <v>29220015.6933425</v>
      </c>
      <c r="BQ44" t="n">
        <v>2659309.06982618</v>
      </c>
      <c r="BR44" t="n">
        <v>3549381.74814501</v>
      </c>
      <c r="BS44" t="n">
        <v>40449175.8481857</v>
      </c>
      <c r="BT44" t="n">
        <v>6559348.64195676</v>
      </c>
      <c r="BU44" t="n">
        <v>654998166.871914</v>
      </c>
      <c r="BV44" t="n">
        <v>31317.9882675401</v>
      </c>
      <c r="BW44" t="n">
        <v>58892068.9094736</v>
      </c>
      <c r="BX44" t="n">
        <v>2264598.88935033</v>
      </c>
      <c r="BY44" t="n">
        <v>4962366.23445385</v>
      </c>
      <c r="BZ44" t="n">
        <v>7928670.69639891</v>
      </c>
      <c r="CA44" t="n">
        <v>172139322.512534</v>
      </c>
      <c r="CB44" t="n">
        <v>27992987.9383711</v>
      </c>
      <c r="CC44" t="n">
        <v>0</v>
      </c>
      <c r="CD44" t="n">
        <v>0</v>
      </c>
      <c r="CE44" t="n">
        <v>7746477.39792836</v>
      </c>
      <c r="CF44" t="n">
        <v>347417.77421012</v>
      </c>
      <c r="CG44" t="n">
        <v>0</v>
      </c>
      <c r="CH44" t="n">
        <v>0</v>
      </c>
      <c r="CI44" t="n">
        <v>0</v>
      </c>
      <c r="CJ44" t="n">
        <v>431924.800369339</v>
      </c>
      <c r="CK44" t="n">
        <v>0</v>
      </c>
      <c r="CL44" t="n">
        <v>0</v>
      </c>
      <c r="CM44" t="n">
        <v>4490782.4916164</v>
      </c>
      <c r="CN44" t="n">
        <v>413151.989228709</v>
      </c>
    </row>
    <row r="45">
      <c r="A45" t="s">
        <v>156</v>
      </c>
      <c r="B45" t="n">
        <v>0</v>
      </c>
      <c r="C45" t="n">
        <v>1300.94986346553</v>
      </c>
      <c r="D45" t="n">
        <v>0</v>
      </c>
      <c r="E45" t="n">
        <v>13724.5667342011</v>
      </c>
      <c r="F45" t="n">
        <v>13963.9309069816</v>
      </c>
      <c r="G45" t="n">
        <v>14797973.4361225</v>
      </c>
      <c r="H45" t="n">
        <v>5035365.32001901</v>
      </c>
      <c r="I45" t="n">
        <v>142689.55031676</v>
      </c>
      <c r="J45" t="n">
        <v>384871.176568618</v>
      </c>
      <c r="K45" t="n">
        <v>701380.445514443</v>
      </c>
      <c r="L45" t="n">
        <v>4926402.73576705</v>
      </c>
      <c r="M45" t="n">
        <v>1407392.68208809</v>
      </c>
      <c r="N45" t="n">
        <v>170437.185993872</v>
      </c>
      <c r="O45" t="n">
        <v>321590.757744488</v>
      </c>
      <c r="P45" t="n">
        <v>350792.247537388</v>
      </c>
      <c r="Q45" t="n">
        <v>2895086.20144988</v>
      </c>
      <c r="R45" t="n">
        <v>298262.243576186</v>
      </c>
      <c r="S45" t="n">
        <v>2493851.33700357</v>
      </c>
      <c r="T45" t="n">
        <v>1366185.33877931</v>
      </c>
      <c r="U45" t="n">
        <v>69073.030620632</v>
      </c>
      <c r="V45" t="n">
        <v>4158.4364309194</v>
      </c>
      <c r="W45" t="n">
        <v>586877.351876612</v>
      </c>
      <c r="X45" t="n">
        <v>949515.802676712</v>
      </c>
      <c r="Y45" t="n">
        <v>65292.4557931037</v>
      </c>
      <c r="Z45" t="n">
        <v>1598557.25993937</v>
      </c>
      <c r="AA45" t="n">
        <v>1158312.99160227</v>
      </c>
      <c r="AB45" t="n">
        <v>18213130.2475647</v>
      </c>
      <c r="AC45" t="n">
        <v>1523365.86715568</v>
      </c>
      <c r="AD45" t="n">
        <v>106733.372054791</v>
      </c>
      <c r="AE45" t="n">
        <v>307465.079685122</v>
      </c>
      <c r="AF45" t="n">
        <v>1636936.84878545</v>
      </c>
      <c r="AG45" t="n">
        <v>3031.88075030311</v>
      </c>
      <c r="AH45" t="n">
        <v>964041.051400857</v>
      </c>
      <c r="AI45" t="n">
        <v>0</v>
      </c>
      <c r="AJ45" t="n">
        <v>0</v>
      </c>
      <c r="AK45" t="n">
        <v>0</v>
      </c>
      <c r="AL45" t="n">
        <v>84062.813230872</v>
      </c>
      <c r="AM45" t="n">
        <v>1552534.84060467</v>
      </c>
      <c r="AN45" t="n">
        <v>65340.0572441052</v>
      </c>
      <c r="AO45" t="n">
        <v>2087062.97924746</v>
      </c>
      <c r="AP45" t="n">
        <v>2877757.0726749</v>
      </c>
      <c r="AQ45" t="n">
        <v>12382294.3602974</v>
      </c>
      <c r="AR45" t="n">
        <v>8283724.88304695</v>
      </c>
      <c r="AS45" t="n">
        <v>43571256.9704455</v>
      </c>
      <c r="AT45" t="n">
        <v>72573405.7269828</v>
      </c>
      <c r="AU45" t="n">
        <v>44755569.6336853</v>
      </c>
      <c r="AV45" t="n">
        <v>103703.703703704</v>
      </c>
      <c r="AW45" t="n">
        <v>97057.9384900882</v>
      </c>
      <c r="AX45" t="n">
        <v>58075506.7174781</v>
      </c>
      <c r="AY45" t="n">
        <v>25488922.5699076</v>
      </c>
      <c r="AZ45" t="n">
        <v>7400807.19374373</v>
      </c>
      <c r="BA45" t="n">
        <v>26359561.1702526</v>
      </c>
      <c r="BB45" t="n">
        <v>59859132.8155557</v>
      </c>
      <c r="BC45" t="n">
        <v>4444417.40511167</v>
      </c>
      <c r="BD45" t="n">
        <v>39081020.8588957</v>
      </c>
      <c r="BE45" t="n">
        <v>3584734.42744489</v>
      </c>
      <c r="BF45" t="n">
        <v>13046379.8519308</v>
      </c>
      <c r="BG45" t="n">
        <v>34755068.9323747</v>
      </c>
      <c r="BH45" t="n">
        <v>43488066.0301883</v>
      </c>
      <c r="BI45" t="n">
        <v>14894025.5220418</v>
      </c>
      <c r="BJ45" t="n">
        <v>5267559.76692262</v>
      </c>
      <c r="BK45" t="n">
        <v>22428322.740892</v>
      </c>
      <c r="BL45" t="n">
        <v>1148155.93072966</v>
      </c>
      <c r="BM45" t="n">
        <v>1136834.97467425</v>
      </c>
      <c r="BN45" t="n">
        <v>15217675.0676279</v>
      </c>
      <c r="BO45" t="n">
        <v>4227651.80051228</v>
      </c>
      <c r="BP45" t="n">
        <v>481523.181797662</v>
      </c>
      <c r="BQ45" t="n">
        <v>46387.6477402771</v>
      </c>
      <c r="BR45" t="n">
        <v>127478.180718944</v>
      </c>
      <c r="BS45" t="n">
        <v>224996936.295072</v>
      </c>
      <c r="BT45" t="n">
        <v>7532120.64670177</v>
      </c>
      <c r="BU45" t="n">
        <v>848776076.304319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155247.560026168</v>
      </c>
      <c r="C46" t="n">
        <v>1610.48751723158</v>
      </c>
      <c r="D46" t="n">
        <v>0</v>
      </c>
      <c r="E46" t="n">
        <v>48931.432942676</v>
      </c>
      <c r="F46" t="n">
        <v>1108.10240136977</v>
      </c>
      <c r="G46" t="n">
        <v>25204139.516735</v>
      </c>
      <c r="H46" t="n">
        <v>981793.088419377</v>
      </c>
      <c r="I46" t="n">
        <v>7175.99861794665</v>
      </c>
      <c r="J46" t="n">
        <v>9194.54028834227</v>
      </c>
      <c r="K46" t="n">
        <v>32687.4851799485</v>
      </c>
      <c r="L46" t="n">
        <v>122583.955458462</v>
      </c>
      <c r="M46" t="n">
        <v>39823.0055482357</v>
      </c>
      <c r="N46" t="n">
        <v>5274.74132984681</v>
      </c>
      <c r="O46" t="n">
        <v>39810.7502486598</v>
      </c>
      <c r="P46" t="n">
        <v>4902.90118714901</v>
      </c>
      <c r="Q46" t="n">
        <v>56588.2099689058</v>
      </c>
      <c r="R46" t="n">
        <v>7692.25807027772</v>
      </c>
      <c r="S46" t="n">
        <v>116628.253341334</v>
      </c>
      <c r="T46" t="n">
        <v>80390.9990287049</v>
      </c>
      <c r="U46" t="n">
        <v>15201.3720252818</v>
      </c>
      <c r="V46" t="n">
        <v>0</v>
      </c>
      <c r="W46" t="n">
        <v>57723.0521375287</v>
      </c>
      <c r="X46" t="n">
        <v>27477.7254643835</v>
      </c>
      <c r="Y46" t="n">
        <v>6143977.04485436</v>
      </c>
      <c r="Z46" t="n">
        <v>1332141.09404233</v>
      </c>
      <c r="AA46" t="n">
        <v>35625.1618284899</v>
      </c>
      <c r="AB46" t="n">
        <v>264085.066032253</v>
      </c>
      <c r="AC46" t="n">
        <v>49873.0159128756</v>
      </c>
      <c r="AD46" t="n">
        <v>39638.5982719684</v>
      </c>
      <c r="AE46" t="n">
        <v>13124.8576911401</v>
      </c>
      <c r="AF46" t="n">
        <v>92480.7562638627</v>
      </c>
      <c r="AG46" t="n">
        <v>413609.507608395</v>
      </c>
      <c r="AH46" t="n">
        <v>71453.0105894267</v>
      </c>
      <c r="AI46" t="n">
        <v>206948.989298874</v>
      </c>
      <c r="AJ46" t="n">
        <v>437979.740885476</v>
      </c>
      <c r="AK46" t="n">
        <v>215708.564231603</v>
      </c>
      <c r="AL46" t="n">
        <v>26016.0124485989</v>
      </c>
      <c r="AM46" t="n">
        <v>451043.146890222</v>
      </c>
      <c r="AN46" t="n">
        <v>199520.157402582</v>
      </c>
      <c r="AO46" t="n">
        <v>16404.0770133688</v>
      </c>
      <c r="AP46" t="n">
        <v>9076.35077956007</v>
      </c>
      <c r="AQ46" t="n">
        <v>47984.6783145443</v>
      </c>
      <c r="AR46" t="n">
        <v>18451.3425140931</v>
      </c>
      <c r="AS46" t="n">
        <v>216218.004905047</v>
      </c>
      <c r="AT46" t="n">
        <v>639612.41717276</v>
      </c>
      <c r="AU46" t="n">
        <v>17786.3093345709</v>
      </c>
      <c r="AV46" t="n">
        <v>1580.0386139931</v>
      </c>
      <c r="AW46" t="n">
        <v>16020.1508939661</v>
      </c>
      <c r="AX46" t="n">
        <v>202700.331589558</v>
      </c>
      <c r="AY46" t="n">
        <v>209089.814941227</v>
      </c>
      <c r="AZ46" t="n">
        <v>2827.68405563297</v>
      </c>
      <c r="BA46" t="n">
        <v>64140.2364795374</v>
      </c>
      <c r="BB46" t="n">
        <v>92723.5099200258</v>
      </c>
      <c r="BC46" t="n">
        <v>66943.1081474627</v>
      </c>
      <c r="BD46" t="n">
        <v>352597.433421151</v>
      </c>
      <c r="BE46" t="n">
        <v>96238.3575764175</v>
      </c>
      <c r="BF46" t="n">
        <v>166119.75373188</v>
      </c>
      <c r="BG46" t="n">
        <v>68510.2123441248</v>
      </c>
      <c r="BH46" t="n">
        <v>91971.8902766434</v>
      </c>
      <c r="BI46" t="n">
        <v>81104.6541850511</v>
      </c>
      <c r="BJ46" t="n">
        <v>70708.3482284047</v>
      </c>
      <c r="BK46" t="n">
        <v>11222.6108746822</v>
      </c>
      <c r="BL46" t="n">
        <v>49981.1520885991</v>
      </c>
      <c r="BM46" t="n">
        <v>35976.7149641993</v>
      </c>
      <c r="BN46" t="n">
        <v>206367.969775535</v>
      </c>
      <c r="BO46" t="n">
        <v>138969.855286041</v>
      </c>
      <c r="BP46" t="n">
        <v>547987.225507032</v>
      </c>
      <c r="BQ46" t="n">
        <v>34454.8532133798</v>
      </c>
      <c r="BR46" t="n">
        <v>760490.648033495</v>
      </c>
      <c r="BS46" t="n">
        <v>4401270.29822968</v>
      </c>
      <c r="BT46" t="n">
        <v>12147276.9575618</v>
      </c>
      <c r="BU46" t="n">
        <v>12421780.0471667</v>
      </c>
      <c r="BV46" t="n">
        <v>0</v>
      </c>
      <c r="BW46" t="n">
        <v>0</v>
      </c>
      <c r="BX46" t="n">
        <v>0</v>
      </c>
      <c r="BY46" t="n">
        <v>0</v>
      </c>
      <c r="BZ46" t="n">
        <v>40857912.4713406</v>
      </c>
      <c r="CA46" t="n">
        <v>186622394.128589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48135.1449482247</v>
      </c>
      <c r="D47" t="n">
        <v>0</v>
      </c>
      <c r="E47" t="n">
        <v>1452059.16047848</v>
      </c>
      <c r="F47" t="n">
        <v>716.099020870851</v>
      </c>
      <c r="G47" t="n">
        <v>120395299.087236</v>
      </c>
      <c r="H47" t="n">
        <v>0</v>
      </c>
      <c r="I47" t="n">
        <v>1453649.79385199</v>
      </c>
      <c r="J47" t="n">
        <v>2832516.81702693</v>
      </c>
      <c r="K47" t="n">
        <v>1105705.64351689</v>
      </c>
      <c r="L47" t="n">
        <v>2203265.54514205</v>
      </c>
      <c r="M47" t="n">
        <v>191003.292569097</v>
      </c>
      <c r="N47" t="n">
        <v>0</v>
      </c>
      <c r="O47" t="n">
        <v>91883.0736412823</v>
      </c>
      <c r="P47" t="n">
        <v>31118.6671202522</v>
      </c>
      <c r="Q47" t="n">
        <v>0</v>
      </c>
      <c r="R47" t="n">
        <v>1491311.21788093</v>
      </c>
      <c r="S47" t="n">
        <v>4959993.2147071</v>
      </c>
      <c r="T47" t="n">
        <v>3112206.96008918</v>
      </c>
      <c r="U47" t="n">
        <v>437462.527264003</v>
      </c>
      <c r="V47" t="n">
        <v>0</v>
      </c>
      <c r="W47" t="n">
        <v>4542269.91520939</v>
      </c>
      <c r="X47" t="n">
        <v>4315980.92125778</v>
      </c>
      <c r="Y47" t="n">
        <v>1160029.29792414</v>
      </c>
      <c r="Z47" t="n">
        <v>2443323.29161465</v>
      </c>
      <c r="AA47" t="n">
        <v>3849052.48762247</v>
      </c>
      <c r="AB47" t="n">
        <v>716035223.227779</v>
      </c>
      <c r="AC47" t="n">
        <v>23895441.4534007</v>
      </c>
      <c r="AD47" t="n">
        <v>28657910.3967113</v>
      </c>
      <c r="AE47" t="n">
        <v>5428348.99306146</v>
      </c>
      <c r="AF47" t="n">
        <v>141930115.097042</v>
      </c>
      <c r="AG47" t="n">
        <v>85483877.7547962</v>
      </c>
      <c r="AH47" t="n">
        <v>3834672.84458494</v>
      </c>
      <c r="AI47" t="n">
        <v>42089541.8519235</v>
      </c>
      <c r="AJ47" t="n">
        <v>251136295.021134</v>
      </c>
      <c r="AK47" t="n">
        <v>20997018.5512367</v>
      </c>
      <c r="AL47" t="n">
        <v>19208352.8232543</v>
      </c>
      <c r="AM47" t="n">
        <v>258304105.87933</v>
      </c>
      <c r="AN47" t="n">
        <v>61855254.1910863</v>
      </c>
      <c r="AO47" t="n">
        <v>10716902.7585167</v>
      </c>
      <c r="AP47" t="n">
        <v>19649398.6108757</v>
      </c>
      <c r="AQ47" t="n">
        <v>2713337.54677821</v>
      </c>
      <c r="AR47" t="n">
        <v>24621867.3859423</v>
      </c>
      <c r="AS47" t="n">
        <v>10442077.1015378</v>
      </c>
      <c r="AT47" t="n">
        <v>176703922.158908</v>
      </c>
      <c r="AU47" t="n">
        <v>2442519.04902937</v>
      </c>
      <c r="AV47" t="n">
        <v>0</v>
      </c>
      <c r="AW47" t="n">
        <v>0</v>
      </c>
      <c r="AX47" t="n">
        <v>0</v>
      </c>
      <c r="AY47" t="n">
        <v>108993294.402848</v>
      </c>
      <c r="AZ47" t="n">
        <v>7537859.17881306</v>
      </c>
      <c r="BA47" t="n">
        <v>10567571.8205067</v>
      </c>
      <c r="BB47" t="n">
        <v>110605196.401632</v>
      </c>
      <c r="BC47" t="n">
        <v>9598589.68100162</v>
      </c>
      <c r="BD47" t="n">
        <v>30911541.9222904</v>
      </c>
      <c r="BE47" t="n">
        <v>24445297.4208893</v>
      </c>
      <c r="BF47" t="n">
        <v>9443093.98806419</v>
      </c>
      <c r="BG47" t="n">
        <v>30383014.0826014</v>
      </c>
      <c r="BH47" t="n">
        <v>63496419.2375974</v>
      </c>
      <c r="BI47" t="n">
        <v>8080336.42691415</v>
      </c>
      <c r="BJ47" t="n">
        <v>20737050.0462887</v>
      </c>
      <c r="BK47" t="n">
        <v>5267120.25564199</v>
      </c>
      <c r="BL47" t="n">
        <v>8037091.5151076</v>
      </c>
      <c r="BM47" t="n">
        <v>991525.241069275</v>
      </c>
      <c r="BN47" t="n">
        <v>11264413.6259593</v>
      </c>
      <c r="BO47" t="n">
        <v>13232311.2852192</v>
      </c>
      <c r="BP47" t="n">
        <v>33791.1004770289</v>
      </c>
      <c r="BQ47" t="n">
        <v>1689835.7391101</v>
      </c>
      <c r="BR47" t="n">
        <v>7806520.97164579</v>
      </c>
      <c r="BS47" t="n">
        <v>10690972.1892258</v>
      </c>
      <c r="BT47" t="n">
        <v>24445965.5308634</v>
      </c>
      <c r="BU47" t="n">
        <v>273709409.555396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93993241.5881761</v>
      </c>
      <c r="CB47" t="n">
        <v>30184605.7428528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749975.974254909</v>
      </c>
      <c r="C48" t="n">
        <v>0</v>
      </c>
      <c r="D48" t="n">
        <v>0</v>
      </c>
      <c r="E48" t="n">
        <v>170840.896863602</v>
      </c>
      <c r="F48" t="n">
        <v>0</v>
      </c>
      <c r="G48" t="n">
        <v>4061783.27725073</v>
      </c>
      <c r="H48" t="n">
        <v>0</v>
      </c>
      <c r="I48" t="n">
        <v>1111996.33217469</v>
      </c>
      <c r="J48" t="n">
        <v>2451435.83080518</v>
      </c>
      <c r="K48" t="n">
        <v>241062.517432814</v>
      </c>
      <c r="L48" t="n">
        <v>6246963.45157588</v>
      </c>
      <c r="M48" t="n">
        <v>1860006.91508954</v>
      </c>
      <c r="N48" t="n">
        <v>1310948.01931619</v>
      </c>
      <c r="O48" t="n">
        <v>816959.78415238</v>
      </c>
      <c r="P48" t="n">
        <v>107799.483553581</v>
      </c>
      <c r="Q48" t="n">
        <v>2677329.75220948</v>
      </c>
      <c r="R48" t="n">
        <v>263089.134362229</v>
      </c>
      <c r="S48" t="n">
        <v>5502331.64259358</v>
      </c>
      <c r="T48" t="n">
        <v>9620717.44118168</v>
      </c>
      <c r="U48" t="n">
        <v>2963512.13038536</v>
      </c>
      <c r="V48" t="n">
        <v>248253.310486278</v>
      </c>
      <c r="W48" t="n">
        <v>8724066.45434338</v>
      </c>
      <c r="X48" t="n">
        <v>3362352.2405112</v>
      </c>
      <c r="Y48" t="n">
        <v>600346.575983481</v>
      </c>
      <c r="Z48" t="n">
        <v>14691976.199957</v>
      </c>
      <c r="AA48" t="n">
        <v>9439902.23717779</v>
      </c>
      <c r="AB48" t="n">
        <v>135118600.172294</v>
      </c>
      <c r="AC48" t="n">
        <v>38597863.5648659</v>
      </c>
      <c r="AD48" t="n">
        <v>45943564.230216</v>
      </c>
      <c r="AE48" t="n">
        <v>18198157.2493919</v>
      </c>
      <c r="AF48" t="n">
        <v>109961080.318036</v>
      </c>
      <c r="AG48" t="n">
        <v>197687.270694696</v>
      </c>
      <c r="AH48" t="n">
        <v>1299.90540224749</v>
      </c>
      <c r="AI48" t="n">
        <v>4022829.49182723</v>
      </c>
      <c r="AJ48" t="n">
        <v>13644081.3734111</v>
      </c>
      <c r="AK48" t="n">
        <v>1991958.18813239</v>
      </c>
      <c r="AL48" t="n">
        <v>5249788.52497461</v>
      </c>
      <c r="AM48" t="n">
        <v>4130196.03063781</v>
      </c>
      <c r="AN48" t="n">
        <v>31851248.3338768</v>
      </c>
      <c r="AO48" t="n">
        <v>1500806.32655956</v>
      </c>
      <c r="AP48" t="n">
        <v>2211796.70411693</v>
      </c>
      <c r="AQ48" t="n">
        <v>3455559.36556796</v>
      </c>
      <c r="AR48" t="n">
        <v>3339812.78281708</v>
      </c>
      <c r="AS48" t="n">
        <v>0</v>
      </c>
      <c r="AT48" t="n">
        <v>0</v>
      </c>
      <c r="AU48" t="n">
        <v>273745.772387088</v>
      </c>
      <c r="AV48" t="n">
        <v>0</v>
      </c>
      <c r="AW48" t="n">
        <v>6848.97658226523</v>
      </c>
      <c r="AX48" t="n">
        <v>1408804.58909267</v>
      </c>
      <c r="AY48" t="n">
        <v>7779692.88366177</v>
      </c>
      <c r="AZ48" t="n">
        <v>860735.976157067</v>
      </c>
      <c r="BA48" t="n">
        <v>1137988.13084106</v>
      </c>
      <c r="BB48" t="n">
        <v>6712609.74909416</v>
      </c>
      <c r="BC48" t="n">
        <v>78704.1522562345</v>
      </c>
      <c r="BD48" t="n">
        <v>61115336.058618</v>
      </c>
      <c r="BE48" t="n">
        <v>1962724.66607918</v>
      </c>
      <c r="BF48" t="n">
        <v>1956994.15658564</v>
      </c>
      <c r="BG48" t="n">
        <v>4141558.51676199</v>
      </c>
      <c r="BH48" t="n">
        <v>8308735.81147082</v>
      </c>
      <c r="BI48" t="n">
        <v>1655109.07159522</v>
      </c>
      <c r="BJ48" t="n">
        <v>1686129.70172487</v>
      </c>
      <c r="BK48" t="n">
        <v>967260.630414365</v>
      </c>
      <c r="BL48" t="n">
        <v>662410.236753134</v>
      </c>
      <c r="BM48" t="n">
        <v>2127987.04797968</v>
      </c>
      <c r="BN48" t="n">
        <v>5182704.36821111</v>
      </c>
      <c r="BO48" t="n">
        <v>3600160.07364081</v>
      </c>
      <c r="BP48" t="n">
        <v>1559461.66263746</v>
      </c>
      <c r="BQ48" t="n">
        <v>3594175.74686016</v>
      </c>
      <c r="BR48" t="n">
        <v>0</v>
      </c>
      <c r="BS48" t="n">
        <v>32641546.1458227</v>
      </c>
      <c r="BT48" t="n">
        <v>349098.642933801</v>
      </c>
      <c r="BU48" t="n">
        <v>1654154.27750427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1792382.75011749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85055.0202709855</v>
      </c>
      <c r="C49" t="n">
        <v>0</v>
      </c>
      <c r="D49" t="n">
        <v>0</v>
      </c>
      <c r="E49" t="n">
        <v>1303.22652782028</v>
      </c>
      <c r="F49" t="n">
        <v>514.498125164105</v>
      </c>
      <c r="G49" t="n">
        <v>1975536.13551556</v>
      </c>
      <c r="H49" t="n">
        <v>3326396.42347346</v>
      </c>
      <c r="I49" t="n">
        <v>23400.1387065766</v>
      </c>
      <c r="J49" t="n">
        <v>1602.88294862449</v>
      </c>
      <c r="K49" t="n">
        <v>59181.0276653551</v>
      </c>
      <c r="L49" t="n">
        <v>1017046.80903703</v>
      </c>
      <c r="M49" t="n">
        <v>196701.360616858</v>
      </c>
      <c r="N49" t="n">
        <v>155813.018558484</v>
      </c>
      <c r="O49" t="n">
        <v>21812.0654272794</v>
      </c>
      <c r="P49" t="n">
        <v>40436.741793104</v>
      </c>
      <c r="Q49" t="n">
        <v>5388002.07516213</v>
      </c>
      <c r="R49" t="n">
        <v>29815.2259400879</v>
      </c>
      <c r="S49" t="n">
        <v>410627.204781248</v>
      </c>
      <c r="T49" t="n">
        <v>29395.8362272867</v>
      </c>
      <c r="U49" t="n">
        <v>0</v>
      </c>
      <c r="V49" t="n">
        <v>0</v>
      </c>
      <c r="W49" t="n">
        <v>26718.6064234829</v>
      </c>
      <c r="X49" t="n">
        <v>258849.722641833</v>
      </c>
      <c r="Y49" t="n">
        <v>6254.78602145639</v>
      </c>
      <c r="Z49" t="n">
        <v>229616.488667486</v>
      </c>
      <c r="AA49" t="n">
        <v>27326.3301527767</v>
      </c>
      <c r="AB49" t="n">
        <v>19721500.4791398</v>
      </c>
      <c r="AC49" t="n">
        <v>2627987.11522853</v>
      </c>
      <c r="AD49" t="n">
        <v>703692.47718421</v>
      </c>
      <c r="AE49" t="n">
        <v>1180344.06173569</v>
      </c>
      <c r="AF49" t="n">
        <v>4418139.8095219</v>
      </c>
      <c r="AG49" t="n">
        <v>28942.3867032721</v>
      </c>
      <c r="AH49" t="n">
        <v>102655.888342306</v>
      </c>
      <c r="AI49" t="n">
        <v>0</v>
      </c>
      <c r="AJ49" t="n">
        <v>92757.2186954046</v>
      </c>
      <c r="AK49" t="n">
        <v>191157.445001112</v>
      </c>
      <c r="AL49" t="n">
        <v>0</v>
      </c>
      <c r="AM49" t="n">
        <v>1870550.70425254</v>
      </c>
      <c r="AN49" t="n">
        <v>701841.826039301</v>
      </c>
      <c r="AO49" t="n">
        <v>133460649.405257</v>
      </c>
      <c r="AP49" t="n">
        <v>620653.726771498</v>
      </c>
      <c r="AQ49" t="n">
        <v>6181609.01867256</v>
      </c>
      <c r="AR49" t="n">
        <v>7492820.1345961</v>
      </c>
      <c r="AS49" t="n">
        <v>3017516.40333911</v>
      </c>
      <c r="AT49" t="n">
        <v>19485571.0865127</v>
      </c>
      <c r="AU49" t="n">
        <v>10424857.993393</v>
      </c>
      <c r="AV49" t="n">
        <v>16176.9655999595</v>
      </c>
      <c r="AW49" t="n">
        <v>0</v>
      </c>
      <c r="AX49" t="n">
        <v>3143753.59944853</v>
      </c>
      <c r="AY49" t="n">
        <v>8977933.0960212</v>
      </c>
      <c r="AZ49" t="n">
        <v>6566649.65250354</v>
      </c>
      <c r="BA49" t="n">
        <v>5705817.12489452</v>
      </c>
      <c r="BB49" t="n">
        <v>29520146.0152358</v>
      </c>
      <c r="BC49" t="n">
        <v>4407471.47487736</v>
      </c>
      <c r="BD49" t="n">
        <v>14336228.6740755</v>
      </c>
      <c r="BE49" t="n">
        <v>192836.973464365</v>
      </c>
      <c r="BF49" t="n">
        <v>8315783.23736377</v>
      </c>
      <c r="BG49" t="n">
        <v>12184610.9967154</v>
      </c>
      <c r="BH49" t="n">
        <v>12302570.5472554</v>
      </c>
      <c r="BI49" t="n">
        <v>1386731.42274128</v>
      </c>
      <c r="BJ49" t="n">
        <v>8530733.95070405</v>
      </c>
      <c r="BK49" t="n">
        <v>246708.977807686</v>
      </c>
      <c r="BL49" t="n">
        <v>457810.838282981</v>
      </c>
      <c r="BM49" t="n">
        <v>583345.573027314</v>
      </c>
      <c r="BN49" t="n">
        <v>1004853.99944449</v>
      </c>
      <c r="BO49" t="n">
        <v>3229130.30557346</v>
      </c>
      <c r="BP49" t="n">
        <v>257544.99695018</v>
      </c>
      <c r="BQ49" t="n">
        <v>3653326.2697282</v>
      </c>
      <c r="BR49" t="n">
        <v>98909.7437420565</v>
      </c>
      <c r="BS49" t="n">
        <v>59657502.5409182</v>
      </c>
      <c r="BT49" t="n">
        <v>1156828.84629823</v>
      </c>
      <c r="BU49" t="n">
        <v>756777383.534332</v>
      </c>
      <c r="BV49" t="n">
        <v>0</v>
      </c>
      <c r="BW49" t="n">
        <v>0</v>
      </c>
      <c r="BX49" t="n">
        <v>563416929.316016</v>
      </c>
      <c r="BY49" t="n">
        <v>0</v>
      </c>
      <c r="BZ49" t="n">
        <v>2976727.46528838</v>
      </c>
      <c r="CA49" t="n">
        <v>381640361.781443</v>
      </c>
      <c r="CB49" t="n">
        <v>-63709253.9480636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45007555.8697304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133318.492261904</v>
      </c>
      <c r="AC50" t="n">
        <v>719154.339093075</v>
      </c>
      <c r="AD50" t="n">
        <v>865135.419299161</v>
      </c>
      <c r="AE50" t="n">
        <v>0</v>
      </c>
      <c r="AF50" t="n">
        <v>242030.397174826</v>
      </c>
      <c r="AG50" t="n">
        <v>6474.5575107295</v>
      </c>
      <c r="AH50" t="n">
        <v>0</v>
      </c>
      <c r="AI50" t="n">
        <v>0</v>
      </c>
      <c r="AJ50" t="n">
        <v>1658.69758600333</v>
      </c>
      <c r="AK50" t="n">
        <v>0</v>
      </c>
      <c r="AL50" t="n">
        <v>199408.058013616</v>
      </c>
      <c r="AM50" t="n">
        <v>27898.7021382471</v>
      </c>
      <c r="AN50" t="n">
        <v>0</v>
      </c>
      <c r="AO50" t="n">
        <v>286329.003743781</v>
      </c>
      <c r="AP50" t="n">
        <v>176841396.158563</v>
      </c>
      <c r="AQ50" t="n">
        <v>242556016.298553</v>
      </c>
      <c r="AR50" t="n">
        <v>335339.369409098</v>
      </c>
      <c r="AS50" t="n">
        <v>90623.8918850972</v>
      </c>
      <c r="AT50" t="n">
        <v>272901.238676961</v>
      </c>
      <c r="AU50" t="n">
        <v>0</v>
      </c>
      <c r="AV50" t="n">
        <v>0</v>
      </c>
      <c r="AW50" t="n">
        <v>0</v>
      </c>
      <c r="AX50" t="n">
        <v>119187.598624674</v>
      </c>
      <c r="AY50" t="n">
        <v>2587793.40099027</v>
      </c>
      <c r="AZ50" t="n">
        <v>24389.4530702957</v>
      </c>
      <c r="BA50" t="n">
        <v>102421.537682711</v>
      </c>
      <c r="BB50" t="n">
        <v>7282642.67728361</v>
      </c>
      <c r="BC50" t="n">
        <v>1053470.94640729</v>
      </c>
      <c r="BD50" t="n">
        <v>151607.752373433</v>
      </c>
      <c r="BE50" t="n">
        <v>0</v>
      </c>
      <c r="BF50" t="n">
        <v>4607107.91697635</v>
      </c>
      <c r="BG50" t="n">
        <v>167558.422966884</v>
      </c>
      <c r="BH50" t="n">
        <v>56786.7991429525</v>
      </c>
      <c r="BI50" t="n">
        <v>5234248.83941203</v>
      </c>
      <c r="BJ50" t="n">
        <v>4833139.02357669</v>
      </c>
      <c r="BK50" t="n">
        <v>714883.813744585</v>
      </c>
      <c r="BL50" t="n">
        <v>218607.795935137</v>
      </c>
      <c r="BM50" t="n">
        <v>2243131.25983768</v>
      </c>
      <c r="BN50" t="n">
        <v>10275282.9966531</v>
      </c>
      <c r="BO50" t="n">
        <v>788728.206611844</v>
      </c>
      <c r="BP50" t="n">
        <v>61197.9068933975</v>
      </c>
      <c r="BQ50" t="n">
        <v>1144360.69309692</v>
      </c>
      <c r="BR50" t="n">
        <v>65152.2149406948</v>
      </c>
      <c r="BS50" t="n">
        <v>1440893.83674661</v>
      </c>
      <c r="BT50" t="n">
        <v>0</v>
      </c>
      <c r="BU50" t="n">
        <v>70727441.203619</v>
      </c>
      <c r="BV50" t="n">
        <v>0</v>
      </c>
      <c r="BW50" t="n">
        <v>0</v>
      </c>
      <c r="BX50" t="n">
        <v>124755007.632464</v>
      </c>
      <c r="BY50" t="n">
        <v>0</v>
      </c>
      <c r="BZ50" t="n">
        <v>-1667770.96555347</v>
      </c>
      <c r="CA50" t="n">
        <v>369622031.134971</v>
      </c>
      <c r="CB50" t="n">
        <v>-233591469.744181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1462096.47005963</v>
      </c>
      <c r="C51" t="n">
        <v>6881.71337241291</v>
      </c>
      <c r="D51" t="n">
        <v>0</v>
      </c>
      <c r="E51" t="n">
        <v>325661.38944653</v>
      </c>
      <c r="F51" t="n">
        <v>47079.3342318913</v>
      </c>
      <c r="G51" t="n">
        <v>15246548.5327075</v>
      </c>
      <c r="H51" t="n">
        <v>37405237.3182154</v>
      </c>
      <c r="I51" t="n">
        <v>643596.299505685</v>
      </c>
      <c r="J51" t="n">
        <v>2222940.55737935</v>
      </c>
      <c r="K51" t="n">
        <v>1895598.21742742</v>
      </c>
      <c r="L51" t="n">
        <v>22136973.0635423</v>
      </c>
      <c r="M51" t="n">
        <v>8412007.97505345</v>
      </c>
      <c r="N51" t="n">
        <v>1781677.83549761</v>
      </c>
      <c r="O51" t="n">
        <v>2516990.09036883</v>
      </c>
      <c r="P51" t="n">
        <v>1034693.31594338</v>
      </c>
      <c r="Q51" t="n">
        <v>36155596.1422611</v>
      </c>
      <c r="R51" t="n">
        <v>943824.139020678</v>
      </c>
      <c r="S51" t="n">
        <v>9883437.72569593</v>
      </c>
      <c r="T51" t="n">
        <v>6904218.76713374</v>
      </c>
      <c r="U51" t="n">
        <v>545169.85753281</v>
      </c>
      <c r="V51" t="n">
        <v>53421.6095020691</v>
      </c>
      <c r="W51" t="n">
        <v>2114178.80189025</v>
      </c>
      <c r="X51" t="n">
        <v>4174721.09114807</v>
      </c>
      <c r="Y51" t="n">
        <v>103614.438673021</v>
      </c>
      <c r="Z51" t="n">
        <v>5440901.08623077</v>
      </c>
      <c r="AA51" t="n">
        <v>2490023.86514</v>
      </c>
      <c r="AB51" t="n">
        <v>104097060.194518</v>
      </c>
      <c r="AC51" t="n">
        <v>17857518.2620614</v>
      </c>
      <c r="AD51" t="n">
        <v>10404660.6664574</v>
      </c>
      <c r="AE51" t="n">
        <v>3525238.11186732</v>
      </c>
      <c r="AF51" t="n">
        <v>50121962.9027633</v>
      </c>
      <c r="AG51" t="n">
        <v>4491359.31060699</v>
      </c>
      <c r="AH51" t="n">
        <v>241288.819732941</v>
      </c>
      <c r="AI51" t="n">
        <v>2022869.75454238</v>
      </c>
      <c r="AJ51" t="n">
        <v>6065809.36542015</v>
      </c>
      <c r="AK51" t="n">
        <v>20927667.114474</v>
      </c>
      <c r="AL51" t="n">
        <v>26828394.4962637</v>
      </c>
      <c r="AM51" t="n">
        <v>8782193.47301695</v>
      </c>
      <c r="AN51" t="n">
        <v>2913194.64128175</v>
      </c>
      <c r="AO51" t="n">
        <v>14150557.6900992</v>
      </c>
      <c r="AP51" t="n">
        <v>14894691.7027816</v>
      </c>
      <c r="AQ51" t="n">
        <v>1528222580.45664</v>
      </c>
      <c r="AR51" t="n">
        <v>68283410.2534258</v>
      </c>
      <c r="AS51" t="n">
        <v>63649562.3725167</v>
      </c>
      <c r="AT51" t="n">
        <v>139217792.284156</v>
      </c>
      <c r="AU51" t="n">
        <v>87619456.0941959</v>
      </c>
      <c r="AV51" t="n">
        <v>345115.43726687</v>
      </c>
      <c r="AW51" t="n">
        <v>158913.628739452</v>
      </c>
      <c r="AX51" t="n">
        <v>70692046.151699</v>
      </c>
      <c r="AY51" t="n">
        <v>41733187.8386908</v>
      </c>
      <c r="AZ51" t="n">
        <v>30215805.4215504</v>
      </c>
      <c r="BA51" t="n">
        <v>19897561.8148505</v>
      </c>
      <c r="BB51" t="n">
        <v>97219870.0172196</v>
      </c>
      <c r="BC51" t="n">
        <v>25118947.0978589</v>
      </c>
      <c r="BD51" t="n">
        <v>109985686.8722</v>
      </c>
      <c r="BE51" t="n">
        <v>11912687.218369</v>
      </c>
      <c r="BF51" t="n">
        <v>41238326.3868352</v>
      </c>
      <c r="BG51" t="n">
        <v>61595552.6879162</v>
      </c>
      <c r="BH51" t="n">
        <v>26777574.265984</v>
      </c>
      <c r="BI51" t="n">
        <v>21685081.7848336</v>
      </c>
      <c r="BJ51" t="n">
        <v>9531834.58496128</v>
      </c>
      <c r="BK51" t="n">
        <v>5788843.26066568</v>
      </c>
      <c r="BL51" t="n">
        <v>13538975.6041999</v>
      </c>
      <c r="BM51" t="n">
        <v>26644508.7968059</v>
      </c>
      <c r="BN51" t="n">
        <v>51886505.467459</v>
      </c>
      <c r="BO51" t="n">
        <v>51886056.0471026</v>
      </c>
      <c r="BP51" t="n">
        <v>42486355.8808829</v>
      </c>
      <c r="BQ51" t="n">
        <v>45822494.7448936</v>
      </c>
      <c r="BR51" t="n">
        <v>9377868.16751232</v>
      </c>
      <c r="BS51" t="n">
        <v>708318100.385773</v>
      </c>
      <c r="BT51" t="n">
        <v>10532342.3478623</v>
      </c>
      <c r="BU51" t="n">
        <v>3907699395.29805</v>
      </c>
      <c r="BV51" t="n">
        <v>0</v>
      </c>
      <c r="BW51" t="n">
        <v>118483100.307242</v>
      </c>
      <c r="BX51" t="n">
        <v>527639329.847689</v>
      </c>
      <c r="BY51" t="n">
        <v>0</v>
      </c>
      <c r="BZ51" t="n">
        <v>0</v>
      </c>
      <c r="CA51" t="n">
        <v>231705587.731131</v>
      </c>
      <c r="CB51" t="n">
        <v>-2256096.02216107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0</v>
      </c>
      <c r="E52" t="n">
        <v>15140.0547522251</v>
      </c>
      <c r="F52" t="n">
        <v>1431.79188833919</v>
      </c>
      <c r="G52" t="n">
        <v>38688969.2332059</v>
      </c>
      <c r="H52" t="n">
        <v>9194112.07729789</v>
      </c>
      <c r="I52" t="n">
        <v>746218.288332846</v>
      </c>
      <c r="J52" t="n">
        <v>2030884.38825322</v>
      </c>
      <c r="K52" t="n">
        <v>3034852.59573556</v>
      </c>
      <c r="L52" t="n">
        <v>25690100.0209357</v>
      </c>
      <c r="M52" t="n">
        <v>10232594.4983247</v>
      </c>
      <c r="N52" t="n">
        <v>818649.887319699</v>
      </c>
      <c r="O52" t="n">
        <v>5128953.90659613</v>
      </c>
      <c r="P52" t="n">
        <v>864152.251273406</v>
      </c>
      <c r="Q52" t="n">
        <v>54907037.8476979</v>
      </c>
      <c r="R52" t="n">
        <v>1658186.58053084</v>
      </c>
      <c r="S52" t="n">
        <v>11398739.1565188</v>
      </c>
      <c r="T52" t="n">
        <v>5860876.97374081</v>
      </c>
      <c r="U52" t="n">
        <v>516445.668646953</v>
      </c>
      <c r="V52" t="n">
        <v>45873.1823503586</v>
      </c>
      <c r="W52" t="n">
        <v>3604242.01783899</v>
      </c>
      <c r="X52" t="n">
        <v>2026873.02468259</v>
      </c>
      <c r="Y52" t="n">
        <v>159058.33575128</v>
      </c>
      <c r="Z52" t="n">
        <v>4321201.44189376</v>
      </c>
      <c r="AA52" t="n">
        <v>1789680.06292678</v>
      </c>
      <c r="AB52" t="n">
        <v>26849779.7929691</v>
      </c>
      <c r="AC52" t="n">
        <v>32809758.8975527</v>
      </c>
      <c r="AD52" t="n">
        <v>15362216.0803181</v>
      </c>
      <c r="AE52" t="n">
        <v>7784256.25628745</v>
      </c>
      <c r="AF52" t="n">
        <v>60752587.1083967</v>
      </c>
      <c r="AG52" t="n">
        <v>1380684.01992297</v>
      </c>
      <c r="AH52" t="n">
        <v>0</v>
      </c>
      <c r="AI52" t="n">
        <v>0</v>
      </c>
      <c r="AJ52" t="n">
        <v>518353.682485861</v>
      </c>
      <c r="AK52" t="n">
        <v>2670065.88717826</v>
      </c>
      <c r="AL52" t="n">
        <v>1217116.17620541</v>
      </c>
      <c r="AM52" t="n">
        <v>4555130.83345624</v>
      </c>
      <c r="AN52" t="n">
        <v>1350356.73689751</v>
      </c>
      <c r="AO52" t="n">
        <v>17771284.7550879</v>
      </c>
      <c r="AP52" t="n">
        <v>2394191.30861072</v>
      </c>
      <c r="AQ52" t="n">
        <v>45650512.8106023</v>
      </c>
      <c r="AR52" t="n">
        <v>54541992.5896867</v>
      </c>
      <c r="AS52" t="n">
        <v>107218616.89318</v>
      </c>
      <c r="AT52" t="n">
        <v>103272193.527684</v>
      </c>
      <c r="AU52" t="n">
        <v>51591844.8325971</v>
      </c>
      <c r="AV52" t="n">
        <v>707516.996086584</v>
      </c>
      <c r="AW52" t="n">
        <v>8922.33692652866</v>
      </c>
      <c r="AX52" t="n">
        <v>6252615.82648872</v>
      </c>
      <c r="AY52" t="n">
        <v>17911547.7016653</v>
      </c>
      <c r="AZ52" t="n">
        <v>27451125.3132667</v>
      </c>
      <c r="BA52" t="n">
        <v>26620423.1554944</v>
      </c>
      <c r="BB52" t="n">
        <v>125455298.032175</v>
      </c>
      <c r="BC52" t="n">
        <v>15311967.724323</v>
      </c>
      <c r="BD52" t="n">
        <v>224159773.218325</v>
      </c>
      <c r="BE52" t="n">
        <v>13790468.6379683</v>
      </c>
      <c r="BF52" t="n">
        <v>69382333.7445046</v>
      </c>
      <c r="BG52" t="n">
        <v>15888385.4470655</v>
      </c>
      <c r="BH52" t="n">
        <v>26549182.2934205</v>
      </c>
      <c r="BI52" t="n">
        <v>4438049.79578722</v>
      </c>
      <c r="BJ52" t="n">
        <v>7971323.75604194</v>
      </c>
      <c r="BK52" t="n">
        <v>6027880.09665551</v>
      </c>
      <c r="BL52" t="n">
        <v>10354869.453767</v>
      </c>
      <c r="BM52" t="n">
        <v>5161909.13068436</v>
      </c>
      <c r="BN52" t="n">
        <v>76119949.3012534</v>
      </c>
      <c r="BO52" t="n">
        <v>51967943.0971831</v>
      </c>
      <c r="BP52" t="n">
        <v>8418880.81363474</v>
      </c>
      <c r="BQ52" t="n">
        <v>16486489.8880232</v>
      </c>
      <c r="BR52" t="n">
        <v>1921884.39898219</v>
      </c>
      <c r="BS52" t="n">
        <v>239905470.937411</v>
      </c>
      <c r="BT52" t="n">
        <v>12331582.7710886</v>
      </c>
      <c r="BU52" t="n">
        <v>560253381.484525</v>
      </c>
      <c r="BV52" t="n">
        <v>0</v>
      </c>
      <c r="BW52" t="n">
        <v>0</v>
      </c>
      <c r="BX52" t="n">
        <v>169565399.879694</v>
      </c>
      <c r="BY52" t="n">
        <v>0</v>
      </c>
      <c r="BZ52" t="n">
        <v>0</v>
      </c>
      <c r="CA52" t="n">
        <v>46398368.8407985</v>
      </c>
      <c r="CB52" t="n">
        <v>-17200663.0396397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30748566.9907095</v>
      </c>
    </row>
    <row r="53">
      <c r="A53" t="s">
        <v>164</v>
      </c>
      <c r="B53" t="n">
        <v>1834289.57454227</v>
      </c>
      <c r="C53" t="n">
        <v>95617.9337361761</v>
      </c>
      <c r="D53" t="n">
        <v>0</v>
      </c>
      <c r="E53" t="n">
        <v>434975.231741645</v>
      </c>
      <c r="F53" t="n">
        <v>13967.7942352481</v>
      </c>
      <c r="G53" t="n">
        <v>19369680.896364</v>
      </c>
      <c r="H53" t="n">
        <v>14338727.6934372</v>
      </c>
      <c r="I53" t="n">
        <v>335286.185782356</v>
      </c>
      <c r="J53" t="n">
        <v>740646.8919759</v>
      </c>
      <c r="K53" t="n">
        <v>1988684.43680743</v>
      </c>
      <c r="L53" t="n">
        <v>10373200.8324267</v>
      </c>
      <c r="M53" t="n">
        <v>4897044.77766445</v>
      </c>
      <c r="N53" t="n">
        <v>4900063.06686164</v>
      </c>
      <c r="O53" t="n">
        <v>5631566.34936909</v>
      </c>
      <c r="P53" t="n">
        <v>1999695.74607391</v>
      </c>
      <c r="Q53" t="n">
        <v>13181070.3313632</v>
      </c>
      <c r="R53" t="n">
        <v>658762.657757922</v>
      </c>
      <c r="S53" t="n">
        <v>9412118.16456375</v>
      </c>
      <c r="T53" t="n">
        <v>5729463.98266414</v>
      </c>
      <c r="U53" t="n">
        <v>639397.908709479</v>
      </c>
      <c r="V53" t="n">
        <v>373965.81413644</v>
      </c>
      <c r="W53" t="n">
        <v>1799890.03902356</v>
      </c>
      <c r="X53" t="n">
        <v>1604847.78286897</v>
      </c>
      <c r="Y53" t="n">
        <v>342708.289086169</v>
      </c>
      <c r="Z53" t="n">
        <v>12719902.9984095</v>
      </c>
      <c r="AA53" t="n">
        <v>2802572.30118696</v>
      </c>
      <c r="AB53" t="n">
        <v>88377479.1425199</v>
      </c>
      <c r="AC53" t="n">
        <v>11210708.4442249</v>
      </c>
      <c r="AD53" t="n">
        <v>9142130.57663462</v>
      </c>
      <c r="AE53" t="n">
        <v>5974658.51291869</v>
      </c>
      <c r="AF53" t="n">
        <v>24819772.442665</v>
      </c>
      <c r="AG53" t="n">
        <v>1041166.26213534</v>
      </c>
      <c r="AH53" t="n">
        <v>4012763.80702399</v>
      </c>
      <c r="AI53" t="n">
        <v>1811455.79512764</v>
      </c>
      <c r="AJ53" t="n">
        <v>2091982.32143017</v>
      </c>
      <c r="AK53" t="n">
        <v>19295065.542681</v>
      </c>
      <c r="AL53" t="n">
        <v>16856566.6589948</v>
      </c>
      <c r="AM53" t="n">
        <v>3975536.75365007</v>
      </c>
      <c r="AN53" t="n">
        <v>801668.948697631</v>
      </c>
      <c r="AO53" t="n">
        <v>8591471.6285813</v>
      </c>
      <c r="AP53" t="n">
        <v>5342320.02681782</v>
      </c>
      <c r="AQ53" t="n">
        <v>76945556.7131544</v>
      </c>
      <c r="AR53" t="n">
        <v>4551401.73631997</v>
      </c>
      <c r="AS53" t="n">
        <v>173164293.425151</v>
      </c>
      <c r="AT53" t="n">
        <v>481763989.105524</v>
      </c>
      <c r="AU53" t="n">
        <v>4808715.58482443</v>
      </c>
      <c r="AV53" t="n">
        <v>270657.247909284</v>
      </c>
      <c r="AW53" t="n">
        <v>407776392.305432</v>
      </c>
      <c r="AX53" t="n">
        <v>88969478.2381934</v>
      </c>
      <c r="AY53" t="n">
        <v>69136125.91922</v>
      </c>
      <c r="AZ53" t="n">
        <v>4987874.91868439</v>
      </c>
      <c r="BA53" t="n">
        <v>7800840.21783406</v>
      </c>
      <c r="BB53" t="n">
        <v>38252513.3958003</v>
      </c>
      <c r="BC53" t="n">
        <v>98428328.0024244</v>
      </c>
      <c r="BD53" t="n">
        <v>17279176.6407927</v>
      </c>
      <c r="BE53" t="n">
        <v>3196531.51837316</v>
      </c>
      <c r="BF53" t="n">
        <v>10457967.0834953</v>
      </c>
      <c r="BG53" t="n">
        <v>16868557.1220152</v>
      </c>
      <c r="BH53" t="n">
        <v>17812603.637385</v>
      </c>
      <c r="BI53" t="n">
        <v>5266741.45453029</v>
      </c>
      <c r="BJ53" t="n">
        <v>3880062.6894006</v>
      </c>
      <c r="BK53" t="n">
        <v>2043248.6702384</v>
      </c>
      <c r="BL53" t="n">
        <v>5241730.8223621</v>
      </c>
      <c r="BM53" t="n">
        <v>10913411.9199019</v>
      </c>
      <c r="BN53" t="n">
        <v>20453522.4143186</v>
      </c>
      <c r="BO53" t="n">
        <v>26372122.4630097</v>
      </c>
      <c r="BP53" t="n">
        <v>0</v>
      </c>
      <c r="BQ53" t="n">
        <v>6945100.39628634</v>
      </c>
      <c r="BR53" t="n">
        <v>1824437.52877381</v>
      </c>
      <c r="BS53" t="n">
        <v>59880361.7399856</v>
      </c>
      <c r="BT53" t="n">
        <v>5466912.93781001</v>
      </c>
      <c r="BU53" t="n">
        <v>1044225354.17874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708585903.033404</v>
      </c>
      <c r="CB53" t="n">
        <v>-114112032.396329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530933.690526491</v>
      </c>
      <c r="C54" t="n">
        <v>6361.74082649445</v>
      </c>
      <c r="D54" t="n">
        <v>0</v>
      </c>
      <c r="E54" t="n">
        <v>3722597.85580696</v>
      </c>
      <c r="F54" t="n">
        <v>576115.278641498</v>
      </c>
      <c r="G54" t="n">
        <v>6970344.5283699</v>
      </c>
      <c r="H54" t="n">
        <v>8235451.51098998</v>
      </c>
      <c r="I54" t="n">
        <v>45427.2415226658</v>
      </c>
      <c r="J54" t="n">
        <v>162340.436665872</v>
      </c>
      <c r="K54" t="n">
        <v>9342693.41503975</v>
      </c>
      <c r="L54" t="n">
        <v>38707255.3454244</v>
      </c>
      <c r="M54" t="n">
        <v>13555205.2684202</v>
      </c>
      <c r="N54" t="n">
        <v>792935.46492206</v>
      </c>
      <c r="O54" t="n">
        <v>5878538.04684659</v>
      </c>
      <c r="P54" t="n">
        <v>3886058.68852589</v>
      </c>
      <c r="Q54" t="n">
        <v>28500649.0458391</v>
      </c>
      <c r="R54" t="n">
        <v>2623318.15422661</v>
      </c>
      <c r="S54" t="n">
        <v>17846130.4876114</v>
      </c>
      <c r="T54" t="n">
        <v>534260.045766963</v>
      </c>
      <c r="U54" t="n">
        <v>37530.2462752882</v>
      </c>
      <c r="V54" t="n">
        <v>3389.17683146913</v>
      </c>
      <c r="W54" t="n">
        <v>124492.23183916</v>
      </c>
      <c r="X54" t="n">
        <v>241205.316244812</v>
      </c>
      <c r="Y54" t="n">
        <v>31928.4926610915</v>
      </c>
      <c r="Z54" t="n">
        <v>254213.429431811</v>
      </c>
      <c r="AA54" t="n">
        <v>416315.482271634</v>
      </c>
      <c r="AB54" t="n">
        <v>26238600.6655431</v>
      </c>
      <c r="AC54" t="n">
        <v>841389.067054101</v>
      </c>
      <c r="AD54" t="n">
        <v>3436065.9276668</v>
      </c>
      <c r="AE54" t="n">
        <v>4977192.58531222</v>
      </c>
      <c r="AF54" t="n">
        <v>5238002.30001199</v>
      </c>
      <c r="AG54" t="n">
        <v>5142753.68341351</v>
      </c>
      <c r="AH54" t="n">
        <v>1023418.70338929</v>
      </c>
      <c r="AI54" t="n">
        <v>8521779.3719453</v>
      </c>
      <c r="AJ54" t="n">
        <v>1604264.65856247</v>
      </c>
      <c r="AK54" t="n">
        <v>35041589.9538623</v>
      </c>
      <c r="AL54" t="n">
        <v>3305714.93267658</v>
      </c>
      <c r="AM54" t="n">
        <v>11104426.0796884</v>
      </c>
      <c r="AN54" t="n">
        <v>204136.309111957</v>
      </c>
      <c r="AO54" t="n">
        <v>1876480.13700607</v>
      </c>
      <c r="AP54" t="n">
        <v>9519470.48726534</v>
      </c>
      <c r="AQ54" t="n">
        <v>2825682.21055631</v>
      </c>
      <c r="AR54" t="n">
        <v>584025.748492257</v>
      </c>
      <c r="AS54" t="n">
        <v>375744282.270248</v>
      </c>
      <c r="AT54" t="n">
        <v>1233434234.4246</v>
      </c>
      <c r="AU54" t="n">
        <v>75265384.6301278</v>
      </c>
      <c r="AV54" t="n">
        <v>30677330.687331</v>
      </c>
      <c r="AW54" t="n">
        <v>26367.8044945718</v>
      </c>
      <c r="AX54" t="n">
        <v>41975847.5467051</v>
      </c>
      <c r="AY54" t="n">
        <v>50766459.3944042</v>
      </c>
      <c r="AZ54" t="n">
        <v>4300413.55169719</v>
      </c>
      <c r="BA54" t="n">
        <v>4293154.32554248</v>
      </c>
      <c r="BB54" t="n">
        <v>23108220.8232312</v>
      </c>
      <c r="BC54" t="n">
        <v>118729922.527506</v>
      </c>
      <c r="BD54" t="n">
        <v>10734139.7038731</v>
      </c>
      <c r="BE54" t="n">
        <v>422400.382160269</v>
      </c>
      <c r="BF54" t="n">
        <v>21346933.0750154</v>
      </c>
      <c r="BG54" t="n">
        <v>14805647.5664091</v>
      </c>
      <c r="BH54" t="n">
        <v>110683345.532856</v>
      </c>
      <c r="BI54" t="n">
        <v>5820223.1188543</v>
      </c>
      <c r="BJ54" t="n">
        <v>29043255.946171</v>
      </c>
      <c r="BK54" t="n">
        <v>6644014.78405564</v>
      </c>
      <c r="BL54" t="n">
        <v>781514.851288271</v>
      </c>
      <c r="BM54" t="n">
        <v>33424905.7108324</v>
      </c>
      <c r="BN54" t="n">
        <v>50670383.1134465</v>
      </c>
      <c r="BO54" t="n">
        <v>32462764.8029835</v>
      </c>
      <c r="BP54" t="n">
        <v>0</v>
      </c>
      <c r="BQ54" t="n">
        <v>21603.7162180538</v>
      </c>
      <c r="BR54" t="n">
        <v>84106.516434274</v>
      </c>
      <c r="BS54" t="n">
        <v>229310592.229528</v>
      </c>
      <c r="BT54" t="n">
        <v>15692006.2326469</v>
      </c>
      <c r="BU54" t="n">
        <v>3264043833.65299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2784037005.1009</v>
      </c>
      <c r="CB54" t="n">
        <v>-1236198.46025038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1823064.66302934</v>
      </c>
      <c r="C55" t="n">
        <v>89758.2244299791</v>
      </c>
      <c r="D55" t="n">
        <v>0</v>
      </c>
      <c r="E55" t="n">
        <v>505599.591596937</v>
      </c>
      <c r="F55" t="n">
        <v>93421.1046695165</v>
      </c>
      <c r="G55" t="n">
        <v>6339576.97149999</v>
      </c>
      <c r="H55" t="n">
        <v>810970.570455343</v>
      </c>
      <c r="I55" t="n">
        <v>118624.842960403</v>
      </c>
      <c r="J55" t="n">
        <v>874850.554388555</v>
      </c>
      <c r="K55" t="n">
        <v>1363504.10047463</v>
      </c>
      <c r="L55" t="n">
        <v>5880008.9046116</v>
      </c>
      <c r="M55" t="n">
        <v>3740238.06785641</v>
      </c>
      <c r="N55" t="n">
        <v>509443.095186993</v>
      </c>
      <c r="O55" t="n">
        <v>4619672.66563332</v>
      </c>
      <c r="P55" t="n">
        <v>2393126.26688577</v>
      </c>
      <c r="Q55" t="n">
        <v>20923681.562044</v>
      </c>
      <c r="R55" t="n">
        <v>637285.937802308</v>
      </c>
      <c r="S55" t="n">
        <v>4113350.94742654</v>
      </c>
      <c r="T55" t="n">
        <v>6415346.7691064</v>
      </c>
      <c r="U55" t="n">
        <v>514798.764105616</v>
      </c>
      <c r="V55" t="n">
        <v>60082.1351736907</v>
      </c>
      <c r="W55" t="n">
        <v>740593.439885514</v>
      </c>
      <c r="X55" t="n">
        <v>221380.411294513</v>
      </c>
      <c r="Y55" t="n">
        <v>104059.491622131</v>
      </c>
      <c r="Z55" t="n">
        <v>7582798.60474748</v>
      </c>
      <c r="AA55" t="n">
        <v>1238465.83030557</v>
      </c>
      <c r="AB55" t="n">
        <v>112070608.548664</v>
      </c>
      <c r="AC55" t="n">
        <v>9824178.97455873</v>
      </c>
      <c r="AD55" t="n">
        <v>5643659.04523508</v>
      </c>
      <c r="AE55" t="n">
        <v>3658923.64200824</v>
      </c>
      <c r="AF55" t="n">
        <v>20209059.4063167</v>
      </c>
      <c r="AG55" t="n">
        <v>641926.911202369</v>
      </c>
      <c r="AH55" t="n">
        <v>28981.1748706017</v>
      </c>
      <c r="AI55" t="n">
        <v>2153404.60560273</v>
      </c>
      <c r="AJ55" t="n">
        <v>15356151.0957952</v>
      </c>
      <c r="AK55" t="n">
        <v>39904984.3369503</v>
      </c>
      <c r="AL55" t="n">
        <v>2673396.10171242</v>
      </c>
      <c r="AM55" t="n">
        <v>8081094.10873632</v>
      </c>
      <c r="AN55" t="n">
        <v>6223863.30755212</v>
      </c>
      <c r="AO55" t="n">
        <v>916032.981710829</v>
      </c>
      <c r="AP55" t="n">
        <v>8428226.46555556</v>
      </c>
      <c r="AQ55" t="n">
        <v>9045651.58373595</v>
      </c>
      <c r="AR55" t="n">
        <v>1599861.02872145</v>
      </c>
      <c r="AS55" t="n">
        <v>10818104.8602601</v>
      </c>
      <c r="AT55" t="n">
        <v>104768836.132326</v>
      </c>
      <c r="AU55" t="n">
        <v>3850753760.03153</v>
      </c>
      <c r="AV55" t="n">
        <v>1199251.62830632</v>
      </c>
      <c r="AW55" t="n">
        <v>18541753.6121458</v>
      </c>
      <c r="AX55" t="n">
        <v>84458070.5317855</v>
      </c>
      <c r="AY55" t="n">
        <v>57614274.0842097</v>
      </c>
      <c r="AZ55" t="n">
        <v>7708111.77636766</v>
      </c>
      <c r="BA55" t="n">
        <v>6072195.77652618</v>
      </c>
      <c r="BB55" t="n">
        <v>35358175.7394052</v>
      </c>
      <c r="BC55" t="n">
        <v>1274130.26849103</v>
      </c>
      <c r="BD55" t="n">
        <v>21200466.9124632</v>
      </c>
      <c r="BE55" t="n">
        <v>4736455.43320289</v>
      </c>
      <c r="BF55" t="n">
        <v>12693268.3522226</v>
      </c>
      <c r="BG55" t="n">
        <v>37575293.5842965</v>
      </c>
      <c r="BH55" t="n">
        <v>45030605.3961973</v>
      </c>
      <c r="BI55" t="n">
        <v>15920933.8042306</v>
      </c>
      <c r="BJ55" t="n">
        <v>38735382.781607</v>
      </c>
      <c r="BK55" t="n">
        <v>5219191.34267205</v>
      </c>
      <c r="BL55" t="n">
        <v>4655086.91364015</v>
      </c>
      <c r="BM55" t="n">
        <v>3051248.03611777</v>
      </c>
      <c r="BN55" t="n">
        <v>20971030.6640517</v>
      </c>
      <c r="BO55" t="n">
        <v>9219072.11985699</v>
      </c>
      <c r="BP55" t="n">
        <v>0</v>
      </c>
      <c r="BQ55" t="n">
        <v>1379784.38277601</v>
      </c>
      <c r="BR55" t="n">
        <v>4819403.91663675</v>
      </c>
      <c r="BS55" t="n">
        <v>10462129.2981108</v>
      </c>
      <c r="BT55" t="n">
        <v>18026958.1547275</v>
      </c>
      <c r="BU55" t="n">
        <v>1192925928.70497</v>
      </c>
      <c r="BV55" t="n">
        <v>0</v>
      </c>
      <c r="BW55" t="n">
        <v>0</v>
      </c>
      <c r="BX55" t="n">
        <v>0</v>
      </c>
      <c r="BY55" t="n">
        <v>15125437.0484167</v>
      </c>
      <c r="BZ55" t="n">
        <v>0</v>
      </c>
      <c r="CA55" t="n">
        <v>685632372.387382</v>
      </c>
      <c r="CB55" t="n">
        <v>-1709230299.71611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21194660.2305201</v>
      </c>
      <c r="AV56" t="n">
        <v>597275.090760193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216887.621155951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65914.6100631206</v>
      </c>
      <c r="BR56" t="n">
        <v>0</v>
      </c>
      <c r="BS56" t="n">
        <v>2249512.32146965</v>
      </c>
      <c r="BT56" t="n">
        <v>0</v>
      </c>
      <c r="BU56" t="n">
        <v>451046044.039178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27586589522.2459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8361399.33514904</v>
      </c>
      <c r="C58" t="n">
        <v>16912.3482250519</v>
      </c>
      <c r="D58" t="n">
        <v>0</v>
      </c>
      <c r="E58" t="n">
        <v>573686.889489607</v>
      </c>
      <c r="F58" t="n">
        <v>99358.7391458306</v>
      </c>
      <c r="G58" t="n">
        <v>122294278.568108</v>
      </c>
      <c r="H58" t="n">
        <v>138952307.077219</v>
      </c>
      <c r="I58" t="n">
        <v>1634241.25597164</v>
      </c>
      <c r="J58" t="n">
        <v>3706917.12168721</v>
      </c>
      <c r="K58" t="n">
        <v>3688435.98994066</v>
      </c>
      <c r="L58" t="n">
        <v>125115776.012898</v>
      </c>
      <c r="M58" t="n">
        <v>21191312.6702977</v>
      </c>
      <c r="N58" t="n">
        <v>22192341.9262854</v>
      </c>
      <c r="O58" t="n">
        <v>15826859.4347109</v>
      </c>
      <c r="P58" t="n">
        <v>4959183.95107292</v>
      </c>
      <c r="Q58" t="n">
        <v>89214366.8920476</v>
      </c>
      <c r="R58" t="n">
        <v>7506266.463334</v>
      </c>
      <c r="S58" t="n">
        <v>49211999.7168704</v>
      </c>
      <c r="T58" t="n">
        <v>32114545.0487942</v>
      </c>
      <c r="U58" t="n">
        <v>4198105.30549841</v>
      </c>
      <c r="V58" t="n">
        <v>627923.90106883</v>
      </c>
      <c r="W58" t="n">
        <v>12436976.2103167</v>
      </c>
      <c r="X58" t="n">
        <v>22517089.0349049</v>
      </c>
      <c r="Y58" t="n">
        <v>189348.121800001</v>
      </c>
      <c r="Z58" t="n">
        <v>59211600.6201933</v>
      </c>
      <c r="AA58" t="n">
        <v>20259685.6170932</v>
      </c>
      <c r="AB58" t="n">
        <v>1049984664.92699</v>
      </c>
      <c r="AC58" t="n">
        <v>248724099.764691</v>
      </c>
      <c r="AD58" t="n">
        <v>468826336.750668</v>
      </c>
      <c r="AE58" t="n">
        <v>192653378.033047</v>
      </c>
      <c r="AF58" t="n">
        <v>1183889857.03905</v>
      </c>
      <c r="AG58" t="n">
        <v>1194561.01561943</v>
      </c>
      <c r="AH58" t="n">
        <v>663161.997141991</v>
      </c>
      <c r="AI58" t="n">
        <v>10972060.0554159</v>
      </c>
      <c r="AJ58" t="n">
        <v>39015086.8751277</v>
      </c>
      <c r="AK58" t="n">
        <v>53999801.2367491</v>
      </c>
      <c r="AL58" t="n">
        <v>10549883.0604744</v>
      </c>
      <c r="AM58" t="n">
        <v>67306423.7256359</v>
      </c>
      <c r="AN58" t="n">
        <v>101908709.281723</v>
      </c>
      <c r="AO58" t="n">
        <v>64872874.2716084</v>
      </c>
      <c r="AP58" t="n">
        <v>71174080.9757747</v>
      </c>
      <c r="AQ58" t="n">
        <v>573913959.99354</v>
      </c>
      <c r="AR58" t="n">
        <v>71618390.9784813</v>
      </c>
      <c r="AS58" t="n">
        <v>246055527.240643</v>
      </c>
      <c r="AT58" t="n">
        <v>1164791238.5765</v>
      </c>
      <c r="AU58" t="n">
        <v>794680756.481263</v>
      </c>
      <c r="AV58" t="n">
        <v>324273.504273504</v>
      </c>
      <c r="AW58" t="n">
        <v>82936008.4397804</v>
      </c>
      <c r="AX58" t="n">
        <v>1486108051.87446</v>
      </c>
      <c r="AY58" t="n">
        <v>287518117.543084</v>
      </c>
      <c r="AZ58" t="n">
        <v>234221842.483482</v>
      </c>
      <c r="BA58" t="n">
        <v>95172911.8911209</v>
      </c>
      <c r="BB58" t="n">
        <v>772713368.721015</v>
      </c>
      <c r="BC58" t="n">
        <v>663029341.785385</v>
      </c>
      <c r="BD58" t="n">
        <v>462083392.392638</v>
      </c>
      <c r="BE58" t="n">
        <v>46356806.6520986</v>
      </c>
      <c r="BF58" t="n">
        <v>874057749.584689</v>
      </c>
      <c r="BG58" t="n">
        <v>717307543.31169</v>
      </c>
      <c r="BH58" t="n">
        <v>997727676.904673</v>
      </c>
      <c r="BI58" t="n">
        <v>620875580.046404</v>
      </c>
      <c r="BJ58" t="n">
        <v>202087074.552088</v>
      </c>
      <c r="BK58" t="n">
        <v>137371210.3851</v>
      </c>
      <c r="BL58" t="n">
        <v>251786810.479572</v>
      </c>
      <c r="BM58" t="n">
        <v>25754013.3736356</v>
      </c>
      <c r="BN58" t="n">
        <v>692094622.813567</v>
      </c>
      <c r="BO58" t="n">
        <v>756068948.6967</v>
      </c>
      <c r="BP58" t="n">
        <v>2441407.00946534</v>
      </c>
      <c r="BQ58" t="n">
        <v>83862240.307601</v>
      </c>
      <c r="BR58" t="n">
        <v>3806134.25289418</v>
      </c>
      <c r="BS58" t="n">
        <v>296340775.210104</v>
      </c>
      <c r="BT58" t="n">
        <v>17738366.9667888</v>
      </c>
      <c r="BU58" t="n">
        <v>80131326.1427927</v>
      </c>
      <c r="BV58" t="n">
        <v>274128066.306202</v>
      </c>
      <c r="BW58" t="n">
        <v>0</v>
      </c>
      <c r="BX58" t="n">
        <v>0</v>
      </c>
      <c r="BY58" t="n">
        <v>1700823002.97471</v>
      </c>
      <c r="BZ58" t="n">
        <v>0</v>
      </c>
      <c r="CA58" t="n">
        <v>24393390.0928735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1859134.45909472</v>
      </c>
      <c r="C59" t="n">
        <v>24083.7215089937</v>
      </c>
      <c r="D59" t="n">
        <v>0</v>
      </c>
      <c r="E59" t="n">
        <v>2539841.1024275</v>
      </c>
      <c r="F59" t="n">
        <v>182871.731827443</v>
      </c>
      <c r="G59" t="n">
        <v>11415975.0192197</v>
      </c>
      <c r="H59" t="n">
        <v>74532989.3666701</v>
      </c>
      <c r="I59" t="n">
        <v>182784.298312723</v>
      </c>
      <c r="J59" t="n">
        <v>818068.217894671</v>
      </c>
      <c r="K59" t="n">
        <v>1647580.6253139</v>
      </c>
      <c r="L59" t="n">
        <v>14403383.1568688</v>
      </c>
      <c r="M59" t="n">
        <v>4855259.85603001</v>
      </c>
      <c r="N59" t="n">
        <v>1279453.85000855</v>
      </c>
      <c r="O59" t="n">
        <v>2870399.41526597</v>
      </c>
      <c r="P59" t="n">
        <v>4964963.23424242</v>
      </c>
      <c r="Q59" t="n">
        <v>19871466.3553191</v>
      </c>
      <c r="R59" t="n">
        <v>497104.18424945</v>
      </c>
      <c r="S59" t="n">
        <v>6860959.86542369</v>
      </c>
      <c r="T59" t="n">
        <v>6829160.70988943</v>
      </c>
      <c r="U59" t="n">
        <v>192821.121249662</v>
      </c>
      <c r="V59" t="n">
        <v>2411207.94333045</v>
      </c>
      <c r="W59" t="n">
        <v>2256353.75402697</v>
      </c>
      <c r="X59" t="n">
        <v>1748814.61396995</v>
      </c>
      <c r="Y59" t="n">
        <v>407943.312087026</v>
      </c>
      <c r="Z59" t="n">
        <v>15376581.480566</v>
      </c>
      <c r="AA59" t="n">
        <v>2178565.06343249</v>
      </c>
      <c r="AB59" t="n">
        <v>89475205.6612996</v>
      </c>
      <c r="AC59" t="n">
        <v>3304565.48374508</v>
      </c>
      <c r="AD59" t="n">
        <v>6021766.98697803</v>
      </c>
      <c r="AE59" t="n">
        <v>9754073.3277362</v>
      </c>
      <c r="AF59" t="n">
        <v>21736260.0461504</v>
      </c>
      <c r="AG59" t="n">
        <v>13902563.8118783</v>
      </c>
      <c r="AH59" t="n">
        <v>6727030.3816926</v>
      </c>
      <c r="AI59" t="n">
        <v>29317847.7982601</v>
      </c>
      <c r="AJ59" t="n">
        <v>40352413.4554594</v>
      </c>
      <c r="AK59" t="n">
        <v>9717637.11862208</v>
      </c>
      <c r="AL59" t="n">
        <v>576629.730862944</v>
      </c>
      <c r="AM59" t="n">
        <v>7998161.13660991</v>
      </c>
      <c r="AN59" t="n">
        <v>16916429.9622118</v>
      </c>
      <c r="AO59" t="n">
        <v>4498291.41313027</v>
      </c>
      <c r="AP59" t="n">
        <v>8034761.89708024</v>
      </c>
      <c r="AQ59" t="n">
        <v>58751658.9731404</v>
      </c>
      <c r="AR59" t="n">
        <v>17764695.9442681</v>
      </c>
      <c r="AS59" t="n">
        <v>12389073.9683641</v>
      </c>
      <c r="AT59" t="n">
        <v>82510911.4291289</v>
      </c>
      <c r="AU59" t="n">
        <v>39564806.7869948</v>
      </c>
      <c r="AV59" t="n">
        <v>3955.64385995641</v>
      </c>
      <c r="AW59" t="n">
        <v>26079999.4331394</v>
      </c>
      <c r="AX59" t="n">
        <v>7399330.67376818</v>
      </c>
      <c r="AY59" t="n">
        <v>87983348.9340854</v>
      </c>
      <c r="AZ59" t="n">
        <v>7060260.09590704</v>
      </c>
      <c r="BA59" t="n">
        <v>10587296.4169157</v>
      </c>
      <c r="BB59" t="n">
        <v>66545170.5460049</v>
      </c>
      <c r="BC59" t="n">
        <v>96634008.2182325</v>
      </c>
      <c r="BD59" t="n">
        <v>35440643.7189137</v>
      </c>
      <c r="BE59" t="n">
        <v>11988388.7356455</v>
      </c>
      <c r="BF59" t="n">
        <v>12790700.7393889</v>
      </c>
      <c r="BG59" t="n">
        <v>18134964.9503349</v>
      </c>
      <c r="BH59" t="n">
        <v>16794150.2945558</v>
      </c>
      <c r="BI59" t="n">
        <v>3703566.04634546</v>
      </c>
      <c r="BJ59" t="n">
        <v>2423195.0519131</v>
      </c>
      <c r="BK59" t="n">
        <v>6365413.54276793</v>
      </c>
      <c r="BL59" t="n">
        <v>10060319.9845872</v>
      </c>
      <c r="BM59" t="n">
        <v>5829348.5416375</v>
      </c>
      <c r="BN59" t="n">
        <v>39453923.0277159</v>
      </c>
      <c r="BO59" t="n">
        <v>10864741.2513497</v>
      </c>
      <c r="BP59" t="n">
        <v>1089135.61835507</v>
      </c>
      <c r="BQ59" t="n">
        <v>698827.526539856</v>
      </c>
      <c r="BR59" t="n">
        <v>405361.913490615</v>
      </c>
      <c r="BS59" t="n">
        <v>36443178.0288463</v>
      </c>
      <c r="BT59" t="n">
        <v>1483171.12255223</v>
      </c>
      <c r="BU59" t="n">
        <v>492909086.315644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1928758114.75006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610405.217035151</v>
      </c>
      <c r="C60" t="n">
        <v>40147.5246346641</v>
      </c>
      <c r="D60" t="n">
        <v>0</v>
      </c>
      <c r="E60" t="n">
        <v>986384.395780179</v>
      </c>
      <c r="F60" t="n">
        <v>30532.4377480109</v>
      </c>
      <c r="G60" t="n">
        <v>65871483.0778499</v>
      </c>
      <c r="H60" t="n">
        <v>34187564.1364115</v>
      </c>
      <c r="I60" t="n">
        <v>611792.649772072</v>
      </c>
      <c r="J60" t="n">
        <v>1078774.90430071</v>
      </c>
      <c r="K60" t="n">
        <v>2414874.02485575</v>
      </c>
      <c r="L60" t="n">
        <v>30105240.1315219</v>
      </c>
      <c r="M60" t="n">
        <v>10210384.6210645</v>
      </c>
      <c r="N60" t="n">
        <v>14451686.0213203</v>
      </c>
      <c r="O60" t="n">
        <v>4207348.38554666</v>
      </c>
      <c r="P60" t="n">
        <v>4392118.40706694</v>
      </c>
      <c r="Q60" t="n">
        <v>55741373.2359447</v>
      </c>
      <c r="R60" t="n">
        <v>1166987.63512365</v>
      </c>
      <c r="S60" t="n">
        <v>30699843.3626574</v>
      </c>
      <c r="T60" t="n">
        <v>5391000.22929094</v>
      </c>
      <c r="U60" t="n">
        <v>748694.252941809</v>
      </c>
      <c r="V60" t="n">
        <v>213870.453394597</v>
      </c>
      <c r="W60" t="n">
        <v>4049357.46108716</v>
      </c>
      <c r="X60" t="n">
        <v>2618660.76241137</v>
      </c>
      <c r="Y60" t="n">
        <v>532231.152841325</v>
      </c>
      <c r="Z60" t="n">
        <v>36534393.7246365</v>
      </c>
      <c r="AA60" t="n">
        <v>5173099.80774467</v>
      </c>
      <c r="AB60" t="n">
        <v>139174648.367372</v>
      </c>
      <c r="AC60" t="n">
        <v>5334489.37449825</v>
      </c>
      <c r="AD60" t="n">
        <v>8375673.41221225</v>
      </c>
      <c r="AE60" t="n">
        <v>4784342.48024358</v>
      </c>
      <c r="AF60" t="n">
        <v>35031446.4258933</v>
      </c>
      <c r="AG60" t="n">
        <v>974831.669330917</v>
      </c>
      <c r="AH60" t="n">
        <v>2214582.79130134</v>
      </c>
      <c r="AI60" t="n">
        <v>1864180.98352716</v>
      </c>
      <c r="AJ60" t="n">
        <v>819380.857468519</v>
      </c>
      <c r="AK60" t="n">
        <v>3422813.04459856</v>
      </c>
      <c r="AL60" t="n">
        <v>1541038.44121412</v>
      </c>
      <c r="AM60" t="n">
        <v>4252221.18753757</v>
      </c>
      <c r="AN60" t="n">
        <v>2518471.04261678</v>
      </c>
      <c r="AO60" t="n">
        <v>24182854.3833511</v>
      </c>
      <c r="AP60" t="n">
        <v>14317001.4161437</v>
      </c>
      <c r="AQ60" t="n">
        <v>47945237.0189973</v>
      </c>
      <c r="AR60" t="n">
        <v>25131400.1294297</v>
      </c>
      <c r="AS60" t="n">
        <v>35448216.2922777</v>
      </c>
      <c r="AT60" t="n">
        <v>311689385.047748</v>
      </c>
      <c r="AU60" t="n">
        <v>320927725.252075</v>
      </c>
      <c r="AV60" t="n">
        <v>656043.412937897</v>
      </c>
      <c r="AW60" t="n">
        <v>16290348.8981515</v>
      </c>
      <c r="AX60" t="n">
        <v>65373638.177301</v>
      </c>
      <c r="AY60" t="n">
        <v>16668729.8058709</v>
      </c>
      <c r="AZ60" t="n">
        <v>20221164.2392448</v>
      </c>
      <c r="BA60" t="n">
        <v>30579859.6750033</v>
      </c>
      <c r="BB60" t="n">
        <v>127827578.615332</v>
      </c>
      <c r="BC60" t="n">
        <v>128371556.745381</v>
      </c>
      <c r="BD60" t="n">
        <v>65591620.5757136</v>
      </c>
      <c r="BE60" t="n">
        <v>4853298.92141728</v>
      </c>
      <c r="BF60" t="n">
        <v>7338571.2708329</v>
      </c>
      <c r="BG60" t="n">
        <v>45003768.6716856</v>
      </c>
      <c r="BH60" t="n">
        <v>155235014.864771</v>
      </c>
      <c r="BI60" t="n">
        <v>23977791.6080631</v>
      </c>
      <c r="BJ60" t="n">
        <v>8886625.248287</v>
      </c>
      <c r="BK60" t="n">
        <v>14183015.4196222</v>
      </c>
      <c r="BL60" t="n">
        <v>17235861.1605921</v>
      </c>
      <c r="BM60" t="n">
        <v>7464883.90722796</v>
      </c>
      <c r="BN60" t="n">
        <v>18688288.6155784</v>
      </c>
      <c r="BO60" t="n">
        <v>37740356.3841234</v>
      </c>
      <c r="BP60" t="n">
        <v>0</v>
      </c>
      <c r="BQ60" t="n">
        <v>545324.307469346</v>
      </c>
      <c r="BR60" t="n">
        <v>348455.717569952</v>
      </c>
      <c r="BS60" t="n">
        <v>118252956.563202</v>
      </c>
      <c r="BT60" t="n">
        <v>6526413.78495995</v>
      </c>
      <c r="BU60" t="n">
        <v>1054913988.54301</v>
      </c>
      <c r="BV60" t="n">
        <v>0</v>
      </c>
      <c r="BW60" t="n">
        <v>0</v>
      </c>
      <c r="BX60" t="n">
        <v>0</v>
      </c>
      <c r="BY60" t="n">
        <v>222064673.882136</v>
      </c>
      <c r="BZ60" t="n">
        <v>0</v>
      </c>
      <c r="CA60" t="n">
        <v>183237282.304482</v>
      </c>
      <c r="CB60" t="n">
        <v>-69571466.7357967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895102.341581151</v>
      </c>
      <c r="C61" t="n">
        <v>15910.0721663422</v>
      </c>
      <c r="D61" t="n">
        <v>0</v>
      </c>
      <c r="E61" t="n">
        <v>1260244.24462449</v>
      </c>
      <c r="F61" t="n">
        <v>10587.9938360159</v>
      </c>
      <c r="G61" t="n">
        <v>27720304.5840615</v>
      </c>
      <c r="H61" t="n">
        <v>35084109.7519699</v>
      </c>
      <c r="I61" t="n">
        <v>535940.111330709</v>
      </c>
      <c r="J61" t="n">
        <v>1048443.8145233</v>
      </c>
      <c r="K61" t="n">
        <v>2139025.08600018</v>
      </c>
      <c r="L61" t="n">
        <v>31645426.9525048</v>
      </c>
      <c r="M61" t="n">
        <v>16728332.7907962</v>
      </c>
      <c r="N61" t="n">
        <v>2626848.95993173</v>
      </c>
      <c r="O61" t="n">
        <v>2173682.44110151</v>
      </c>
      <c r="P61" t="n">
        <v>1509807.68289282</v>
      </c>
      <c r="Q61" t="n">
        <v>122713600.568215</v>
      </c>
      <c r="R61" t="n">
        <v>1210889.95534775</v>
      </c>
      <c r="S61" t="n">
        <v>11227330.0777834</v>
      </c>
      <c r="T61" t="n">
        <v>6670654.63699552</v>
      </c>
      <c r="U61" t="n">
        <v>593936.370918158</v>
      </c>
      <c r="V61" t="n">
        <v>34178.2579379895</v>
      </c>
      <c r="W61" t="n">
        <v>2103383.58923338</v>
      </c>
      <c r="X61" t="n">
        <v>3940778.40254972</v>
      </c>
      <c r="Y61" t="n">
        <v>594521.718563797</v>
      </c>
      <c r="Z61" t="n">
        <v>4033489.08780074</v>
      </c>
      <c r="AA61" t="n">
        <v>3388195.77289867</v>
      </c>
      <c r="AB61" t="n">
        <v>188588865.893359</v>
      </c>
      <c r="AC61" t="n">
        <v>41408186.090481</v>
      </c>
      <c r="AD61" t="n">
        <v>12621275.3173389</v>
      </c>
      <c r="AE61" t="n">
        <v>14108851.1325135</v>
      </c>
      <c r="AF61" t="n">
        <v>52161367.1611458</v>
      </c>
      <c r="AG61" t="n">
        <v>1215667.13010004</v>
      </c>
      <c r="AH61" t="n">
        <v>3374289.60430346</v>
      </c>
      <c r="AI61" t="n">
        <v>744522.765387748</v>
      </c>
      <c r="AJ61" t="n">
        <v>3011379.68238024</v>
      </c>
      <c r="AK61" t="n">
        <v>5638236.8754154</v>
      </c>
      <c r="AL61" t="n">
        <v>341298.092022515</v>
      </c>
      <c r="AM61" t="n">
        <v>1975320.89940242</v>
      </c>
      <c r="AN61" t="n">
        <v>2973525.70102372</v>
      </c>
      <c r="AO61" t="n">
        <v>48425166.3063704</v>
      </c>
      <c r="AP61" t="n">
        <v>11288778.2098115</v>
      </c>
      <c r="AQ61" t="n">
        <v>68909756.6482044</v>
      </c>
      <c r="AR61" t="n">
        <v>59265162.6796843</v>
      </c>
      <c r="AS61" t="n">
        <v>60446441.5624279</v>
      </c>
      <c r="AT61" t="n">
        <v>276312415.776109</v>
      </c>
      <c r="AU61" t="n">
        <v>202156280.466958</v>
      </c>
      <c r="AV61" t="n">
        <v>462589.728029639</v>
      </c>
      <c r="AW61" t="n">
        <v>8633055.72758326</v>
      </c>
      <c r="AX61" t="n">
        <v>25312646.3609406</v>
      </c>
      <c r="AY61" t="n">
        <v>13888270.0271011</v>
      </c>
      <c r="AZ61" t="n">
        <v>36504491.0191539</v>
      </c>
      <c r="BA61" t="n">
        <v>62969651.2795481</v>
      </c>
      <c r="BB61" t="n">
        <v>110919625.076105</v>
      </c>
      <c r="BC61" t="n">
        <v>30897731.3499207</v>
      </c>
      <c r="BD61" t="n">
        <v>155531160.392438</v>
      </c>
      <c r="BE61" t="n">
        <v>6456457.68853782</v>
      </c>
      <c r="BF61" t="n">
        <v>34282799.0417753</v>
      </c>
      <c r="BG61" t="n">
        <v>47078116.5010727</v>
      </c>
      <c r="BH61" t="n">
        <v>52259719.4455698</v>
      </c>
      <c r="BI61" t="n">
        <v>18493256.715736</v>
      </c>
      <c r="BJ61" t="n">
        <v>22488031.2480477</v>
      </c>
      <c r="BK61" t="n">
        <v>3869351.01162336</v>
      </c>
      <c r="BL61" t="n">
        <v>11822748.8880707</v>
      </c>
      <c r="BM61" t="n">
        <v>7579331.58609801</v>
      </c>
      <c r="BN61" t="n">
        <v>50272815.7971033</v>
      </c>
      <c r="BO61" t="n">
        <v>32867782.7037959</v>
      </c>
      <c r="BP61" t="n">
        <v>36994746.2911398</v>
      </c>
      <c r="BQ61" t="n">
        <v>63005403.1798746</v>
      </c>
      <c r="BR61" t="n">
        <v>666879.521758657</v>
      </c>
      <c r="BS61" t="n">
        <v>351778550.141824</v>
      </c>
      <c r="BT61" t="n">
        <v>30643842.1235622</v>
      </c>
      <c r="BU61" t="n">
        <v>0</v>
      </c>
      <c r="BV61" t="n">
        <v>0</v>
      </c>
      <c r="BW61" t="n">
        <v>401716395.415809</v>
      </c>
      <c r="BX61" t="n">
        <v>2232790755.32248</v>
      </c>
      <c r="BY61" t="n">
        <v>0</v>
      </c>
      <c r="BZ61" t="n">
        <v>0</v>
      </c>
      <c r="CA61" t="n">
        <v>430402880.720581</v>
      </c>
      <c r="CB61" t="n">
        <v>-394549565.581828</v>
      </c>
      <c r="CC61" t="n">
        <v>0</v>
      </c>
      <c r="CD61" t="n">
        <v>0</v>
      </c>
      <c r="CE61" t="n">
        <v>393522.869716946</v>
      </c>
      <c r="CF61" t="n">
        <v>1011113.52448197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10267393.4983591</v>
      </c>
      <c r="CN61" t="n">
        <v>68153141.3625784</v>
      </c>
    </row>
    <row r="62">
      <c r="A62" t="s">
        <v>173</v>
      </c>
      <c r="B62" t="n">
        <v>1009895.28785653</v>
      </c>
      <c r="C62" t="n">
        <v>63727.7692695278</v>
      </c>
      <c r="D62" t="n">
        <v>0</v>
      </c>
      <c r="E62" t="n">
        <v>1042146.86708743</v>
      </c>
      <c r="F62" t="n">
        <v>48663.8898251089</v>
      </c>
      <c r="G62" t="n">
        <v>45913227.4314153</v>
      </c>
      <c r="H62" t="n">
        <v>87111244.4142374</v>
      </c>
      <c r="I62" t="n">
        <v>783720.796950965</v>
      </c>
      <c r="J62" t="n">
        <v>1754269.37044091</v>
      </c>
      <c r="K62" t="n">
        <v>4331784.95249947</v>
      </c>
      <c r="L62" t="n">
        <v>27697711.5519534</v>
      </c>
      <c r="M62" t="n">
        <v>10997968.9346874</v>
      </c>
      <c r="N62" t="n">
        <v>10259484.2886631</v>
      </c>
      <c r="O62" t="n">
        <v>8277953.57378851</v>
      </c>
      <c r="P62" t="n">
        <v>3786749.6860371</v>
      </c>
      <c r="Q62" t="n">
        <v>62966462.9355042</v>
      </c>
      <c r="R62" t="n">
        <v>2511352.83294249</v>
      </c>
      <c r="S62" t="n">
        <v>27438058.4542328</v>
      </c>
      <c r="T62" t="n">
        <v>16741622.3583304</v>
      </c>
      <c r="U62" t="n">
        <v>1184547.23524719</v>
      </c>
      <c r="V62" t="n">
        <v>157980.577374277</v>
      </c>
      <c r="W62" t="n">
        <v>4468092.95615135</v>
      </c>
      <c r="X62" t="n">
        <v>3995194.3234583</v>
      </c>
      <c r="Y62" t="n">
        <v>740504.708367905</v>
      </c>
      <c r="Z62" t="n">
        <v>34689680.2120656</v>
      </c>
      <c r="AA62" t="n">
        <v>6694528.36994147</v>
      </c>
      <c r="AB62" t="n">
        <v>359627623.070828</v>
      </c>
      <c r="AC62" t="n">
        <v>65910917.7778991</v>
      </c>
      <c r="AD62" t="n">
        <v>40199451.2674864</v>
      </c>
      <c r="AE62" t="n">
        <v>11943324.8644102</v>
      </c>
      <c r="AF62" t="n">
        <v>161290030.972178</v>
      </c>
      <c r="AG62" t="n">
        <v>1101995.59551731</v>
      </c>
      <c r="AH62" t="n">
        <v>1511292.75653125</v>
      </c>
      <c r="AI62" t="n">
        <v>5983731.10252463</v>
      </c>
      <c r="AJ62" t="n">
        <v>4034026.85242188</v>
      </c>
      <c r="AK62" t="n">
        <v>9438633.23629459</v>
      </c>
      <c r="AL62" t="n">
        <v>8225884.75732795</v>
      </c>
      <c r="AM62" t="n">
        <v>5657533.94438296</v>
      </c>
      <c r="AN62" t="n">
        <v>6290760.41348705</v>
      </c>
      <c r="AO62" t="n">
        <v>42290961.5249375</v>
      </c>
      <c r="AP62" t="n">
        <v>31586189.1916495</v>
      </c>
      <c r="AQ62" t="n">
        <v>175153891.946646</v>
      </c>
      <c r="AR62" t="n">
        <v>61201325.56751</v>
      </c>
      <c r="AS62" t="n">
        <v>109774893.280429</v>
      </c>
      <c r="AT62" t="n">
        <v>429725335.229176</v>
      </c>
      <c r="AU62" t="n">
        <v>303035348.496414</v>
      </c>
      <c r="AV62" t="n">
        <v>329894.920592575</v>
      </c>
      <c r="AW62" t="n">
        <v>7178932.17127731</v>
      </c>
      <c r="AX62" t="n">
        <v>88346647.2791864</v>
      </c>
      <c r="AY62" t="n">
        <v>60332557.3855406</v>
      </c>
      <c r="AZ62" t="n">
        <v>25975794.9282034</v>
      </c>
      <c r="BA62" t="n">
        <v>69353773.9253156</v>
      </c>
      <c r="BB62" t="n">
        <v>414148568.755134</v>
      </c>
      <c r="BC62" t="n">
        <v>196363501.391197</v>
      </c>
      <c r="BD62" t="n">
        <v>138339376.425699</v>
      </c>
      <c r="BE62" t="n">
        <v>9875219.79021243</v>
      </c>
      <c r="BF62" t="n">
        <v>43008521.9912252</v>
      </c>
      <c r="BG62" t="n">
        <v>92403374.2361205</v>
      </c>
      <c r="BH62" t="n">
        <v>128421847.088976</v>
      </c>
      <c r="BI62" t="n">
        <v>46614408.2057111</v>
      </c>
      <c r="BJ62" t="n">
        <v>24247153.2953509</v>
      </c>
      <c r="BK62" t="n">
        <v>18210634.0630739</v>
      </c>
      <c r="BL62" t="n">
        <v>23078858.3303313</v>
      </c>
      <c r="BM62" t="n">
        <v>16951077.5189695</v>
      </c>
      <c r="BN62" t="n">
        <v>65710478.0041896</v>
      </c>
      <c r="BO62" t="n">
        <v>81656401.0419969</v>
      </c>
      <c r="BP62" t="n">
        <v>123499283.981296</v>
      </c>
      <c r="BQ62" t="n">
        <v>20718904.7660358</v>
      </c>
      <c r="BR62" t="n">
        <v>2321051.11010731</v>
      </c>
      <c r="BS62" t="n">
        <v>208125086.595296</v>
      </c>
      <c r="BT62" t="n">
        <v>36191098.5858702</v>
      </c>
      <c r="BU62" t="n">
        <v>231221703.787649</v>
      </c>
      <c r="BV62" t="n">
        <v>0</v>
      </c>
      <c r="BW62" t="n">
        <v>157104040.589769</v>
      </c>
      <c r="BX62" t="n">
        <v>1655911333.27153</v>
      </c>
      <c r="BY62" t="n">
        <v>9555972.28257345</v>
      </c>
      <c r="BZ62" t="n">
        <v>0</v>
      </c>
      <c r="CA62" t="n">
        <v>2213891879.86928</v>
      </c>
      <c r="CB62" t="n">
        <v>-1356670517.52937</v>
      </c>
      <c r="CC62" t="n">
        <v>0</v>
      </c>
      <c r="CD62" t="n">
        <v>0</v>
      </c>
      <c r="CE62" t="n">
        <v>0</v>
      </c>
      <c r="CF62" t="n">
        <v>385893632.3669</v>
      </c>
      <c r="CG62" t="n">
        <v>0</v>
      </c>
      <c r="CH62" t="n">
        <v>0</v>
      </c>
      <c r="CI62" t="n">
        <v>0</v>
      </c>
      <c r="CJ62" t="n">
        <v>410078151.434212</v>
      </c>
      <c r="CK62" t="n">
        <v>0</v>
      </c>
      <c r="CL62" t="n">
        <v>0</v>
      </c>
      <c r="CM62" t="n">
        <v>0</v>
      </c>
      <c r="CN62" t="n">
        <v>41050221.5981523</v>
      </c>
    </row>
    <row r="63">
      <c r="A63" t="s">
        <v>174</v>
      </c>
      <c r="B63" t="n">
        <v>0</v>
      </c>
      <c r="C63" t="n">
        <v>0</v>
      </c>
      <c r="D63" t="n">
        <v>0</v>
      </c>
      <c r="E63" t="n">
        <v>14054341.9544601</v>
      </c>
      <c r="F63" t="n">
        <v>469652.895692336</v>
      </c>
      <c r="G63" t="n">
        <v>737586.975228266</v>
      </c>
      <c r="H63" t="n">
        <v>72520799.4575747</v>
      </c>
      <c r="I63" t="n">
        <v>820144.575590557</v>
      </c>
      <c r="J63" t="n">
        <v>6394726.9860789</v>
      </c>
      <c r="K63" t="n">
        <v>6809633.53110658</v>
      </c>
      <c r="L63" t="n">
        <v>95579093.991943</v>
      </c>
      <c r="M63" t="n">
        <v>107314632.882585</v>
      </c>
      <c r="N63" t="n">
        <v>24737119.6850675</v>
      </c>
      <c r="O63" t="n">
        <v>44213952.6191269</v>
      </c>
      <c r="P63" t="n">
        <v>18896092.9874701</v>
      </c>
      <c r="Q63" t="n">
        <v>206443534.273456</v>
      </c>
      <c r="R63" t="n">
        <v>2371000.04702121</v>
      </c>
      <c r="S63" t="n">
        <v>102981601.763496</v>
      </c>
      <c r="T63" t="n">
        <v>136067967.335835</v>
      </c>
      <c r="U63" t="n">
        <v>5572138.34078183</v>
      </c>
      <c r="V63" t="n">
        <v>1110379.51118151</v>
      </c>
      <c r="W63" t="n">
        <v>15532572.3965524</v>
      </c>
      <c r="X63" t="n">
        <v>4118368.38987935</v>
      </c>
      <c r="Y63" t="n">
        <v>4872121.55805413</v>
      </c>
      <c r="Z63" t="n">
        <v>221059951.286485</v>
      </c>
      <c r="AA63" t="n">
        <v>11636645.5820446</v>
      </c>
      <c r="AB63" t="n">
        <v>906054578.031344</v>
      </c>
      <c r="AC63" t="n">
        <v>18494482.1221355</v>
      </c>
      <c r="AD63" t="n">
        <v>68307644.830904</v>
      </c>
      <c r="AE63" t="n">
        <v>96861098.3982932</v>
      </c>
      <c r="AF63" t="n">
        <v>240707044.902785</v>
      </c>
      <c r="AG63" t="n">
        <v>16680530.9052795</v>
      </c>
      <c r="AH63" t="n">
        <v>37151.0007960467</v>
      </c>
      <c r="AI63" t="n">
        <v>16481816.4117282</v>
      </c>
      <c r="AJ63" t="n">
        <v>17178273.3562929</v>
      </c>
      <c r="AK63" t="n">
        <v>4793341.18682444</v>
      </c>
      <c r="AL63" t="n">
        <v>67813.6778463302</v>
      </c>
      <c r="AM63" t="n">
        <v>53232050.6449494</v>
      </c>
      <c r="AN63" t="n">
        <v>14143845.872712</v>
      </c>
      <c r="AO63" t="n">
        <v>26777874.7257373</v>
      </c>
      <c r="AP63" t="n">
        <v>8871950.43343185</v>
      </c>
      <c r="AQ63" t="n">
        <v>71676350.0767626</v>
      </c>
      <c r="AR63" t="n">
        <v>17305134.6045479</v>
      </c>
      <c r="AS63" t="n">
        <v>54367383.6156486</v>
      </c>
      <c r="AT63" t="n">
        <v>492503815.015455</v>
      </c>
      <c r="AU63" t="n">
        <v>170496351.425177</v>
      </c>
      <c r="AV63" t="n">
        <v>391262.182386707</v>
      </c>
      <c r="AW63" t="n">
        <v>260989.591006558</v>
      </c>
      <c r="AX63" t="n">
        <v>137446656.545933</v>
      </c>
      <c r="AY63" t="n">
        <v>256302145.8901</v>
      </c>
      <c r="AZ63" t="n">
        <v>39101447.8090107</v>
      </c>
      <c r="BA63" t="n">
        <v>40012106.0207422</v>
      </c>
      <c r="BB63" t="n">
        <v>179689650.397102</v>
      </c>
      <c r="BC63" t="n">
        <v>736149.853327465</v>
      </c>
      <c r="BD63" t="n">
        <v>191315751.810884</v>
      </c>
      <c r="BE63" t="n">
        <v>43284301.2831187</v>
      </c>
      <c r="BF63" t="n">
        <v>143093741.084405</v>
      </c>
      <c r="BG63" t="n">
        <v>525883480.480344</v>
      </c>
      <c r="BH63" t="n">
        <v>114235856.341303</v>
      </c>
      <c r="BI63" t="n">
        <v>111412253.632193</v>
      </c>
      <c r="BJ63" t="n">
        <v>28375953.2649248</v>
      </c>
      <c r="BK63" t="n">
        <v>28134076.6793457</v>
      </c>
      <c r="BL63" t="n">
        <v>30178493.6089696</v>
      </c>
      <c r="BM63" t="n">
        <v>140521259.38206</v>
      </c>
      <c r="BN63" t="n">
        <v>470882985.27593</v>
      </c>
      <c r="BO63" t="n">
        <v>104385035.457132</v>
      </c>
      <c r="BP63" t="n">
        <v>0</v>
      </c>
      <c r="BQ63" t="n">
        <v>0</v>
      </c>
      <c r="BR63" t="n">
        <v>1018575.61771297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75031229.196562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648993.543557678</v>
      </c>
      <c r="C64" t="n">
        <v>12230.3791321491</v>
      </c>
      <c r="D64" t="n">
        <v>0</v>
      </c>
      <c r="E64" t="n">
        <v>881932.221913559</v>
      </c>
      <c r="F64" t="n">
        <v>126953.010435137</v>
      </c>
      <c r="G64" t="n">
        <v>94514776.6248524</v>
      </c>
      <c r="H64" t="n">
        <v>37123728.9250125</v>
      </c>
      <c r="I64" t="n">
        <v>791312.380743825</v>
      </c>
      <c r="J64" t="n">
        <v>2250510.9434371</v>
      </c>
      <c r="K64" t="n">
        <v>16951622.4956977</v>
      </c>
      <c r="L64" t="n">
        <v>134916921.684581</v>
      </c>
      <c r="M64" t="n">
        <v>18963127.8786316</v>
      </c>
      <c r="N64" t="n">
        <v>9359607.75624987</v>
      </c>
      <c r="O64" t="n">
        <v>7187457.22560369</v>
      </c>
      <c r="P64" t="n">
        <v>5522600.81404838</v>
      </c>
      <c r="Q64" t="n">
        <v>227044562.07719</v>
      </c>
      <c r="R64" t="n">
        <v>1250802.85950609</v>
      </c>
      <c r="S64" t="n">
        <v>30139058.4712675</v>
      </c>
      <c r="T64" t="n">
        <v>13810807.1164307</v>
      </c>
      <c r="U64" t="n">
        <v>1089947.27558464</v>
      </c>
      <c r="V64" t="n">
        <v>797535.426650312</v>
      </c>
      <c r="W64" t="n">
        <v>6649288.90845031</v>
      </c>
      <c r="X64" t="n">
        <v>19172325.93521</v>
      </c>
      <c r="Y64" t="n">
        <v>1522543.93533125</v>
      </c>
      <c r="Z64" t="n">
        <v>40845168.3472468</v>
      </c>
      <c r="AA64" t="n">
        <v>8025767.86374443</v>
      </c>
      <c r="AB64" t="n">
        <v>462803608.818396</v>
      </c>
      <c r="AC64" t="n">
        <v>43897819.8094461</v>
      </c>
      <c r="AD64" t="n">
        <v>28703995.1296721</v>
      </c>
      <c r="AE64" t="n">
        <v>28322692.4784174</v>
      </c>
      <c r="AF64" t="n">
        <v>124696961.000963</v>
      </c>
      <c r="AG64" t="n">
        <v>8400801.1689399</v>
      </c>
      <c r="AH64" t="n">
        <v>1629924.73871883</v>
      </c>
      <c r="AI64" t="n">
        <v>42500375.8241884</v>
      </c>
      <c r="AJ64" t="n">
        <v>28385801.7135379</v>
      </c>
      <c r="AK64" t="n">
        <v>100122861.563854</v>
      </c>
      <c r="AL64" t="n">
        <v>38747649.8263454</v>
      </c>
      <c r="AM64" t="n">
        <v>51185318.1017122</v>
      </c>
      <c r="AN64" t="n">
        <v>34171239.3370036</v>
      </c>
      <c r="AO64" t="n">
        <v>86130930.7445054</v>
      </c>
      <c r="AP64" t="n">
        <v>19786726.8503105</v>
      </c>
      <c r="AQ64" t="n">
        <v>427814494.427081</v>
      </c>
      <c r="AR64" t="n">
        <v>75950256.9590358</v>
      </c>
      <c r="AS64" t="n">
        <v>126146061.394583</v>
      </c>
      <c r="AT64" t="n">
        <v>334479829.128107</v>
      </c>
      <c r="AU64" t="n">
        <v>237726551.095002</v>
      </c>
      <c r="AV64" t="n">
        <v>32203.5844385786</v>
      </c>
      <c r="AW64" t="n">
        <v>21870316.179958</v>
      </c>
      <c r="AX64" t="n">
        <v>602115315.457011</v>
      </c>
      <c r="AY64" t="n">
        <v>348231449.690646</v>
      </c>
      <c r="AZ64" t="n">
        <v>62124137.0508585</v>
      </c>
      <c r="BA64" t="n">
        <v>188058398.845449</v>
      </c>
      <c r="BB64" t="n">
        <v>424423315.10915</v>
      </c>
      <c r="BC64" t="n">
        <v>170364670.359231</v>
      </c>
      <c r="BD64" t="n">
        <v>565328701.392357</v>
      </c>
      <c r="BE64" t="n">
        <v>41231425.4196607</v>
      </c>
      <c r="BF64" t="n">
        <v>68902672.1959509</v>
      </c>
      <c r="BG64" t="n">
        <v>220952045.259529</v>
      </c>
      <c r="BH64" t="n">
        <v>295598035.941953</v>
      </c>
      <c r="BI64" t="n">
        <v>116787351.48541</v>
      </c>
      <c r="BJ64" t="n">
        <v>32615683.1041977</v>
      </c>
      <c r="BK64" t="n">
        <v>26541061.1808324</v>
      </c>
      <c r="BL64" t="n">
        <v>22548378.8866408</v>
      </c>
      <c r="BM64" t="n">
        <v>26702638.5272958</v>
      </c>
      <c r="BN64" t="n">
        <v>74040498.6508234</v>
      </c>
      <c r="BO64" t="n">
        <v>112508151.038097</v>
      </c>
      <c r="BP64" t="n">
        <v>36301300.7258674</v>
      </c>
      <c r="BQ64" t="n">
        <v>40172101.1052718</v>
      </c>
      <c r="BR64" t="n">
        <v>2366017.804333</v>
      </c>
      <c r="BS64" t="n">
        <v>304992005.011893</v>
      </c>
      <c r="BT64" t="n">
        <v>32655810.4907668</v>
      </c>
      <c r="BU64" t="n">
        <v>617241899.060523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34752565.0472787</v>
      </c>
      <c r="CB64" t="n">
        <v>-33036921.325386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25564.1792341181</v>
      </c>
      <c r="C65" t="n">
        <v>85.7295271240055</v>
      </c>
      <c r="D65" t="n">
        <v>0</v>
      </c>
      <c r="E65" t="n">
        <v>17003.0315571485</v>
      </c>
      <c r="F65" t="n">
        <v>896.595488410311</v>
      </c>
      <c r="G65" t="n">
        <v>521270.501019793</v>
      </c>
      <c r="H65" t="n">
        <v>925441.365135424</v>
      </c>
      <c r="I65" t="n">
        <v>15720.4814091077</v>
      </c>
      <c r="J65" t="n">
        <v>50318.2003007599</v>
      </c>
      <c r="K65" t="n">
        <v>130053.028434132</v>
      </c>
      <c r="L65" t="n">
        <v>530473.777230622</v>
      </c>
      <c r="M65" t="n">
        <v>163742.626332287</v>
      </c>
      <c r="N65" t="n">
        <v>38373.9790547986</v>
      </c>
      <c r="O65" t="n">
        <v>80227.1309188173</v>
      </c>
      <c r="P65" t="n">
        <v>30946.1237690498</v>
      </c>
      <c r="Q65" t="n">
        <v>788219.951448309</v>
      </c>
      <c r="R65" t="n">
        <v>32757.9637755563</v>
      </c>
      <c r="S65" t="n">
        <v>186250.776263797</v>
      </c>
      <c r="T65" t="n">
        <v>456813.402274916</v>
      </c>
      <c r="U65" t="n">
        <v>26298.9987169352</v>
      </c>
      <c r="V65" t="n">
        <v>274.031151245363</v>
      </c>
      <c r="W65" t="n">
        <v>138894.713985458</v>
      </c>
      <c r="X65" t="n">
        <v>54444.7669193056</v>
      </c>
      <c r="Y65" t="n">
        <v>33214.4280818238</v>
      </c>
      <c r="Z65" t="n">
        <v>1219152.68242816</v>
      </c>
      <c r="AA65" t="n">
        <v>125719.480913307</v>
      </c>
      <c r="AB65" t="n">
        <v>1546753.29464015</v>
      </c>
      <c r="AC65" t="n">
        <v>538725.620812224</v>
      </c>
      <c r="AD65" t="n">
        <v>365946.028597803</v>
      </c>
      <c r="AE65" t="n">
        <v>125759.318001911</v>
      </c>
      <c r="AF65" t="n">
        <v>706242.738551627</v>
      </c>
      <c r="AG65" t="n">
        <v>22976.2857791144</v>
      </c>
      <c r="AH65" t="n">
        <v>30145.4670157381</v>
      </c>
      <c r="AI65" t="n">
        <v>6972.35173662616</v>
      </c>
      <c r="AJ65" t="n">
        <v>245114.500647982</v>
      </c>
      <c r="AK65" t="n">
        <v>62006.0709913453</v>
      </c>
      <c r="AL65" t="n">
        <v>351760.859327218</v>
      </c>
      <c r="AM65" t="n">
        <v>140156.571808182</v>
      </c>
      <c r="AN65" t="n">
        <v>134913.676667462</v>
      </c>
      <c r="AO65" t="n">
        <v>23467.8518380457</v>
      </c>
      <c r="AP65" t="n">
        <v>55562.5510797487</v>
      </c>
      <c r="AQ65" t="n">
        <v>97915.6786925626</v>
      </c>
      <c r="AR65" t="n">
        <v>26443.9135098951</v>
      </c>
      <c r="AS65" t="n">
        <v>250723.286032372</v>
      </c>
      <c r="AT65" t="n">
        <v>314288.033311447</v>
      </c>
      <c r="AU65" t="n">
        <v>2883424.70638926</v>
      </c>
      <c r="AV65" t="n">
        <v>8989.1141121792</v>
      </c>
      <c r="AW65" t="n">
        <v>2131.96306382398</v>
      </c>
      <c r="AX65" t="n">
        <v>23507656.5512045</v>
      </c>
      <c r="AY65" t="n">
        <v>1206960.74826039</v>
      </c>
      <c r="AZ65" t="n">
        <v>199443.472250525</v>
      </c>
      <c r="BA65" t="n">
        <v>192766.550347383</v>
      </c>
      <c r="BB65" t="n">
        <v>1639281.89419333</v>
      </c>
      <c r="BC65" t="n">
        <v>677458.261617923</v>
      </c>
      <c r="BD65" t="n">
        <v>1619795.2128632</v>
      </c>
      <c r="BE65" t="n">
        <v>11456395.7338213</v>
      </c>
      <c r="BF65" t="n">
        <v>397930.160988893</v>
      </c>
      <c r="BG65" t="n">
        <v>1444552.50238805</v>
      </c>
      <c r="BH65" t="n">
        <v>1644668.57482379</v>
      </c>
      <c r="BI65" t="n">
        <v>1036671.61714829</v>
      </c>
      <c r="BJ65" t="n">
        <v>474179.344849986</v>
      </c>
      <c r="BK65" t="n">
        <v>67506.4722818784</v>
      </c>
      <c r="BL65" t="n">
        <v>421829.647325501</v>
      </c>
      <c r="BM65" t="n">
        <v>489114.471130008</v>
      </c>
      <c r="BN65" t="n">
        <v>1346259.3207206</v>
      </c>
      <c r="BO65" t="n">
        <v>1119504.31101315</v>
      </c>
      <c r="BP65" t="n">
        <v>66343.3741753519</v>
      </c>
      <c r="BQ65" t="n">
        <v>434889.696251468</v>
      </c>
      <c r="BR65" t="n">
        <v>95205.7958038815</v>
      </c>
      <c r="BS65" t="n">
        <v>18877292.4614014</v>
      </c>
      <c r="BT65" t="n">
        <v>2001402.54923748</v>
      </c>
      <c r="BU65" t="n">
        <v>28835829.5057582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3130157.06482785</v>
      </c>
      <c r="CB65" t="n">
        <v>-3444269.00071516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1372.49965747311</v>
      </c>
      <c r="C66" t="n">
        <v>0</v>
      </c>
      <c r="D66" t="n">
        <v>0</v>
      </c>
      <c r="E66" t="n">
        <v>0</v>
      </c>
      <c r="F66" t="n">
        <v>0</v>
      </c>
      <c r="G66" t="n">
        <v>462902.741922596</v>
      </c>
      <c r="H66" t="n">
        <v>9553.30559541469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65899.5517871213</v>
      </c>
      <c r="Y66" t="n">
        <v>1836.45542562</v>
      </c>
      <c r="Z66" t="n">
        <v>0</v>
      </c>
      <c r="AA66" t="n">
        <v>2023.56630540405</v>
      </c>
      <c r="AB66" t="n">
        <v>5190480.06420869</v>
      </c>
      <c r="AC66" t="n">
        <v>247875.885186249</v>
      </c>
      <c r="AD66" t="n">
        <v>2136457.42658331</v>
      </c>
      <c r="AE66" t="n">
        <v>0</v>
      </c>
      <c r="AF66" t="n">
        <v>8448148.80527871</v>
      </c>
      <c r="AG66" t="n">
        <v>127914.790141384</v>
      </c>
      <c r="AH66" t="n">
        <v>8635.41607130789</v>
      </c>
      <c r="AI66" t="n">
        <v>0</v>
      </c>
      <c r="AJ66" t="n">
        <v>0</v>
      </c>
      <c r="AK66" t="n">
        <v>0</v>
      </c>
      <c r="AL66" t="n">
        <v>59110.0486172176</v>
      </c>
      <c r="AM66" t="n">
        <v>75724.0606306482</v>
      </c>
      <c r="AN66" t="n">
        <v>0</v>
      </c>
      <c r="AO66" t="n">
        <v>0</v>
      </c>
      <c r="AP66" t="n">
        <v>0</v>
      </c>
      <c r="AQ66" t="n">
        <v>90853.555211373</v>
      </c>
      <c r="AR66" t="n">
        <v>178977.396544885</v>
      </c>
      <c r="AS66" t="n">
        <v>97723.9966998488</v>
      </c>
      <c r="AT66" t="n">
        <v>89430.1802073295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255028.778226602</v>
      </c>
      <c r="BB66" t="n">
        <v>129915.485726303</v>
      </c>
      <c r="BC66" t="n">
        <v>0</v>
      </c>
      <c r="BD66" t="n">
        <v>798018.84811382</v>
      </c>
      <c r="BE66" t="n">
        <v>0</v>
      </c>
      <c r="BF66" t="n">
        <v>15826621.9790591</v>
      </c>
      <c r="BG66" t="n">
        <v>0</v>
      </c>
      <c r="BH66" t="n">
        <v>18014.3131558811</v>
      </c>
      <c r="BI66" t="n">
        <v>0</v>
      </c>
      <c r="BJ66" t="n">
        <v>0</v>
      </c>
      <c r="BK66" t="n">
        <v>7353764.97221305</v>
      </c>
      <c r="BL66" t="n">
        <v>919129.347450367</v>
      </c>
      <c r="BM66" t="n">
        <v>0</v>
      </c>
      <c r="BN66" t="n">
        <v>0</v>
      </c>
      <c r="BO66" t="n">
        <v>6563536.36658283</v>
      </c>
      <c r="BP66" t="n">
        <v>0</v>
      </c>
      <c r="BQ66" t="n">
        <v>35414.0258068179</v>
      </c>
      <c r="BR66" t="n">
        <v>208302.163534563</v>
      </c>
      <c r="BS66" t="n">
        <v>33559143.0809606</v>
      </c>
      <c r="BT66" t="n">
        <v>16714.2420702038</v>
      </c>
      <c r="BU66" t="n">
        <v>1580230074.69247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52537612.8800172</v>
      </c>
      <c r="CB66" t="n">
        <v>-23772125.4536901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1086078.11365033</v>
      </c>
      <c r="BC67" t="n">
        <v>0</v>
      </c>
      <c r="BD67" t="n">
        <v>1048784.45807771</v>
      </c>
      <c r="BE67" t="n">
        <v>0</v>
      </c>
      <c r="BF67" t="n">
        <v>0</v>
      </c>
      <c r="BG67" t="n">
        <v>210896304.035106</v>
      </c>
      <c r="BH67" t="n">
        <v>165818266.498023</v>
      </c>
      <c r="BI67" t="n">
        <v>2009164.73317865</v>
      </c>
      <c r="BJ67" t="n">
        <v>15866.1438762729</v>
      </c>
      <c r="BK67" t="n">
        <v>1241988.76940267</v>
      </c>
      <c r="BL67" t="n">
        <v>37851.294419659</v>
      </c>
      <c r="BM67" t="n">
        <v>0</v>
      </c>
      <c r="BN67" t="n">
        <v>0</v>
      </c>
      <c r="BO67" t="n">
        <v>632953.518155793</v>
      </c>
      <c r="BP67" t="n">
        <v>0</v>
      </c>
      <c r="BQ67" t="n">
        <v>4009218.12612395</v>
      </c>
      <c r="BR67" t="n">
        <v>0</v>
      </c>
      <c r="BS67" t="n">
        <v>128304141.150744</v>
      </c>
      <c r="BT67" t="n">
        <v>0</v>
      </c>
      <c r="BU67" t="n">
        <v>16718878445.0281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14054107.5268177</v>
      </c>
      <c r="CB67" t="n">
        <v>-5929250.45300479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11951212.2551298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16625418307.7613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56759049.8364029</v>
      </c>
      <c r="CB68" t="n">
        <v>-80708311.234157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12617440.1853554</v>
      </c>
      <c r="BR69" t="n">
        <v>0</v>
      </c>
      <c r="BS69" t="n">
        <v>15369052.2020142</v>
      </c>
      <c r="BT69" t="n">
        <v>0</v>
      </c>
      <c r="BU69" t="n">
        <v>3749211138.2455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5775764.98358431</v>
      </c>
      <c r="CB69" t="n">
        <v>-1691378.30999841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3638525869.23065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136558.108303399</v>
      </c>
      <c r="C71" t="n">
        <v>0</v>
      </c>
      <c r="D71" t="n">
        <v>0</v>
      </c>
      <c r="E71" t="n">
        <v>0</v>
      </c>
      <c r="F71" t="n">
        <v>1889.68232637655</v>
      </c>
      <c r="G71" t="n">
        <v>1145624.74940581</v>
      </c>
      <c r="H71" t="n">
        <v>1038697.98855954</v>
      </c>
      <c r="I71" t="n">
        <v>37364.6883143095</v>
      </c>
      <c r="J71" t="n">
        <v>83737.7755904161</v>
      </c>
      <c r="K71" t="n">
        <v>254449.568906957</v>
      </c>
      <c r="L71" t="n">
        <v>1236215.17098689</v>
      </c>
      <c r="M71" t="n">
        <v>370645.816187932</v>
      </c>
      <c r="N71" t="n">
        <v>28563.6382154317</v>
      </c>
      <c r="O71" t="n">
        <v>76993.6108222832</v>
      </c>
      <c r="P71" t="n">
        <v>72064.4469884835</v>
      </c>
      <c r="Q71" t="n">
        <v>766087.403975908</v>
      </c>
      <c r="R71" t="n">
        <v>62482.365344405</v>
      </c>
      <c r="S71" t="n">
        <v>557260.763941516</v>
      </c>
      <c r="T71" t="n">
        <v>457885.172149129</v>
      </c>
      <c r="U71" t="n">
        <v>25724.3947946913</v>
      </c>
      <c r="V71" t="n">
        <v>2787.65629840717</v>
      </c>
      <c r="W71" t="n">
        <v>210183.324375831</v>
      </c>
      <c r="X71" t="n">
        <v>256260.887312789</v>
      </c>
      <c r="Y71" t="n">
        <v>34286.153969671</v>
      </c>
      <c r="Z71" t="n">
        <v>348491.537883792</v>
      </c>
      <c r="AA71" t="n">
        <v>446079.354780853</v>
      </c>
      <c r="AB71" t="n">
        <v>25451413.097182</v>
      </c>
      <c r="AC71" t="n">
        <v>3409646.6563653</v>
      </c>
      <c r="AD71" t="n">
        <v>4549286.30967776</v>
      </c>
      <c r="AE71" t="n">
        <v>511728.324780885</v>
      </c>
      <c r="AF71" t="n">
        <v>4514315.00153546</v>
      </c>
      <c r="AG71" t="n">
        <v>0</v>
      </c>
      <c r="AH71" t="n">
        <v>314895.51152446</v>
      </c>
      <c r="AI71" t="n">
        <v>0</v>
      </c>
      <c r="AJ71" t="n">
        <v>226206.052070347</v>
      </c>
      <c r="AK71" t="n">
        <v>315386.797364029</v>
      </c>
      <c r="AL71" t="n">
        <v>0</v>
      </c>
      <c r="AM71" t="n">
        <v>1919088.90582046</v>
      </c>
      <c r="AN71" t="n">
        <v>51101.7131873372</v>
      </c>
      <c r="AO71" t="n">
        <v>1013181.76981851</v>
      </c>
      <c r="AP71" t="n">
        <v>143187235.216286</v>
      </c>
      <c r="AQ71" t="n">
        <v>430561591.630395</v>
      </c>
      <c r="AR71" t="n">
        <v>1942398.85704469</v>
      </c>
      <c r="AS71" t="n">
        <v>18040139.4578059</v>
      </c>
      <c r="AT71" t="n">
        <v>21099628.1339799</v>
      </c>
      <c r="AU71" t="n">
        <v>5068427.61521859</v>
      </c>
      <c r="AV71" t="n">
        <v>84755.265072669</v>
      </c>
      <c r="AW71" t="n">
        <v>0</v>
      </c>
      <c r="AX71" t="n">
        <v>27391894.879725</v>
      </c>
      <c r="AY71" t="n">
        <v>4931757.10274347</v>
      </c>
      <c r="AZ71" t="n">
        <v>4164719.35092225</v>
      </c>
      <c r="BA71" t="n">
        <v>6830115.11935461</v>
      </c>
      <c r="BB71" t="n">
        <v>45343890.662722</v>
      </c>
      <c r="BC71" t="n">
        <v>46678543.6866965</v>
      </c>
      <c r="BD71" t="n">
        <v>16909459.092872</v>
      </c>
      <c r="BE71" t="n">
        <v>1037389.53049095</v>
      </c>
      <c r="BF71" t="n">
        <v>23894220.4727868</v>
      </c>
      <c r="BG71" t="n">
        <v>9524521.31932933</v>
      </c>
      <c r="BH71" t="n">
        <v>11918559.472018</v>
      </c>
      <c r="BI71" t="n">
        <v>3023009.7382236</v>
      </c>
      <c r="BJ71" t="n">
        <v>9061742.43454642</v>
      </c>
      <c r="BK71" t="n">
        <v>145850575.996716</v>
      </c>
      <c r="BL71" t="n">
        <v>5912155.07160223</v>
      </c>
      <c r="BM71" t="n">
        <v>1624408.83356205</v>
      </c>
      <c r="BN71" t="n">
        <v>25870020.9540608</v>
      </c>
      <c r="BO71" t="n">
        <v>11259968.7721261</v>
      </c>
      <c r="BP71" t="n">
        <v>0</v>
      </c>
      <c r="BQ71" t="n">
        <v>75520.0713803272</v>
      </c>
      <c r="BR71" t="n">
        <v>132220.43632631</v>
      </c>
      <c r="BS71" t="n">
        <v>13170531.3735644</v>
      </c>
      <c r="BT71" t="n">
        <v>149385.941085885</v>
      </c>
      <c r="BU71" t="n">
        <v>816702226.594172</v>
      </c>
      <c r="BV71" t="n">
        <v>0</v>
      </c>
      <c r="BW71" t="n">
        <v>0</v>
      </c>
      <c r="BX71" t="n">
        <v>38840676.0412976</v>
      </c>
      <c r="BY71" t="n">
        <v>0</v>
      </c>
      <c r="BZ71" t="n">
        <v>0</v>
      </c>
      <c r="CA71" t="n">
        <v>14223709.724025</v>
      </c>
      <c r="CB71" t="n">
        <v>-17306833.9502768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17088.7588659224</v>
      </c>
      <c r="C72" t="n">
        <v>0</v>
      </c>
      <c r="D72" t="n">
        <v>0</v>
      </c>
      <c r="E72" t="n">
        <v>0</v>
      </c>
      <c r="F72" t="n">
        <v>507.526098725219</v>
      </c>
      <c r="G72" t="n">
        <v>229884.108022389</v>
      </c>
      <c r="H72" t="n">
        <v>271877.889457044</v>
      </c>
      <c r="I72" t="n">
        <v>4461.59157568406</v>
      </c>
      <c r="J72" t="n">
        <v>15763.9459680375</v>
      </c>
      <c r="K72" t="n">
        <v>22016.6419982942</v>
      </c>
      <c r="L72" t="n">
        <v>165132.744058229</v>
      </c>
      <c r="M72" t="n">
        <v>43586.9992411596</v>
      </c>
      <c r="N72" t="n">
        <v>4737.06642786059</v>
      </c>
      <c r="O72" t="n">
        <v>7661.28977482198</v>
      </c>
      <c r="P72" t="n">
        <v>9435.27727999342</v>
      </c>
      <c r="Q72" t="n">
        <v>101639.907208195</v>
      </c>
      <c r="R72" t="n">
        <v>10362.2344245487</v>
      </c>
      <c r="S72" t="n">
        <v>73934.0342157154</v>
      </c>
      <c r="T72" t="n">
        <v>44952.4952620334</v>
      </c>
      <c r="U72" t="n">
        <v>0</v>
      </c>
      <c r="V72" t="n">
        <v>0</v>
      </c>
      <c r="W72" t="n">
        <v>18769.3354278787</v>
      </c>
      <c r="X72" t="n">
        <v>32902.4186961301</v>
      </c>
      <c r="Y72" t="n">
        <v>2177.6564675824</v>
      </c>
      <c r="Z72" t="n">
        <v>47680.6466474229</v>
      </c>
      <c r="AA72" t="n">
        <v>40792.0318937081</v>
      </c>
      <c r="AB72" t="n">
        <v>1855248.97214975</v>
      </c>
      <c r="AC72" t="n">
        <v>29392.9554185238</v>
      </c>
      <c r="AD72" t="n">
        <v>183923.422425547</v>
      </c>
      <c r="AE72" t="n">
        <v>7072.19393535111</v>
      </c>
      <c r="AF72" t="n">
        <v>1161532.28261574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14965.5134635482</v>
      </c>
      <c r="AN72" t="n">
        <v>3632.0734792778</v>
      </c>
      <c r="AO72" t="n">
        <v>74580.474767665</v>
      </c>
      <c r="AP72" t="n">
        <v>97813.9564616466</v>
      </c>
      <c r="AQ72" t="n">
        <v>251378.244822677</v>
      </c>
      <c r="AR72" t="n">
        <v>294445.489758938</v>
      </c>
      <c r="AS72" t="n">
        <v>1540896.88384136</v>
      </c>
      <c r="AT72" t="n">
        <v>2545096.92019084</v>
      </c>
      <c r="AU72" t="n">
        <v>371378.79806189</v>
      </c>
      <c r="AV72" t="n">
        <v>3591.79092754845</v>
      </c>
      <c r="AW72" t="n">
        <v>0</v>
      </c>
      <c r="AX72" t="n">
        <v>0</v>
      </c>
      <c r="AY72" t="n">
        <v>631611.785482466</v>
      </c>
      <c r="AZ72" t="n">
        <v>304733.666450893</v>
      </c>
      <c r="BA72" t="n">
        <v>957636.120735934</v>
      </c>
      <c r="BB72" t="n">
        <v>1765363.04760942</v>
      </c>
      <c r="BC72" t="n">
        <v>4751306.33108183</v>
      </c>
      <c r="BD72" t="n">
        <v>1874160.52302823</v>
      </c>
      <c r="BE72" t="n">
        <v>134444.189336685</v>
      </c>
      <c r="BF72" t="n">
        <v>422695.14295849</v>
      </c>
      <c r="BG72" t="n">
        <v>1448953.78268671</v>
      </c>
      <c r="BH72" t="n">
        <v>59811.5031902844</v>
      </c>
      <c r="BI72" t="n">
        <v>211228.289754595</v>
      </c>
      <c r="BJ72" t="n">
        <v>333379.049035357</v>
      </c>
      <c r="BK72" t="n">
        <v>480751.4377329</v>
      </c>
      <c r="BL72" t="n">
        <v>1056232.60194575</v>
      </c>
      <c r="BM72" t="n">
        <v>1006344.91474126</v>
      </c>
      <c r="BN72" t="n">
        <v>3244635.19820482</v>
      </c>
      <c r="BO72" t="n">
        <v>171273.735522394</v>
      </c>
      <c r="BP72" t="n">
        <v>16905.1862745912</v>
      </c>
      <c r="BQ72" t="n">
        <v>4420.39085704067</v>
      </c>
      <c r="BR72" t="n">
        <v>2024.6172274037</v>
      </c>
      <c r="BS72" t="n">
        <v>2891662.13565147</v>
      </c>
      <c r="BT72" t="n">
        <v>260132.717346382</v>
      </c>
      <c r="BU72" t="n">
        <v>970807270.126706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219433.879538636</v>
      </c>
      <c r="CB72" t="n">
        <v>-355733.300826578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1953.90509690315</v>
      </c>
      <c r="C73" t="n">
        <v>0</v>
      </c>
      <c r="D73" t="n">
        <v>0</v>
      </c>
      <c r="E73" t="n">
        <v>19783.8018241671</v>
      </c>
      <c r="F73" t="n">
        <v>18494.4492772115</v>
      </c>
      <c r="G73" t="n">
        <v>12357531.7737848</v>
      </c>
      <c r="H73" t="n">
        <v>2699637.19124694</v>
      </c>
      <c r="I73" t="n">
        <v>164262.575267949</v>
      </c>
      <c r="J73" t="n">
        <v>494766.436349761</v>
      </c>
      <c r="K73" t="n">
        <v>892086.774853842</v>
      </c>
      <c r="L73" t="n">
        <v>6423333.20393913</v>
      </c>
      <c r="M73" t="n">
        <v>1875779.47104627</v>
      </c>
      <c r="N73" t="n">
        <v>227484.446960843</v>
      </c>
      <c r="O73" t="n">
        <v>459890.180445298</v>
      </c>
      <c r="P73" t="n">
        <v>473492.596240152</v>
      </c>
      <c r="Q73" t="n">
        <v>3782754.85159466</v>
      </c>
      <c r="R73" t="n">
        <v>383165.477305115</v>
      </c>
      <c r="S73" t="n">
        <v>3284190.73400799</v>
      </c>
      <c r="T73" t="n">
        <v>1771130.50798034</v>
      </c>
      <c r="U73" t="n">
        <v>104484.899170047</v>
      </c>
      <c r="V73" t="n">
        <v>6660.3747734502</v>
      </c>
      <c r="W73" t="n">
        <v>759705.204912627</v>
      </c>
      <c r="X73" t="n">
        <v>1718301.32430846</v>
      </c>
      <c r="Y73" t="n">
        <v>84532.1844930202</v>
      </c>
      <c r="Z73" t="n">
        <v>2123204.6558147</v>
      </c>
      <c r="AA73" t="n">
        <v>1711177.67420497</v>
      </c>
      <c r="AB73" t="n">
        <v>31816366.6860414</v>
      </c>
      <c r="AC73" t="n">
        <v>373043.24380753</v>
      </c>
      <c r="AD73" t="n">
        <v>826257.811292031</v>
      </c>
      <c r="AE73" t="n">
        <v>416037.506458287</v>
      </c>
      <c r="AF73" t="n">
        <v>2278683.59366198</v>
      </c>
      <c r="AG73" t="n">
        <v>0</v>
      </c>
      <c r="AH73" t="n">
        <v>39339.1042598514</v>
      </c>
      <c r="AI73" t="n">
        <v>0</v>
      </c>
      <c r="AJ73" t="n">
        <v>0</v>
      </c>
      <c r="AK73" t="n">
        <v>0</v>
      </c>
      <c r="AL73" t="n">
        <v>218789.202657018</v>
      </c>
      <c r="AM73" t="n">
        <v>2817214.55544147</v>
      </c>
      <c r="AN73" t="n">
        <v>130815.174222891</v>
      </c>
      <c r="AO73" t="n">
        <v>3283059.98140144</v>
      </c>
      <c r="AP73" t="n">
        <v>5152288.80276213</v>
      </c>
      <c r="AQ73" t="n">
        <v>11278455.5542666</v>
      </c>
      <c r="AR73" t="n">
        <v>12983023.0897985</v>
      </c>
      <c r="AS73" t="n">
        <v>67575166.9400921</v>
      </c>
      <c r="AT73" t="n">
        <v>112863643.675059</v>
      </c>
      <c r="AU73" t="n">
        <v>16022225.7496681</v>
      </c>
      <c r="AV73" t="n">
        <v>161944.977384462</v>
      </c>
      <c r="AW73" t="n">
        <v>64772.1661556037</v>
      </c>
      <c r="AX73" t="n">
        <v>87302541.2996973</v>
      </c>
      <c r="AY73" t="n">
        <v>30515847.928769</v>
      </c>
      <c r="AZ73" t="n">
        <v>10490739.5909598</v>
      </c>
      <c r="BA73" t="n">
        <v>42884499.7130009</v>
      </c>
      <c r="BB73" t="n">
        <v>74499483.231902</v>
      </c>
      <c r="BC73" t="n">
        <v>12924122.5495703</v>
      </c>
      <c r="BD73" t="n">
        <v>54115742.5237537</v>
      </c>
      <c r="BE73" t="n">
        <v>6871356.86202817</v>
      </c>
      <c r="BF73" t="n">
        <v>14985260.4831027</v>
      </c>
      <c r="BG73" t="n">
        <v>41904305.599681</v>
      </c>
      <c r="BH73" t="n">
        <v>2841506.73377038</v>
      </c>
      <c r="BI73" t="n">
        <v>5369139.63983725</v>
      </c>
      <c r="BJ73" t="n">
        <v>5222179.73033453</v>
      </c>
      <c r="BK73" t="n">
        <v>1030917.82936823</v>
      </c>
      <c r="BL73" t="n">
        <v>2586652.28044559</v>
      </c>
      <c r="BM73" t="n">
        <v>3853832.05475127</v>
      </c>
      <c r="BN73" t="n">
        <v>24669053.465269</v>
      </c>
      <c r="BO73" t="n">
        <v>6321731.01074634</v>
      </c>
      <c r="BP73" t="n">
        <v>20065597.4689602</v>
      </c>
      <c r="BQ73" t="n">
        <v>5503280.78366111</v>
      </c>
      <c r="BR73" t="n">
        <v>252789.197063776</v>
      </c>
      <c r="BS73" t="n">
        <v>35245490.5093252</v>
      </c>
      <c r="BT73" t="n">
        <v>1064807.12478331</v>
      </c>
      <c r="BU73" t="n">
        <v>1752465170.07054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958864.878527451</v>
      </c>
      <c r="C74" t="n">
        <v>5203.79945386213</v>
      </c>
      <c r="D74" t="n">
        <v>0</v>
      </c>
      <c r="E74" t="n">
        <v>90582.1404457274</v>
      </c>
      <c r="F74" t="n">
        <v>45114.2383148636</v>
      </c>
      <c r="G74" t="n">
        <v>30074208.3711311</v>
      </c>
      <c r="H74" t="n">
        <v>4092826.44898679</v>
      </c>
      <c r="I74" t="n">
        <v>289838.149080919</v>
      </c>
      <c r="J74" t="n">
        <v>773118.416089592</v>
      </c>
      <c r="K74" t="n">
        <v>1650306.93062222</v>
      </c>
      <c r="L74" t="n">
        <v>9407201.20397728</v>
      </c>
      <c r="M74" t="n">
        <v>3035947.07136144</v>
      </c>
      <c r="N74" t="n">
        <v>298265.075489276</v>
      </c>
      <c r="O74" t="n">
        <v>1079626.11528507</v>
      </c>
      <c r="P74" t="n">
        <v>676123.767430934</v>
      </c>
      <c r="Q74" t="n">
        <v>6323477.75579842</v>
      </c>
      <c r="R74" t="n">
        <v>546814.113223007</v>
      </c>
      <c r="S74" t="n">
        <v>4655189.16240666</v>
      </c>
      <c r="T74" t="n">
        <v>3338883.45127678</v>
      </c>
      <c r="U74" t="n">
        <v>268617.341302458</v>
      </c>
      <c r="V74" t="n">
        <v>24950.6185855164</v>
      </c>
      <c r="W74" t="n">
        <v>1406897.76134804</v>
      </c>
      <c r="X74" t="n">
        <v>1936025.72753563</v>
      </c>
      <c r="Y74" t="n">
        <v>227435.387679311</v>
      </c>
      <c r="Z74" t="n">
        <v>3145128.9179295</v>
      </c>
      <c r="AA74" t="n">
        <v>2590016.62718521</v>
      </c>
      <c r="AB74" t="n">
        <v>95423956.9645709</v>
      </c>
      <c r="AC74" t="n">
        <v>10046660.8428945</v>
      </c>
      <c r="AD74" t="n">
        <v>13857549.4717803</v>
      </c>
      <c r="AE74" t="n">
        <v>10337188.0238963</v>
      </c>
      <c r="AF74" t="n">
        <v>38539425.9432172</v>
      </c>
      <c r="AG74" t="n">
        <v>24603712.2887097</v>
      </c>
      <c r="AH74" t="n">
        <v>9210.58329363877</v>
      </c>
      <c r="AI74" t="n">
        <v>201030.994265094</v>
      </c>
      <c r="AJ74" t="n">
        <v>4933764.75357073</v>
      </c>
      <c r="AK74" t="n">
        <v>3293308.30388693</v>
      </c>
      <c r="AL74" t="n">
        <v>1429067.82492482</v>
      </c>
      <c r="AM74" t="n">
        <v>13443336.365467</v>
      </c>
      <c r="AN74" t="n">
        <v>2962082.5950661</v>
      </c>
      <c r="AO74" t="n">
        <v>3569540.2541891</v>
      </c>
      <c r="AP74" t="n">
        <v>8651600.88090797</v>
      </c>
      <c r="AQ74" t="n">
        <v>12877586.1347093</v>
      </c>
      <c r="AR74" t="n">
        <v>14016406.4630102</v>
      </c>
      <c r="AS74" t="n">
        <v>120196570.952953</v>
      </c>
      <c r="AT74" t="n">
        <v>139344118.553561</v>
      </c>
      <c r="AU74" t="n">
        <v>113289780.597627</v>
      </c>
      <c r="AV74" t="n">
        <v>470256.41025641</v>
      </c>
      <c r="AW74" t="n">
        <v>64705.2923267255</v>
      </c>
      <c r="AX74" t="n">
        <v>303634552.386711</v>
      </c>
      <c r="AY74" t="n">
        <v>88852950.9665856</v>
      </c>
      <c r="AZ74" t="n">
        <v>23538678.4356572</v>
      </c>
      <c r="BA74" t="n">
        <v>69558154.0463177</v>
      </c>
      <c r="BB74" t="n">
        <v>226890456.50109</v>
      </c>
      <c r="BC74" t="n">
        <v>78444812.1464957</v>
      </c>
      <c r="BD74" t="n">
        <v>129232324.907975</v>
      </c>
      <c r="BE74" t="n">
        <v>7745329.80708977</v>
      </c>
      <c r="BF74" t="n">
        <v>39014888.3191073</v>
      </c>
      <c r="BG74" t="n">
        <v>335084798.755248</v>
      </c>
      <c r="BH74" t="n">
        <v>251795261.842536</v>
      </c>
      <c r="BI74" t="n">
        <v>165231960.556845</v>
      </c>
      <c r="BJ74" t="n">
        <v>58450874.0401895</v>
      </c>
      <c r="BK74" t="n">
        <v>4904495.79742223</v>
      </c>
      <c r="BL74" t="n">
        <v>17487298.0218825</v>
      </c>
      <c r="BM74" t="n">
        <v>74287464.3976989</v>
      </c>
      <c r="BN74" t="n">
        <v>76993338.8006904</v>
      </c>
      <c r="BO74" t="n">
        <v>21006891.291246</v>
      </c>
      <c r="BP74" t="n">
        <v>8954641.62641265</v>
      </c>
      <c r="BQ74" t="n">
        <v>2180219.44379303</v>
      </c>
      <c r="BR74" t="n">
        <v>1839328.03608762</v>
      </c>
      <c r="BS74" t="n">
        <v>150459528.09131</v>
      </c>
      <c r="BT74" t="n">
        <v>4442019.86856771</v>
      </c>
      <c r="BU74" t="n">
        <v>8787837704.1438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33788303.3000881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863564.781983483</v>
      </c>
      <c r="C75" t="n">
        <v>29321.6583325132</v>
      </c>
      <c r="D75" t="n">
        <v>0</v>
      </c>
      <c r="E75" t="n">
        <v>340004.436195683</v>
      </c>
      <c r="F75" t="n">
        <v>50494.8363733719</v>
      </c>
      <c r="G75" t="n">
        <v>13981829.9034754</v>
      </c>
      <c r="H75" t="n">
        <v>48931865.796224</v>
      </c>
      <c r="I75" t="n">
        <v>737006.954728223</v>
      </c>
      <c r="J75" t="n">
        <v>3094404.47981356</v>
      </c>
      <c r="K75" t="n">
        <v>8651443.4250646</v>
      </c>
      <c r="L75" t="n">
        <v>37590122.4328339</v>
      </c>
      <c r="M75" t="n">
        <v>9230902.05434408</v>
      </c>
      <c r="N75" t="n">
        <v>3663580.96087532</v>
      </c>
      <c r="O75" t="n">
        <v>3489884.99983435</v>
      </c>
      <c r="P75" t="n">
        <v>2283594.45988278</v>
      </c>
      <c r="Q75" t="n">
        <v>32752868.1326065</v>
      </c>
      <c r="R75" t="n">
        <v>861051.912859338</v>
      </c>
      <c r="S75" t="n">
        <v>11264741.1716976</v>
      </c>
      <c r="T75" t="n">
        <v>11961872.9127135</v>
      </c>
      <c r="U75" t="n">
        <v>871302.810945194</v>
      </c>
      <c r="V75" t="n">
        <v>31241.8527541831</v>
      </c>
      <c r="W75" t="n">
        <v>8603530.8424929</v>
      </c>
      <c r="X75" t="n">
        <v>3942524.95247572</v>
      </c>
      <c r="Y75" t="n">
        <v>1207260.35482857</v>
      </c>
      <c r="Z75" t="n">
        <v>26026606.0576861</v>
      </c>
      <c r="AA75" t="n">
        <v>6137834.18962888</v>
      </c>
      <c r="AB75" t="n">
        <v>198647639.83885</v>
      </c>
      <c r="AC75" t="n">
        <v>23942235.7158357</v>
      </c>
      <c r="AD75" t="n">
        <v>36014806.0732274</v>
      </c>
      <c r="AE75" t="n">
        <v>20723270.7546009</v>
      </c>
      <c r="AF75" t="n">
        <v>63627230.6475389</v>
      </c>
      <c r="AG75" t="n">
        <v>1326195.67571708</v>
      </c>
      <c r="AH75" t="n">
        <v>315742.859337573</v>
      </c>
      <c r="AI75" t="n">
        <v>3983365.58037942</v>
      </c>
      <c r="AJ75" t="n">
        <v>31455357.4571765</v>
      </c>
      <c r="AK75" t="n">
        <v>38531573.825548</v>
      </c>
      <c r="AL75" t="n">
        <v>13936224.0165465</v>
      </c>
      <c r="AM75" t="n">
        <v>19514167.5276128</v>
      </c>
      <c r="AN75" t="n">
        <v>8437593.96401</v>
      </c>
      <c r="AO75" t="n">
        <v>8789536.21297637</v>
      </c>
      <c r="AP75" t="n">
        <v>5049159.38389271</v>
      </c>
      <c r="AQ75" t="n">
        <v>70036548.1159617</v>
      </c>
      <c r="AR75" t="n">
        <v>11170721.3396552</v>
      </c>
      <c r="AS75" t="n">
        <v>47772229.3513137</v>
      </c>
      <c r="AT75" t="n">
        <v>145412657.136938</v>
      </c>
      <c r="AU75" t="n">
        <v>195450855.01872</v>
      </c>
      <c r="AV75" t="n">
        <v>75247.7577419397</v>
      </c>
      <c r="AW75" t="n">
        <v>265571908.693721</v>
      </c>
      <c r="AX75" t="n">
        <v>42610513.1872464</v>
      </c>
      <c r="AY75" t="n">
        <v>181377037.522073</v>
      </c>
      <c r="AZ75" t="n">
        <v>9924050.54407429</v>
      </c>
      <c r="BA75" t="n">
        <v>23154135.4176374</v>
      </c>
      <c r="BB75" t="n">
        <v>100696720.877789</v>
      </c>
      <c r="BC75" t="n">
        <v>106308943.768917</v>
      </c>
      <c r="BD75" t="n">
        <v>151168532.340679</v>
      </c>
      <c r="BE75" t="n">
        <v>57926550.2668946</v>
      </c>
      <c r="BF75" t="n">
        <v>56540937.2518516</v>
      </c>
      <c r="BG75" t="n">
        <v>66814646.8597473</v>
      </c>
      <c r="BH75" t="n">
        <v>132042801.79257</v>
      </c>
      <c r="BI75" t="n">
        <v>28482446.447634</v>
      </c>
      <c r="BJ75" t="n">
        <v>11408622.167532</v>
      </c>
      <c r="BK75" t="n">
        <v>6520166.67804349</v>
      </c>
      <c r="BL75" t="n">
        <v>16771175.6199836</v>
      </c>
      <c r="BM75" t="n">
        <v>15344759.0301592</v>
      </c>
      <c r="BN75" t="n">
        <v>100211023.153885</v>
      </c>
      <c r="BO75" t="n">
        <v>67438512.1352827</v>
      </c>
      <c r="BP75" t="n">
        <v>32340043.4911928</v>
      </c>
      <c r="BQ75" t="n">
        <v>55141242.0982628</v>
      </c>
      <c r="BR75" t="n">
        <v>3637196.70057734</v>
      </c>
      <c r="BS75" t="n">
        <v>276510832.311648</v>
      </c>
      <c r="BT75" t="n">
        <v>21868906.5442474</v>
      </c>
      <c r="BU75" t="n">
        <v>8126453537.02476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942473.872592667</v>
      </c>
      <c r="CB75" t="n">
        <v>-63997003.3461111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8176529474.33557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1466000676.50271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5646.47444389457</v>
      </c>
      <c r="C78" t="n">
        <v>250.894891995805</v>
      </c>
      <c r="D78" t="n">
        <v>0</v>
      </c>
      <c r="E78" t="n">
        <v>1588.11209493985</v>
      </c>
      <c r="F78" t="n">
        <v>0</v>
      </c>
      <c r="G78" t="n">
        <v>765512.091264678</v>
      </c>
      <c r="H78" t="n">
        <v>13100.7915874546</v>
      </c>
      <c r="I78" t="n">
        <v>0</v>
      </c>
      <c r="J78" t="n">
        <v>0</v>
      </c>
      <c r="K78" t="n">
        <v>54105.9347687852</v>
      </c>
      <c r="L78" t="n">
        <v>582462.441994063</v>
      </c>
      <c r="M78" t="n">
        <v>527695.123568535</v>
      </c>
      <c r="N78" t="n">
        <v>89022.0784455608</v>
      </c>
      <c r="O78" t="n">
        <v>652035.196035698</v>
      </c>
      <c r="P78" t="n">
        <v>0</v>
      </c>
      <c r="Q78" t="n">
        <v>0</v>
      </c>
      <c r="R78" t="n">
        <v>0</v>
      </c>
      <c r="S78" t="n">
        <v>96190.418927344</v>
      </c>
      <c r="T78" t="n">
        <v>0</v>
      </c>
      <c r="U78" t="n">
        <v>2960.24228041463</v>
      </c>
      <c r="V78" t="n">
        <v>0</v>
      </c>
      <c r="W78" t="n">
        <v>0</v>
      </c>
      <c r="X78" t="n">
        <v>114152.116696152</v>
      </c>
      <c r="Y78" t="n">
        <v>11332.7882141763</v>
      </c>
      <c r="Z78" t="n">
        <v>152891.795355317</v>
      </c>
      <c r="AA78" t="n">
        <v>0</v>
      </c>
      <c r="AB78" t="n">
        <v>43797171.7757733</v>
      </c>
      <c r="AC78" t="n">
        <v>1951039.69016101</v>
      </c>
      <c r="AD78" t="n">
        <v>2073401.84678444</v>
      </c>
      <c r="AE78" t="n">
        <v>662860.737241065</v>
      </c>
      <c r="AF78" t="n">
        <v>9231257.58826854</v>
      </c>
      <c r="AG78" t="n">
        <v>1754.1415270957</v>
      </c>
      <c r="AH78" t="n">
        <v>0</v>
      </c>
      <c r="AI78" t="n">
        <v>5725773.5653609</v>
      </c>
      <c r="AJ78" t="n">
        <v>3287950.44079669</v>
      </c>
      <c r="AK78" t="n">
        <v>1412648.3037209</v>
      </c>
      <c r="AL78" t="n">
        <v>588433.853964503</v>
      </c>
      <c r="AM78" t="n">
        <v>1603927.99324278</v>
      </c>
      <c r="AN78" t="n">
        <v>1311299.45129275</v>
      </c>
      <c r="AO78" t="n">
        <v>650662.571269126</v>
      </c>
      <c r="AP78" t="n">
        <v>1290918.87687572</v>
      </c>
      <c r="AQ78" t="n">
        <v>623723.041217529</v>
      </c>
      <c r="AR78" t="n">
        <v>1634166.31841287</v>
      </c>
      <c r="AS78" t="n">
        <v>3439250.55429812</v>
      </c>
      <c r="AT78" t="n">
        <v>23490448.2069075</v>
      </c>
      <c r="AU78" t="n">
        <v>602669.979932497</v>
      </c>
      <c r="AV78" t="n">
        <v>0</v>
      </c>
      <c r="AW78" t="n">
        <v>0</v>
      </c>
      <c r="AX78" t="n">
        <v>881252.886680706</v>
      </c>
      <c r="AY78" t="n">
        <v>7551730.08525491</v>
      </c>
      <c r="AZ78" t="n">
        <v>630351.184053301</v>
      </c>
      <c r="BA78" t="n">
        <v>966692.562228141</v>
      </c>
      <c r="BB78" t="n">
        <v>5743583.23233869</v>
      </c>
      <c r="BC78" t="n">
        <v>759961.174815496</v>
      </c>
      <c r="BD78" t="n">
        <v>2535193.94108392</v>
      </c>
      <c r="BE78" t="n">
        <v>383663.559698263</v>
      </c>
      <c r="BF78" t="n">
        <v>2570554.64601849</v>
      </c>
      <c r="BG78" t="n">
        <v>2939742.3727451</v>
      </c>
      <c r="BH78" t="n">
        <v>8184878.27538395</v>
      </c>
      <c r="BI78" t="n">
        <v>1137943.23039315</v>
      </c>
      <c r="BJ78" t="n">
        <v>1625923.3545226</v>
      </c>
      <c r="BK78" t="n">
        <v>273066.451382108</v>
      </c>
      <c r="BL78" t="n">
        <v>199528.341751251</v>
      </c>
      <c r="BM78" t="n">
        <v>1293304.63953622</v>
      </c>
      <c r="BN78" t="n">
        <v>14509292.6141767</v>
      </c>
      <c r="BO78" t="n">
        <v>1219233.60771626</v>
      </c>
      <c r="BP78" t="n">
        <v>1629.19700879544</v>
      </c>
      <c r="BQ78" t="n">
        <v>127801.387899907</v>
      </c>
      <c r="BR78" t="n">
        <v>95997.8870634139</v>
      </c>
      <c r="BS78" t="n">
        <v>5300790.19952825</v>
      </c>
      <c r="BT78" t="n">
        <v>147552.916179464</v>
      </c>
      <c r="BU78" t="n">
        <v>19072044.7302212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5149886.62195013</v>
      </c>
      <c r="CB78" t="n">
        <v>-3402938.28331737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20630681700.014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8679039.5533152</v>
      </c>
      <c r="H80" t="n">
        <v>0</v>
      </c>
      <c r="I80" t="n">
        <v>149378.122987858</v>
      </c>
      <c r="J80" t="n">
        <v>587434.953709995</v>
      </c>
      <c r="K80" t="n">
        <v>1567791.58409111</v>
      </c>
      <c r="L80" t="n">
        <v>6585040.8427841</v>
      </c>
      <c r="M80" t="n">
        <v>2312145.12057328</v>
      </c>
      <c r="N80" t="n">
        <v>447397.613233913</v>
      </c>
      <c r="O80" t="n">
        <v>1010713.81005411</v>
      </c>
      <c r="P80" t="n">
        <v>435661.339683531</v>
      </c>
      <c r="Q80" t="n">
        <v>12037463.6797127</v>
      </c>
      <c r="R80" t="n">
        <v>292048.446835015</v>
      </c>
      <c r="S80" t="n">
        <v>2576979.71490369</v>
      </c>
      <c r="T80" t="n">
        <v>6236666.7034858</v>
      </c>
      <c r="U80" t="n">
        <v>414438.183723792</v>
      </c>
      <c r="V80" t="n">
        <v>8316.8728618388</v>
      </c>
      <c r="W80" t="n">
        <v>1808868.55030462</v>
      </c>
      <c r="X80" t="n">
        <v>641231.451158299</v>
      </c>
      <c r="Y80" t="n">
        <v>440724.07660345</v>
      </c>
      <c r="Z80" t="n">
        <v>17363191.0510488</v>
      </c>
      <c r="AA80" t="n">
        <v>1402925.67305866</v>
      </c>
      <c r="AB80" t="n">
        <v>17031800.0111043</v>
      </c>
      <c r="AC80" t="n">
        <v>5854257.25807761</v>
      </c>
      <c r="AD80" t="n">
        <v>5265513.02136967</v>
      </c>
      <c r="AE80" t="n">
        <v>1653950.08382341</v>
      </c>
      <c r="AF80" t="n">
        <v>8865825.75147556</v>
      </c>
      <c r="AG80" t="n">
        <v>24255.0460024249</v>
      </c>
      <c r="AH80" t="n">
        <v>0</v>
      </c>
      <c r="AI80" t="n">
        <v>0</v>
      </c>
      <c r="AJ80" t="n">
        <v>2131999.89869326</v>
      </c>
      <c r="AK80" t="n">
        <v>139399.293286219</v>
      </c>
      <c r="AL80" t="n">
        <v>2563915.8035416</v>
      </c>
      <c r="AM80" t="n">
        <v>888444.793178394</v>
      </c>
      <c r="AN80" t="n">
        <v>1807741.58375358</v>
      </c>
      <c r="AO80" t="n">
        <v>455509.777216707</v>
      </c>
      <c r="AP80" t="n">
        <v>1301406.06471285</v>
      </c>
      <c r="AQ80" t="n">
        <v>1636616.2980567</v>
      </c>
      <c r="AR80" t="n">
        <v>579000.839576292</v>
      </c>
      <c r="AS80" t="n">
        <v>5117744.6226062</v>
      </c>
      <c r="AT80" t="n">
        <v>8783528.29444862</v>
      </c>
      <c r="AU80" t="n">
        <v>2658035.43570844</v>
      </c>
      <c r="AV80" t="n">
        <v>0</v>
      </c>
      <c r="AW80" t="n">
        <v>0</v>
      </c>
      <c r="AX80" t="n">
        <v>23840100.6623481</v>
      </c>
      <c r="AY80" t="n">
        <v>34266734.2581389</v>
      </c>
      <c r="AZ80" t="n">
        <v>5322185.42019225</v>
      </c>
      <c r="BA80" t="n">
        <v>2461089.24931106</v>
      </c>
      <c r="BB80" t="n">
        <v>15105224.3392747</v>
      </c>
      <c r="BC80" t="n">
        <v>8719845.55527612</v>
      </c>
      <c r="BD80" t="n">
        <v>15367452.2699386</v>
      </c>
      <c r="BE80" t="n">
        <v>13676697.6147496</v>
      </c>
      <c r="BF80" t="n">
        <v>3131131.16446339</v>
      </c>
      <c r="BG80" t="n">
        <v>10293698.7602256</v>
      </c>
      <c r="BH80" t="n">
        <v>11835927.2494533</v>
      </c>
      <c r="BI80" t="n">
        <v>11880278.4222738</v>
      </c>
      <c r="BJ80" t="n">
        <v>3792008.38642923</v>
      </c>
      <c r="BK80" t="n">
        <v>1051610.9288373</v>
      </c>
      <c r="BL80" t="n">
        <v>3305679.71265022</v>
      </c>
      <c r="BM80" t="n">
        <v>6855200.37359964</v>
      </c>
      <c r="BN80" t="n">
        <v>18396954.6005361</v>
      </c>
      <c r="BO80" t="n">
        <v>16182113.5302094</v>
      </c>
      <c r="BP80" t="n">
        <v>11742407.4157675</v>
      </c>
      <c r="BQ80" t="n">
        <v>5679173.44477393</v>
      </c>
      <c r="BR80" t="n">
        <v>1469034.27304688</v>
      </c>
      <c r="BS80" t="n">
        <v>84242864.8702938</v>
      </c>
      <c r="BT80" t="n">
        <v>14707691.2036188</v>
      </c>
      <c r="BU80" t="n">
        <v>1484178748.99477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-43917.4753524023</v>
      </c>
      <c r="C81" t="n">
        <v>161317.783069726</v>
      </c>
      <c r="D81" t="n">
        <v>0</v>
      </c>
      <c r="E81" t="n">
        <v>0</v>
      </c>
      <c r="F81" t="n">
        <v>101686.060963661</v>
      </c>
      <c r="G81" t="n">
        <v>68419527.370057</v>
      </c>
      <c r="H81" t="n">
        <v>24030495.5407316</v>
      </c>
      <c r="I81" t="n">
        <v>0</v>
      </c>
      <c r="J81" t="n">
        <v>259956.847331435</v>
      </c>
      <c r="K81" t="n">
        <v>210257354.495924</v>
      </c>
      <c r="L81" t="n">
        <v>14160313.39125</v>
      </c>
      <c r="M81" t="n">
        <v>70369.6341044042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2604689.17420373</v>
      </c>
      <c r="T81" t="n">
        <v>6126.39165371886</v>
      </c>
      <c r="U81" t="n">
        <v>153495.623601404</v>
      </c>
      <c r="V81" t="n">
        <v>0</v>
      </c>
      <c r="W81" t="n">
        <v>14044859.366143</v>
      </c>
      <c r="X81" t="n">
        <v>0</v>
      </c>
      <c r="Y81" t="n">
        <v>0</v>
      </c>
      <c r="Z81" t="n">
        <v>467870.417543231</v>
      </c>
      <c r="AA81" t="n">
        <v>345335.550291361</v>
      </c>
      <c r="AB81" t="n">
        <v>0</v>
      </c>
      <c r="AC81" t="n">
        <v>503592.022200225</v>
      </c>
      <c r="AD81" t="n">
        <v>0</v>
      </c>
      <c r="AE81" t="n">
        <v>0</v>
      </c>
      <c r="AF81" t="n">
        <v>2471884.50319951</v>
      </c>
      <c r="AG81" t="n">
        <v>-757970.187575778</v>
      </c>
      <c r="AH81" t="n">
        <v>0</v>
      </c>
      <c r="AI81" t="n">
        <v>-1936245.89213223</v>
      </c>
      <c r="AJ81" t="n">
        <v>1651405.19730917</v>
      </c>
      <c r="AK81" t="n">
        <v>69699.6466431095</v>
      </c>
      <c r="AL81" t="n">
        <v>4917674.57400601</v>
      </c>
      <c r="AM81" t="n">
        <v>14511264.9552471</v>
      </c>
      <c r="AN81" t="n">
        <v>0</v>
      </c>
      <c r="AO81" t="n">
        <v>0</v>
      </c>
      <c r="AP81" t="n">
        <v>2309537.52329323</v>
      </c>
      <c r="AQ81" t="n">
        <v>21534.4249744302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281504.164928699</v>
      </c>
      <c r="AZ81" t="n">
        <v>0</v>
      </c>
      <c r="BA81" t="n">
        <v>0</v>
      </c>
      <c r="BB81" t="n">
        <v>0</v>
      </c>
      <c r="BC81" t="n">
        <v>3988146.4167542</v>
      </c>
      <c r="BD81" t="n">
        <v>0</v>
      </c>
      <c r="BE81" t="n">
        <v>0</v>
      </c>
      <c r="BF81" t="n">
        <v>6833818.01767803</v>
      </c>
      <c r="BG81" t="n">
        <v>0</v>
      </c>
      <c r="BH81" t="n">
        <v>0</v>
      </c>
      <c r="BI81" t="n">
        <v>0</v>
      </c>
      <c r="BJ81" t="n">
        <v>0</v>
      </c>
      <c r="BK81" t="n">
        <v>-1251054.38085817</v>
      </c>
      <c r="BL81" t="n">
        <v>6674444.91599988</v>
      </c>
      <c r="BM81" t="n">
        <v>0</v>
      </c>
      <c r="BN81" t="n">
        <v>0</v>
      </c>
      <c r="BO81" t="n">
        <v>324991775.274974</v>
      </c>
      <c r="BP81" t="n">
        <v>-633583.133944292</v>
      </c>
      <c r="BQ81" t="n">
        <v>0</v>
      </c>
      <c r="BR81" t="n">
        <v>0</v>
      </c>
      <c r="BS81" t="n">
        <v>0</v>
      </c>
      <c r="BT81" t="n">
        <v>0</v>
      </c>
      <c r="BU81" t="n">
        <v>970061654.336511</v>
      </c>
      <c r="BV81" t="n">
        <v>-55354076.7740291</v>
      </c>
      <c r="BW81" t="n">
        <v>-2370404121.16048</v>
      </c>
      <c r="BX81" t="n">
        <v>0</v>
      </c>
      <c r="BY81" t="n">
        <v>-11237381.9845259</v>
      </c>
      <c r="BZ81" t="n">
        <v>47291913.9866829</v>
      </c>
      <c r="CA81" t="n">
        <v>462016897.006667</v>
      </c>
      <c r="CB81" t="n">
        <v>-197131848.142613</v>
      </c>
      <c r="CC81" t="n">
        <v>0</v>
      </c>
      <c r="CD81" t="n">
        <v>-73292.3889758743</v>
      </c>
      <c r="CE81" t="n">
        <v>0</v>
      </c>
      <c r="CF81" t="n">
        <v>0</v>
      </c>
      <c r="CG81" t="n">
        <v>0</v>
      </c>
      <c r="CH81" t="n">
        <v>-10132672.7759146</v>
      </c>
      <c r="CI81" t="n">
        <v>604662.209050963</v>
      </c>
      <c r="CJ81" t="n">
        <v>0</v>
      </c>
      <c r="CK81" t="n">
        <v>0</v>
      </c>
      <c r="CL81" t="n">
        <v>42331444.6463479</v>
      </c>
      <c r="CM81" t="n">
        <v>-175815224.685363</v>
      </c>
      <c r="CN81" t="n">
        <v>0</v>
      </c>
    </row>
    <row r="82">
      <c r="A82" t="s">
        <v>193</v>
      </c>
      <c r="B82" t="n">
        <v>2276389.13909952</v>
      </c>
      <c r="C82" t="n">
        <v>23417.0975423796</v>
      </c>
      <c r="D82" t="n">
        <v>0</v>
      </c>
      <c r="E82" t="n">
        <v>54898.2669368045</v>
      </c>
      <c r="F82" t="n">
        <v>39922.52041355</v>
      </c>
      <c r="G82" t="n">
        <v>21887496.8313751</v>
      </c>
      <c r="H82" t="n">
        <v>12881364.5707738</v>
      </c>
      <c r="I82" t="n">
        <v>450363.893187274</v>
      </c>
      <c r="J82" t="n">
        <v>999314.633897464</v>
      </c>
      <c r="K82" t="n">
        <v>5165460.69284754</v>
      </c>
      <c r="L82" t="n">
        <v>17923193.8728409</v>
      </c>
      <c r="M82" t="n">
        <v>13681867.4308706</v>
      </c>
      <c r="N82" t="n">
        <v>18016630.8694355</v>
      </c>
      <c r="O82" t="n">
        <v>7764119.72268835</v>
      </c>
      <c r="P82" t="n">
        <v>6351037.06226965</v>
      </c>
      <c r="Q82" t="n">
        <v>35731458.6442104</v>
      </c>
      <c r="R82" t="n">
        <v>727014.218716952</v>
      </c>
      <c r="S82" t="n">
        <v>12219871.5513175</v>
      </c>
      <c r="T82" t="n">
        <v>13551578.3380261</v>
      </c>
      <c r="U82" t="n">
        <v>744453.774466811</v>
      </c>
      <c r="V82" t="n">
        <v>62376.546463791</v>
      </c>
      <c r="W82" t="n">
        <v>4622664.07300071</v>
      </c>
      <c r="X82" t="n">
        <v>3021186.64488045</v>
      </c>
      <c r="Y82" t="n">
        <v>7208287.11955865</v>
      </c>
      <c r="Z82" t="n">
        <v>30918436.7593152</v>
      </c>
      <c r="AA82" t="n">
        <v>4777141.7790305</v>
      </c>
      <c r="AB82" t="n">
        <v>82750462.6802138</v>
      </c>
      <c r="AC82" t="n">
        <v>1422647.46271563</v>
      </c>
      <c r="AD82" t="n">
        <v>7684802.78794492</v>
      </c>
      <c r="AE82" t="n">
        <v>8799862.62547073</v>
      </c>
      <c r="AF82" t="n">
        <v>37462782.915157</v>
      </c>
      <c r="AG82" t="n">
        <v>51181178.9458668</v>
      </c>
      <c r="AH82" t="n">
        <v>399125.27605768</v>
      </c>
      <c r="AI82" t="n">
        <v>19775101.488498</v>
      </c>
      <c r="AJ82" t="n">
        <v>5076920.62206812</v>
      </c>
      <c r="AK82" t="n">
        <v>365923.144876325</v>
      </c>
      <c r="AL82" t="n">
        <v>4476344.80454394</v>
      </c>
      <c r="AM82" t="n">
        <v>4343507.87776104</v>
      </c>
      <c r="AN82" t="n">
        <v>958320.83958021</v>
      </c>
      <c r="AO82" t="n">
        <v>5764269.18077869</v>
      </c>
      <c r="AP82" t="n">
        <v>9458106.04777228</v>
      </c>
      <c r="AQ82" t="n">
        <v>132113697.21813</v>
      </c>
      <c r="AR82" t="n">
        <v>4729462.30346971</v>
      </c>
      <c r="AS82" t="n">
        <v>37476915.2088465</v>
      </c>
      <c r="AT82" t="n">
        <v>1539184164.06838</v>
      </c>
      <c r="AU82" t="n">
        <v>52083126.7807734</v>
      </c>
      <c r="AV82" t="n">
        <v>79373.2193732194</v>
      </c>
      <c r="AW82" t="n">
        <v>372055.430878671</v>
      </c>
      <c r="AX82" t="n">
        <v>7698835.28005885</v>
      </c>
      <c r="AY82" t="n">
        <v>39436174.3777386</v>
      </c>
      <c r="AZ82" t="n">
        <v>2421251.7362248</v>
      </c>
      <c r="BA82" t="n">
        <v>21696444.6978738</v>
      </c>
      <c r="BB82" t="n">
        <v>41570576.0742024</v>
      </c>
      <c r="BC82" t="n">
        <v>31922070.2595283</v>
      </c>
      <c r="BD82" t="n">
        <v>15731766.8711656</v>
      </c>
      <c r="BE82" t="n">
        <v>1612410.66615995</v>
      </c>
      <c r="BF82" t="n">
        <v>10760157.0969258</v>
      </c>
      <c r="BG82" t="n">
        <v>0</v>
      </c>
      <c r="BH82" t="n">
        <v>0</v>
      </c>
      <c r="BI82" t="n">
        <v>6813689.09512761</v>
      </c>
      <c r="BJ82" t="n">
        <v>0</v>
      </c>
      <c r="BK82" t="n">
        <v>3145767.1750564</v>
      </c>
      <c r="BL82" t="n">
        <v>2939783.86659352</v>
      </c>
      <c r="BM82" t="n">
        <v>5863675.13253037</v>
      </c>
      <c r="BN82" t="n">
        <v>24052976.2414777</v>
      </c>
      <c r="BO82" t="n">
        <v>49095696.4743107</v>
      </c>
      <c r="BP82" t="n">
        <v>74484033.2264909</v>
      </c>
      <c r="BQ82" t="n">
        <v>12484904.0489546</v>
      </c>
      <c r="BR82" t="n">
        <v>24281.5582321798</v>
      </c>
      <c r="BS82" t="n">
        <v>0</v>
      </c>
      <c r="BT82" t="n">
        <v>0</v>
      </c>
      <c r="BU82" t="n">
        <v>-876587067.828864</v>
      </c>
      <c r="BV82" t="n">
        <v>0</v>
      </c>
      <c r="BW82" t="n">
        <v>0</v>
      </c>
      <c r="BX82" t="n">
        <v>63776281.2419862</v>
      </c>
      <c r="BY82" t="n">
        <v>0</v>
      </c>
      <c r="BZ82" t="n">
        <v>0</v>
      </c>
      <c r="CA82" t="n">
        <v>1372893133.18225</v>
      </c>
      <c r="CB82" t="n">
        <v>-4175244234.8635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226</v>
      </c>
    </row>
    <row r="2">
      <c r="A2" t="s">
        <v>227</v>
      </c>
    </row>
    <row r="3">
      <c r="A3" t="s">
        <v>228</v>
      </c>
    </row>
    <row r="4">
      <c r="A4" t="s">
        <v>64</v>
      </c>
    </row>
    <row r="5">
      <c r="A5" t="s">
        <v>1</v>
      </c>
    </row>
    <row r="6">
      <c r="A6" t="s">
        <v>229</v>
      </c>
    </row>
    <row r="7">
      <c r="A7" t="s">
        <v>1</v>
      </c>
    </row>
    <row r="9">
      <c r="A9" t="s">
        <v>230</v>
      </c>
      <c r="B9" t="s">
        <v>231</v>
      </c>
      <c r="C9" t="s">
        <v>232</v>
      </c>
      <c r="D9" t="s">
        <v>233</v>
      </c>
      <c r="E9" t="s">
        <v>234</v>
      </c>
    </row>
    <row r="10">
      <c r="A10" t="s">
        <v>235</v>
      </c>
      <c r="B10" t="n">
        <v>12031000</v>
      </c>
      <c r="C10" t="s">
        <v>236</v>
      </c>
      <c r="D10" t="n">
        <v>600000000</v>
      </c>
      <c r="E10" t="s">
        <v>237</v>
      </c>
    </row>
    <row r="11">
      <c r="A11" t="s">
        <v>238</v>
      </c>
      <c r="B11" t="n">
        <v>1000000</v>
      </c>
      <c r="C11" t="s">
        <v>236</v>
      </c>
      <c r="D11" t="n">
        <v>40000000</v>
      </c>
      <c r="E11" t="s">
        <v>239</v>
      </c>
    </row>
    <row r="12">
      <c r="A12" t="s">
        <v>240</v>
      </c>
      <c r="B12" t="n">
        <v>4220000</v>
      </c>
      <c r="C12" t="s">
        <v>236</v>
      </c>
      <c r="D12" t="n">
        <v>125000000</v>
      </c>
      <c r="E12" t="s">
        <v>241</v>
      </c>
    </row>
    <row r="13">
      <c r="A13" t="s">
        <v>242</v>
      </c>
      <c r="B13" t="n">
        <v>0</v>
      </c>
      <c r="C13" t="s">
        <v>236</v>
      </c>
      <c r="D13" t="n">
        <v>0</v>
      </c>
      <c r="E13"/>
    </row>
    <row r="14">
      <c r="A14" t="s">
        <v>243</v>
      </c>
      <c r="B14" t="n">
        <v>0</v>
      </c>
      <c r="C14" t="s">
        <v>236</v>
      </c>
      <c r="D14" t="n">
        <v>0</v>
      </c>
      <c r="E14"/>
    </row>
    <row r="15">
      <c r="A15" t="s">
        <v>244</v>
      </c>
      <c r="B15" t="n">
        <v>10710000</v>
      </c>
      <c r="C15" t="s">
        <v>236</v>
      </c>
      <c r="D15" t="n">
        <v>330000000</v>
      </c>
      <c r="E15" t="s">
        <v>245</v>
      </c>
    </row>
    <row r="16">
      <c r="A16" t="s">
        <v>246</v>
      </c>
      <c r="B16" t="n">
        <v>0</v>
      </c>
      <c r="C16" t="s">
        <v>236</v>
      </c>
      <c r="D16" t="n">
        <v>0</v>
      </c>
      <c r="E16"/>
    </row>
    <row r="17">
      <c r="A17" t="s">
        <v>247</v>
      </c>
      <c r="B17" t="n">
        <v>0</v>
      </c>
      <c r="C17" t="s">
        <v>236</v>
      </c>
      <c r="D17" t="n">
        <v>0</v>
      </c>
      <c r="E17"/>
    </row>
    <row r="18">
      <c r="A18" t="s">
        <v>248</v>
      </c>
      <c r="B18" t="n">
        <v>0</v>
      </c>
      <c r="C18" t="s">
        <v>236</v>
      </c>
      <c r="D18" t="n">
        <v>0</v>
      </c>
      <c r="E18"/>
    </row>
    <row r="19">
      <c r="A19" t="s">
        <v>249</v>
      </c>
      <c r="B19" t="n">
        <v>0</v>
      </c>
      <c r="C19" t="s">
        <v>236</v>
      </c>
      <c r="D19" t="n">
        <v>0</v>
      </c>
      <c r="E19"/>
    </row>
    <row r="20">
      <c r="A20" t="s">
        <v>250</v>
      </c>
      <c r="B20" t="n">
        <v>0</v>
      </c>
      <c r="C20" t="s">
        <v>236</v>
      </c>
      <c r="D20" t="n">
        <v>0</v>
      </c>
      <c r="E20"/>
    </row>
    <row r="21">
      <c r="A21" t="s">
        <v>251</v>
      </c>
      <c r="B21" t="n">
        <v>0</v>
      </c>
      <c r="C21" t="s">
        <v>236</v>
      </c>
      <c r="D21" t="n">
        <v>0</v>
      </c>
      <c r="E21"/>
    </row>
    <row r="22">
      <c r="A22" t="s">
        <v>252</v>
      </c>
      <c r="B22" t="n">
        <v>0</v>
      </c>
      <c r="C22" t="s">
        <v>236</v>
      </c>
      <c r="D22" t="n">
        <v>0</v>
      </c>
      <c r="E22"/>
    </row>
    <row r="23">
      <c r="A23" t="s">
        <v>253</v>
      </c>
      <c r="B23" t="n">
        <v>45919000</v>
      </c>
      <c r="C23" t="s">
        <v>236</v>
      </c>
      <c r="D23" t="n">
        <v>1950000000</v>
      </c>
      <c r="E23" t="s">
        <v>254</v>
      </c>
    </row>
    <row r="24">
      <c r="A24" t="s">
        <v>255</v>
      </c>
      <c r="B24" t="n">
        <v>28820000</v>
      </c>
      <c r="C24" t="s">
        <v>236</v>
      </c>
      <c r="D24" t="n">
        <v>1210000000</v>
      </c>
      <c r="E24" t="s">
        <v>254</v>
      </c>
    </row>
    <row r="25">
      <c r="A25" t="s">
        <v>256</v>
      </c>
      <c r="B25" t="n">
        <v>0</v>
      </c>
      <c r="C25" t="s">
        <v>236</v>
      </c>
      <c r="D25" t="n">
        <v>0</v>
      </c>
      <c r="E25"/>
    </row>
    <row r="26">
      <c r="A26" t="s">
        <v>257</v>
      </c>
      <c r="B26" t="n">
        <v>0</v>
      </c>
      <c r="C26" t="s">
        <v>236</v>
      </c>
      <c r="D26" t="n">
        <v>0</v>
      </c>
      <c r="E26"/>
    </row>
    <row r="27">
      <c r="A27" t="s">
        <v>258</v>
      </c>
      <c r="B27" t="n">
        <v>36140000</v>
      </c>
      <c r="C27" t="s">
        <v>236</v>
      </c>
      <c r="D27" t="n">
        <v>1730000000</v>
      </c>
      <c r="E27" t="s">
        <v>259</v>
      </c>
    </row>
    <row r="28">
      <c r="A28" t="s">
        <v>260</v>
      </c>
      <c r="B28" t="n">
        <v>2720000</v>
      </c>
      <c r="C28" t="s">
        <v>236</v>
      </c>
      <c r="D28" t="n">
        <v>60000000</v>
      </c>
      <c r="E28" t="s">
        <v>261</v>
      </c>
    </row>
    <row r="29">
      <c r="A29" t="s">
        <v>262</v>
      </c>
      <c r="B29" t="n">
        <v>0</v>
      </c>
      <c r="C29" t="s">
        <v>236</v>
      </c>
      <c r="D29" t="n">
        <v>0</v>
      </c>
      <c r="E29"/>
    </row>
    <row r="30">
      <c r="A30" t="s">
        <v>263</v>
      </c>
      <c r="B30" t="n">
        <v>1320000</v>
      </c>
      <c r="C30" t="s">
        <v>236</v>
      </c>
      <c r="D30" t="n">
        <v>70000000</v>
      </c>
      <c r="E30" t="s">
        <v>264</v>
      </c>
    </row>
    <row r="31">
      <c r="A31" t="s">
        <v>265</v>
      </c>
      <c r="B31" t="n">
        <v>0</v>
      </c>
      <c r="C31" t="s">
        <v>236</v>
      </c>
      <c r="D31" t="n">
        <v>0</v>
      </c>
      <c r="E31"/>
    </row>
    <row r="32">
      <c r="A32" t="s">
        <v>266</v>
      </c>
      <c r="B32" t="n">
        <v>0</v>
      </c>
      <c r="C32" t="s">
        <v>236</v>
      </c>
      <c r="D32" t="n">
        <v>0</v>
      </c>
      <c r="E32"/>
    </row>
    <row r="33">
      <c r="A33" t="s">
        <v>267</v>
      </c>
      <c r="B33" t="n">
        <v>0</v>
      </c>
      <c r="C33" t="s">
        <v>236</v>
      </c>
      <c r="D33" t="n">
        <v>0</v>
      </c>
      <c r="E33"/>
    </row>
    <row r="34">
      <c r="A34" t="s">
        <v>268</v>
      </c>
      <c r="B34" t="n">
        <v>2800000</v>
      </c>
      <c r="C34" t="s">
        <v>236</v>
      </c>
      <c r="D34" t="n">
        <v>65000000</v>
      </c>
      <c r="E34" t="s">
        <v>269</v>
      </c>
    </row>
    <row r="35">
      <c r="A35" t="s">
        <v>270</v>
      </c>
      <c r="B35" t="n">
        <v>264000</v>
      </c>
      <c r="C35" t="s">
        <v>236</v>
      </c>
      <c r="D35" t="n">
        <v>12000000</v>
      </c>
      <c r="E35"/>
    </row>
    <row r="36">
      <c r="A36" t="s">
        <v>271</v>
      </c>
      <c r="B36" t="n">
        <v>38660000</v>
      </c>
      <c r="C36" t="s">
        <v>236</v>
      </c>
      <c r="D36" t="n">
        <v>590000000</v>
      </c>
      <c r="E36" t="s">
        <v>272</v>
      </c>
    </row>
    <row r="37">
      <c r="A37" t="s">
        <v>273</v>
      </c>
      <c r="B37" t="n">
        <v>0</v>
      </c>
      <c r="C37" t="s">
        <v>236</v>
      </c>
      <c r="D37" t="n">
        <v>0</v>
      </c>
      <c r="E37"/>
    </row>
    <row r="38">
      <c r="A38" t="s">
        <v>274</v>
      </c>
      <c r="B38" t="n">
        <v>0</v>
      </c>
      <c r="C38" t="s">
        <v>236</v>
      </c>
      <c r="D38" t="n">
        <v>0</v>
      </c>
      <c r="E38"/>
    </row>
    <row r="39">
      <c r="A39" t="s">
        <v>275</v>
      </c>
      <c r="B39" t="n">
        <v>0</v>
      </c>
      <c r="C39" t="s">
        <v>236</v>
      </c>
      <c r="D39" t="n">
        <v>0</v>
      </c>
      <c r="E39"/>
    </row>
    <row r="40">
      <c r="A40" t="s">
        <v>276</v>
      </c>
      <c r="B40" t="n">
        <v>0</v>
      </c>
      <c r="C40" t="s">
        <v>236</v>
      </c>
      <c r="D40" t="n">
        <v>0</v>
      </c>
      <c r="E40"/>
    </row>
    <row r="41">
      <c r="A41" t="s">
        <v>277</v>
      </c>
      <c r="B41" t="n">
        <v>10720000</v>
      </c>
      <c r="C41" t="s">
        <v>236</v>
      </c>
      <c r="D41" t="n">
        <v>260000000</v>
      </c>
      <c r="E41" t="s">
        <v>278</v>
      </c>
    </row>
    <row r="42">
      <c r="A42" t="s">
        <v>279</v>
      </c>
      <c r="B42" t="n">
        <v>0</v>
      </c>
      <c r="C42" t="s">
        <v>236</v>
      </c>
      <c r="D42" t="n">
        <v>0</v>
      </c>
      <c r="E42"/>
    </row>
    <row r="43">
      <c r="A43" t="s">
        <v>280</v>
      </c>
      <c r="B43" t="n">
        <v>0</v>
      </c>
      <c r="C43" t="s">
        <v>236</v>
      </c>
      <c r="D43" t="n">
        <v>0</v>
      </c>
      <c r="E43"/>
    </row>
    <row r="44">
      <c r="A44" t="s">
        <v>281</v>
      </c>
      <c r="B44" t="n">
        <v>27870000</v>
      </c>
      <c r="C44" t="s">
        <v>236</v>
      </c>
      <c r="D44" t="n">
        <v>560000000</v>
      </c>
      <c r="E44" t="s">
        <v>282</v>
      </c>
    </row>
    <row r="45">
      <c r="A45" t="s">
        <v>283</v>
      </c>
      <c r="B45" t="n">
        <v>8220000</v>
      </c>
      <c r="C45" t="s">
        <v>236</v>
      </c>
      <c r="D45" t="n">
        <v>430000000</v>
      </c>
      <c r="E45" t="s">
        <v>284</v>
      </c>
    </row>
    <row r="46">
      <c r="A46" t="s">
        <v>285</v>
      </c>
      <c r="B46" t="n">
        <v>930000</v>
      </c>
      <c r="C46" t="s">
        <v>236</v>
      </c>
      <c r="D46" t="n">
        <v>40000000</v>
      </c>
      <c r="E46"/>
    </row>
    <row r="47">
      <c r="A47" t="s">
        <v>286</v>
      </c>
      <c r="B47" t="n">
        <v>0</v>
      </c>
      <c r="C47" t="s">
        <v>236</v>
      </c>
      <c r="D47" t="n">
        <v>0</v>
      </c>
      <c r="E47"/>
    </row>
    <row r="48">
      <c r="A48" t="s">
        <v>287</v>
      </c>
      <c r="B48" t="n">
        <v>50110000</v>
      </c>
      <c r="C48" t="s">
        <v>236</v>
      </c>
      <c r="D48" t="n">
        <v>3000000000</v>
      </c>
      <c r="E48" t="s">
        <v>288</v>
      </c>
    </row>
    <row r="49">
      <c r="A49" t="s">
        <v>289</v>
      </c>
      <c r="B49" t="n">
        <v>0</v>
      </c>
      <c r="C49" t="s">
        <v>236</v>
      </c>
      <c r="D49" t="n">
        <v>0</v>
      </c>
      <c r="E49"/>
    </row>
    <row r="50">
      <c r="A50" t="s">
        <v>290</v>
      </c>
      <c r="B50" t="n">
        <v>0</v>
      </c>
      <c r="C50" t="s">
        <v>236</v>
      </c>
      <c r="D50" t="n">
        <v>0</v>
      </c>
      <c r="E50"/>
    </row>
    <row r="51">
      <c r="A51" t="s">
        <v>291</v>
      </c>
      <c r="B51" t="n">
        <v>0</v>
      </c>
      <c r="C51" t="s">
        <v>236</v>
      </c>
      <c r="D51" t="n">
        <v>0</v>
      </c>
      <c r="E51"/>
    </row>
    <row r="52">
      <c r="A52" t="s">
        <v>292</v>
      </c>
      <c r="B52" t="n">
        <v>400000</v>
      </c>
      <c r="C52" t="s">
        <v>236</v>
      </c>
      <c r="D52" t="n">
        <v>22000000</v>
      </c>
      <c r="E52" t="s">
        <v>293</v>
      </c>
    </row>
    <row r="53">
      <c r="A53" t="s">
        <v>294</v>
      </c>
      <c r="B53" t="n">
        <v>22820000</v>
      </c>
      <c r="C53" t="s">
        <v>236</v>
      </c>
      <c r="D53" t="n">
        <v>500000000</v>
      </c>
      <c r="E53" t="s">
        <v>261</v>
      </c>
    </row>
    <row r="54">
      <c r="A54" t="s">
        <v>295</v>
      </c>
      <c r="B54" t="n">
        <v>12810000</v>
      </c>
      <c r="C54" t="s">
        <v>236</v>
      </c>
      <c r="D54" t="n">
        <v>380000000</v>
      </c>
      <c r="E54" t="s">
        <v>296</v>
      </c>
    </row>
    <row r="55">
      <c r="A55" t="s">
        <v>297</v>
      </c>
      <c r="B55" t="n">
        <v>0</v>
      </c>
      <c r="C55" t="s">
        <v>236</v>
      </c>
      <c r="D55" t="n">
        <v>0</v>
      </c>
      <c r="E55"/>
    </row>
    <row r="56">
      <c r="A56" t="s">
        <v>298</v>
      </c>
      <c r="B56" t="n">
        <v>11480000</v>
      </c>
      <c r="C56" t="s">
        <v>236</v>
      </c>
      <c r="D56" t="n">
        <v>620000000</v>
      </c>
      <c r="E56" t="s">
        <v>299</v>
      </c>
    </row>
    <row r="57">
      <c r="A57" t="s">
        <v>300</v>
      </c>
      <c r="B57" t="n">
        <v>3050000</v>
      </c>
      <c r="C57" t="s">
        <v>236</v>
      </c>
      <c r="D57" t="n">
        <v>90000000</v>
      </c>
      <c r="E57" t="s">
        <v>301</v>
      </c>
    </row>
    <row r="58">
      <c r="A58" t="s">
        <v>302</v>
      </c>
      <c r="B58" t="n">
        <v>93320000</v>
      </c>
      <c r="C58" t="s">
        <v>236</v>
      </c>
      <c r="D58" t="n">
        <v>5050000000</v>
      </c>
      <c r="E58" t="s">
        <v>303</v>
      </c>
    </row>
    <row r="59">
      <c r="A59" t="s">
        <v>304</v>
      </c>
      <c r="B59" t="n">
        <v>0</v>
      </c>
      <c r="C59" t="s">
        <v>236</v>
      </c>
      <c r="D59" t="n">
        <v>0</v>
      </c>
      <c r="E59"/>
    </row>
    <row r="60">
      <c r="A60" t="s">
        <v>305</v>
      </c>
      <c r="B60" t="n">
        <v>276040000</v>
      </c>
      <c r="C60" t="s">
        <v>236</v>
      </c>
      <c r="D60" t="n">
        <v>3690000000</v>
      </c>
      <c r="E60" t="s">
        <v>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307</v>
      </c>
    </row>
    <row r="2">
      <c r="A2" t="s">
        <v>308</v>
      </c>
    </row>
    <row r="3">
      <c r="A3" t="s">
        <v>309</v>
      </c>
    </row>
    <row r="4">
      <c r="A4" t="s">
        <v>1</v>
      </c>
    </row>
    <row r="5">
      <c r="A5" t="s">
        <v>310</v>
      </c>
    </row>
    <row r="6">
      <c r="A6" t="s">
        <v>311</v>
      </c>
    </row>
    <row r="7">
      <c r="A7" t="s">
        <v>312</v>
      </c>
    </row>
    <row r="8">
      <c r="A8" t="s">
        <v>313</v>
      </c>
    </row>
    <row r="9">
      <c r="A9" t="s">
        <v>314</v>
      </c>
    </row>
    <row r="10">
      <c r="A10" t="s">
        <v>315</v>
      </c>
    </row>
    <row r="11">
      <c r="A11" t="s">
        <v>316</v>
      </c>
    </row>
    <row r="12">
      <c r="A12" t="s">
        <v>317</v>
      </c>
    </row>
    <row r="13">
      <c r="A13" t="s">
        <v>1</v>
      </c>
    </row>
    <row r="14">
      <c r="A14" t="s">
        <v>318</v>
      </c>
    </row>
    <row r="15">
      <c r="A15" t="s">
        <v>1</v>
      </c>
    </row>
    <row r="17">
      <c r="A17" t="s">
        <v>319</v>
      </c>
    </row>
    <row r="18">
      <c r="A18" t="s">
        <v>320</v>
      </c>
    </row>
    <row r="20">
      <c r="A20" t="s">
        <v>321</v>
      </c>
    </row>
    <row r="21">
      <c r="A21" t="s">
        <v>322</v>
      </c>
    </row>
    <row r="23">
      <c r="A23" t="s">
        <v>323</v>
      </c>
    </row>
    <row r="25">
      <c r="A25" t="s">
        <v>230</v>
      </c>
      <c r="B25" t="s">
        <v>324</v>
      </c>
      <c r="C25" t="s">
        <v>325</v>
      </c>
      <c r="D25" t="s">
        <v>326</v>
      </c>
      <c r="E25" t="s">
        <v>327</v>
      </c>
    </row>
    <row r="26">
      <c r="A26" t="s">
        <v>238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235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242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240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243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244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246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248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247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249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250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251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256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252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253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255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257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258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260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265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263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262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266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267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270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268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271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280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281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273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275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276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277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274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279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283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285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286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287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289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290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291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292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294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295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298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297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300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304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302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305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49.71" hidden="0" customWidth="1"/>
  </cols>
  <sheetData>
    <row r="1">
      <c r="A1" t="s">
        <v>328</v>
      </c>
    </row>
    <row r="2">
      <c r="A2" t="s">
        <v>1</v>
      </c>
    </row>
    <row r="3">
      <c r="A3" t="s">
        <v>329</v>
      </c>
    </row>
    <row r="4">
      <c r="A4" t="s">
        <v>330</v>
      </c>
    </row>
    <row r="5">
      <c r="A5" t="s">
        <v>331</v>
      </c>
    </row>
    <row r="6">
      <c r="A6" t="s">
        <v>1</v>
      </c>
    </row>
    <row r="8">
      <c r="A8" t="s">
        <v>332</v>
      </c>
      <c r="B8" t="s">
        <v>333</v>
      </c>
      <c r="C8" t="s">
        <v>334</v>
      </c>
      <c r="D8" t="s">
        <v>335</v>
      </c>
      <c r="E8" t="s">
        <v>336</v>
      </c>
      <c r="F8" t="s">
        <v>337</v>
      </c>
      <c r="G8" t="s">
        <v>338</v>
      </c>
    </row>
    <row r="9">
      <c r="A9" t="s">
        <v>121</v>
      </c>
      <c r="B9" t="s">
        <v>339</v>
      </c>
      <c r="C9" t="s">
        <v>340</v>
      </c>
      <c r="D9" t="s">
        <v>341</v>
      </c>
      <c r="E9" t="n">
        <v>1</v>
      </c>
      <c r="F9"/>
      <c r="G9"/>
    </row>
    <row r="10">
      <c r="A10" t="s">
        <v>122</v>
      </c>
      <c r="B10" t="s">
        <v>342</v>
      </c>
      <c r="C10" t="s">
        <v>340</v>
      </c>
      <c r="D10" t="s">
        <v>341</v>
      </c>
      <c r="E10" t="n">
        <v>1</v>
      </c>
      <c r="F10"/>
      <c r="G10"/>
    </row>
    <row r="11">
      <c r="A11" t="s">
        <v>123</v>
      </c>
      <c r="B11" t="s">
        <v>343</v>
      </c>
      <c r="C11" t="s">
        <v>344</v>
      </c>
      <c r="D11" t="s">
        <v>345</v>
      </c>
      <c r="E11" t="n">
        <v>1</v>
      </c>
      <c r="F11"/>
      <c r="G11"/>
    </row>
    <row r="12">
      <c r="A12" t="s">
        <v>125</v>
      </c>
      <c r="B12" t="s">
        <v>346</v>
      </c>
      <c r="C12" t="s">
        <v>347</v>
      </c>
      <c r="D12" t="s">
        <v>348</v>
      </c>
      <c r="E12" t="n">
        <v>1</v>
      </c>
      <c r="F12"/>
      <c r="G12"/>
    </row>
    <row r="13">
      <c r="A13" t="s">
        <v>126</v>
      </c>
      <c r="B13" t="s">
        <v>349</v>
      </c>
      <c r="C13" t="s">
        <v>350</v>
      </c>
      <c r="D13" t="s">
        <v>351</v>
      </c>
      <c r="E13" t="n">
        <v>0.72</v>
      </c>
      <c r="F13" t="s">
        <v>352</v>
      </c>
      <c r="G13"/>
    </row>
    <row r="14">
      <c r="A14" t="s">
        <v>126</v>
      </c>
      <c r="B14" t="s">
        <v>349</v>
      </c>
      <c r="C14" t="s">
        <v>353</v>
      </c>
      <c r="D14" t="s">
        <v>354</v>
      </c>
      <c r="E14" t="n">
        <v>0.2</v>
      </c>
      <c r="F14" t="s">
        <v>355</v>
      </c>
      <c r="G14"/>
    </row>
    <row r="15">
      <c r="A15" t="s">
        <v>126</v>
      </c>
      <c r="B15" t="s">
        <v>349</v>
      </c>
      <c r="C15" t="s">
        <v>356</v>
      </c>
      <c r="D15" t="s">
        <v>357</v>
      </c>
      <c r="E15" t="n">
        <v>0.08</v>
      </c>
      <c r="F15" t="s">
        <v>358</v>
      </c>
      <c r="G15"/>
    </row>
    <row r="16">
      <c r="A16" t="s">
        <v>127</v>
      </c>
      <c r="B16" t="s">
        <v>359</v>
      </c>
      <c r="C16" t="s">
        <v>360</v>
      </c>
      <c r="D16" t="s">
        <v>359</v>
      </c>
      <c r="E16" t="n">
        <v>1</v>
      </c>
      <c r="F16"/>
      <c r="G16"/>
    </row>
    <row r="17">
      <c r="A17" t="s">
        <v>139</v>
      </c>
      <c r="B17" t="s">
        <v>361</v>
      </c>
      <c r="C17" t="s">
        <v>362</v>
      </c>
      <c r="D17" t="s">
        <v>363</v>
      </c>
      <c r="E17" t="n">
        <v>1</v>
      </c>
      <c r="F17"/>
      <c r="G17"/>
    </row>
    <row r="18">
      <c r="A18" t="s">
        <v>140</v>
      </c>
      <c r="B18" t="s">
        <v>364</v>
      </c>
      <c r="C18" t="s">
        <v>365</v>
      </c>
      <c r="D18" t="s">
        <v>366</v>
      </c>
      <c r="E18" t="n">
        <v>1</v>
      </c>
      <c r="F18"/>
      <c r="G18"/>
    </row>
    <row r="19">
      <c r="A19" t="s">
        <v>141</v>
      </c>
      <c r="B19" t="s">
        <v>367</v>
      </c>
      <c r="C19" t="s">
        <v>365</v>
      </c>
      <c r="D19" t="s">
        <v>366</v>
      </c>
      <c r="E19" t="n">
        <v>1</v>
      </c>
      <c r="F19"/>
      <c r="G19"/>
    </row>
    <row r="20">
      <c r="A20" t="s">
        <v>128</v>
      </c>
      <c r="B20" t="s">
        <v>368</v>
      </c>
      <c r="C20" t="s">
        <v>369</v>
      </c>
      <c r="D20" t="s">
        <v>370</v>
      </c>
      <c r="E20" t="n">
        <v>1</v>
      </c>
      <c r="F20"/>
      <c r="G20"/>
    </row>
    <row r="21">
      <c r="A21" t="s">
        <v>142</v>
      </c>
      <c r="B21" t="s">
        <v>371</v>
      </c>
      <c r="C21" t="s">
        <v>372</v>
      </c>
      <c r="D21" t="s">
        <v>373</v>
      </c>
      <c r="E21" t="n">
        <v>1</v>
      </c>
      <c r="F21"/>
      <c r="G21"/>
    </row>
    <row r="22">
      <c r="A22" t="s">
        <v>143</v>
      </c>
      <c r="B22" t="s">
        <v>374</v>
      </c>
      <c r="C22" t="s">
        <v>372</v>
      </c>
      <c r="D22" t="s">
        <v>373</v>
      </c>
      <c r="E22" t="n">
        <v>1</v>
      </c>
      <c r="F22"/>
      <c r="G22"/>
    </row>
    <row r="23">
      <c r="A23" t="s">
        <v>144</v>
      </c>
      <c r="B23" t="s">
        <v>375</v>
      </c>
      <c r="C23" t="s">
        <v>376</v>
      </c>
      <c r="D23" t="s">
        <v>377</v>
      </c>
      <c r="E23" t="n">
        <v>0.961</v>
      </c>
      <c r="F23" t="s">
        <v>378</v>
      </c>
      <c r="G23"/>
    </row>
    <row r="24">
      <c r="A24" t="s">
        <v>144</v>
      </c>
      <c r="B24" t="s">
        <v>375</v>
      </c>
      <c r="C24" t="s">
        <v>379</v>
      </c>
      <c r="D24" t="s">
        <v>380</v>
      </c>
      <c r="E24" t="n">
        <v>0.039</v>
      </c>
      <c r="F24" t="s">
        <v>381</v>
      </c>
      <c r="G24"/>
    </row>
    <row r="25">
      <c r="A25" t="s">
        <v>146</v>
      </c>
      <c r="B25" t="s">
        <v>382</v>
      </c>
      <c r="C25" t="s">
        <v>126</v>
      </c>
      <c r="D25" t="s">
        <v>383</v>
      </c>
      <c r="E25" t="n">
        <v>1</v>
      </c>
      <c r="F25"/>
      <c r="G25"/>
    </row>
    <row r="26">
      <c r="A26" t="s">
        <v>131</v>
      </c>
      <c r="B26" t="s">
        <v>384</v>
      </c>
      <c r="C26" t="s">
        <v>385</v>
      </c>
      <c r="D26" t="s">
        <v>384</v>
      </c>
      <c r="E26" t="n">
        <v>1</v>
      </c>
      <c r="F26"/>
      <c r="G26"/>
    </row>
    <row r="27">
      <c r="A27" t="s">
        <v>132</v>
      </c>
      <c r="B27" t="s">
        <v>386</v>
      </c>
      <c r="C27" t="s">
        <v>387</v>
      </c>
      <c r="D27" t="s">
        <v>388</v>
      </c>
      <c r="E27" t="n">
        <v>1</v>
      </c>
      <c r="F27"/>
      <c r="G27"/>
    </row>
    <row r="28">
      <c r="A28" t="s">
        <v>133</v>
      </c>
      <c r="B28" t="s">
        <v>389</v>
      </c>
      <c r="C28" t="s">
        <v>390</v>
      </c>
      <c r="D28" t="s">
        <v>391</v>
      </c>
      <c r="E28" t="n">
        <v>1</v>
      </c>
      <c r="F28"/>
      <c r="G28"/>
    </row>
    <row r="29">
      <c r="A29" t="s">
        <v>134</v>
      </c>
      <c r="B29" t="s">
        <v>392</v>
      </c>
      <c r="C29" t="s">
        <v>393</v>
      </c>
      <c r="D29" t="s">
        <v>394</v>
      </c>
      <c r="E29" t="n">
        <v>1</v>
      </c>
      <c r="F29"/>
      <c r="G29"/>
    </row>
    <row r="30">
      <c r="A30" t="s">
        <v>135</v>
      </c>
      <c r="B30" t="s">
        <v>395</v>
      </c>
      <c r="C30" t="s">
        <v>396</v>
      </c>
      <c r="D30" t="s">
        <v>397</v>
      </c>
      <c r="E30" t="n">
        <v>1</v>
      </c>
      <c r="F30"/>
      <c r="G30"/>
    </row>
    <row r="31">
      <c r="A31" t="s">
        <v>136</v>
      </c>
      <c r="B31" t="s">
        <v>398</v>
      </c>
      <c r="C31" t="s">
        <v>399</v>
      </c>
      <c r="D31" t="s">
        <v>400</v>
      </c>
      <c r="E31" t="n">
        <v>1</v>
      </c>
      <c r="F31"/>
      <c r="G31"/>
    </row>
    <row r="32">
      <c r="A32" t="s">
        <v>137</v>
      </c>
      <c r="B32" t="s">
        <v>401</v>
      </c>
      <c r="C32" t="s">
        <v>402</v>
      </c>
      <c r="D32" t="s">
        <v>403</v>
      </c>
      <c r="E32" t="n">
        <v>1</v>
      </c>
      <c r="F32"/>
      <c r="G32"/>
    </row>
    <row r="33">
      <c r="A33" t="s">
        <v>138</v>
      </c>
      <c r="B33" t="s">
        <v>404</v>
      </c>
      <c r="C33" t="s">
        <v>402</v>
      </c>
      <c r="D33" t="s">
        <v>403</v>
      </c>
      <c r="E33" t="n">
        <v>1</v>
      </c>
      <c r="F33"/>
      <c r="G33"/>
    </row>
    <row r="34">
      <c r="A34" t="s">
        <v>147</v>
      </c>
      <c r="B34" t="s">
        <v>405</v>
      </c>
      <c r="C34" t="s">
        <v>406</v>
      </c>
      <c r="D34" t="s">
        <v>407</v>
      </c>
      <c r="E34" t="n">
        <v>1</v>
      </c>
      <c r="F34"/>
      <c r="G34"/>
    </row>
    <row r="35">
      <c r="A35" t="s">
        <v>148</v>
      </c>
      <c r="B35" t="s">
        <v>408</v>
      </c>
      <c r="C35" t="s">
        <v>406</v>
      </c>
      <c r="D35" t="s">
        <v>407</v>
      </c>
      <c r="E35" t="n">
        <v>1</v>
      </c>
      <c r="F35"/>
      <c r="G35"/>
    </row>
    <row r="36">
      <c r="A36" t="s">
        <v>149</v>
      </c>
      <c r="B36" t="s">
        <v>409</v>
      </c>
      <c r="C36" t="s">
        <v>406</v>
      </c>
      <c r="D36" t="s">
        <v>407</v>
      </c>
      <c r="E36" t="n">
        <v>1</v>
      </c>
      <c r="F36"/>
      <c r="G36"/>
    </row>
    <row r="37">
      <c r="A37" t="s">
        <v>150</v>
      </c>
      <c r="B37" t="s">
        <v>410</v>
      </c>
      <c r="C37" t="s">
        <v>406</v>
      </c>
      <c r="D37" t="s">
        <v>407</v>
      </c>
      <c r="E37" t="n">
        <v>1</v>
      </c>
      <c r="F37"/>
      <c r="G37"/>
    </row>
    <row r="38">
      <c r="A38" t="s">
        <v>151</v>
      </c>
      <c r="B38" t="s">
        <v>411</v>
      </c>
      <c r="C38" t="s">
        <v>406</v>
      </c>
      <c r="D38" t="s">
        <v>407</v>
      </c>
      <c r="E38" t="n">
        <v>1</v>
      </c>
      <c r="F38"/>
      <c r="G38"/>
    </row>
    <row r="39">
      <c r="A39" t="s">
        <v>152</v>
      </c>
      <c r="B39" t="s">
        <v>412</v>
      </c>
      <c r="C39" t="s">
        <v>413</v>
      </c>
      <c r="D39" t="s">
        <v>414</v>
      </c>
      <c r="E39" t="n">
        <v>1</v>
      </c>
      <c r="F39"/>
      <c r="G39"/>
    </row>
    <row r="40">
      <c r="A40" t="s">
        <v>153</v>
      </c>
      <c r="B40" t="s">
        <v>415</v>
      </c>
      <c r="C40" t="s">
        <v>413</v>
      </c>
      <c r="D40" t="s">
        <v>414</v>
      </c>
      <c r="E40" t="n">
        <v>1</v>
      </c>
      <c r="F40"/>
      <c r="G40"/>
    </row>
    <row r="41">
      <c r="A41" t="s">
        <v>154</v>
      </c>
      <c r="B41" t="s">
        <v>416</v>
      </c>
      <c r="C41" t="s">
        <v>413</v>
      </c>
      <c r="D41" t="s">
        <v>414</v>
      </c>
      <c r="E41" t="n">
        <v>1</v>
      </c>
      <c r="F41"/>
      <c r="G41"/>
    </row>
    <row r="42">
      <c r="A42" t="s">
        <v>155</v>
      </c>
      <c r="B42" t="s">
        <v>417</v>
      </c>
      <c r="C42" t="s">
        <v>413</v>
      </c>
      <c r="D42" t="s">
        <v>414</v>
      </c>
      <c r="E42" t="n">
        <v>1</v>
      </c>
      <c r="F42"/>
      <c r="G42"/>
    </row>
    <row r="43">
      <c r="A43" t="s">
        <v>156</v>
      </c>
      <c r="B43" t="s">
        <v>418</v>
      </c>
      <c r="C43" t="s">
        <v>413</v>
      </c>
      <c r="D43" t="s">
        <v>414</v>
      </c>
      <c r="E43" t="n">
        <v>1</v>
      </c>
      <c r="F43"/>
      <c r="G43"/>
    </row>
    <row r="44">
      <c r="A44" t="s">
        <v>157</v>
      </c>
      <c r="B44" t="s">
        <v>419</v>
      </c>
      <c r="C44" t="s">
        <v>353</v>
      </c>
      <c r="D44" t="s">
        <v>420</v>
      </c>
      <c r="E44" t="n">
        <v>1</v>
      </c>
      <c r="F44" t="s">
        <v>421</v>
      </c>
      <c r="G44"/>
    </row>
    <row r="45">
      <c r="A45" t="s">
        <v>158</v>
      </c>
      <c r="B45" t="s">
        <v>422</v>
      </c>
      <c r="C45" t="s">
        <v>413</v>
      </c>
      <c r="D45" t="s">
        <v>414</v>
      </c>
      <c r="E45" t="n">
        <v>1</v>
      </c>
      <c r="F45"/>
      <c r="G45"/>
    </row>
    <row r="46">
      <c r="A46" t="s">
        <v>159</v>
      </c>
      <c r="B46" t="s">
        <v>423</v>
      </c>
      <c r="C46" t="s">
        <v>413</v>
      </c>
      <c r="D46" t="s">
        <v>414</v>
      </c>
      <c r="E46" t="n">
        <v>1</v>
      </c>
      <c r="F46"/>
      <c r="G46"/>
    </row>
    <row r="47">
      <c r="A47" t="s">
        <v>160</v>
      </c>
      <c r="B47" t="s">
        <v>424</v>
      </c>
      <c r="C47" t="s">
        <v>425</v>
      </c>
      <c r="D47" t="s">
        <v>426</v>
      </c>
      <c r="E47" t="n">
        <v>1</v>
      </c>
      <c r="F47"/>
      <c r="G47"/>
    </row>
    <row r="48">
      <c r="A48" t="s">
        <v>161</v>
      </c>
      <c r="B48" t="s">
        <v>427</v>
      </c>
      <c r="C48" t="s">
        <v>425</v>
      </c>
      <c r="D48" t="s">
        <v>426</v>
      </c>
      <c r="E48" t="n">
        <v>1</v>
      </c>
      <c r="F48"/>
      <c r="G48"/>
    </row>
    <row r="49">
      <c r="A49" t="s">
        <v>162</v>
      </c>
      <c r="B49" t="s">
        <v>428</v>
      </c>
      <c r="C49" t="s">
        <v>425</v>
      </c>
      <c r="D49" t="s">
        <v>426</v>
      </c>
      <c r="E49" t="n">
        <v>0.25</v>
      </c>
      <c r="F49" t="s">
        <v>429</v>
      </c>
      <c r="G49"/>
    </row>
    <row r="50">
      <c r="A50" t="s">
        <v>162</v>
      </c>
      <c r="B50" t="s">
        <v>428</v>
      </c>
      <c r="C50" t="s">
        <v>177</v>
      </c>
      <c r="D50" t="s">
        <v>430</v>
      </c>
      <c r="E50" t="n">
        <v>0.75</v>
      </c>
      <c r="F50"/>
      <c r="G50"/>
    </row>
    <row r="51">
      <c r="A51" t="s">
        <v>163</v>
      </c>
      <c r="B51" t="s">
        <v>431</v>
      </c>
      <c r="C51" t="s">
        <v>432</v>
      </c>
      <c r="D51" t="s">
        <v>433</v>
      </c>
      <c r="E51" t="n">
        <v>1</v>
      </c>
      <c r="F51"/>
      <c r="G51"/>
    </row>
    <row r="52">
      <c r="A52" t="s">
        <v>164</v>
      </c>
      <c r="B52" t="s">
        <v>434</v>
      </c>
      <c r="C52" t="s">
        <v>435</v>
      </c>
      <c r="D52" t="s">
        <v>436</v>
      </c>
      <c r="E52" t="n">
        <v>1</v>
      </c>
      <c r="F52"/>
      <c r="G52"/>
    </row>
    <row r="53">
      <c r="A53" t="s">
        <v>165</v>
      </c>
      <c r="B53" t="s">
        <v>437</v>
      </c>
      <c r="C53" t="s">
        <v>435</v>
      </c>
      <c r="D53" t="s">
        <v>436</v>
      </c>
      <c r="E53" t="n">
        <v>1</v>
      </c>
      <c r="F53"/>
      <c r="G53"/>
    </row>
    <row r="54">
      <c r="A54" t="s">
        <v>166</v>
      </c>
      <c r="B54" t="s">
        <v>438</v>
      </c>
      <c r="C54" t="s">
        <v>435</v>
      </c>
      <c r="D54" t="s">
        <v>436</v>
      </c>
      <c r="E54" t="n">
        <v>1</v>
      </c>
      <c r="F54"/>
      <c r="G54"/>
    </row>
    <row r="55">
      <c r="A55" t="s">
        <v>167</v>
      </c>
      <c r="B55" t="s">
        <v>439</v>
      </c>
      <c r="C55" t="s">
        <v>435</v>
      </c>
      <c r="D55" t="s">
        <v>436</v>
      </c>
      <c r="E55" t="n">
        <v>1</v>
      </c>
      <c r="F55"/>
      <c r="G55"/>
    </row>
    <row r="56">
      <c r="A56" t="s">
        <v>168</v>
      </c>
      <c r="B56" t="s">
        <v>440</v>
      </c>
      <c r="C56" t="s">
        <v>441</v>
      </c>
      <c r="D56" t="s">
        <v>442</v>
      </c>
      <c r="E56" t="n">
        <v>1</v>
      </c>
      <c r="F56"/>
      <c r="G56"/>
    </row>
    <row r="57">
      <c r="A57" t="s">
        <v>169</v>
      </c>
      <c r="B57" t="s">
        <v>443</v>
      </c>
      <c r="C57" t="s">
        <v>441</v>
      </c>
      <c r="D57" t="s">
        <v>442</v>
      </c>
      <c r="E57" t="n">
        <v>1</v>
      </c>
      <c r="F57"/>
      <c r="G57"/>
    </row>
    <row r="58">
      <c r="A58" t="s">
        <v>170</v>
      </c>
      <c r="B58" t="s">
        <v>444</v>
      </c>
      <c r="C58" t="s">
        <v>445</v>
      </c>
      <c r="D58" t="s">
        <v>446</v>
      </c>
      <c r="E58" t="n">
        <v>1</v>
      </c>
      <c r="F58" t="s">
        <v>447</v>
      </c>
      <c r="G58"/>
    </row>
    <row r="59">
      <c r="A59" t="s">
        <v>171</v>
      </c>
      <c r="B59" t="s">
        <v>448</v>
      </c>
      <c r="C59" t="s">
        <v>445</v>
      </c>
      <c r="D59" t="s">
        <v>446</v>
      </c>
      <c r="E59" t="n">
        <v>1</v>
      </c>
      <c r="F59"/>
      <c r="G59"/>
    </row>
    <row r="60">
      <c r="A60" t="s">
        <v>173</v>
      </c>
      <c r="B60" t="s">
        <v>449</v>
      </c>
      <c r="C60" t="s">
        <v>445</v>
      </c>
      <c r="D60" t="s">
        <v>446</v>
      </c>
      <c r="E60" t="n">
        <v>1</v>
      </c>
      <c r="F60"/>
      <c r="G60"/>
    </row>
    <row r="61">
      <c r="A61" t="s">
        <v>172</v>
      </c>
      <c r="B61" t="s">
        <v>450</v>
      </c>
      <c r="C61" t="s">
        <v>432</v>
      </c>
      <c r="D61" t="s">
        <v>433</v>
      </c>
      <c r="E61" t="n">
        <v>1</v>
      </c>
      <c r="F61" t="s">
        <v>451</v>
      </c>
      <c r="G61"/>
    </row>
    <row r="62">
      <c r="A62" t="s">
        <v>174</v>
      </c>
      <c r="B62" t="s">
        <v>452</v>
      </c>
      <c r="C62" t="s">
        <v>445</v>
      </c>
      <c r="D62" t="s">
        <v>446</v>
      </c>
      <c r="E62" t="n">
        <v>1</v>
      </c>
      <c r="F62"/>
      <c r="G62"/>
    </row>
    <row r="63">
      <c r="A63" t="s">
        <v>175</v>
      </c>
      <c r="B63" t="s">
        <v>453</v>
      </c>
      <c r="C63" t="s">
        <v>445</v>
      </c>
      <c r="D63" t="s">
        <v>446</v>
      </c>
      <c r="E63" t="n">
        <v>1</v>
      </c>
      <c r="F63"/>
      <c r="G63"/>
    </row>
    <row r="64">
      <c r="A64" t="s">
        <v>176</v>
      </c>
      <c r="B64" t="s">
        <v>454</v>
      </c>
      <c r="C64" t="s">
        <v>356</v>
      </c>
      <c r="D64" t="s">
        <v>455</v>
      </c>
      <c r="E64" t="n">
        <v>1</v>
      </c>
      <c r="F64"/>
      <c r="G64"/>
    </row>
    <row r="65">
      <c r="A65" t="s">
        <v>177</v>
      </c>
      <c r="B65" t="s">
        <v>456</v>
      </c>
      <c r="C65" t="s">
        <v>457</v>
      </c>
      <c r="D65" t="s">
        <v>458</v>
      </c>
      <c r="E65" t="n">
        <v>1</v>
      </c>
      <c r="F65"/>
      <c r="G65"/>
    </row>
    <row r="66">
      <c r="A66" t="s">
        <v>178</v>
      </c>
      <c r="B66" t="s">
        <v>459</v>
      </c>
      <c r="C66" t="s">
        <v>460</v>
      </c>
      <c r="D66" t="s">
        <v>461</v>
      </c>
      <c r="E66" t="n">
        <v>1</v>
      </c>
      <c r="F66"/>
      <c r="G66"/>
    </row>
    <row r="67">
      <c r="A67" t="s">
        <v>179</v>
      </c>
      <c r="B67" t="s">
        <v>462</v>
      </c>
      <c r="C67" t="s">
        <v>460</v>
      </c>
      <c r="D67" t="s">
        <v>461</v>
      </c>
      <c r="E67" t="n">
        <v>1</v>
      </c>
      <c r="F67"/>
      <c r="G67"/>
    </row>
    <row r="68">
      <c r="A68" t="s">
        <v>180</v>
      </c>
      <c r="B68" t="s">
        <v>463</v>
      </c>
      <c r="C68" t="s">
        <v>460</v>
      </c>
      <c r="D68" t="s">
        <v>461</v>
      </c>
      <c r="E68" t="n">
        <v>1</v>
      </c>
      <c r="F68"/>
      <c r="G68"/>
    </row>
    <row r="69">
      <c r="A69" t="s">
        <v>181</v>
      </c>
      <c r="B69" t="s">
        <v>464</v>
      </c>
      <c r="C69" t="s">
        <v>460</v>
      </c>
      <c r="D69" t="s">
        <v>461</v>
      </c>
      <c r="E69" t="n">
        <v>1</v>
      </c>
      <c r="F69"/>
      <c r="G69"/>
    </row>
    <row r="70">
      <c r="A70" t="s">
        <v>182</v>
      </c>
      <c r="B70" t="s">
        <v>465</v>
      </c>
      <c r="C70" t="s">
        <v>466</v>
      </c>
      <c r="D70" t="s">
        <v>467</v>
      </c>
      <c r="E70" t="n">
        <v>1</v>
      </c>
      <c r="F70"/>
      <c r="G70"/>
    </row>
    <row r="71">
      <c r="A71" t="s">
        <v>183</v>
      </c>
      <c r="B71" t="s">
        <v>468</v>
      </c>
      <c r="C71" t="s">
        <v>466</v>
      </c>
      <c r="D71" t="s">
        <v>467</v>
      </c>
      <c r="E71" t="n">
        <v>1</v>
      </c>
      <c r="F71"/>
      <c r="G71"/>
    </row>
    <row r="72">
      <c r="A72" t="s">
        <v>184</v>
      </c>
      <c r="B72" t="s">
        <v>469</v>
      </c>
      <c r="C72" t="s">
        <v>470</v>
      </c>
      <c r="D72" t="s">
        <v>471</v>
      </c>
      <c r="E72" t="n">
        <v>1</v>
      </c>
      <c r="F72"/>
      <c r="G72"/>
    </row>
    <row r="73">
      <c r="A73" t="s">
        <v>185</v>
      </c>
      <c r="B73" t="s">
        <v>472</v>
      </c>
      <c r="C73" t="s">
        <v>470</v>
      </c>
      <c r="D73" t="s">
        <v>471</v>
      </c>
      <c r="E73" t="n">
        <v>1</v>
      </c>
      <c r="F73"/>
      <c r="G73"/>
    </row>
    <row r="74">
      <c r="A74" t="s">
        <v>186</v>
      </c>
      <c r="B74" t="s">
        <v>473</v>
      </c>
      <c r="C74" t="s">
        <v>466</v>
      </c>
      <c r="D74" t="s">
        <v>467</v>
      </c>
      <c r="E74" t="n">
        <v>1</v>
      </c>
      <c r="F74"/>
      <c r="G74"/>
    </row>
    <row r="75">
      <c r="A75" t="s">
        <v>187</v>
      </c>
      <c r="B75" t="s">
        <v>474</v>
      </c>
      <c r="C75" t="s">
        <v>475</v>
      </c>
      <c r="D75" t="s">
        <v>476</v>
      </c>
      <c r="E75" t="n">
        <v>1</v>
      </c>
      <c r="F75"/>
      <c r="G75"/>
    </row>
    <row r="76">
      <c r="A76" t="s">
        <v>188</v>
      </c>
      <c r="B76" t="s">
        <v>477</v>
      </c>
      <c r="C76" t="s">
        <v>475</v>
      </c>
      <c r="D76" t="s">
        <v>476</v>
      </c>
      <c r="E76" t="n">
        <v>1</v>
      </c>
      <c r="F76"/>
      <c r="G76"/>
    </row>
    <row r="77">
      <c r="A77" t="s">
        <v>189</v>
      </c>
      <c r="B77" t="s">
        <v>478</v>
      </c>
      <c r="C77" t="s">
        <v>475</v>
      </c>
      <c r="D77" t="s">
        <v>476</v>
      </c>
      <c r="E77" t="n">
        <v>1</v>
      </c>
      <c r="F77"/>
      <c r="G77"/>
    </row>
    <row r="78">
      <c r="A78" t="s">
        <v>190</v>
      </c>
      <c r="B78" t="s">
        <v>479</v>
      </c>
      <c r="C78" t="s">
        <v>475</v>
      </c>
      <c r="D78" t="s">
        <v>476</v>
      </c>
      <c r="E78" t="n">
        <v>1</v>
      </c>
      <c r="F78"/>
      <c r="G78"/>
    </row>
    <row r="79">
      <c r="A79" t="s">
        <v>191</v>
      </c>
      <c r="B79" t="s">
        <v>480</v>
      </c>
      <c r="C79" t="s">
        <v>475</v>
      </c>
      <c r="D79" t="s">
        <v>476</v>
      </c>
      <c r="E79" t="n">
        <v>1</v>
      </c>
      <c r="F79"/>
      <c r="G79"/>
    </row>
    <row r="80">
      <c r="A80" t="s">
        <v>124</v>
      </c>
      <c r="B80" t="s">
        <v>481</v>
      </c>
      <c r="C80" t="s">
        <v>482</v>
      </c>
      <c r="D80" t="s">
        <v>483</v>
      </c>
      <c r="E80" t="n">
        <v>0</v>
      </c>
      <c r="F80"/>
      <c r="G80" t="s">
        <v>484</v>
      </c>
    </row>
    <row r="81">
      <c r="A81" t="s">
        <v>124</v>
      </c>
      <c r="B81" t="s">
        <v>481</v>
      </c>
      <c r="C81" t="s">
        <v>485</v>
      </c>
      <c r="D81" t="s">
        <v>486</v>
      </c>
      <c r="E81" t="n">
        <v>1</v>
      </c>
      <c r="F81"/>
      <c r="G81" t="s">
        <v>484</v>
      </c>
    </row>
    <row r="82">
      <c r="A82" t="s">
        <v>129</v>
      </c>
      <c r="B82" t="s">
        <v>487</v>
      </c>
      <c r="C82" t="s">
        <v>488</v>
      </c>
      <c r="D82" t="s">
        <v>489</v>
      </c>
      <c r="E82" t="n">
        <v>0.25</v>
      </c>
      <c r="F82"/>
      <c r="G82" t="s">
        <v>490</v>
      </c>
    </row>
    <row r="83">
      <c r="A83" t="s">
        <v>129</v>
      </c>
      <c r="B83" t="s">
        <v>487</v>
      </c>
      <c r="C83" t="s">
        <v>491</v>
      </c>
      <c r="D83" t="s">
        <v>492</v>
      </c>
      <c r="E83" t="n">
        <v>0.75</v>
      </c>
      <c r="F83"/>
      <c r="G83" t="s">
        <v>490</v>
      </c>
    </row>
    <row r="84">
      <c r="A84" t="s">
        <v>130</v>
      </c>
      <c r="B84" t="s">
        <v>493</v>
      </c>
      <c r="C84" t="s">
        <v>379</v>
      </c>
      <c r="D84" t="s">
        <v>380</v>
      </c>
      <c r="E84" t="n">
        <v>0.4</v>
      </c>
      <c r="F84"/>
      <c r="G84" t="s">
        <v>494</v>
      </c>
    </row>
    <row r="85">
      <c r="A85" t="s">
        <v>130</v>
      </c>
      <c r="B85" t="s">
        <v>493</v>
      </c>
      <c r="C85" t="s">
        <v>495</v>
      </c>
      <c r="D85" t="s">
        <v>496</v>
      </c>
      <c r="E85" t="n">
        <v>0.6</v>
      </c>
      <c r="F85"/>
      <c r="G85" t="s">
        <v>494</v>
      </c>
    </row>
    <row r="86">
      <c r="A86" t="s">
        <v>145</v>
      </c>
      <c r="B86" t="s">
        <v>497</v>
      </c>
      <c r="C86" t="s">
        <v>498</v>
      </c>
      <c r="D86" t="s">
        <v>499</v>
      </c>
      <c r="E86" t="n">
        <v>0.5</v>
      </c>
      <c r="F86"/>
      <c r="G86" t="s">
        <v>500</v>
      </c>
    </row>
    <row r="87">
      <c r="A87" t="s">
        <v>145</v>
      </c>
      <c r="B87" t="s">
        <v>497</v>
      </c>
      <c r="C87" t="s">
        <v>501</v>
      </c>
      <c r="D87" t="s">
        <v>502</v>
      </c>
      <c r="E87" t="n">
        <v>0.5</v>
      </c>
      <c r="F87"/>
      <c r="G87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503</v>
      </c>
    </row>
    <row r="2">
      <c r="A2" t="s">
        <v>1</v>
      </c>
    </row>
    <row r="3">
      <c r="A3" t="s">
        <v>504</v>
      </c>
    </row>
    <row r="4">
      <c r="A4" t="s">
        <v>505</v>
      </c>
    </row>
    <row r="5">
      <c r="A5" t="s">
        <v>506</v>
      </c>
    </row>
    <row r="6">
      <c r="A6" t="s">
        <v>507</v>
      </c>
    </row>
    <row r="7">
      <c r="A7" t="s">
        <v>508</v>
      </c>
    </row>
    <row r="8">
      <c r="A8" t="s">
        <v>509</v>
      </c>
    </row>
    <row r="9">
      <c r="A9" t="s">
        <v>1</v>
      </c>
    </row>
    <row r="11">
      <c r="A11" t="s">
        <v>332</v>
      </c>
      <c r="B11" t="s">
        <v>334</v>
      </c>
      <c r="C11" t="s">
        <v>336</v>
      </c>
      <c r="D11" t="s">
        <v>338</v>
      </c>
    </row>
    <row r="12">
      <c r="A12" t="n">
        <v>212</v>
      </c>
      <c r="B12" t="s">
        <v>482</v>
      </c>
      <c r="C12" t="n">
        <v>0</v>
      </c>
      <c r="D12" t="s">
        <v>484</v>
      </c>
    </row>
    <row r="13">
      <c r="A13" t="n">
        <v>212</v>
      </c>
      <c r="B13" t="s">
        <v>485</v>
      </c>
      <c r="C13" t="n">
        <v>1</v>
      </c>
      <c r="D13" t="s">
        <v>484</v>
      </c>
    </row>
    <row r="14">
      <c r="A14" t="n">
        <v>327</v>
      </c>
      <c r="B14" t="s">
        <v>488</v>
      </c>
      <c r="C14" t="n">
        <v>0.25</v>
      </c>
      <c r="D14" t="s">
        <v>490</v>
      </c>
    </row>
    <row r="15">
      <c r="A15" t="n">
        <v>327</v>
      </c>
      <c r="B15" t="s">
        <v>491</v>
      </c>
      <c r="C15" t="n">
        <v>0.75</v>
      </c>
      <c r="D15" t="s">
        <v>490</v>
      </c>
    </row>
    <row r="16">
      <c r="A16" t="n">
        <v>331</v>
      </c>
      <c r="B16" t="s">
        <v>379</v>
      </c>
      <c r="C16" t="n">
        <v>0.4</v>
      </c>
      <c r="D16" t="s">
        <v>494</v>
      </c>
    </row>
    <row r="17">
      <c r="A17" t="n">
        <v>331</v>
      </c>
      <c r="B17" t="s">
        <v>495</v>
      </c>
      <c r="C17" t="n">
        <v>0.6</v>
      </c>
      <c r="D17" t="s">
        <v>494</v>
      </c>
    </row>
    <row r="18">
      <c r="A18" t="n">
        <v>325</v>
      </c>
      <c r="B18" t="s">
        <v>498</v>
      </c>
      <c r="C18" t="n">
        <v>0.5</v>
      </c>
      <c r="D18" t="s">
        <v>500</v>
      </c>
    </row>
    <row r="19">
      <c r="A19" t="n">
        <v>325</v>
      </c>
      <c r="B19" t="s">
        <v>501</v>
      </c>
      <c r="C19" t="n">
        <v>0.5</v>
      </c>
      <c r="D19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510</v>
      </c>
    </row>
    <row r="2">
      <c r="A2" t="s">
        <v>511</v>
      </c>
    </row>
    <row r="3">
      <c r="A3" t="s">
        <v>512</v>
      </c>
    </row>
    <row r="4">
      <c r="A4" t="s">
        <v>513</v>
      </c>
    </row>
    <row r="5">
      <c r="A5" t="s">
        <v>1</v>
      </c>
    </row>
    <row r="7">
      <c r="A7" t="s">
        <v>514</v>
      </c>
      <c r="B7" t="s">
        <v>515</v>
      </c>
      <c r="C7" t="s">
        <v>516</v>
      </c>
    </row>
    <row r="8">
      <c r="A8" t="s">
        <v>340</v>
      </c>
      <c r="B8" t="s">
        <v>517</v>
      </c>
      <c r="C8" t="s">
        <v>518</v>
      </c>
    </row>
    <row r="9">
      <c r="A9" t="s">
        <v>482</v>
      </c>
      <c r="B9" t="s">
        <v>483</v>
      </c>
      <c r="C9" t="s">
        <v>519</v>
      </c>
    </row>
    <row r="10">
      <c r="A10" t="s">
        <v>344</v>
      </c>
      <c r="B10" t="s">
        <v>345</v>
      </c>
      <c r="C10" t="s">
        <v>520</v>
      </c>
    </row>
    <row r="11">
      <c r="A11" t="s">
        <v>485</v>
      </c>
      <c r="B11" t="s">
        <v>521</v>
      </c>
      <c r="C11" t="s">
        <v>522</v>
      </c>
    </row>
    <row r="12">
      <c r="A12" t="s">
        <v>347</v>
      </c>
      <c r="B12" t="s">
        <v>348</v>
      </c>
      <c r="C12" t="s">
        <v>523</v>
      </c>
    </row>
    <row r="13">
      <c r="A13" t="s">
        <v>362</v>
      </c>
      <c r="B13" t="s">
        <v>524</v>
      </c>
      <c r="C13" t="s">
        <v>525</v>
      </c>
    </row>
    <row r="14">
      <c r="A14" t="s">
        <v>365</v>
      </c>
      <c r="B14" t="s">
        <v>526</v>
      </c>
      <c r="C14" t="s">
        <v>527</v>
      </c>
    </row>
    <row r="15">
      <c r="A15" t="s">
        <v>369</v>
      </c>
      <c r="B15" t="s">
        <v>528</v>
      </c>
      <c r="C15" t="s">
        <v>529</v>
      </c>
    </row>
    <row r="16">
      <c r="A16" t="s">
        <v>372</v>
      </c>
      <c r="B16" t="s">
        <v>373</v>
      </c>
      <c r="C16" t="s">
        <v>530</v>
      </c>
    </row>
    <row r="17">
      <c r="A17" t="s">
        <v>376</v>
      </c>
      <c r="B17" t="s">
        <v>377</v>
      </c>
      <c r="C17" t="s">
        <v>531</v>
      </c>
    </row>
    <row r="18">
      <c r="A18" t="s">
        <v>498</v>
      </c>
      <c r="B18" t="s">
        <v>532</v>
      </c>
      <c r="C18" t="s">
        <v>533</v>
      </c>
    </row>
    <row r="19">
      <c r="A19" t="s">
        <v>501</v>
      </c>
      <c r="B19" t="s">
        <v>534</v>
      </c>
      <c r="C19" t="s">
        <v>535</v>
      </c>
    </row>
    <row r="20">
      <c r="A20" t="s">
        <v>126</v>
      </c>
      <c r="B20" t="s">
        <v>383</v>
      </c>
      <c r="C20" t="s">
        <v>536</v>
      </c>
    </row>
    <row r="21">
      <c r="A21" t="s">
        <v>488</v>
      </c>
      <c r="B21" t="s">
        <v>537</v>
      </c>
      <c r="C21" t="s">
        <v>538</v>
      </c>
    </row>
    <row r="22">
      <c r="A22" t="s">
        <v>491</v>
      </c>
      <c r="B22" t="s">
        <v>539</v>
      </c>
      <c r="C22" t="s">
        <v>540</v>
      </c>
    </row>
    <row r="23">
      <c r="A23" t="s">
        <v>379</v>
      </c>
      <c r="B23" t="s">
        <v>541</v>
      </c>
      <c r="C23" t="s">
        <v>542</v>
      </c>
    </row>
    <row r="24">
      <c r="A24" t="s">
        <v>495</v>
      </c>
      <c r="B24" t="s">
        <v>543</v>
      </c>
      <c r="C24" t="s">
        <v>544</v>
      </c>
    </row>
    <row r="25">
      <c r="A25" t="s">
        <v>385</v>
      </c>
      <c r="B25" t="s">
        <v>545</v>
      </c>
      <c r="C25" t="s">
        <v>546</v>
      </c>
    </row>
    <row r="26">
      <c r="A26" t="s">
        <v>390</v>
      </c>
      <c r="B26" t="s">
        <v>391</v>
      </c>
      <c r="C26" t="s">
        <v>547</v>
      </c>
    </row>
    <row r="27">
      <c r="A27" t="s">
        <v>393</v>
      </c>
      <c r="B27" t="s">
        <v>394</v>
      </c>
      <c r="C27" t="s">
        <v>548</v>
      </c>
    </row>
    <row r="28">
      <c r="A28" t="s">
        <v>387</v>
      </c>
      <c r="B28" t="s">
        <v>388</v>
      </c>
      <c r="C28" t="s">
        <v>549</v>
      </c>
    </row>
    <row r="29">
      <c r="A29" t="s">
        <v>396</v>
      </c>
      <c r="B29" t="s">
        <v>550</v>
      </c>
      <c r="C29" t="s">
        <v>551</v>
      </c>
    </row>
    <row r="30">
      <c r="A30" t="s">
        <v>399</v>
      </c>
      <c r="B30" t="s">
        <v>400</v>
      </c>
      <c r="C30" t="s">
        <v>552</v>
      </c>
    </row>
    <row r="31">
      <c r="A31" t="s">
        <v>402</v>
      </c>
      <c r="B31" t="s">
        <v>553</v>
      </c>
      <c r="C31" t="s">
        <v>554</v>
      </c>
    </row>
    <row r="32">
      <c r="A32" t="s">
        <v>350</v>
      </c>
      <c r="B32" t="s">
        <v>555</v>
      </c>
      <c r="C32" t="s">
        <v>556</v>
      </c>
    </row>
    <row r="33">
      <c r="A33" t="s">
        <v>353</v>
      </c>
      <c r="B33" t="s">
        <v>557</v>
      </c>
      <c r="C33" t="s">
        <v>558</v>
      </c>
    </row>
    <row r="34">
      <c r="A34" t="s">
        <v>356</v>
      </c>
      <c r="B34" t="s">
        <v>559</v>
      </c>
      <c r="C34" t="s">
        <v>560</v>
      </c>
    </row>
    <row r="35">
      <c r="A35" t="s">
        <v>360</v>
      </c>
      <c r="B35" t="s">
        <v>359</v>
      </c>
      <c r="C35" t="s">
        <v>561</v>
      </c>
    </row>
    <row r="36">
      <c r="A36" t="s">
        <v>406</v>
      </c>
      <c r="B36" t="s">
        <v>562</v>
      </c>
      <c r="C36" t="s">
        <v>563</v>
      </c>
    </row>
    <row r="37">
      <c r="A37" t="s">
        <v>413</v>
      </c>
      <c r="B37" t="s">
        <v>414</v>
      </c>
      <c r="C37" t="s">
        <v>564</v>
      </c>
    </row>
    <row r="38">
      <c r="A38" t="s">
        <v>470</v>
      </c>
      <c r="B38" t="s">
        <v>565</v>
      </c>
      <c r="C38" t="s">
        <v>566</v>
      </c>
    </row>
    <row r="39">
      <c r="A39" t="s">
        <v>425</v>
      </c>
      <c r="B39" t="s">
        <v>567</v>
      </c>
      <c r="C39" t="s">
        <v>568</v>
      </c>
    </row>
    <row r="40">
      <c r="A40" t="s">
        <v>177</v>
      </c>
      <c r="B40" t="s">
        <v>430</v>
      </c>
      <c r="C40" t="s">
        <v>569</v>
      </c>
    </row>
    <row r="41">
      <c r="A41" t="s">
        <v>432</v>
      </c>
      <c r="B41" t="s">
        <v>433</v>
      </c>
      <c r="C41" t="s">
        <v>570</v>
      </c>
    </row>
    <row r="42">
      <c r="A42" t="s">
        <v>435</v>
      </c>
      <c r="B42" t="s">
        <v>571</v>
      </c>
      <c r="C42" t="s">
        <v>572</v>
      </c>
    </row>
    <row r="43">
      <c r="A43" t="s">
        <v>441</v>
      </c>
      <c r="B43" t="s">
        <v>442</v>
      </c>
      <c r="C43" t="s">
        <v>573</v>
      </c>
    </row>
    <row r="44">
      <c r="A44" t="s">
        <v>445</v>
      </c>
      <c r="B44" t="s">
        <v>574</v>
      </c>
      <c r="C44" t="s">
        <v>575</v>
      </c>
    </row>
    <row r="45">
      <c r="A45" t="s">
        <v>475</v>
      </c>
      <c r="B45" t="s">
        <v>576</v>
      </c>
      <c r="C45" t="s">
        <v>577</v>
      </c>
    </row>
    <row r="46">
      <c r="A46" t="s">
        <v>457</v>
      </c>
      <c r="B46" t="s">
        <v>458</v>
      </c>
      <c r="C46" t="s">
        <v>578</v>
      </c>
    </row>
    <row r="47">
      <c r="A47" t="s">
        <v>460</v>
      </c>
      <c r="B47" t="s">
        <v>579</v>
      </c>
      <c r="C47" t="s">
        <v>580</v>
      </c>
    </row>
    <row r="48">
      <c r="A48" t="s">
        <v>466</v>
      </c>
      <c r="B48" t="s">
        <v>581</v>
      </c>
      <c r="C48" t="s">
        <v>582</v>
      </c>
    </row>
    <row r="49">
      <c r="A49" t="s">
        <v>583</v>
      </c>
      <c r="B49" t="s">
        <v>584</v>
      </c>
      <c r="C49" t="s">
        <v>585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IFERROR(INDEX('1_DCS_numerator_by_BEA'!$B$2:$B$74, MATCH($A3, '1_DCS_numerator_by_BEA'!$A$2:$A$74,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IFERROR(INDEX('1_DCS_numerator_by_BEA'!$B$2:$B$74, MATCH($A4, '1_DCS_numerator_by_BEA'!$A$2:$A$74,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IFERROR(INDEX('1_DCS_numerator_by_BEA'!$B$2:$B$74, MATCH($A5, '1_DCS_numerator_by_BEA'!$A$2:$A$74,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IFERROR(INDEX('1_DCS_numerator_by_BEA'!$B$2:$B$74, MATCH($A6, '1_DCS_numerator_by_BEA'!$A$2:$A$74,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IFERROR(INDEX('1_DCS_numerator_by_BEA'!$B$2:$B$74, MATCH($A7, '1_DCS_numerator_by_BEA'!$A$2:$A$74,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IFERROR(INDEX('1_DCS_numerator_by_BEA'!$B$2:$B$74, MATCH($A8, '1_DCS_numerator_by_BEA'!$A$2:$A$74,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IFERROR(INDEX('1_DCS_numerator_by_BEA'!$B$2:$B$74, MATCH($A9, '1_DCS_numerator_by_BEA'!$A$2:$A$74,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IFERROR(INDEX('1_DCS_numerator_by_BEA'!$B$2:$B$74, MATCH($A10, '1_DCS_numerator_by_BEA'!$A$2:$A$74,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IFERROR(INDEX('1_DCS_numerator_by_BEA'!$B$2:$B$74, MATCH($A11, '1_DCS_numerator_by_BEA'!$A$2:$A$74,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IFERROR(INDEX('1_DCS_numerator_by_BEA'!$B$2:$B$74, MATCH($A12, '1_DCS_numerator_by_BEA'!$A$2:$A$74,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IFERROR(INDEX('1_DCS_numerator_by_BEA'!$B$2:$B$74, MATCH($A13, '1_DCS_numerator_by_BEA'!$A$2:$A$74,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IFERROR(INDEX('1_DCS_numerator_by_BEA'!$B$2:$B$74, MATCH($A14, '1_DCS_numerator_by_BEA'!$A$2:$A$74,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IFERROR(INDEX('1_DCS_numerator_by_BEA'!$B$2:$B$74, MATCH($A15, '1_DCS_numerator_by_BEA'!$A$2:$A$74,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IFERROR(INDEX('1_DCS_numerator_by_BEA'!$B$2:$B$74, MATCH($A16, '1_DCS_numerator_by_BEA'!$A$2:$A$74,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IFERROR(INDEX('1_DCS_numerator_by_BEA'!$B$2:$B$74, MATCH($A17, '1_DCS_numerator_by_BEA'!$A$2:$A$74,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IFERROR(INDEX('1_DCS_numerator_by_BEA'!$B$2:$B$74, MATCH($A18, '1_DCS_numerator_by_BEA'!$A$2:$A$74,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IFERROR(INDEX('1_DCS_numerator_by_BEA'!$B$2:$B$74, MATCH($A19, '1_DCS_numerator_by_BEA'!$A$2:$A$74,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IFERROR(INDEX('1_DCS_numerator_by_BEA'!$B$2:$B$74, MATCH($A20, '1_DCS_numerator_by_BEA'!$A$2:$A$74,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IFERROR(INDEX('1_DCS_numerator_by_BEA'!$B$2:$B$74, MATCH($A21, '1_DCS_numerator_by_BEA'!$A$2:$A$74,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IFERROR(INDEX('1_DCS_numerator_by_BEA'!$B$2:$B$74, MATCH($A22, '1_DCS_numerator_by_BEA'!$A$2:$A$74,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IFERROR(INDEX('1_DCS_numerator_by_BEA'!$B$2:$B$74, MATCH($A23, '1_DCS_numerator_by_BEA'!$A$2:$A$74,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IFERROR(INDEX('1_DCS_numerator_by_BEA'!$B$2:$B$74, MATCH($A24, '1_DCS_numerator_by_BEA'!$A$2:$A$74,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IFERROR(INDEX('1_DCS_numerator_by_BEA'!$B$2:$B$74, MATCH($A25, '1_DCS_numerator_by_BEA'!$A$2:$A$74,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IFERROR(INDEX('1_DCS_numerator_by_BEA'!$B$2:$B$74, MATCH($A26, '1_DCS_numerator_by_BEA'!$A$2:$A$74,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IFERROR(INDEX('1_DCS_numerator_by_BEA'!$B$2:$B$74, MATCH($A27, '1_DCS_numerator_by_BEA'!$A$2:$A$74,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IFERROR(INDEX('1_DCS_numerator_by_BEA'!$B$2:$B$74, MATCH($A28, '1_DCS_numerator_by_BEA'!$A$2:$A$74,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IFERROR(INDEX('1_DCS_numerator_by_BEA'!$B$2:$B$74, MATCH($A29, '1_DCS_numerator_by_BEA'!$A$2:$A$74,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IFERROR(INDEX('1_DCS_numerator_by_BEA'!$B$2:$B$74, MATCH($A30, '1_DCS_numerator_by_BEA'!$A$2:$A$74,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IFERROR(INDEX('1_DCS_numerator_by_BEA'!$B$2:$B$74, MATCH($A31, '1_DCS_numerator_by_BEA'!$A$2:$A$74,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IFERROR(INDEX('1_DCS_numerator_by_BEA'!$B$2:$B$74, MATCH($A32, '1_DCS_numerator_by_BEA'!$A$2:$A$74,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IFERROR(INDEX('1_DCS_numerator_by_BEA'!$B$2:$B$74, MATCH($A33, '1_DCS_numerator_by_BEA'!$A$2:$A$74,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IFERROR(INDEX('1_DCS_numerator_by_BEA'!$B$2:$B$74, MATCH($A34, '1_DCS_numerator_by_BEA'!$A$2:$A$74,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IFERROR(INDEX('1_DCS_numerator_by_BEA'!$B$2:$B$74, MATCH($A35, '1_DCS_numerator_by_BEA'!$A$2:$A$74,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IFERROR(INDEX('1_DCS_numerator_by_BEA'!$B$2:$B$74, MATCH($A36, '1_DCS_numerator_by_BEA'!$A$2:$A$74,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IFERROR(INDEX('1_DCS_numerator_by_BEA'!$B$2:$B$74, MATCH($A37, '1_DCS_numerator_by_BEA'!$A$2:$A$74,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IFERROR(INDEX('1_DCS_numerator_by_BEA'!$B$2:$B$74, MATCH($A38, '1_DCS_numerator_by_BEA'!$A$2:$A$74,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IFERROR(INDEX('1_DCS_numerator_by_BEA'!$B$2:$B$74, MATCH($A39, '1_DCS_numerator_by_BEA'!$A$2:$A$74,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IFERROR(INDEX('1_DCS_numerator_by_BEA'!$B$2:$B$74, MATCH($A40, '1_DCS_numerator_by_BEA'!$A$2:$A$74,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IFERROR(INDEX('1_DCS_numerator_by_BEA'!$B$2:$B$74, MATCH($A41, '1_DCS_numerator_by_BEA'!$A$2:$A$74,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IFERROR(INDEX('1_DCS_numerator_by_BEA'!$B$2:$B$74, MATCH($A42, '1_DCS_numerator_by_BEA'!$A$2:$A$74,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IFERROR(INDEX('1_DCS_numerator_by_BEA'!$B$2:$B$74, MATCH($A43, '1_DCS_numerator_by_BEA'!$A$2:$A$74,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IFERROR(INDEX('1_DCS_numerator_by_BEA'!$B$2:$B$74, MATCH($A44, '1_DCS_numerator_by_BEA'!$A$2:$A$74,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IFERROR(INDEX('1_DCS_numerator_by_BEA'!$B$2:$B$74, MATCH($A45, '1_DCS_numerator_by_BEA'!$A$2:$A$74,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IFERROR(INDEX('1_DCS_numerator_by_BEA'!$B$2:$B$74, MATCH($A46, '1_DCS_numerator_by_BEA'!$A$2:$A$74,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IFERROR(INDEX('1_DCS_numerator_by_BEA'!$B$2:$B$74, MATCH($A47, '1_DCS_numerator_by_BEA'!$A$2:$A$74,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IFERROR(INDEX('1_DCS_numerator_by_BEA'!$B$2:$B$74, MATCH($A48, '1_DCS_numerator_by_BEA'!$A$2:$A$74,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IFERROR(INDEX('1_DCS_numerator_by_BEA'!$B$2:$B$74, MATCH($A49, '1_DCS_numerator_by_BEA'!$A$2:$A$74,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IFERROR(INDEX('1_DCS_numerator_by_BEA'!$B$2:$B$74, MATCH($A50, '1_DCS_numerator_by_BEA'!$A$2:$A$74,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IFERROR(INDEX('1_DCS_numerator_by_BEA'!$B$2:$B$74, MATCH($A51, '1_DCS_numerator_by_BEA'!$A$2:$A$74,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IFERROR(INDEX('1_DCS_numerator_by_BEA'!$B$2:$B$74, MATCH($A52, '1_DCS_numerator_by_BEA'!$A$2:$A$74,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IFERROR(INDEX('1_DCS_numerator_by_BEA'!$B$2:$B$74, MATCH($A53, '1_DCS_numerator_by_BEA'!$A$2:$A$74,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IFERROR(INDEX('1_DCS_numerator_by_BEA'!$B$2:$B$74, MATCH($A54, '1_DCS_numerator_by_BEA'!$A$2:$A$74,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IFERROR(INDEX('1_DCS_numerator_by_BEA'!$B$2:$B$74, MATCH($A55, '1_DCS_numerator_by_BEA'!$A$2:$A$74,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IFERROR(INDEX('1_DCS_numerator_by_BEA'!$B$2:$B$74, MATCH($A56, '1_DCS_numerator_by_BEA'!$A$2:$A$74,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IFERROR(INDEX('1_DCS_numerator_by_BEA'!$B$2:$B$74, MATCH($A57, '1_DCS_numerator_by_BEA'!$A$2:$A$74,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IFERROR(INDEX('1_DCS_numerator_by_BEA'!$B$2:$B$74, MATCH($A58, '1_DCS_numerator_by_BEA'!$A$2:$A$74,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IFERROR(INDEX('1_DCS_numerator_by_BEA'!$B$2:$B$74, MATCH($A59, '1_DCS_numerator_by_BEA'!$A$2:$A$74,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IFERROR(INDEX('1_DCS_numerator_by_BEA'!$B$2:$B$74, MATCH($A60, '1_DCS_numerator_by_BEA'!$A$2:$A$74,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IFERROR(INDEX('1_DCS_numerator_by_BEA'!$B$2:$B$74, MATCH($A61, '1_DCS_numerator_by_BEA'!$A$2:$A$74,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IFERROR(INDEX('1_DCS_numerator_by_BEA'!$B$2:$B$74, MATCH($A62, '1_DCS_numerator_by_BEA'!$A$2:$A$74,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IFERROR(INDEX('1_DCS_numerator_by_BEA'!$B$2:$B$74, MATCH($A63, '1_DCS_numerator_by_BEA'!$A$2:$A$74,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IFERROR(INDEX('1_DCS_numerator_by_BEA'!$B$2:$B$74, MATCH($A64, '1_DCS_numerator_by_BEA'!$A$2:$A$74,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IFERROR(INDEX('1_DCS_numerator_by_BEA'!$B$2:$B$74, MATCH($A65, '1_DCS_numerator_by_BEA'!$A$2:$A$74,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IFERROR(INDEX('1_DCS_numerator_by_BEA'!$B$2:$B$74, MATCH($A66, '1_DCS_numerator_by_BEA'!$A$2:$A$74,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IFERROR(INDEX('1_DCS_numerator_by_BEA'!$B$2:$B$74, MATCH($A67, '1_DCS_numerator_by_BEA'!$A$2:$A$74,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IFERROR(INDEX('1_DCS_numerator_by_BEA'!$B$2:$B$74, MATCH($A68, '1_DCS_numerator_by_BEA'!$A$2:$A$74,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IFERROR(INDEX('1_DCS_numerator_by_BEA'!$B$2:$B$74, MATCH($A69, '1_DCS_numerator_by_BEA'!$A$2:$A$74,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IFERROR(INDEX('1_DCS_numerator_by_BEA'!$B$2:$B$74, MATCH($A70, '1_DCS_numerator_by_BEA'!$A$2:$A$74,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IFERROR(INDEX('1_DCS_numerator_by_BEA'!$B$2:$B$74, MATCH($A71, '1_DCS_numerator_by_BEA'!$A$2:$A$74,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IFERROR(INDEX('1_DCS_numerator_by_BEA'!$B$2:$B$74, MATCH($A72, '1_DCS_numerator_by_BEA'!$A$2:$A$74,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IFERROR(INDEX('1_DCS_numerator_by_BEA'!$B$2:$B$74, MATCH($A73, '1_DCS_numerator_by_BEA'!$A$2:$A$74,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IFERROR(INDEX('1_DCS_numerator_by_BEA'!$B$2:$B$74, MATCH($A74, '1_DCS_numerator_by_BEA'!$A$2:$A$74,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IFERROR(INDEX('1_DCS_numerator_by_BEA'!$B$2:$B$74, MATCH($A75, '1_DCS_numerator_by_BEA'!$A$2:$A$74,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IFERROR(INDEX('1_DCS_numerator_by_BEA'!$B$2:$B$74, MATCH($A76, '1_DCS_numerator_by_BEA'!$A$2:$A$74,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IFERROR(INDEX('1_DCS_numerator_by_BEA'!$B$2:$B$74, MATCH($A77, '1_DCS_numerator_by_BEA'!$A$2:$A$74,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IFERROR(INDEX('1_DCS_numerator_by_BEA'!$B$2:$B$74, MATCH($A78, '1_DCS_numerator_by_BEA'!$A$2:$A$74,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IFERROR(INDEX('1_DCS_numerator_by_BEA'!$B$2:$B$74, MATCH($A79, '1_DCS_numerator_by_BEA'!$A$2:$A$74,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IFERROR(INDEX('1_DCS_numerator_by_BEA'!$B$2:$B$74, MATCH($A80, '1_DCS_numerator_by_BEA'!$A$2:$A$74,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IFERROR(INDEX('1_DCS_numerator_by_BEA'!$B$2:$B$74, MATCH($A81, '1_DCS_numerator_by_BEA'!$A$2:$A$74,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SUMIFS('6_Calc_DCS_num_ISIC'!$E$3:$E$81, '6_Calc_DCS_num_ISIC'!$B$3:$B$81, $A85)</f>
      </c>
      <c r="C85" t="str">
        <f>B85</f>
      </c>
    </row>
    <row r="86">
      <c r="A86" t="s">
        <v>482</v>
      </c>
      <c r="B86" t="str">
        <f>SUMIFS('6_Calc_DCS_num_ISIC'!$E$3:$E$81, '6_Calc_DCS_num_ISIC'!$B$3:$B$81, $A86)</f>
      </c>
      <c r="C86" t="str">
        <f>B86</f>
      </c>
    </row>
    <row r="87">
      <c r="A87" t="s">
        <v>344</v>
      </c>
      <c r="B87" t="str">
        <f>SUMIFS('6_Calc_DCS_num_ISIC'!$E$3:$E$81, '6_Calc_DCS_num_ISIC'!$B$3:$B$81, $A87)</f>
      </c>
      <c r="C87" t="str">
        <f>B87</f>
      </c>
    </row>
    <row r="88">
      <c r="A88" t="s">
        <v>485</v>
      </c>
      <c r="B88" t="str">
        <f>SUMIFS('6_Calc_DCS_num_ISIC'!$E$3:$E$81, '6_Calc_DCS_num_ISIC'!$B$3:$B$81, $A88)</f>
      </c>
      <c r="C88" t="str">
        <f>B88</f>
      </c>
    </row>
    <row r="89">
      <c r="A89" t="s">
        <v>347</v>
      </c>
      <c r="B89" t="str">
        <f>SUMIFS('6_Calc_DCS_num_ISIC'!$E$3:$E$81, '6_Calc_DCS_num_ISIC'!$B$3:$B$81, $A89)</f>
      </c>
      <c r="C89" t="str">
        <f>B89</f>
      </c>
    </row>
    <row r="90">
      <c r="A90" t="s">
        <v>362</v>
      </c>
      <c r="B90" t="str">
        <f>SUMIFS('6_Calc_DCS_num_ISIC'!$E$3:$E$81, '6_Calc_DCS_num_ISIC'!$B$3:$B$81, $A90)</f>
      </c>
      <c r="C90" t="str">
        <f>B90</f>
      </c>
    </row>
    <row r="91">
      <c r="A91" t="s">
        <v>365</v>
      </c>
      <c r="B91" t="str">
        <f>SUMIFS('6_Calc_DCS_num_ISIC'!$E$3:$E$81, '6_Calc_DCS_num_ISIC'!$B$3:$B$81, $A91)</f>
      </c>
      <c r="C91" t="str">
        <f>B91</f>
      </c>
    </row>
    <row r="92">
      <c r="A92" t="s">
        <v>369</v>
      </c>
      <c r="B92" t="str">
        <f>SUMIFS('6_Calc_DCS_num_ISIC'!$E$3:$E$81, '6_Calc_DCS_num_ISIC'!$B$3:$B$81, $A92)</f>
      </c>
      <c r="C92" t="str">
        <f>B92</f>
      </c>
    </row>
    <row r="93">
      <c r="A93" t="s">
        <v>372</v>
      </c>
      <c r="B93" t="str">
        <f>SUMIFS('6_Calc_DCS_num_ISIC'!$E$3:$E$81, '6_Calc_DCS_num_ISIC'!$B$3:$B$81, $A93)</f>
      </c>
      <c r="C93" t="str">
        <f>B93</f>
      </c>
    </row>
    <row r="94">
      <c r="A94" t="s">
        <v>376</v>
      </c>
      <c r="B94" t="str">
        <f>SUMIFS('6_Calc_DCS_num_ISIC'!$E$3:$E$81, '6_Calc_DCS_num_ISIC'!$B$3:$B$81, $A94)</f>
      </c>
      <c r="C94" t="str">
        <f>B94</f>
      </c>
    </row>
    <row r="95">
      <c r="A95" t="s">
        <v>498</v>
      </c>
      <c r="B95" t="str">
        <f>SUMIFS('6_Calc_DCS_num_ISIC'!$E$3:$E$81, '6_Calc_DCS_num_ISIC'!$B$3:$B$81, $A95)</f>
      </c>
      <c r="C95" t="str">
        <f>B95</f>
      </c>
    </row>
    <row r="96">
      <c r="A96" t="s">
        <v>501</v>
      </c>
      <c r="B96" t="str">
        <f>SUMIFS('6_Calc_DCS_num_ISIC'!$E$3:$E$81, '6_Calc_DCS_num_ISIC'!$B$3:$B$81, $A96)</f>
      </c>
      <c r="C96" t="str">
        <f>B96</f>
      </c>
    </row>
    <row r="97">
      <c r="A97" t="s">
        <v>126</v>
      </c>
      <c r="B97" t="str">
        <f>SUMIFS('6_Calc_DCS_num_ISIC'!$E$3:$E$81, '6_Calc_DCS_num_ISIC'!$B$3:$B$81, $A97)</f>
      </c>
      <c r="C97" t="str">
        <f>B97</f>
      </c>
    </row>
    <row r="98">
      <c r="A98" t="s">
        <v>488</v>
      </c>
      <c r="B98" t="str">
        <f>SUMIFS('6_Calc_DCS_num_ISIC'!$E$3:$E$81, '6_Calc_DCS_num_ISIC'!$B$3:$B$81, $A98)</f>
      </c>
      <c r="C98" t="str">
        <f>B98</f>
      </c>
    </row>
    <row r="99">
      <c r="A99" t="s">
        <v>491</v>
      </c>
      <c r="B99" t="str">
        <f>SUMIFS('6_Calc_DCS_num_ISIC'!$E$3:$E$81, '6_Calc_DCS_num_ISIC'!$B$3:$B$81, $A99)</f>
      </c>
      <c r="C99" t="str">
        <f>B99</f>
      </c>
    </row>
    <row r="100">
      <c r="A100" t="s">
        <v>379</v>
      </c>
      <c r="B100" t="str">
        <f>SUMIFS('6_Calc_DCS_num_ISIC'!$E$3:$E$81, '6_Calc_DCS_num_ISIC'!$B$3:$B$81, $A100)</f>
      </c>
      <c r="C100" t="str">
        <f>B100</f>
      </c>
    </row>
    <row r="101">
      <c r="A101" t="s">
        <v>495</v>
      </c>
      <c r="B101" t="str">
        <f>SUMIFS('6_Calc_DCS_num_ISIC'!$E$3:$E$81, '6_Calc_DCS_num_ISIC'!$B$3:$B$81, $A101)</f>
      </c>
      <c r="C101" t="str">
        <f>B101</f>
      </c>
    </row>
    <row r="102">
      <c r="A102" t="s">
        <v>385</v>
      </c>
      <c r="B102" t="str">
        <f>SUMIFS('6_Calc_DCS_num_ISIC'!$E$3:$E$81, '6_Calc_DCS_num_ISIC'!$B$3:$B$81, $A102)</f>
      </c>
      <c r="C102" t="str">
        <f>B102</f>
      </c>
    </row>
    <row r="103">
      <c r="A103" t="s">
        <v>390</v>
      </c>
      <c r="B103" t="str">
        <f>SUMIFS('6_Calc_DCS_num_ISIC'!$E$3:$E$81, '6_Calc_DCS_num_ISIC'!$B$3:$B$81, $A103)</f>
      </c>
      <c r="C103" t="str">
        <f>B103</f>
      </c>
    </row>
    <row r="104">
      <c r="A104" t="s">
        <v>393</v>
      </c>
      <c r="B104" t="str">
        <f>SUMIFS('6_Calc_DCS_num_ISIC'!$E$3:$E$81, '6_Calc_DCS_num_ISIC'!$B$3:$B$81, $A104)</f>
      </c>
      <c r="C104" t="str">
        <f>B104</f>
      </c>
    </row>
    <row r="105">
      <c r="A105" t="s">
        <v>387</v>
      </c>
      <c r="B105" t="str">
        <f>SUMIFS('6_Calc_DCS_num_ISIC'!$E$3:$E$81, '6_Calc_DCS_num_ISIC'!$B$3:$B$81, $A105)</f>
      </c>
      <c r="C105" t="str">
        <f>B105</f>
      </c>
    </row>
    <row r="106">
      <c r="A106" t="s">
        <v>396</v>
      </c>
      <c r="B106" t="str">
        <f>SUMIFS('6_Calc_DCS_num_ISIC'!$E$3:$E$81, '6_Calc_DCS_num_ISIC'!$B$3:$B$81, $A106)</f>
      </c>
      <c r="C106" t="str">
        <f>B106</f>
      </c>
    </row>
    <row r="107">
      <c r="A107" t="s">
        <v>399</v>
      </c>
      <c r="B107" t="str">
        <f>SUMIFS('6_Calc_DCS_num_ISIC'!$E$3:$E$81, '6_Calc_DCS_num_ISIC'!$B$3:$B$81, $A107)</f>
      </c>
      <c r="C107" t="str">
        <f>B107</f>
      </c>
    </row>
    <row r="108">
      <c r="A108" t="s">
        <v>402</v>
      </c>
      <c r="B108" t="str">
        <f>SUMIFS('6_Calc_DCS_num_ISIC'!$E$3:$E$81, '6_Calc_DCS_num_ISIC'!$B$3:$B$81, $A108)</f>
      </c>
      <c r="C108" t="str">
        <f>B108</f>
      </c>
    </row>
    <row r="109">
      <c r="A109" t="s">
        <v>350</v>
      </c>
      <c r="B109" t="str">
        <f>SUMIFS('6_Calc_DCS_num_ISIC'!$E$3:$E$81, '6_Calc_DCS_num_ISIC'!$B$3:$B$81, $A109)</f>
      </c>
      <c r="C109" t="str">
        <f>B109</f>
      </c>
    </row>
    <row r="110">
      <c r="A110" t="s">
        <v>353</v>
      </c>
      <c r="B110" t="str">
        <f>SUMIFS('6_Calc_DCS_num_ISIC'!$E$3:$E$81, '6_Calc_DCS_num_ISIC'!$B$3:$B$81, $A110)</f>
      </c>
      <c r="C110" t="str">
        <f>B110</f>
      </c>
    </row>
    <row r="111">
      <c r="A111" t="s">
        <v>356</v>
      </c>
      <c r="B111" t="str">
        <f>SUMIFS('6_Calc_DCS_num_ISIC'!$E$3:$E$81, '6_Calc_DCS_num_ISIC'!$B$3:$B$81, $A111)</f>
      </c>
      <c r="C111" t="str">
        <f>B111</f>
      </c>
    </row>
    <row r="112">
      <c r="A112" t="s">
        <v>360</v>
      </c>
      <c r="B112" t="str">
        <f>SUMIFS('6_Calc_DCS_num_ISIC'!$E$3:$E$81, '6_Calc_DCS_num_ISIC'!$B$3:$B$81, $A112)</f>
      </c>
      <c r="C112" t="str">
        <f>B112</f>
      </c>
    </row>
    <row r="113">
      <c r="A113" t="s">
        <v>406</v>
      </c>
      <c r="B113" t="str">
        <f>SUMIFS('6_Calc_DCS_num_ISIC'!$E$3:$E$81, '6_Calc_DCS_num_ISIC'!$B$3:$B$81, $A113)</f>
      </c>
      <c r="C113" t="str">
        <f>B113</f>
      </c>
    </row>
    <row r="114">
      <c r="A114" t="s">
        <v>413</v>
      </c>
      <c r="B114" t="str">
        <f>SUMIFS('6_Calc_DCS_num_ISIC'!$E$3:$E$81, '6_Calc_DCS_num_ISIC'!$B$3:$B$81, $A114)</f>
      </c>
      <c r="C114" t="str">
        <f>B114</f>
      </c>
    </row>
    <row r="115">
      <c r="A115" t="s">
        <v>470</v>
      </c>
      <c r="B115" t="str">
        <f>SUMIFS('6_Calc_DCS_num_ISIC'!$E$3:$E$81, '6_Calc_DCS_num_ISIC'!$B$3:$B$81, $A115)</f>
      </c>
      <c r="C115" t="str">
        <f>B115</f>
      </c>
    </row>
    <row r="116">
      <c r="A116" t="s">
        <v>425</v>
      </c>
      <c r="B116" t="str">
        <f>SUMIFS('6_Calc_DCS_num_ISIC'!$E$3:$E$81, '6_Calc_DCS_num_ISIC'!$B$3:$B$81, $A116)</f>
      </c>
      <c r="C116" t="str">
        <f>B116</f>
      </c>
    </row>
    <row r="117">
      <c r="A117" t="s">
        <v>177</v>
      </c>
      <c r="B117" t="str">
        <f>SUMIFS('6_Calc_DCS_num_ISIC'!$E$3:$E$81, '6_Calc_DCS_num_ISIC'!$B$3:$B$81, $A117)</f>
      </c>
      <c r="C117" t="str">
        <f>B117</f>
      </c>
    </row>
    <row r="118">
      <c r="A118" t="s">
        <v>432</v>
      </c>
      <c r="B118" t="str">
        <f>SUMIFS('6_Calc_DCS_num_ISIC'!$E$3:$E$81, '6_Calc_DCS_num_ISIC'!$B$3:$B$81, $A118)</f>
      </c>
      <c r="C118" t="str">
        <f>B118</f>
      </c>
    </row>
    <row r="119">
      <c r="A119" t="s">
        <v>435</v>
      </c>
      <c r="B119" t="str">
        <f>SUMIFS('6_Calc_DCS_num_ISIC'!$E$3:$E$81, '6_Calc_DCS_num_ISIC'!$B$3:$B$81, $A119)</f>
      </c>
      <c r="C119" t="str">
        <f>B119</f>
      </c>
    </row>
    <row r="120">
      <c r="A120" t="s">
        <v>441</v>
      </c>
      <c r="B120" t="str">
        <f>SUMIFS('6_Calc_DCS_num_ISIC'!$E$3:$E$81, '6_Calc_DCS_num_ISIC'!$B$3:$B$81, $A120)</f>
      </c>
      <c r="C120" t="str">
        <f>B120</f>
      </c>
    </row>
    <row r="121">
      <c r="A121" t="s">
        <v>445</v>
      </c>
      <c r="B121" t="str">
        <f>SUMIFS('6_Calc_DCS_num_ISIC'!$E$3:$E$81, '6_Calc_DCS_num_ISIC'!$B$3:$B$81, $A121)</f>
      </c>
      <c r="C121" t="str">
        <f>B121</f>
      </c>
    </row>
    <row r="122">
      <c r="A122" t="s">
        <v>475</v>
      </c>
      <c r="B122" t="str">
        <f>SUMIFS('6_Calc_DCS_num_ISIC'!$E$3:$E$81, '6_Calc_DCS_num_ISIC'!$B$3:$B$81, $A122)</f>
      </c>
      <c r="C122" t="str">
        <f>B122</f>
      </c>
    </row>
    <row r="123">
      <c r="A123" t="s">
        <v>457</v>
      </c>
      <c r="B123" t="str">
        <f>SUMIFS('6_Calc_DCS_num_ISIC'!$E$3:$E$81, '6_Calc_DCS_num_ISIC'!$B$3:$B$81, $A123)</f>
      </c>
      <c r="C123" t="str">
        <f>B123</f>
      </c>
    </row>
    <row r="124">
      <c r="A124" t="s">
        <v>460</v>
      </c>
      <c r="B124" t="str">
        <f>SUMIFS('6_Calc_DCS_num_ISIC'!$E$3:$E$81, '6_Calc_DCS_num_ISIC'!$B$3:$B$81, $A124)</f>
      </c>
      <c r="C124" t="str">
        <f>B124</f>
      </c>
    </row>
    <row r="125">
      <c r="A125" t="s">
        <v>466</v>
      </c>
      <c r="B125" t="str">
        <f>SUMIFS('6_Calc_DCS_num_ISIC'!$E$3:$E$81, '6_Calc_DCS_num_ISIC'!$B$3:$B$81, $A125)</f>
      </c>
      <c r="C125" t="str">
        <f>B125</f>
      </c>
    </row>
    <row r="126">
      <c r="A126" t="s">
        <v>583</v>
      </c>
      <c r="B126" t="str">
        <f>SUMIFS('6_Calc_DCS_num_ISIC'!$E$3:$E$81, '6_Calc_DCS_num_ISIC'!$B$3:$B$81,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IFERROR(INDEX('2_DCS_denominator_by_BEA'!$B$2:$B$74, MATCH($A3, '2_DCS_denominator_by_BEA'!$A$2:$A$74,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IFERROR(INDEX('2_DCS_denominator_by_BEA'!$B$2:$B$74, MATCH($A4, '2_DCS_denominator_by_BEA'!$A$2:$A$74,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IFERROR(INDEX('2_DCS_denominator_by_BEA'!$B$2:$B$74, MATCH($A5, '2_DCS_denominator_by_BEA'!$A$2:$A$74,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IFERROR(INDEX('2_DCS_denominator_by_BEA'!$B$2:$B$74, MATCH($A6, '2_DCS_denominator_by_BEA'!$A$2:$A$74,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IFERROR(INDEX('2_DCS_denominator_by_BEA'!$B$2:$B$74, MATCH($A7, '2_DCS_denominator_by_BEA'!$A$2:$A$74,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IFERROR(INDEX('2_DCS_denominator_by_BEA'!$B$2:$B$74, MATCH($A8, '2_DCS_denominator_by_BEA'!$A$2:$A$74,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IFERROR(INDEX('2_DCS_denominator_by_BEA'!$B$2:$B$74, MATCH($A9, '2_DCS_denominator_by_BEA'!$A$2:$A$74,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IFERROR(INDEX('2_DCS_denominator_by_BEA'!$B$2:$B$74, MATCH($A10, '2_DCS_denominator_by_BEA'!$A$2:$A$74,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IFERROR(INDEX('2_DCS_denominator_by_BEA'!$B$2:$B$74, MATCH($A11, '2_DCS_denominator_by_BEA'!$A$2:$A$74,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IFERROR(INDEX('2_DCS_denominator_by_BEA'!$B$2:$B$74, MATCH($A12, '2_DCS_denominator_by_BEA'!$A$2:$A$74,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IFERROR(INDEX('2_DCS_denominator_by_BEA'!$B$2:$B$74, MATCH($A13, '2_DCS_denominator_by_BEA'!$A$2:$A$74,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IFERROR(INDEX('2_DCS_denominator_by_BEA'!$B$2:$B$74, MATCH($A14, '2_DCS_denominator_by_BEA'!$A$2:$A$74,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IFERROR(INDEX('2_DCS_denominator_by_BEA'!$B$2:$B$74, MATCH($A15, '2_DCS_denominator_by_BEA'!$A$2:$A$74,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IFERROR(INDEX('2_DCS_denominator_by_BEA'!$B$2:$B$74, MATCH($A16, '2_DCS_denominator_by_BEA'!$A$2:$A$74,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IFERROR(INDEX('2_DCS_denominator_by_BEA'!$B$2:$B$74, MATCH($A17, '2_DCS_denominator_by_BEA'!$A$2:$A$74,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IFERROR(INDEX('2_DCS_denominator_by_BEA'!$B$2:$B$74, MATCH($A18, '2_DCS_denominator_by_BEA'!$A$2:$A$74,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IFERROR(INDEX('2_DCS_denominator_by_BEA'!$B$2:$B$74, MATCH($A19, '2_DCS_denominator_by_BEA'!$A$2:$A$74,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IFERROR(INDEX('2_DCS_denominator_by_BEA'!$B$2:$B$74, MATCH($A20, '2_DCS_denominator_by_BEA'!$A$2:$A$74,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IFERROR(INDEX('2_DCS_denominator_by_BEA'!$B$2:$B$74, MATCH($A21, '2_DCS_denominator_by_BEA'!$A$2:$A$74,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IFERROR(INDEX('2_DCS_denominator_by_BEA'!$B$2:$B$74, MATCH($A22, '2_DCS_denominator_by_BEA'!$A$2:$A$74,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IFERROR(INDEX('2_DCS_denominator_by_BEA'!$B$2:$B$74, MATCH($A23, '2_DCS_denominator_by_BEA'!$A$2:$A$74,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IFERROR(INDEX('2_DCS_denominator_by_BEA'!$B$2:$B$74, MATCH($A24, '2_DCS_denominator_by_BEA'!$A$2:$A$74,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IFERROR(INDEX('2_DCS_denominator_by_BEA'!$B$2:$B$74, MATCH($A25, '2_DCS_denominator_by_BEA'!$A$2:$A$74,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IFERROR(INDEX('2_DCS_denominator_by_BEA'!$B$2:$B$74, MATCH($A26, '2_DCS_denominator_by_BEA'!$A$2:$A$74,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IFERROR(INDEX('2_DCS_denominator_by_BEA'!$B$2:$B$74, MATCH($A27, '2_DCS_denominator_by_BEA'!$A$2:$A$74,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IFERROR(INDEX('2_DCS_denominator_by_BEA'!$B$2:$B$74, MATCH($A28, '2_DCS_denominator_by_BEA'!$A$2:$A$74,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IFERROR(INDEX('2_DCS_denominator_by_BEA'!$B$2:$B$74, MATCH($A29, '2_DCS_denominator_by_BEA'!$A$2:$A$74,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IFERROR(INDEX('2_DCS_denominator_by_BEA'!$B$2:$B$74, MATCH($A30, '2_DCS_denominator_by_BEA'!$A$2:$A$74,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IFERROR(INDEX('2_DCS_denominator_by_BEA'!$B$2:$B$74, MATCH($A31, '2_DCS_denominator_by_BEA'!$A$2:$A$74,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IFERROR(INDEX('2_DCS_denominator_by_BEA'!$B$2:$B$74, MATCH($A32, '2_DCS_denominator_by_BEA'!$A$2:$A$74,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IFERROR(INDEX('2_DCS_denominator_by_BEA'!$B$2:$B$74, MATCH($A33, '2_DCS_denominator_by_BEA'!$A$2:$A$74,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IFERROR(INDEX('2_DCS_denominator_by_BEA'!$B$2:$B$74, MATCH($A34, '2_DCS_denominator_by_BEA'!$A$2:$A$74,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IFERROR(INDEX('2_DCS_denominator_by_BEA'!$B$2:$B$74, MATCH($A35, '2_DCS_denominator_by_BEA'!$A$2:$A$74,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IFERROR(INDEX('2_DCS_denominator_by_BEA'!$B$2:$B$74, MATCH($A36, '2_DCS_denominator_by_BEA'!$A$2:$A$74,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IFERROR(INDEX('2_DCS_denominator_by_BEA'!$B$2:$B$74, MATCH($A37, '2_DCS_denominator_by_BEA'!$A$2:$A$74,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IFERROR(INDEX('2_DCS_denominator_by_BEA'!$B$2:$B$74, MATCH($A38, '2_DCS_denominator_by_BEA'!$A$2:$A$74,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IFERROR(INDEX('2_DCS_denominator_by_BEA'!$B$2:$B$74, MATCH($A39, '2_DCS_denominator_by_BEA'!$A$2:$A$74,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IFERROR(INDEX('2_DCS_denominator_by_BEA'!$B$2:$B$74, MATCH($A40, '2_DCS_denominator_by_BEA'!$A$2:$A$74,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IFERROR(INDEX('2_DCS_denominator_by_BEA'!$B$2:$B$74, MATCH($A41, '2_DCS_denominator_by_BEA'!$A$2:$A$74,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IFERROR(INDEX('2_DCS_denominator_by_BEA'!$B$2:$B$74, MATCH($A42, '2_DCS_denominator_by_BEA'!$A$2:$A$74,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IFERROR(INDEX('2_DCS_denominator_by_BEA'!$B$2:$B$74, MATCH($A43, '2_DCS_denominator_by_BEA'!$A$2:$A$74,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IFERROR(INDEX('2_DCS_denominator_by_BEA'!$B$2:$B$74, MATCH($A44, '2_DCS_denominator_by_BEA'!$A$2:$A$74,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IFERROR(INDEX('2_DCS_denominator_by_BEA'!$B$2:$B$74, MATCH($A45, '2_DCS_denominator_by_BEA'!$A$2:$A$74,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IFERROR(INDEX('2_DCS_denominator_by_BEA'!$B$2:$B$74, MATCH($A46, '2_DCS_denominator_by_BEA'!$A$2:$A$74,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IFERROR(INDEX('2_DCS_denominator_by_BEA'!$B$2:$B$74, MATCH($A47, '2_DCS_denominator_by_BEA'!$A$2:$A$74,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IFERROR(INDEX('2_DCS_denominator_by_BEA'!$B$2:$B$74, MATCH($A48, '2_DCS_denominator_by_BEA'!$A$2:$A$74,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IFERROR(INDEX('2_DCS_denominator_by_BEA'!$B$2:$B$74, MATCH($A49, '2_DCS_denominator_by_BEA'!$A$2:$A$74,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IFERROR(INDEX('2_DCS_denominator_by_BEA'!$B$2:$B$74, MATCH($A50, '2_DCS_denominator_by_BEA'!$A$2:$A$74,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IFERROR(INDEX('2_DCS_denominator_by_BEA'!$B$2:$B$74, MATCH($A51, '2_DCS_denominator_by_BEA'!$A$2:$A$74,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IFERROR(INDEX('2_DCS_denominator_by_BEA'!$B$2:$B$74, MATCH($A52, '2_DCS_denominator_by_BEA'!$A$2:$A$74,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IFERROR(INDEX('2_DCS_denominator_by_BEA'!$B$2:$B$74, MATCH($A53, '2_DCS_denominator_by_BEA'!$A$2:$A$74,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IFERROR(INDEX('2_DCS_denominator_by_BEA'!$B$2:$B$74, MATCH($A54, '2_DCS_denominator_by_BEA'!$A$2:$A$74,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IFERROR(INDEX('2_DCS_denominator_by_BEA'!$B$2:$B$74, MATCH($A55, '2_DCS_denominator_by_BEA'!$A$2:$A$74,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IFERROR(INDEX('2_DCS_denominator_by_BEA'!$B$2:$B$74, MATCH($A56, '2_DCS_denominator_by_BEA'!$A$2:$A$74,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IFERROR(INDEX('2_DCS_denominator_by_BEA'!$B$2:$B$74, MATCH($A57, '2_DCS_denominator_by_BEA'!$A$2:$A$74,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IFERROR(INDEX('2_DCS_denominator_by_BEA'!$B$2:$B$74, MATCH($A58, '2_DCS_denominator_by_BEA'!$A$2:$A$74,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IFERROR(INDEX('2_DCS_denominator_by_BEA'!$B$2:$B$74, MATCH($A59, '2_DCS_denominator_by_BEA'!$A$2:$A$74,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IFERROR(INDEX('2_DCS_denominator_by_BEA'!$B$2:$B$74, MATCH($A60, '2_DCS_denominator_by_BEA'!$A$2:$A$74,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IFERROR(INDEX('2_DCS_denominator_by_BEA'!$B$2:$B$74, MATCH($A61, '2_DCS_denominator_by_BEA'!$A$2:$A$74,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IFERROR(INDEX('2_DCS_denominator_by_BEA'!$B$2:$B$74, MATCH($A62, '2_DCS_denominator_by_BEA'!$A$2:$A$74,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IFERROR(INDEX('2_DCS_denominator_by_BEA'!$B$2:$B$74, MATCH($A63, '2_DCS_denominator_by_BEA'!$A$2:$A$74,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IFERROR(INDEX('2_DCS_denominator_by_BEA'!$B$2:$B$74, MATCH($A64, '2_DCS_denominator_by_BEA'!$A$2:$A$74,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IFERROR(INDEX('2_DCS_denominator_by_BEA'!$B$2:$B$74, MATCH($A65, '2_DCS_denominator_by_BEA'!$A$2:$A$74,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IFERROR(INDEX('2_DCS_denominator_by_BEA'!$B$2:$B$74, MATCH($A66, '2_DCS_denominator_by_BEA'!$A$2:$A$74,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IFERROR(INDEX('2_DCS_denominator_by_BEA'!$B$2:$B$74, MATCH($A67, '2_DCS_denominator_by_BEA'!$A$2:$A$74,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IFERROR(INDEX('2_DCS_denominator_by_BEA'!$B$2:$B$74, MATCH($A68, '2_DCS_denominator_by_BEA'!$A$2:$A$74,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IFERROR(INDEX('2_DCS_denominator_by_BEA'!$B$2:$B$74, MATCH($A69, '2_DCS_denominator_by_BEA'!$A$2:$A$74,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IFERROR(INDEX('2_DCS_denominator_by_BEA'!$B$2:$B$74, MATCH($A70, '2_DCS_denominator_by_BEA'!$A$2:$A$74,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IFERROR(INDEX('2_DCS_denominator_by_BEA'!$B$2:$B$74, MATCH($A71, '2_DCS_denominator_by_BEA'!$A$2:$A$74,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IFERROR(INDEX('2_DCS_denominator_by_BEA'!$B$2:$B$74, MATCH($A72, '2_DCS_denominator_by_BEA'!$A$2:$A$74,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IFERROR(INDEX('2_DCS_denominator_by_BEA'!$B$2:$B$74, MATCH($A73, '2_DCS_denominator_by_BEA'!$A$2:$A$74,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IFERROR(INDEX('2_DCS_denominator_by_BEA'!$B$2:$B$74, MATCH($A74, '2_DCS_denominator_by_BEA'!$A$2:$A$74,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IFERROR(INDEX('2_DCS_denominator_by_BEA'!$B$2:$B$74, MATCH($A75, '2_DCS_denominator_by_BEA'!$A$2:$A$74,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IFERROR(INDEX('2_DCS_denominator_by_BEA'!$B$2:$B$74, MATCH($A76, '2_DCS_denominator_by_BEA'!$A$2:$A$74,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IFERROR(INDEX('2_DCS_denominator_by_BEA'!$B$2:$B$74, MATCH($A77, '2_DCS_denominator_by_BEA'!$A$2:$A$74,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IFERROR(INDEX('2_DCS_denominator_by_BEA'!$B$2:$B$74, MATCH($A78, '2_DCS_denominator_by_BEA'!$A$2:$A$74,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IFERROR(INDEX('2_DCS_denominator_by_BEA'!$B$2:$B$74, MATCH($A79, '2_DCS_denominator_by_BEA'!$A$2:$A$74,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IFERROR(INDEX('2_DCS_denominator_by_BEA'!$B$2:$B$74, MATCH($A80, '2_DCS_denominator_by_BEA'!$A$2:$A$74,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IFERROR(INDEX('2_DCS_denominator_by_BEA'!$B$2:$B$74, MATCH($A81, '2_DCS_denominator_by_BEA'!$A$2:$A$74,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SUMIFS('7_Calc_DCS_den_ISIC'!$E$3:$E$81, '7_Calc_DCS_den_ISIC'!$B$3:$B$81, $A85)</f>
      </c>
      <c r="C85" t="str">
        <f>B85</f>
      </c>
    </row>
    <row r="86">
      <c r="A86" t="s">
        <v>482</v>
      </c>
      <c r="B86" t="str">
        <f>SUMIFS('7_Calc_DCS_den_ISIC'!$E$3:$E$81, '7_Calc_DCS_den_ISIC'!$B$3:$B$81, $A86)</f>
      </c>
      <c r="C86" t="str">
        <f>B86</f>
      </c>
    </row>
    <row r="87">
      <c r="A87" t="s">
        <v>344</v>
      </c>
      <c r="B87" t="str">
        <f>SUMIFS('7_Calc_DCS_den_ISIC'!$E$3:$E$81, '7_Calc_DCS_den_ISIC'!$B$3:$B$81, $A87)</f>
      </c>
      <c r="C87" t="str">
        <f>B87</f>
      </c>
    </row>
    <row r="88">
      <c r="A88" t="s">
        <v>485</v>
      </c>
      <c r="B88" t="str">
        <f>SUMIFS('7_Calc_DCS_den_ISIC'!$E$3:$E$81, '7_Calc_DCS_den_ISIC'!$B$3:$B$81, $A88)</f>
      </c>
      <c r="C88" t="str">
        <f>B88</f>
      </c>
    </row>
    <row r="89">
      <c r="A89" t="s">
        <v>347</v>
      </c>
      <c r="B89" t="str">
        <f>SUMIFS('7_Calc_DCS_den_ISIC'!$E$3:$E$81, '7_Calc_DCS_den_ISIC'!$B$3:$B$81, $A89)</f>
      </c>
      <c r="C89" t="str">
        <f>B89</f>
      </c>
    </row>
    <row r="90">
      <c r="A90" t="s">
        <v>362</v>
      </c>
      <c r="B90" t="str">
        <f>SUMIFS('7_Calc_DCS_den_ISIC'!$E$3:$E$81, '7_Calc_DCS_den_ISIC'!$B$3:$B$81, $A90)</f>
      </c>
      <c r="C90" t="str">
        <f>B90</f>
      </c>
    </row>
    <row r="91">
      <c r="A91" t="s">
        <v>365</v>
      </c>
      <c r="B91" t="str">
        <f>SUMIFS('7_Calc_DCS_den_ISIC'!$E$3:$E$81, '7_Calc_DCS_den_ISIC'!$B$3:$B$81, $A91)</f>
      </c>
      <c r="C91" t="str">
        <f>B91</f>
      </c>
    </row>
    <row r="92">
      <c r="A92" t="s">
        <v>369</v>
      </c>
      <c r="B92" t="str">
        <f>SUMIFS('7_Calc_DCS_den_ISIC'!$E$3:$E$81, '7_Calc_DCS_den_ISIC'!$B$3:$B$81, $A92)</f>
      </c>
      <c r="C92" t="str">
        <f>B92</f>
      </c>
    </row>
    <row r="93">
      <c r="A93" t="s">
        <v>372</v>
      </c>
      <c r="B93" t="str">
        <f>SUMIFS('7_Calc_DCS_den_ISIC'!$E$3:$E$81, '7_Calc_DCS_den_ISIC'!$B$3:$B$81, $A93)</f>
      </c>
      <c r="C93" t="str">
        <f>B93</f>
      </c>
    </row>
    <row r="94">
      <c r="A94" t="s">
        <v>376</v>
      </c>
      <c r="B94" t="str">
        <f>SUMIFS('7_Calc_DCS_den_ISIC'!$E$3:$E$81, '7_Calc_DCS_den_ISIC'!$B$3:$B$81, $A94)</f>
      </c>
      <c r="C94" t="str">
        <f>B94</f>
      </c>
    </row>
    <row r="95">
      <c r="A95" t="s">
        <v>498</v>
      </c>
      <c r="B95" t="str">
        <f>SUMIFS('7_Calc_DCS_den_ISIC'!$E$3:$E$81, '7_Calc_DCS_den_ISIC'!$B$3:$B$81, $A95)</f>
      </c>
      <c r="C95" t="str">
        <f>B95</f>
      </c>
    </row>
    <row r="96">
      <c r="A96" t="s">
        <v>501</v>
      </c>
      <c r="B96" t="str">
        <f>SUMIFS('7_Calc_DCS_den_ISIC'!$E$3:$E$81, '7_Calc_DCS_den_ISIC'!$B$3:$B$81, $A96)</f>
      </c>
      <c r="C96" t="str">
        <f>B96</f>
      </c>
    </row>
    <row r="97">
      <c r="A97" t="s">
        <v>126</v>
      </c>
      <c r="B97" t="str">
        <f>SUMIFS('7_Calc_DCS_den_ISIC'!$E$3:$E$81, '7_Calc_DCS_den_ISIC'!$B$3:$B$81, $A97)</f>
      </c>
      <c r="C97" t="str">
        <f>B97</f>
      </c>
    </row>
    <row r="98">
      <c r="A98" t="s">
        <v>488</v>
      </c>
      <c r="B98" t="str">
        <f>SUMIFS('7_Calc_DCS_den_ISIC'!$E$3:$E$81, '7_Calc_DCS_den_ISIC'!$B$3:$B$81, $A98)</f>
      </c>
      <c r="C98" t="str">
        <f>B98</f>
      </c>
    </row>
    <row r="99">
      <c r="A99" t="s">
        <v>491</v>
      </c>
      <c r="B99" t="str">
        <f>SUMIFS('7_Calc_DCS_den_ISIC'!$E$3:$E$81, '7_Calc_DCS_den_ISIC'!$B$3:$B$81, $A99)</f>
      </c>
      <c r="C99" t="str">
        <f>B99</f>
      </c>
    </row>
    <row r="100">
      <c r="A100" t="s">
        <v>379</v>
      </c>
      <c r="B100" t="str">
        <f>SUMIFS('7_Calc_DCS_den_ISIC'!$E$3:$E$81, '7_Calc_DCS_den_ISIC'!$B$3:$B$81, $A100)</f>
      </c>
      <c r="C100" t="str">
        <f>B100</f>
      </c>
    </row>
    <row r="101">
      <c r="A101" t="s">
        <v>495</v>
      </c>
      <c r="B101" t="str">
        <f>SUMIFS('7_Calc_DCS_den_ISIC'!$E$3:$E$81, '7_Calc_DCS_den_ISIC'!$B$3:$B$81, $A101)</f>
      </c>
      <c r="C101" t="str">
        <f>B101</f>
      </c>
    </row>
    <row r="102">
      <c r="A102" t="s">
        <v>385</v>
      </c>
      <c r="B102" t="str">
        <f>SUMIFS('7_Calc_DCS_den_ISIC'!$E$3:$E$81, '7_Calc_DCS_den_ISIC'!$B$3:$B$81, $A102)</f>
      </c>
      <c r="C102" t="str">
        <f>B102</f>
      </c>
    </row>
    <row r="103">
      <c r="A103" t="s">
        <v>390</v>
      </c>
      <c r="B103" t="str">
        <f>SUMIFS('7_Calc_DCS_den_ISIC'!$E$3:$E$81, '7_Calc_DCS_den_ISIC'!$B$3:$B$81, $A103)</f>
      </c>
      <c r="C103" t="str">
        <f>B103</f>
      </c>
    </row>
    <row r="104">
      <c r="A104" t="s">
        <v>393</v>
      </c>
      <c r="B104" t="str">
        <f>SUMIFS('7_Calc_DCS_den_ISIC'!$E$3:$E$81, '7_Calc_DCS_den_ISIC'!$B$3:$B$81, $A104)</f>
      </c>
      <c r="C104" t="str">
        <f>B104</f>
      </c>
    </row>
    <row r="105">
      <c r="A105" t="s">
        <v>387</v>
      </c>
      <c r="B105" t="str">
        <f>SUMIFS('7_Calc_DCS_den_ISIC'!$E$3:$E$81, '7_Calc_DCS_den_ISIC'!$B$3:$B$81, $A105)</f>
      </c>
      <c r="C105" t="str">
        <f>B105</f>
      </c>
    </row>
    <row r="106">
      <c r="A106" t="s">
        <v>396</v>
      </c>
      <c r="B106" t="str">
        <f>SUMIFS('7_Calc_DCS_den_ISIC'!$E$3:$E$81, '7_Calc_DCS_den_ISIC'!$B$3:$B$81, $A106)</f>
      </c>
      <c r="C106" t="str">
        <f>B106</f>
      </c>
    </row>
    <row r="107">
      <c r="A107" t="s">
        <v>399</v>
      </c>
      <c r="B107" t="str">
        <f>SUMIFS('7_Calc_DCS_den_ISIC'!$E$3:$E$81, '7_Calc_DCS_den_ISIC'!$B$3:$B$81, $A107)</f>
      </c>
      <c r="C107" t="str">
        <f>B107</f>
      </c>
    </row>
    <row r="108">
      <c r="A108" t="s">
        <v>402</v>
      </c>
      <c r="B108" t="str">
        <f>SUMIFS('7_Calc_DCS_den_ISIC'!$E$3:$E$81, '7_Calc_DCS_den_ISIC'!$B$3:$B$81, $A108)</f>
      </c>
      <c r="C108" t="str">
        <f>B108</f>
      </c>
    </row>
    <row r="109">
      <c r="A109" t="s">
        <v>350</v>
      </c>
      <c r="B109" t="str">
        <f>SUMIFS('7_Calc_DCS_den_ISIC'!$E$3:$E$81, '7_Calc_DCS_den_ISIC'!$B$3:$B$81, $A109)</f>
      </c>
      <c r="C109" t="str">
        <f>B109</f>
      </c>
    </row>
    <row r="110">
      <c r="A110" t="s">
        <v>353</v>
      </c>
      <c r="B110" t="str">
        <f>SUMIFS('7_Calc_DCS_den_ISIC'!$E$3:$E$81, '7_Calc_DCS_den_ISIC'!$B$3:$B$81, $A110)</f>
      </c>
      <c r="C110" t="str">
        <f>B110</f>
      </c>
    </row>
    <row r="111">
      <c r="A111" t="s">
        <v>356</v>
      </c>
      <c r="B111" t="str">
        <f>SUMIFS('7_Calc_DCS_den_ISIC'!$E$3:$E$81, '7_Calc_DCS_den_ISIC'!$B$3:$B$81, $A111)</f>
      </c>
      <c r="C111" t="str">
        <f>B111</f>
      </c>
    </row>
    <row r="112">
      <c r="A112" t="s">
        <v>360</v>
      </c>
      <c r="B112" t="str">
        <f>SUMIFS('7_Calc_DCS_den_ISIC'!$E$3:$E$81, '7_Calc_DCS_den_ISIC'!$B$3:$B$81, $A112)</f>
      </c>
      <c r="C112" t="str">
        <f>B112</f>
      </c>
    </row>
    <row r="113">
      <c r="A113" t="s">
        <v>406</v>
      </c>
      <c r="B113" t="str">
        <f>SUMIFS('7_Calc_DCS_den_ISIC'!$E$3:$E$81, '7_Calc_DCS_den_ISIC'!$B$3:$B$81, $A113)</f>
      </c>
      <c r="C113" t="str">
        <f>B113</f>
      </c>
    </row>
    <row r="114">
      <c r="A114" t="s">
        <v>413</v>
      </c>
      <c r="B114" t="str">
        <f>SUMIFS('7_Calc_DCS_den_ISIC'!$E$3:$E$81, '7_Calc_DCS_den_ISIC'!$B$3:$B$81, $A114)</f>
      </c>
      <c r="C114" t="str">
        <f>B114</f>
      </c>
    </row>
    <row r="115">
      <c r="A115" t="s">
        <v>470</v>
      </c>
      <c r="B115" t="str">
        <f>SUMIFS('7_Calc_DCS_den_ISIC'!$E$3:$E$81, '7_Calc_DCS_den_ISIC'!$B$3:$B$81, $A115)</f>
      </c>
      <c r="C115" t="str">
        <f>B115</f>
      </c>
    </row>
    <row r="116">
      <c r="A116" t="s">
        <v>425</v>
      </c>
      <c r="B116" t="str">
        <f>SUMIFS('7_Calc_DCS_den_ISIC'!$E$3:$E$81, '7_Calc_DCS_den_ISIC'!$B$3:$B$81, $A116)</f>
      </c>
      <c r="C116" t="str">
        <f>B116</f>
      </c>
    </row>
    <row r="117">
      <c r="A117" t="s">
        <v>177</v>
      </c>
      <c r="B117" t="str">
        <f>SUMIFS('7_Calc_DCS_den_ISIC'!$E$3:$E$81, '7_Calc_DCS_den_ISIC'!$B$3:$B$81, $A117)</f>
      </c>
      <c r="C117" t="str">
        <f>B117</f>
      </c>
    </row>
    <row r="118">
      <c r="A118" t="s">
        <v>432</v>
      </c>
      <c r="B118" t="str">
        <f>SUMIFS('7_Calc_DCS_den_ISIC'!$E$3:$E$81, '7_Calc_DCS_den_ISIC'!$B$3:$B$81, $A118)</f>
      </c>
      <c r="C118" t="str">
        <f>B118</f>
      </c>
    </row>
    <row r="119">
      <c r="A119" t="s">
        <v>435</v>
      </c>
      <c r="B119" t="str">
        <f>SUMIFS('7_Calc_DCS_den_ISIC'!$E$3:$E$81, '7_Calc_DCS_den_ISIC'!$B$3:$B$81, $A119)</f>
      </c>
      <c r="C119" t="str">
        <f>B119</f>
      </c>
    </row>
    <row r="120">
      <c r="A120" t="s">
        <v>441</v>
      </c>
      <c r="B120" t="str">
        <f>SUMIFS('7_Calc_DCS_den_ISIC'!$E$3:$E$81, '7_Calc_DCS_den_ISIC'!$B$3:$B$81, $A120)</f>
      </c>
      <c r="C120" t="str">
        <f>B120</f>
      </c>
    </row>
    <row r="121">
      <c r="A121" t="s">
        <v>445</v>
      </c>
      <c r="B121" t="str">
        <f>SUMIFS('7_Calc_DCS_den_ISIC'!$E$3:$E$81, '7_Calc_DCS_den_ISIC'!$B$3:$B$81, $A121)</f>
      </c>
      <c r="C121" t="str">
        <f>B121</f>
      </c>
    </row>
    <row r="122">
      <c r="A122" t="s">
        <v>475</v>
      </c>
      <c r="B122" t="str">
        <f>SUMIFS('7_Calc_DCS_den_ISIC'!$E$3:$E$81, '7_Calc_DCS_den_ISIC'!$B$3:$B$81, $A122)</f>
      </c>
      <c r="C122" t="str">
        <f>B122</f>
      </c>
    </row>
    <row r="123">
      <c r="A123" t="s">
        <v>457</v>
      </c>
      <c r="B123" t="str">
        <f>SUMIFS('7_Calc_DCS_den_ISIC'!$E$3:$E$81, '7_Calc_DCS_den_ISIC'!$B$3:$B$81, $A123)</f>
      </c>
      <c r="C123" t="str">
        <f>B123</f>
      </c>
    </row>
    <row r="124">
      <c r="A124" t="s">
        <v>460</v>
      </c>
      <c r="B124" t="str">
        <f>SUMIFS('7_Calc_DCS_den_ISIC'!$E$3:$E$81, '7_Calc_DCS_den_ISIC'!$B$3:$B$81, $A124)</f>
      </c>
      <c r="C124" t="str">
        <f>B124</f>
      </c>
    </row>
    <row r="125">
      <c r="A125" t="s">
        <v>466</v>
      </c>
      <c r="B125" t="str">
        <f>SUMIFS('7_Calc_DCS_den_ISIC'!$E$3:$E$81, '7_Calc_DCS_den_ISIC'!$B$3:$B$81, $A125)</f>
      </c>
      <c r="C125" t="str">
        <f>B125</f>
      </c>
    </row>
    <row r="126">
      <c r="A126" t="s">
        <v>583</v>
      </c>
      <c r="B126" t="str">
        <f>SUMIFS('7_Calc_DCS_den_ISIC'!$E$3:$E$81, '7_Calc_DCS_den_ISIC'!$B$3:$B$81,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IFERROR(INDEX('5_Exp_total_by_BEA'!$B$2:$B$74, MATCH($A3, '5_Exp_total_by_BEA'!$A$2:$A$74,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IFERROR(INDEX('5_Exp_total_by_BEA'!$B$2:$B$74, MATCH($A4, '5_Exp_total_by_BEA'!$A$2:$A$74,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IFERROR(INDEX('5_Exp_total_by_BEA'!$B$2:$B$74, MATCH($A5, '5_Exp_total_by_BEA'!$A$2:$A$74,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IFERROR(INDEX('5_Exp_total_by_BEA'!$B$2:$B$74, MATCH($A6, '5_Exp_total_by_BEA'!$A$2:$A$74,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IFERROR(INDEX('5_Exp_total_by_BEA'!$B$2:$B$74, MATCH($A7, '5_Exp_total_by_BEA'!$A$2:$A$74,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IFERROR(INDEX('5_Exp_total_by_BEA'!$B$2:$B$74, MATCH($A8, '5_Exp_total_by_BEA'!$A$2:$A$74,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IFERROR(INDEX('5_Exp_total_by_BEA'!$B$2:$B$74, MATCH($A9, '5_Exp_total_by_BEA'!$A$2:$A$74,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IFERROR(INDEX('5_Exp_total_by_BEA'!$B$2:$B$74, MATCH($A10, '5_Exp_total_by_BEA'!$A$2:$A$74,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IFERROR(INDEX('5_Exp_total_by_BEA'!$B$2:$B$74, MATCH($A11, '5_Exp_total_by_BEA'!$A$2:$A$74,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IFERROR(INDEX('5_Exp_total_by_BEA'!$B$2:$B$74, MATCH($A12, '5_Exp_total_by_BEA'!$A$2:$A$74,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IFERROR(INDEX('5_Exp_total_by_BEA'!$B$2:$B$74, MATCH($A13, '5_Exp_total_by_BEA'!$A$2:$A$74,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IFERROR(INDEX('5_Exp_total_by_BEA'!$B$2:$B$74, MATCH($A14, '5_Exp_total_by_BEA'!$A$2:$A$74,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IFERROR(INDEX('5_Exp_total_by_BEA'!$B$2:$B$74, MATCH($A15, '5_Exp_total_by_BEA'!$A$2:$A$74,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IFERROR(INDEX('5_Exp_total_by_BEA'!$B$2:$B$74, MATCH($A16, '5_Exp_total_by_BEA'!$A$2:$A$74,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IFERROR(INDEX('5_Exp_total_by_BEA'!$B$2:$B$74, MATCH($A17, '5_Exp_total_by_BEA'!$A$2:$A$74,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IFERROR(INDEX('5_Exp_total_by_BEA'!$B$2:$B$74, MATCH($A18, '5_Exp_total_by_BEA'!$A$2:$A$74,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IFERROR(INDEX('5_Exp_total_by_BEA'!$B$2:$B$74, MATCH($A19, '5_Exp_total_by_BEA'!$A$2:$A$74,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IFERROR(INDEX('5_Exp_total_by_BEA'!$B$2:$B$74, MATCH($A20, '5_Exp_total_by_BEA'!$A$2:$A$74,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IFERROR(INDEX('5_Exp_total_by_BEA'!$B$2:$B$74, MATCH($A21, '5_Exp_total_by_BEA'!$A$2:$A$74,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IFERROR(INDEX('5_Exp_total_by_BEA'!$B$2:$B$74, MATCH($A22, '5_Exp_total_by_BEA'!$A$2:$A$74,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IFERROR(INDEX('5_Exp_total_by_BEA'!$B$2:$B$74, MATCH($A23, '5_Exp_total_by_BEA'!$A$2:$A$74,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IFERROR(INDEX('5_Exp_total_by_BEA'!$B$2:$B$74, MATCH($A24, '5_Exp_total_by_BEA'!$A$2:$A$74,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IFERROR(INDEX('5_Exp_total_by_BEA'!$B$2:$B$74, MATCH($A25, '5_Exp_total_by_BEA'!$A$2:$A$74,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IFERROR(INDEX('5_Exp_total_by_BEA'!$B$2:$B$74, MATCH($A26, '5_Exp_total_by_BEA'!$A$2:$A$74,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IFERROR(INDEX('5_Exp_total_by_BEA'!$B$2:$B$74, MATCH($A27, '5_Exp_total_by_BEA'!$A$2:$A$74,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IFERROR(INDEX('5_Exp_total_by_BEA'!$B$2:$B$74, MATCH($A28, '5_Exp_total_by_BEA'!$A$2:$A$74,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IFERROR(INDEX('5_Exp_total_by_BEA'!$B$2:$B$74, MATCH($A29, '5_Exp_total_by_BEA'!$A$2:$A$74,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IFERROR(INDEX('5_Exp_total_by_BEA'!$B$2:$B$74, MATCH($A30, '5_Exp_total_by_BEA'!$A$2:$A$74,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IFERROR(INDEX('5_Exp_total_by_BEA'!$B$2:$B$74, MATCH($A31, '5_Exp_total_by_BEA'!$A$2:$A$74,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IFERROR(INDEX('5_Exp_total_by_BEA'!$B$2:$B$74, MATCH($A32, '5_Exp_total_by_BEA'!$A$2:$A$74,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IFERROR(INDEX('5_Exp_total_by_BEA'!$B$2:$B$74, MATCH($A33, '5_Exp_total_by_BEA'!$A$2:$A$74,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IFERROR(INDEX('5_Exp_total_by_BEA'!$B$2:$B$74, MATCH($A34, '5_Exp_total_by_BEA'!$A$2:$A$74,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IFERROR(INDEX('5_Exp_total_by_BEA'!$B$2:$B$74, MATCH($A35, '5_Exp_total_by_BEA'!$A$2:$A$74,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IFERROR(INDEX('5_Exp_total_by_BEA'!$B$2:$B$74, MATCH($A36, '5_Exp_total_by_BEA'!$A$2:$A$74,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IFERROR(INDEX('5_Exp_total_by_BEA'!$B$2:$B$74, MATCH($A37, '5_Exp_total_by_BEA'!$A$2:$A$74,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IFERROR(INDEX('5_Exp_total_by_BEA'!$B$2:$B$74, MATCH($A38, '5_Exp_total_by_BEA'!$A$2:$A$74,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IFERROR(INDEX('5_Exp_total_by_BEA'!$B$2:$B$74, MATCH($A39, '5_Exp_total_by_BEA'!$A$2:$A$74,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IFERROR(INDEX('5_Exp_total_by_BEA'!$B$2:$B$74, MATCH($A40, '5_Exp_total_by_BEA'!$A$2:$A$74,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IFERROR(INDEX('5_Exp_total_by_BEA'!$B$2:$B$74, MATCH($A41, '5_Exp_total_by_BEA'!$A$2:$A$74,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IFERROR(INDEX('5_Exp_total_by_BEA'!$B$2:$B$74, MATCH($A42, '5_Exp_total_by_BEA'!$A$2:$A$74,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IFERROR(INDEX('5_Exp_total_by_BEA'!$B$2:$B$74, MATCH($A43, '5_Exp_total_by_BEA'!$A$2:$A$74,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IFERROR(INDEX('5_Exp_total_by_BEA'!$B$2:$B$74, MATCH($A44, '5_Exp_total_by_BEA'!$A$2:$A$74,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IFERROR(INDEX('5_Exp_total_by_BEA'!$B$2:$B$74, MATCH($A45, '5_Exp_total_by_BEA'!$A$2:$A$74,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IFERROR(INDEX('5_Exp_total_by_BEA'!$B$2:$B$74, MATCH($A46, '5_Exp_total_by_BEA'!$A$2:$A$74,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IFERROR(INDEX('5_Exp_total_by_BEA'!$B$2:$B$74, MATCH($A47, '5_Exp_total_by_BEA'!$A$2:$A$74,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IFERROR(INDEX('5_Exp_total_by_BEA'!$B$2:$B$74, MATCH($A48, '5_Exp_total_by_BEA'!$A$2:$A$74,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IFERROR(INDEX('5_Exp_total_by_BEA'!$B$2:$B$74, MATCH($A49, '5_Exp_total_by_BEA'!$A$2:$A$74,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IFERROR(INDEX('5_Exp_total_by_BEA'!$B$2:$B$74, MATCH($A50, '5_Exp_total_by_BEA'!$A$2:$A$74,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IFERROR(INDEX('5_Exp_total_by_BEA'!$B$2:$B$74, MATCH($A51, '5_Exp_total_by_BEA'!$A$2:$A$74,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IFERROR(INDEX('5_Exp_total_by_BEA'!$B$2:$B$74, MATCH($A52, '5_Exp_total_by_BEA'!$A$2:$A$74,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IFERROR(INDEX('5_Exp_total_by_BEA'!$B$2:$B$74, MATCH($A53, '5_Exp_total_by_BEA'!$A$2:$A$74,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IFERROR(INDEX('5_Exp_total_by_BEA'!$B$2:$B$74, MATCH($A54, '5_Exp_total_by_BEA'!$A$2:$A$74,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IFERROR(INDEX('5_Exp_total_by_BEA'!$B$2:$B$74, MATCH($A55, '5_Exp_total_by_BEA'!$A$2:$A$74,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IFERROR(INDEX('5_Exp_total_by_BEA'!$B$2:$B$74, MATCH($A56, '5_Exp_total_by_BEA'!$A$2:$A$74,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IFERROR(INDEX('5_Exp_total_by_BEA'!$B$2:$B$74, MATCH($A57, '5_Exp_total_by_BEA'!$A$2:$A$74,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IFERROR(INDEX('5_Exp_total_by_BEA'!$B$2:$B$74, MATCH($A58, '5_Exp_total_by_BEA'!$A$2:$A$74,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IFERROR(INDEX('5_Exp_total_by_BEA'!$B$2:$B$74, MATCH($A59, '5_Exp_total_by_BEA'!$A$2:$A$74,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IFERROR(INDEX('5_Exp_total_by_BEA'!$B$2:$B$74, MATCH($A60, '5_Exp_total_by_BEA'!$A$2:$A$74,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IFERROR(INDEX('5_Exp_total_by_BEA'!$B$2:$B$74, MATCH($A61, '5_Exp_total_by_BEA'!$A$2:$A$74,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IFERROR(INDEX('5_Exp_total_by_BEA'!$B$2:$B$74, MATCH($A62, '5_Exp_total_by_BEA'!$A$2:$A$74,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IFERROR(INDEX('5_Exp_total_by_BEA'!$B$2:$B$74, MATCH($A63, '5_Exp_total_by_BEA'!$A$2:$A$74,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IFERROR(INDEX('5_Exp_total_by_BEA'!$B$2:$B$74, MATCH($A64, '5_Exp_total_by_BEA'!$A$2:$A$74,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IFERROR(INDEX('5_Exp_total_by_BEA'!$B$2:$B$74, MATCH($A65, '5_Exp_total_by_BEA'!$A$2:$A$74,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IFERROR(INDEX('5_Exp_total_by_BEA'!$B$2:$B$74, MATCH($A66, '5_Exp_total_by_BEA'!$A$2:$A$74,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IFERROR(INDEX('5_Exp_total_by_BEA'!$B$2:$B$74, MATCH($A67, '5_Exp_total_by_BEA'!$A$2:$A$74,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IFERROR(INDEX('5_Exp_total_by_BEA'!$B$2:$B$74, MATCH($A68, '5_Exp_total_by_BEA'!$A$2:$A$74,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IFERROR(INDEX('5_Exp_total_by_BEA'!$B$2:$B$74, MATCH($A69, '5_Exp_total_by_BEA'!$A$2:$A$74,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IFERROR(INDEX('5_Exp_total_by_BEA'!$B$2:$B$74, MATCH($A70, '5_Exp_total_by_BEA'!$A$2:$A$74,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IFERROR(INDEX('5_Exp_total_by_BEA'!$B$2:$B$74, MATCH($A71, '5_Exp_total_by_BEA'!$A$2:$A$74,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IFERROR(INDEX('5_Exp_total_by_BEA'!$B$2:$B$74, MATCH($A72, '5_Exp_total_by_BEA'!$A$2:$A$74,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IFERROR(INDEX('5_Exp_total_by_BEA'!$B$2:$B$74, MATCH($A73, '5_Exp_total_by_BEA'!$A$2:$A$74,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IFERROR(INDEX('5_Exp_total_by_BEA'!$B$2:$B$74, MATCH($A74, '5_Exp_total_by_BEA'!$A$2:$A$74,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IFERROR(INDEX('5_Exp_total_by_BEA'!$B$2:$B$74, MATCH($A75, '5_Exp_total_by_BEA'!$A$2:$A$74,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IFERROR(INDEX('5_Exp_total_by_BEA'!$B$2:$B$74, MATCH($A76, '5_Exp_total_by_BEA'!$A$2:$A$74,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IFERROR(INDEX('5_Exp_total_by_BEA'!$B$2:$B$74, MATCH($A77, '5_Exp_total_by_BEA'!$A$2:$A$74,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IFERROR(INDEX('5_Exp_total_by_BEA'!$B$2:$B$74, MATCH($A78, '5_Exp_total_by_BEA'!$A$2:$A$74,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IFERROR(INDEX('5_Exp_total_by_BEA'!$B$2:$B$74, MATCH($A79, '5_Exp_total_by_BEA'!$A$2:$A$74,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IFERROR(INDEX('5_Exp_total_by_BEA'!$B$2:$B$74, MATCH($A80, '5_Exp_total_by_BEA'!$A$2:$A$74,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IFERROR(INDEX('5_Exp_total_by_BEA'!$B$2:$B$74, MATCH($A81, '5_Exp_total_by_BEA'!$A$2:$A$74, 0)), 0)</f>
      </c>
      <c r="E81" t="str">
        <f>C81*D81</f>
      </c>
    </row>
    <row r="83">
      <c r="A83" t="s">
        <v>592</v>
      </c>
    </row>
    <row r="84">
      <c r="A84" t="s">
        <v>334</v>
      </c>
      <c r="B84" t="s">
        <v>590</v>
      </c>
      <c r="C84" t="s">
        <v>593</v>
      </c>
    </row>
    <row r="85">
      <c r="A85" t="s">
        <v>340</v>
      </c>
      <c r="B85" t="str">
        <f>SUMIFS('8_Calc_Exp_ISIC'!$E$3:$E$81, '8_Calc_Exp_ISIC'!$B$3:$B$81, $A85)</f>
      </c>
      <c r="C85" t="str">
        <f>B85/Keys!$C$2</f>
      </c>
    </row>
    <row r="86">
      <c r="A86" t="s">
        <v>482</v>
      </c>
      <c r="B86" t="str">
        <f>SUMIFS('8_Calc_Exp_ISIC'!$E$3:$E$81, '8_Calc_Exp_ISIC'!$B$3:$B$81, $A86)</f>
      </c>
      <c r="C86" t="str">
        <f>B86/Keys!$C$2</f>
      </c>
    </row>
    <row r="87">
      <c r="A87" t="s">
        <v>344</v>
      </c>
      <c r="B87" t="str">
        <f>SUMIFS('8_Calc_Exp_ISIC'!$E$3:$E$81, '8_Calc_Exp_ISIC'!$B$3:$B$81, $A87)</f>
      </c>
      <c r="C87" t="str">
        <f>B87/Keys!$C$2</f>
      </c>
    </row>
    <row r="88">
      <c r="A88" t="s">
        <v>485</v>
      </c>
      <c r="B88" t="str">
        <f>SUMIFS('8_Calc_Exp_ISIC'!$E$3:$E$81, '8_Calc_Exp_ISIC'!$B$3:$B$81, $A88)</f>
      </c>
      <c r="C88" t="str">
        <f>B88/Keys!$C$2</f>
      </c>
    </row>
    <row r="89">
      <c r="A89" t="s">
        <v>347</v>
      </c>
      <c r="B89" t="str">
        <f>SUMIFS('8_Calc_Exp_ISIC'!$E$3:$E$81, '8_Calc_Exp_ISIC'!$B$3:$B$81, $A89)</f>
      </c>
      <c r="C89" t="str">
        <f>B89/Keys!$C$2</f>
      </c>
    </row>
    <row r="90">
      <c r="A90" t="s">
        <v>362</v>
      </c>
      <c r="B90" t="str">
        <f>SUMIFS('8_Calc_Exp_ISIC'!$E$3:$E$81, '8_Calc_Exp_ISIC'!$B$3:$B$81, $A90)</f>
      </c>
      <c r="C90" t="str">
        <f>B90/Keys!$C$2</f>
      </c>
    </row>
    <row r="91">
      <c r="A91" t="s">
        <v>365</v>
      </c>
      <c r="B91" t="str">
        <f>SUMIFS('8_Calc_Exp_ISIC'!$E$3:$E$81, '8_Calc_Exp_ISIC'!$B$3:$B$81, $A91)</f>
      </c>
      <c r="C91" t="str">
        <f>B91/Keys!$C$2</f>
      </c>
    </row>
    <row r="92">
      <c r="A92" t="s">
        <v>369</v>
      </c>
      <c r="B92" t="str">
        <f>SUMIFS('8_Calc_Exp_ISIC'!$E$3:$E$81, '8_Calc_Exp_ISIC'!$B$3:$B$81, $A92)</f>
      </c>
      <c r="C92" t="str">
        <f>B92/Keys!$C$2</f>
      </c>
    </row>
    <row r="93">
      <c r="A93" t="s">
        <v>372</v>
      </c>
      <c r="B93" t="str">
        <f>SUMIFS('8_Calc_Exp_ISIC'!$E$3:$E$81, '8_Calc_Exp_ISIC'!$B$3:$B$81, $A93)</f>
      </c>
      <c r="C93" t="str">
        <f>B93/Keys!$C$2</f>
      </c>
    </row>
    <row r="94">
      <c r="A94" t="s">
        <v>376</v>
      </c>
      <c r="B94" t="str">
        <f>SUMIFS('8_Calc_Exp_ISIC'!$E$3:$E$81, '8_Calc_Exp_ISIC'!$B$3:$B$81, $A94)</f>
      </c>
      <c r="C94" t="str">
        <f>B94/Keys!$C$2</f>
      </c>
    </row>
    <row r="95">
      <c r="A95" t="s">
        <v>498</v>
      </c>
      <c r="B95" t="str">
        <f>SUMIFS('8_Calc_Exp_ISIC'!$E$3:$E$81, '8_Calc_Exp_ISIC'!$B$3:$B$81, $A95)</f>
      </c>
      <c r="C95" t="str">
        <f>B95/Keys!$C$2</f>
      </c>
    </row>
    <row r="96">
      <c r="A96" t="s">
        <v>501</v>
      </c>
      <c r="B96" t="str">
        <f>SUMIFS('8_Calc_Exp_ISIC'!$E$3:$E$81, '8_Calc_Exp_ISIC'!$B$3:$B$81, $A96)</f>
      </c>
      <c r="C96" t="str">
        <f>B96/Keys!$C$2</f>
      </c>
    </row>
    <row r="97">
      <c r="A97" t="s">
        <v>126</v>
      </c>
      <c r="B97" t="str">
        <f>SUMIFS('8_Calc_Exp_ISIC'!$E$3:$E$81, '8_Calc_Exp_ISIC'!$B$3:$B$81, $A97)</f>
      </c>
      <c r="C97" t="str">
        <f>B97/Keys!$C$2</f>
      </c>
    </row>
    <row r="98">
      <c r="A98" t="s">
        <v>488</v>
      </c>
      <c r="B98" t="str">
        <f>SUMIFS('8_Calc_Exp_ISIC'!$E$3:$E$81, '8_Calc_Exp_ISIC'!$B$3:$B$81, $A98)</f>
      </c>
      <c r="C98" t="str">
        <f>B98/Keys!$C$2</f>
      </c>
    </row>
    <row r="99">
      <c r="A99" t="s">
        <v>491</v>
      </c>
      <c r="B99" t="str">
        <f>SUMIFS('8_Calc_Exp_ISIC'!$E$3:$E$81, '8_Calc_Exp_ISIC'!$B$3:$B$81, $A99)</f>
      </c>
      <c r="C99" t="str">
        <f>B99/Keys!$C$2</f>
      </c>
    </row>
    <row r="100">
      <c r="A100" t="s">
        <v>379</v>
      </c>
      <c r="B100" t="str">
        <f>SUMIFS('8_Calc_Exp_ISIC'!$E$3:$E$81, '8_Calc_Exp_ISIC'!$B$3:$B$81, $A100)</f>
      </c>
      <c r="C100" t="str">
        <f>B100/Keys!$C$2</f>
      </c>
    </row>
    <row r="101">
      <c r="A101" t="s">
        <v>495</v>
      </c>
      <c r="B101" t="str">
        <f>SUMIFS('8_Calc_Exp_ISIC'!$E$3:$E$81, '8_Calc_Exp_ISIC'!$B$3:$B$81, $A101)</f>
      </c>
      <c r="C101" t="str">
        <f>B101/Keys!$C$2</f>
      </c>
    </row>
    <row r="102">
      <c r="A102" t="s">
        <v>385</v>
      </c>
      <c r="B102" t="str">
        <f>SUMIFS('8_Calc_Exp_ISIC'!$E$3:$E$81, '8_Calc_Exp_ISIC'!$B$3:$B$81, $A102)</f>
      </c>
      <c r="C102" t="str">
        <f>B102/Keys!$C$2</f>
      </c>
    </row>
    <row r="103">
      <c r="A103" t="s">
        <v>390</v>
      </c>
      <c r="B103" t="str">
        <f>SUMIFS('8_Calc_Exp_ISIC'!$E$3:$E$81, '8_Calc_Exp_ISIC'!$B$3:$B$81, $A103)</f>
      </c>
      <c r="C103" t="str">
        <f>B103/Keys!$C$2</f>
      </c>
    </row>
    <row r="104">
      <c r="A104" t="s">
        <v>393</v>
      </c>
      <c r="B104" t="str">
        <f>SUMIFS('8_Calc_Exp_ISIC'!$E$3:$E$81, '8_Calc_Exp_ISIC'!$B$3:$B$81, $A104)</f>
      </c>
      <c r="C104" t="str">
        <f>B104/Keys!$C$2</f>
      </c>
    </row>
    <row r="105">
      <c r="A105" t="s">
        <v>387</v>
      </c>
      <c r="B105" t="str">
        <f>SUMIFS('8_Calc_Exp_ISIC'!$E$3:$E$81, '8_Calc_Exp_ISIC'!$B$3:$B$81, $A105)</f>
      </c>
      <c r="C105" t="str">
        <f>B105/Keys!$C$2</f>
      </c>
    </row>
    <row r="106">
      <c r="A106" t="s">
        <v>396</v>
      </c>
      <c r="B106" t="str">
        <f>SUMIFS('8_Calc_Exp_ISIC'!$E$3:$E$81, '8_Calc_Exp_ISIC'!$B$3:$B$81, $A106)</f>
      </c>
      <c r="C106" t="str">
        <f>B106/Keys!$C$2</f>
      </c>
    </row>
    <row r="107">
      <c r="A107" t="s">
        <v>399</v>
      </c>
      <c r="B107" t="str">
        <f>SUMIFS('8_Calc_Exp_ISIC'!$E$3:$E$81, '8_Calc_Exp_ISIC'!$B$3:$B$81, $A107)</f>
      </c>
      <c r="C107" t="str">
        <f>B107/Keys!$C$2</f>
      </c>
    </row>
    <row r="108">
      <c r="A108" t="s">
        <v>402</v>
      </c>
      <c r="B108" t="str">
        <f>SUMIFS('8_Calc_Exp_ISIC'!$E$3:$E$81, '8_Calc_Exp_ISIC'!$B$3:$B$81, $A108)</f>
      </c>
      <c r="C108" t="str">
        <f>B108/Keys!$C$2</f>
      </c>
    </row>
    <row r="109">
      <c r="A109" t="s">
        <v>350</v>
      </c>
      <c r="B109" t="str">
        <f>SUMIFS('8_Calc_Exp_ISIC'!$E$3:$E$81, '8_Calc_Exp_ISIC'!$B$3:$B$81, $A109)</f>
      </c>
      <c r="C109" t="str">
        <f>B109/Keys!$C$2</f>
      </c>
    </row>
    <row r="110">
      <c r="A110" t="s">
        <v>353</v>
      </c>
      <c r="B110" t="str">
        <f>SUMIFS('8_Calc_Exp_ISIC'!$E$3:$E$81, '8_Calc_Exp_ISIC'!$B$3:$B$81, $A110)</f>
      </c>
      <c r="C110" t="str">
        <f>B110/Keys!$C$2</f>
      </c>
    </row>
    <row r="111">
      <c r="A111" t="s">
        <v>356</v>
      </c>
      <c r="B111" t="str">
        <f>SUMIFS('8_Calc_Exp_ISIC'!$E$3:$E$81, '8_Calc_Exp_ISIC'!$B$3:$B$81, $A111)</f>
      </c>
      <c r="C111" t="str">
        <f>B111/Keys!$C$2</f>
      </c>
    </row>
    <row r="112">
      <c r="A112" t="s">
        <v>360</v>
      </c>
      <c r="B112" t="str">
        <f>SUMIFS('8_Calc_Exp_ISIC'!$E$3:$E$81, '8_Calc_Exp_ISIC'!$B$3:$B$81, $A112)</f>
      </c>
      <c r="C112" t="str">
        <f>B112/Keys!$C$2</f>
      </c>
    </row>
    <row r="113">
      <c r="A113" t="s">
        <v>406</v>
      </c>
      <c r="B113" t="str">
        <f>SUMIFS('8_Calc_Exp_ISIC'!$E$3:$E$81, '8_Calc_Exp_ISIC'!$B$3:$B$81, $A113)</f>
      </c>
      <c r="C113" t="str">
        <f>B113/Keys!$C$2</f>
      </c>
    </row>
    <row r="114">
      <c r="A114" t="s">
        <v>413</v>
      </c>
      <c r="B114" t="str">
        <f>SUMIFS('8_Calc_Exp_ISIC'!$E$3:$E$81, '8_Calc_Exp_ISIC'!$B$3:$B$81, $A114)</f>
      </c>
      <c r="C114" t="str">
        <f>B114/Keys!$C$2</f>
      </c>
    </row>
    <row r="115">
      <c r="A115" t="s">
        <v>470</v>
      </c>
      <c r="B115" t="str">
        <f>SUMIFS('8_Calc_Exp_ISIC'!$E$3:$E$81, '8_Calc_Exp_ISIC'!$B$3:$B$81, $A115)</f>
      </c>
      <c r="C115" t="str">
        <f>B115/Keys!$C$2</f>
      </c>
    </row>
    <row r="116">
      <c r="A116" t="s">
        <v>425</v>
      </c>
      <c r="B116" t="str">
        <f>SUMIFS('8_Calc_Exp_ISIC'!$E$3:$E$81, '8_Calc_Exp_ISIC'!$B$3:$B$81, $A116)</f>
      </c>
      <c r="C116" t="str">
        <f>B116/Keys!$C$2</f>
      </c>
    </row>
    <row r="117">
      <c r="A117" t="s">
        <v>177</v>
      </c>
      <c r="B117" t="str">
        <f>SUMIFS('8_Calc_Exp_ISIC'!$E$3:$E$81, '8_Calc_Exp_ISIC'!$B$3:$B$81, $A117)</f>
      </c>
      <c r="C117" t="str">
        <f>B117/Keys!$C$2</f>
      </c>
    </row>
    <row r="118">
      <c r="A118" t="s">
        <v>432</v>
      </c>
      <c r="B118" t="str">
        <f>SUMIFS('8_Calc_Exp_ISIC'!$E$3:$E$81, '8_Calc_Exp_ISIC'!$B$3:$B$81, $A118)</f>
      </c>
      <c r="C118" t="str">
        <f>B118/Keys!$C$2</f>
      </c>
    </row>
    <row r="119">
      <c r="A119" t="s">
        <v>435</v>
      </c>
      <c r="B119" t="str">
        <f>SUMIFS('8_Calc_Exp_ISIC'!$E$3:$E$81, '8_Calc_Exp_ISIC'!$B$3:$B$81, $A119)</f>
      </c>
      <c r="C119" t="str">
        <f>B119/Keys!$C$2</f>
      </c>
    </row>
    <row r="120">
      <c r="A120" t="s">
        <v>441</v>
      </c>
      <c r="B120" t="str">
        <f>SUMIFS('8_Calc_Exp_ISIC'!$E$3:$E$81, '8_Calc_Exp_ISIC'!$B$3:$B$81, $A120)</f>
      </c>
      <c r="C120" t="str">
        <f>B120/Keys!$C$2</f>
      </c>
    </row>
    <row r="121">
      <c r="A121" t="s">
        <v>445</v>
      </c>
      <c r="B121" t="str">
        <f>SUMIFS('8_Calc_Exp_ISIC'!$E$3:$E$81, '8_Calc_Exp_ISIC'!$B$3:$B$81, $A121)</f>
      </c>
      <c r="C121" t="str">
        <f>B121/Keys!$C$2</f>
      </c>
    </row>
    <row r="122">
      <c r="A122" t="s">
        <v>475</v>
      </c>
      <c r="B122" t="str">
        <f>SUMIFS('8_Calc_Exp_ISIC'!$E$3:$E$81, '8_Calc_Exp_ISIC'!$B$3:$B$81, $A122)</f>
      </c>
      <c r="C122" t="str">
        <f>B122/Keys!$C$2</f>
      </c>
    </row>
    <row r="123">
      <c r="A123" t="s">
        <v>457</v>
      </c>
      <c r="B123" t="str">
        <f>SUMIFS('8_Calc_Exp_ISIC'!$E$3:$E$81, '8_Calc_Exp_ISIC'!$B$3:$B$81, $A123)</f>
      </c>
      <c r="C123" t="str">
        <f>B123/Keys!$C$2</f>
      </c>
    </row>
    <row r="124">
      <c r="A124" t="s">
        <v>460</v>
      </c>
      <c r="B124" t="str">
        <f>SUMIFS('8_Calc_Exp_ISIC'!$E$3:$E$81, '8_Calc_Exp_ISIC'!$B$3:$B$81, $A124)</f>
      </c>
      <c r="C124" t="str">
        <f>B124/Keys!$C$2</f>
      </c>
    </row>
    <row r="125">
      <c r="A125" t="s">
        <v>466</v>
      </c>
      <c r="B125" t="str">
        <f>SUMIFS('8_Calc_Exp_ISIC'!$E$3:$E$81, '8_Calc_Exp_ISIC'!$B$3:$B$81, $A125)</f>
      </c>
      <c r="C125" t="str">
        <f>B125/Keys!$C$2</f>
      </c>
    </row>
    <row r="126">
      <c r="A126" t="s">
        <v>583</v>
      </c>
      <c r="B126" t="str">
        <f>SUMIFS('8_Calc_Exp_ISIC'!$E$3:$E$81, '8_Calc_Exp_ISIC'!$B$3:$B$81,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334</v>
      </c>
      <c r="B1" t="s">
        <v>594</v>
      </c>
    </row>
    <row r="2">
      <c r="A2" t="s">
        <v>340</v>
      </c>
      <c r="B2" t="n">
        <v>902445037.894642</v>
      </c>
    </row>
    <row r="3">
      <c r="A3" t="s">
        <v>482</v>
      </c>
      <c r="B3" t="n">
        <v>0</v>
      </c>
    </row>
    <row r="4">
      <c r="A4" t="s">
        <v>344</v>
      </c>
      <c r="B4" t="n">
        <v>0</v>
      </c>
    </row>
    <row r="5">
      <c r="A5" t="s">
        <v>485</v>
      </c>
      <c r="B5" t="n">
        <v>259400741.247926</v>
      </c>
    </row>
    <row r="6">
      <c r="A6" t="s">
        <v>347</v>
      </c>
      <c r="B6" t="n">
        <v>10814105.5868905</v>
      </c>
    </row>
    <row r="7">
      <c r="A7" t="s">
        <v>362</v>
      </c>
      <c r="B7" t="n">
        <v>5336027866.98225</v>
      </c>
    </row>
    <row r="8">
      <c r="A8" t="s">
        <v>365</v>
      </c>
      <c r="B8" t="n">
        <v>405304419.742114</v>
      </c>
    </row>
    <row r="9">
      <c r="A9" t="s">
        <v>369</v>
      </c>
      <c r="B9" t="n">
        <v>223184776.173108</v>
      </c>
    </row>
    <row r="10">
      <c r="A10" t="s">
        <v>372</v>
      </c>
      <c r="B10" t="n">
        <v>2258770609.90599</v>
      </c>
    </row>
    <row r="11">
      <c r="A11" t="s">
        <v>376</v>
      </c>
      <c r="B11" t="n">
        <v>556758062.173799</v>
      </c>
    </row>
    <row r="12">
      <c r="A12" t="s">
        <v>498</v>
      </c>
      <c r="B12" t="n">
        <v>4663723111.00825</v>
      </c>
    </row>
    <row r="13">
      <c r="A13" t="s">
        <v>501</v>
      </c>
      <c r="B13" t="n">
        <v>4663723111.00825</v>
      </c>
    </row>
    <row r="14">
      <c r="A14" t="s">
        <v>126</v>
      </c>
      <c r="B14" t="n">
        <v>1604011384.99596</v>
      </c>
    </row>
    <row r="15">
      <c r="A15" t="s">
        <v>488</v>
      </c>
      <c r="B15" t="n">
        <v>101545619.992216</v>
      </c>
    </row>
    <row r="16">
      <c r="A16" t="s">
        <v>491</v>
      </c>
      <c r="B16" t="n">
        <v>304636859.976647</v>
      </c>
    </row>
    <row r="17">
      <c r="A17" t="s">
        <v>379</v>
      </c>
      <c r="B17" t="n">
        <v>716295205.769722</v>
      </c>
    </row>
    <row r="18">
      <c r="A18" t="s">
        <v>495</v>
      </c>
      <c r="B18" t="n">
        <v>1040550668.55347</v>
      </c>
    </row>
    <row r="19">
      <c r="A19" t="s">
        <v>385</v>
      </c>
      <c r="B19" t="n">
        <v>8324302312.40635</v>
      </c>
    </row>
    <row r="20">
      <c r="A20" t="s">
        <v>390</v>
      </c>
      <c r="B20" t="n">
        <v>2323080736.62942</v>
      </c>
    </row>
    <row r="21">
      <c r="A21" t="s">
        <v>393</v>
      </c>
      <c r="B21" t="n">
        <v>2690726399.67081</v>
      </c>
    </row>
    <row r="22">
      <c r="A22" t="s">
        <v>387</v>
      </c>
      <c r="B22" t="n">
        <v>3502363691.73007</v>
      </c>
    </row>
    <row r="23">
      <c r="A23" t="s">
        <v>396</v>
      </c>
      <c r="B23" t="n">
        <v>1638482141.62049</v>
      </c>
    </row>
    <row r="24">
      <c r="A24" t="s">
        <v>399</v>
      </c>
      <c r="B24" t="n">
        <v>22293499567.0341</v>
      </c>
    </row>
    <row r="25">
      <c r="A25" t="s">
        <v>402</v>
      </c>
      <c r="B25" t="n">
        <v>4527928282.1637</v>
      </c>
    </row>
    <row r="26">
      <c r="A26" t="s">
        <v>350</v>
      </c>
      <c r="B26" t="n">
        <v>4672762207.89403</v>
      </c>
    </row>
    <row r="27">
      <c r="A27" t="s">
        <v>353</v>
      </c>
      <c r="B27" t="n">
        <v>2451002194.84736</v>
      </c>
    </row>
    <row r="28">
      <c r="A28" t="s">
        <v>356</v>
      </c>
      <c r="B28" t="n">
        <v>2163769045.561</v>
      </c>
    </row>
    <row r="29">
      <c r="A29" t="s">
        <v>360</v>
      </c>
      <c r="B29" t="n">
        <v>13101380208.1917</v>
      </c>
    </row>
    <row r="30">
      <c r="A30" t="s">
        <v>406</v>
      </c>
      <c r="B30" t="n">
        <v>44306725972.9456</v>
      </c>
    </row>
    <row r="31">
      <c r="A31" t="s">
        <v>413</v>
      </c>
      <c r="B31" t="n">
        <v>8529392660.62664</v>
      </c>
    </row>
    <row r="32">
      <c r="A32" t="s">
        <v>470</v>
      </c>
      <c r="B32" t="n">
        <v>11974832235.1271</v>
      </c>
    </row>
    <row r="33">
      <c r="A33" t="s">
        <v>425</v>
      </c>
      <c r="B33" t="n">
        <v>10098103483.11</v>
      </c>
    </row>
    <row r="34">
      <c r="A34" t="s">
        <v>177</v>
      </c>
      <c r="B34" t="n">
        <v>12861067316.813</v>
      </c>
    </row>
    <row r="35">
      <c r="A35" t="s">
        <v>432</v>
      </c>
      <c r="B35" t="n">
        <v>7573596295.07684</v>
      </c>
    </row>
    <row r="36">
      <c r="A36" t="s">
        <v>435</v>
      </c>
      <c r="B36" t="n">
        <v>67182620056.1872</v>
      </c>
    </row>
    <row r="37">
      <c r="A37" t="s">
        <v>441</v>
      </c>
      <c r="B37" t="n">
        <v>41578841313.6647</v>
      </c>
    </row>
    <row r="38">
      <c r="A38" t="s">
        <v>445</v>
      </c>
      <c r="B38" t="n">
        <v>50633935756.9738</v>
      </c>
    </row>
    <row r="39">
      <c r="A39" t="s">
        <v>475</v>
      </c>
      <c r="B39" t="n">
        <v>38775220264.5924</v>
      </c>
    </row>
    <row r="40">
      <c r="A40" t="s">
        <v>457</v>
      </c>
      <c r="B40" t="n">
        <v>8481237613.26415</v>
      </c>
    </row>
    <row r="41">
      <c r="A41" t="s">
        <v>460</v>
      </c>
      <c r="B41" t="n">
        <v>33533799279.774</v>
      </c>
    </row>
    <row r="42">
      <c r="A42" t="s">
        <v>466</v>
      </c>
      <c r="B42" t="n">
        <v>12011618304.4853</v>
      </c>
    </row>
    <row r="43">
      <c r="A43" t="s">
        <v>583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595</v>
      </c>
      <c r="C1" t="s">
        <v>338</v>
      </c>
    </row>
    <row r="2">
      <c r="A2" t="s">
        <v>482</v>
      </c>
      <c r="B2" t="n">
        <v>0</v>
      </c>
      <c r="C2" t="s">
        <v>596</v>
      </c>
    </row>
    <row r="3">
      <c r="A3" t="s">
        <v>344</v>
      </c>
      <c r="B3" t="n">
        <v>0</v>
      </c>
      <c r="C3" t="s">
        <v>597</v>
      </c>
    </row>
    <row r="4">
      <c r="A4" t="s">
        <v>350</v>
      </c>
      <c r="B4" t="n">
        <v>1</v>
      </c>
      <c r="C4" t="s">
        <v>598</v>
      </c>
    </row>
    <row r="5">
      <c r="A5" t="s">
        <v>356</v>
      </c>
      <c r="B5" t="n">
        <v>1</v>
      </c>
      <c r="C5" t="s">
        <v>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600</v>
      </c>
      <c r="C1" t="s">
        <v>338</v>
      </c>
    </row>
    <row r="2">
      <c r="A2" t="s">
        <v>356</v>
      </c>
      <c r="B2" t="n">
        <v>0</v>
      </c>
      <c r="C2" t="s">
        <v>601</v>
      </c>
    </row>
    <row r="3">
      <c r="A3" t="s">
        <v>350</v>
      </c>
      <c r="B3" t="n">
        <v>0.255344703338938</v>
      </c>
      <c r="C3" t="s">
        <v>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603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IFERROR(INDEX('6_Calc_DCS_num_ISIC'!$C$85:$C$126, MATCH($A3, '6_Calc_DCS_num_ISIC'!$A$85:$A$126, 0)), 0)</f>
      </c>
      <c r="C3" t="str">
        <f>IFERROR(INDEX('7_Calc_DCS_den_ISIC'!$C$85:$C$126, MATCH($A3, '7_Calc_DCS_den_ISIC'!$A$85:$A$126, 0)), 0)</f>
      </c>
      <c r="D3" t="str">
        <f>B3/MAX(C3, Keys!$C$4)</f>
      </c>
      <c r="E3" t="str">
        <f>MIN(1, MAX(0, D3))</f>
      </c>
      <c r="F3" t="str">
        <f>IFERROR(INDEX('9b_DCS_overrides'!$B$2:$B$5, MATCH($A3, '9b_DCS_overrides'!$A$2:$A$5, 0)), E3)</f>
      </c>
    </row>
    <row r="4">
      <c r="A4" t="s">
        <v>482</v>
      </c>
      <c r="B4" t="str">
        <f>IFERROR(INDEX('6_Calc_DCS_num_ISIC'!$C$85:$C$126, MATCH($A4, '6_Calc_DCS_num_ISIC'!$A$85:$A$126, 0)), 0)</f>
      </c>
      <c r="C4" t="str">
        <f>IFERROR(INDEX('7_Calc_DCS_den_ISIC'!$C$85:$C$126, MATCH($A4, '7_Calc_DCS_den_ISIC'!$A$85:$A$126, 0)), 0)</f>
      </c>
      <c r="D4" t="str">
        <f>B4/MAX(C4, Keys!$C$4)</f>
      </c>
      <c r="E4" t="str">
        <f>MIN(1, MAX(0, D4))</f>
      </c>
      <c r="F4" t="str">
        <f>IFERROR(INDEX('9b_DCS_overrides'!$B$2:$B$5, MATCH($A4, '9b_DCS_overrides'!$A$2:$A$5, 0)), E4)</f>
      </c>
    </row>
    <row r="5">
      <c r="A5" t="s">
        <v>344</v>
      </c>
      <c r="B5" t="str">
        <f>IFERROR(INDEX('6_Calc_DCS_num_ISIC'!$C$85:$C$126, MATCH($A5, '6_Calc_DCS_num_ISIC'!$A$85:$A$126, 0)), 0)</f>
      </c>
      <c r="C5" t="str">
        <f>IFERROR(INDEX('7_Calc_DCS_den_ISIC'!$C$85:$C$126, MATCH($A5, '7_Calc_DCS_den_ISIC'!$A$85:$A$126, 0)), 0)</f>
      </c>
      <c r="D5" t="str">
        <f>B5/MAX(C5, Keys!$C$4)</f>
      </c>
      <c r="E5" t="str">
        <f>MIN(1, MAX(0, D5))</f>
      </c>
      <c r="F5" t="str">
        <f>IFERROR(INDEX('9b_DCS_overrides'!$B$2:$B$5, MATCH($A5, '9b_DCS_overrides'!$A$2:$A$5, 0)), E5)</f>
      </c>
    </row>
    <row r="6">
      <c r="A6" t="s">
        <v>485</v>
      </c>
      <c r="B6" t="str">
        <f>IFERROR(INDEX('6_Calc_DCS_num_ISIC'!$C$85:$C$126, MATCH($A6, '6_Calc_DCS_num_ISIC'!$A$85:$A$126, 0)), 0)</f>
      </c>
      <c r="C6" t="str">
        <f>IFERROR(INDEX('7_Calc_DCS_den_ISIC'!$C$85:$C$126, MATCH($A6, '7_Calc_DCS_den_ISIC'!$A$85:$A$126, 0)), 0)</f>
      </c>
      <c r="D6" t="str">
        <f>B6/MAX(C6, Keys!$C$4)</f>
      </c>
      <c r="E6" t="str">
        <f>MIN(1, MAX(0, D6))</f>
      </c>
      <c r="F6" t="str">
        <f>IFERROR(INDEX('9b_DCS_overrides'!$B$2:$B$5, MATCH($A6, '9b_DCS_overrides'!$A$2:$A$5, 0)), E6)</f>
      </c>
    </row>
    <row r="7">
      <c r="A7" t="s">
        <v>347</v>
      </c>
      <c r="B7" t="str">
        <f>IFERROR(INDEX('6_Calc_DCS_num_ISIC'!$C$85:$C$126, MATCH($A7, '6_Calc_DCS_num_ISIC'!$A$85:$A$126, 0)), 0)</f>
      </c>
      <c r="C7" t="str">
        <f>IFERROR(INDEX('7_Calc_DCS_den_ISIC'!$C$85:$C$126, MATCH($A7, '7_Calc_DCS_den_ISIC'!$A$85:$A$126, 0)), 0)</f>
      </c>
      <c r="D7" t="str">
        <f>B7/MAX(C7, Keys!$C$4)</f>
      </c>
      <c r="E7" t="str">
        <f>MIN(1, MAX(0, D7))</f>
      </c>
      <c r="F7" t="str">
        <f>IFERROR(INDEX('9b_DCS_overrides'!$B$2:$B$5, MATCH($A7, '9b_DCS_overrides'!$A$2:$A$5, 0)), E7)</f>
      </c>
    </row>
    <row r="8">
      <c r="A8" t="s">
        <v>362</v>
      </c>
      <c r="B8" t="str">
        <f>IFERROR(INDEX('6_Calc_DCS_num_ISIC'!$C$85:$C$126, MATCH($A8, '6_Calc_DCS_num_ISIC'!$A$85:$A$126, 0)), 0)</f>
      </c>
      <c r="C8" t="str">
        <f>IFERROR(INDEX('7_Calc_DCS_den_ISIC'!$C$85:$C$126, MATCH($A8, '7_Calc_DCS_den_ISIC'!$A$85:$A$126, 0)), 0)</f>
      </c>
      <c r="D8" t="str">
        <f>B8/MAX(C8, Keys!$C$4)</f>
      </c>
      <c r="E8" t="str">
        <f>MIN(1, MAX(0, D8))</f>
      </c>
      <c r="F8" t="str">
        <f>IFERROR(INDEX('9b_DCS_overrides'!$B$2:$B$5, MATCH($A8, '9b_DCS_overrides'!$A$2:$A$5, 0)), E8)</f>
      </c>
    </row>
    <row r="9">
      <c r="A9" t="s">
        <v>365</v>
      </c>
      <c r="B9" t="str">
        <f>IFERROR(INDEX('6_Calc_DCS_num_ISIC'!$C$85:$C$126, MATCH($A9, '6_Calc_DCS_num_ISIC'!$A$85:$A$126, 0)), 0)</f>
      </c>
      <c r="C9" t="str">
        <f>IFERROR(INDEX('7_Calc_DCS_den_ISIC'!$C$85:$C$126, MATCH($A9, '7_Calc_DCS_den_ISIC'!$A$85:$A$126, 0)), 0)</f>
      </c>
      <c r="D9" t="str">
        <f>B9/MAX(C9, Keys!$C$4)</f>
      </c>
      <c r="E9" t="str">
        <f>MIN(1, MAX(0, D9))</f>
      </c>
      <c r="F9" t="str">
        <f>IFERROR(INDEX('9b_DCS_overrides'!$B$2:$B$5, MATCH($A9, '9b_DCS_overrides'!$A$2:$A$5, 0)), E9)</f>
      </c>
    </row>
    <row r="10">
      <c r="A10" t="s">
        <v>369</v>
      </c>
      <c r="B10" t="str">
        <f>IFERROR(INDEX('6_Calc_DCS_num_ISIC'!$C$85:$C$126, MATCH($A10, '6_Calc_DCS_num_ISIC'!$A$85:$A$126, 0)), 0)</f>
      </c>
      <c r="C10" t="str">
        <f>IFERROR(INDEX('7_Calc_DCS_den_ISIC'!$C$85:$C$126, MATCH($A10, '7_Calc_DCS_den_ISIC'!$A$85:$A$126, 0)), 0)</f>
      </c>
      <c r="D10" t="str">
        <f>B10/MAX(C10, Keys!$C$4)</f>
      </c>
      <c r="E10" t="str">
        <f>MIN(1, MAX(0, D10))</f>
      </c>
      <c r="F10" t="str">
        <f>IFERROR(INDEX('9b_DCS_overrides'!$B$2:$B$5, MATCH($A10, '9b_DCS_overrides'!$A$2:$A$5, 0)), E10)</f>
      </c>
    </row>
    <row r="11">
      <c r="A11" t="s">
        <v>372</v>
      </c>
      <c r="B11" t="str">
        <f>IFERROR(INDEX('6_Calc_DCS_num_ISIC'!$C$85:$C$126, MATCH($A11, '6_Calc_DCS_num_ISIC'!$A$85:$A$126, 0)), 0)</f>
      </c>
      <c r="C11" t="str">
        <f>IFERROR(INDEX('7_Calc_DCS_den_ISIC'!$C$85:$C$126, MATCH($A11, '7_Calc_DCS_den_ISIC'!$A$85:$A$126, 0)), 0)</f>
      </c>
      <c r="D11" t="str">
        <f>B11/MAX(C11, Keys!$C$4)</f>
      </c>
      <c r="E11" t="str">
        <f>MIN(1, MAX(0, D11))</f>
      </c>
      <c r="F11" t="str">
        <f>IFERROR(INDEX('9b_DCS_overrides'!$B$2:$B$5, MATCH($A11, '9b_DCS_overrides'!$A$2:$A$5, 0)), E11)</f>
      </c>
    </row>
    <row r="12">
      <c r="A12" t="s">
        <v>376</v>
      </c>
      <c r="B12" t="str">
        <f>IFERROR(INDEX('6_Calc_DCS_num_ISIC'!$C$85:$C$126, MATCH($A12, '6_Calc_DCS_num_ISIC'!$A$85:$A$126, 0)), 0)</f>
      </c>
      <c r="C12" t="str">
        <f>IFERROR(INDEX('7_Calc_DCS_den_ISIC'!$C$85:$C$126, MATCH($A12, '7_Calc_DCS_den_ISIC'!$A$85:$A$126, 0)), 0)</f>
      </c>
      <c r="D12" t="str">
        <f>B12/MAX(C12, Keys!$C$4)</f>
      </c>
      <c r="E12" t="str">
        <f>MIN(1, MAX(0, D12))</f>
      </c>
      <c r="F12" t="str">
        <f>IFERROR(INDEX('9b_DCS_overrides'!$B$2:$B$5, MATCH($A12, '9b_DCS_overrides'!$A$2:$A$5, 0)), E12)</f>
      </c>
    </row>
    <row r="13">
      <c r="A13" t="s">
        <v>498</v>
      </c>
      <c r="B13" t="str">
        <f>IFERROR(INDEX('6_Calc_DCS_num_ISIC'!$C$85:$C$126, MATCH($A13, '6_Calc_DCS_num_ISIC'!$A$85:$A$126, 0)), 0)</f>
      </c>
      <c r="C13" t="str">
        <f>IFERROR(INDEX('7_Calc_DCS_den_ISIC'!$C$85:$C$126, MATCH($A13, '7_Calc_DCS_den_ISIC'!$A$85:$A$126, 0)), 0)</f>
      </c>
      <c r="D13" t="str">
        <f>B13/MAX(C13, Keys!$C$4)</f>
      </c>
      <c r="E13" t="str">
        <f>MIN(1, MAX(0, D13))</f>
      </c>
      <c r="F13" t="str">
        <f>IFERROR(INDEX('9b_DCS_overrides'!$B$2:$B$5, MATCH($A13, '9b_DCS_overrides'!$A$2:$A$5, 0)), E13)</f>
      </c>
    </row>
    <row r="14">
      <c r="A14" t="s">
        <v>501</v>
      </c>
      <c r="B14" t="str">
        <f>IFERROR(INDEX('6_Calc_DCS_num_ISIC'!$C$85:$C$126, MATCH($A14, '6_Calc_DCS_num_ISIC'!$A$85:$A$126, 0)), 0)</f>
      </c>
      <c r="C14" t="str">
        <f>IFERROR(INDEX('7_Calc_DCS_den_ISIC'!$C$85:$C$126, MATCH($A14, '7_Calc_DCS_den_ISIC'!$A$85:$A$126, 0)), 0)</f>
      </c>
      <c r="D14" t="str">
        <f>B14/MAX(C14, Keys!$C$4)</f>
      </c>
      <c r="E14" t="str">
        <f>MIN(1, MAX(0, D14))</f>
      </c>
      <c r="F14" t="str">
        <f>IFERROR(INDEX('9b_DCS_overrides'!$B$2:$B$5, MATCH($A14, '9b_DCS_overrides'!$A$2:$A$5, 0)), E14)</f>
      </c>
    </row>
    <row r="15">
      <c r="A15" t="s">
        <v>126</v>
      </c>
      <c r="B15" t="str">
        <f>IFERROR(INDEX('6_Calc_DCS_num_ISIC'!$C$85:$C$126, MATCH($A15, '6_Calc_DCS_num_ISIC'!$A$85:$A$126, 0)), 0)</f>
      </c>
      <c r="C15" t="str">
        <f>IFERROR(INDEX('7_Calc_DCS_den_ISIC'!$C$85:$C$126, MATCH($A15, '7_Calc_DCS_den_ISIC'!$A$85:$A$126, 0)), 0)</f>
      </c>
      <c r="D15" t="str">
        <f>B15/MAX(C15, Keys!$C$4)</f>
      </c>
      <c r="E15" t="str">
        <f>MIN(1, MAX(0, D15))</f>
      </c>
      <c r="F15" t="str">
        <f>IFERROR(INDEX('9b_DCS_overrides'!$B$2:$B$5, MATCH($A15, '9b_DCS_overrides'!$A$2:$A$5, 0)), E15)</f>
      </c>
    </row>
    <row r="16">
      <c r="A16" t="s">
        <v>488</v>
      </c>
      <c r="B16" t="str">
        <f>IFERROR(INDEX('6_Calc_DCS_num_ISIC'!$C$85:$C$126, MATCH($A16, '6_Calc_DCS_num_ISIC'!$A$85:$A$126, 0)), 0)</f>
      </c>
      <c r="C16" t="str">
        <f>IFERROR(INDEX('7_Calc_DCS_den_ISIC'!$C$85:$C$126, MATCH($A16, '7_Calc_DCS_den_ISIC'!$A$85:$A$126, 0)), 0)</f>
      </c>
      <c r="D16" t="str">
        <f>B16/MAX(C16, Keys!$C$4)</f>
      </c>
      <c r="E16" t="str">
        <f>MIN(1, MAX(0, D16))</f>
      </c>
      <c r="F16" t="str">
        <f>IFERROR(INDEX('9b_DCS_overrides'!$B$2:$B$5, MATCH($A16, '9b_DCS_overrides'!$A$2:$A$5, 0)), E16)</f>
      </c>
    </row>
    <row r="17">
      <c r="A17" t="s">
        <v>491</v>
      </c>
      <c r="B17" t="str">
        <f>IFERROR(INDEX('6_Calc_DCS_num_ISIC'!$C$85:$C$126, MATCH($A17, '6_Calc_DCS_num_ISIC'!$A$85:$A$126, 0)), 0)</f>
      </c>
      <c r="C17" t="str">
        <f>IFERROR(INDEX('7_Calc_DCS_den_ISIC'!$C$85:$C$126, MATCH($A17, '7_Calc_DCS_den_ISIC'!$A$85:$A$126, 0)), 0)</f>
      </c>
      <c r="D17" t="str">
        <f>B17/MAX(C17, Keys!$C$4)</f>
      </c>
      <c r="E17" t="str">
        <f>MIN(1, MAX(0, D17))</f>
      </c>
      <c r="F17" t="str">
        <f>IFERROR(INDEX('9b_DCS_overrides'!$B$2:$B$5, MATCH($A17, '9b_DCS_overrides'!$A$2:$A$5, 0)), E17)</f>
      </c>
    </row>
    <row r="18">
      <c r="A18" t="s">
        <v>379</v>
      </c>
      <c r="B18" t="str">
        <f>IFERROR(INDEX('6_Calc_DCS_num_ISIC'!$C$85:$C$126, MATCH($A18, '6_Calc_DCS_num_ISIC'!$A$85:$A$126, 0)), 0)</f>
      </c>
      <c r="C18" t="str">
        <f>IFERROR(INDEX('7_Calc_DCS_den_ISIC'!$C$85:$C$126, MATCH($A18, '7_Calc_DCS_den_ISIC'!$A$85:$A$126, 0)), 0)</f>
      </c>
      <c r="D18" t="str">
        <f>B18/MAX(C18, Keys!$C$4)</f>
      </c>
      <c r="E18" t="str">
        <f>MIN(1, MAX(0, D18))</f>
      </c>
      <c r="F18" t="str">
        <f>IFERROR(INDEX('9b_DCS_overrides'!$B$2:$B$5, MATCH($A18, '9b_DCS_overrides'!$A$2:$A$5, 0)), E18)</f>
      </c>
    </row>
    <row r="19">
      <c r="A19" t="s">
        <v>495</v>
      </c>
      <c r="B19" t="str">
        <f>IFERROR(INDEX('6_Calc_DCS_num_ISIC'!$C$85:$C$126, MATCH($A19, '6_Calc_DCS_num_ISIC'!$A$85:$A$126, 0)), 0)</f>
      </c>
      <c r="C19" t="str">
        <f>IFERROR(INDEX('7_Calc_DCS_den_ISIC'!$C$85:$C$126, MATCH($A19, '7_Calc_DCS_den_ISIC'!$A$85:$A$126, 0)), 0)</f>
      </c>
      <c r="D19" t="str">
        <f>B19/MAX(C19, Keys!$C$4)</f>
      </c>
      <c r="E19" t="str">
        <f>MIN(1, MAX(0, D19))</f>
      </c>
      <c r="F19" t="str">
        <f>IFERROR(INDEX('9b_DCS_overrides'!$B$2:$B$5, MATCH($A19, '9b_DCS_overrides'!$A$2:$A$5, 0)), E19)</f>
      </c>
    </row>
    <row r="20">
      <c r="A20" t="s">
        <v>385</v>
      </c>
      <c r="B20" t="str">
        <f>IFERROR(INDEX('6_Calc_DCS_num_ISIC'!$C$85:$C$126, MATCH($A20, '6_Calc_DCS_num_ISIC'!$A$85:$A$126, 0)), 0)</f>
      </c>
      <c r="C20" t="str">
        <f>IFERROR(INDEX('7_Calc_DCS_den_ISIC'!$C$85:$C$126, MATCH($A20, '7_Calc_DCS_den_ISIC'!$A$85:$A$126, 0)), 0)</f>
      </c>
      <c r="D20" t="str">
        <f>B20/MAX(C20, Keys!$C$4)</f>
      </c>
      <c r="E20" t="str">
        <f>MIN(1, MAX(0, D20))</f>
      </c>
      <c r="F20" t="str">
        <f>IFERROR(INDEX('9b_DCS_overrides'!$B$2:$B$5, MATCH($A20, '9b_DCS_overrides'!$A$2:$A$5, 0)), E20)</f>
      </c>
    </row>
    <row r="21">
      <c r="A21" t="s">
        <v>390</v>
      </c>
      <c r="B21" t="str">
        <f>IFERROR(INDEX('6_Calc_DCS_num_ISIC'!$C$85:$C$126, MATCH($A21, '6_Calc_DCS_num_ISIC'!$A$85:$A$126, 0)), 0)</f>
      </c>
      <c r="C21" t="str">
        <f>IFERROR(INDEX('7_Calc_DCS_den_ISIC'!$C$85:$C$126, MATCH($A21, '7_Calc_DCS_den_ISIC'!$A$85:$A$126, 0)), 0)</f>
      </c>
      <c r="D21" t="str">
        <f>B21/MAX(C21, Keys!$C$4)</f>
      </c>
      <c r="E21" t="str">
        <f>MIN(1, MAX(0, D21))</f>
      </c>
      <c r="F21" t="str">
        <f>IFERROR(INDEX('9b_DCS_overrides'!$B$2:$B$5, MATCH($A21, '9b_DCS_overrides'!$A$2:$A$5, 0)), E21)</f>
      </c>
    </row>
    <row r="22">
      <c r="A22" t="s">
        <v>393</v>
      </c>
      <c r="B22" t="str">
        <f>IFERROR(INDEX('6_Calc_DCS_num_ISIC'!$C$85:$C$126, MATCH($A22, '6_Calc_DCS_num_ISIC'!$A$85:$A$126, 0)), 0)</f>
      </c>
      <c r="C22" t="str">
        <f>IFERROR(INDEX('7_Calc_DCS_den_ISIC'!$C$85:$C$126, MATCH($A22, '7_Calc_DCS_den_ISIC'!$A$85:$A$126, 0)), 0)</f>
      </c>
      <c r="D22" t="str">
        <f>B22/MAX(C22, Keys!$C$4)</f>
      </c>
      <c r="E22" t="str">
        <f>MIN(1, MAX(0, D22))</f>
      </c>
      <c r="F22" t="str">
        <f>IFERROR(INDEX('9b_DCS_overrides'!$B$2:$B$5, MATCH($A22, '9b_DCS_overrides'!$A$2:$A$5, 0)), E22)</f>
      </c>
    </row>
    <row r="23">
      <c r="A23" t="s">
        <v>387</v>
      </c>
      <c r="B23" t="str">
        <f>IFERROR(INDEX('6_Calc_DCS_num_ISIC'!$C$85:$C$126, MATCH($A23, '6_Calc_DCS_num_ISIC'!$A$85:$A$126, 0)), 0)</f>
      </c>
      <c r="C23" t="str">
        <f>IFERROR(INDEX('7_Calc_DCS_den_ISIC'!$C$85:$C$126, MATCH($A23, '7_Calc_DCS_den_ISIC'!$A$85:$A$126, 0)), 0)</f>
      </c>
      <c r="D23" t="str">
        <f>B23/MAX(C23, Keys!$C$4)</f>
      </c>
      <c r="E23" t="str">
        <f>MIN(1, MAX(0, D23))</f>
      </c>
      <c r="F23" t="str">
        <f>IFERROR(INDEX('9b_DCS_overrides'!$B$2:$B$5, MATCH($A23, '9b_DCS_overrides'!$A$2:$A$5, 0)), E23)</f>
      </c>
    </row>
    <row r="24">
      <c r="A24" t="s">
        <v>396</v>
      </c>
      <c r="B24" t="str">
        <f>IFERROR(INDEX('6_Calc_DCS_num_ISIC'!$C$85:$C$126, MATCH($A24, '6_Calc_DCS_num_ISIC'!$A$85:$A$126, 0)), 0)</f>
      </c>
      <c r="C24" t="str">
        <f>IFERROR(INDEX('7_Calc_DCS_den_ISIC'!$C$85:$C$126, MATCH($A24, '7_Calc_DCS_den_ISIC'!$A$85:$A$126, 0)), 0)</f>
      </c>
      <c r="D24" t="str">
        <f>B24/MAX(C24, Keys!$C$4)</f>
      </c>
      <c r="E24" t="str">
        <f>MIN(1, MAX(0, D24))</f>
      </c>
      <c r="F24" t="str">
        <f>IFERROR(INDEX('9b_DCS_overrides'!$B$2:$B$5, MATCH($A24, '9b_DCS_overrides'!$A$2:$A$5, 0)), E24)</f>
      </c>
    </row>
    <row r="25">
      <c r="A25" t="s">
        <v>399</v>
      </c>
      <c r="B25" t="str">
        <f>IFERROR(INDEX('6_Calc_DCS_num_ISIC'!$C$85:$C$126, MATCH($A25, '6_Calc_DCS_num_ISIC'!$A$85:$A$126, 0)), 0)</f>
      </c>
      <c r="C25" t="str">
        <f>IFERROR(INDEX('7_Calc_DCS_den_ISIC'!$C$85:$C$126, MATCH($A25, '7_Calc_DCS_den_ISIC'!$A$85:$A$126, 0)), 0)</f>
      </c>
      <c r="D25" t="str">
        <f>B25/MAX(C25, Keys!$C$4)</f>
      </c>
      <c r="E25" t="str">
        <f>MIN(1, MAX(0, D25))</f>
      </c>
      <c r="F25" t="str">
        <f>IFERROR(INDEX('9b_DCS_overrides'!$B$2:$B$5, MATCH($A25, '9b_DCS_overrides'!$A$2:$A$5, 0)), E25)</f>
      </c>
    </row>
    <row r="26">
      <c r="A26" t="s">
        <v>402</v>
      </c>
      <c r="B26" t="str">
        <f>IFERROR(INDEX('6_Calc_DCS_num_ISIC'!$C$85:$C$126, MATCH($A26, '6_Calc_DCS_num_ISIC'!$A$85:$A$126, 0)), 0)</f>
      </c>
      <c r="C26" t="str">
        <f>IFERROR(INDEX('7_Calc_DCS_den_ISIC'!$C$85:$C$126, MATCH($A26, '7_Calc_DCS_den_ISIC'!$A$85:$A$126, 0)), 0)</f>
      </c>
      <c r="D26" t="str">
        <f>B26/MAX(C26, Keys!$C$4)</f>
      </c>
      <c r="E26" t="str">
        <f>MIN(1, MAX(0, D26))</f>
      </c>
      <c r="F26" t="str">
        <f>IFERROR(INDEX('9b_DCS_overrides'!$B$2:$B$5, MATCH($A26, '9b_DCS_overrides'!$A$2:$A$5, 0)), E26)</f>
      </c>
    </row>
    <row r="27">
      <c r="A27" t="s">
        <v>350</v>
      </c>
      <c r="B27" t="str">
        <f>IFERROR(INDEX('6_Calc_DCS_num_ISIC'!$C$85:$C$126, MATCH($A27, '6_Calc_DCS_num_ISIC'!$A$85:$A$126, 0)), 0)</f>
      </c>
      <c r="C27" t="str">
        <f>IFERROR(INDEX('7_Calc_DCS_den_ISIC'!$C$85:$C$126, MATCH($A27, '7_Calc_DCS_den_ISIC'!$A$85:$A$126, 0)), 0)</f>
      </c>
      <c r="D27" t="str">
        <f>B27/MAX(C27, Keys!$C$4)</f>
      </c>
      <c r="E27" t="str">
        <f>MIN(1, MAX(0, D27))</f>
      </c>
      <c r="F27" t="str">
        <f>IFERROR(INDEX('9b_DCS_overrides'!$B$2:$B$5, MATCH($A27, '9b_DCS_overrides'!$A$2:$A$5, 0)), E27)</f>
      </c>
    </row>
    <row r="28">
      <c r="A28" t="s">
        <v>353</v>
      </c>
      <c r="B28" t="str">
        <f>IFERROR(INDEX('6_Calc_DCS_num_ISIC'!$C$85:$C$126, MATCH($A28, '6_Calc_DCS_num_ISIC'!$A$85:$A$126, 0)), 0)</f>
      </c>
      <c r="C28" t="str">
        <f>IFERROR(INDEX('7_Calc_DCS_den_ISIC'!$C$85:$C$126, MATCH($A28, '7_Calc_DCS_den_ISIC'!$A$85:$A$126, 0)), 0)</f>
      </c>
      <c r="D28" t="str">
        <f>B28/MAX(C28, Keys!$C$4)</f>
      </c>
      <c r="E28" t="str">
        <f>MIN(1, MAX(0, D28))</f>
      </c>
      <c r="F28" t="str">
        <f>IFERROR(INDEX('9b_DCS_overrides'!$B$2:$B$5, MATCH($A28, '9b_DCS_overrides'!$A$2:$A$5, 0)), E28)</f>
      </c>
    </row>
    <row r="29">
      <c r="A29" t="s">
        <v>356</v>
      </c>
      <c r="B29" t="str">
        <f>IFERROR(INDEX('6_Calc_DCS_num_ISIC'!$C$85:$C$126, MATCH($A29, '6_Calc_DCS_num_ISIC'!$A$85:$A$126, 0)), 0)</f>
      </c>
      <c r="C29" t="str">
        <f>IFERROR(INDEX('7_Calc_DCS_den_ISIC'!$C$85:$C$126, MATCH($A29, '7_Calc_DCS_den_ISIC'!$A$85:$A$126, 0)), 0)</f>
      </c>
      <c r="D29" t="str">
        <f>B29/MAX(C29, Keys!$C$4)</f>
      </c>
      <c r="E29" t="str">
        <f>MIN(1, MAX(0, D29))</f>
      </c>
      <c r="F29" t="str">
        <f>IFERROR(INDEX('9b_DCS_overrides'!$B$2:$B$5, MATCH($A29, '9b_DCS_overrides'!$A$2:$A$5, 0)), E29)</f>
      </c>
    </row>
    <row r="30">
      <c r="A30" t="s">
        <v>360</v>
      </c>
      <c r="B30" t="str">
        <f>IFERROR(INDEX('6_Calc_DCS_num_ISIC'!$C$85:$C$126, MATCH($A30, '6_Calc_DCS_num_ISIC'!$A$85:$A$126, 0)), 0)</f>
      </c>
      <c r="C30" t="str">
        <f>IFERROR(INDEX('7_Calc_DCS_den_ISIC'!$C$85:$C$126, MATCH($A30, '7_Calc_DCS_den_ISIC'!$A$85:$A$126, 0)), 0)</f>
      </c>
      <c r="D30" t="str">
        <f>B30/MAX(C30, Keys!$C$4)</f>
      </c>
      <c r="E30" t="str">
        <f>MIN(1, MAX(0, D30))</f>
      </c>
      <c r="F30" t="str">
        <f>IFERROR(INDEX('9b_DCS_overrides'!$B$2:$B$5, MATCH($A30, '9b_DCS_overrides'!$A$2:$A$5, 0)), E30)</f>
      </c>
    </row>
    <row r="31">
      <c r="A31" t="s">
        <v>406</v>
      </c>
      <c r="B31" t="str">
        <f>IFERROR(INDEX('6_Calc_DCS_num_ISIC'!$C$85:$C$126, MATCH($A31, '6_Calc_DCS_num_ISIC'!$A$85:$A$126, 0)), 0)</f>
      </c>
      <c r="C31" t="str">
        <f>IFERROR(INDEX('7_Calc_DCS_den_ISIC'!$C$85:$C$126, MATCH($A31, '7_Calc_DCS_den_ISIC'!$A$85:$A$126, 0)), 0)</f>
      </c>
      <c r="D31" t="str">
        <f>B31/MAX(C31, Keys!$C$4)</f>
      </c>
      <c r="E31" t="str">
        <f>MIN(1, MAX(0, D31))</f>
      </c>
      <c r="F31" t="str">
        <f>IFERROR(INDEX('9b_DCS_overrides'!$B$2:$B$5, MATCH($A31, '9b_DCS_overrides'!$A$2:$A$5, 0)), E31)</f>
      </c>
    </row>
    <row r="32">
      <c r="A32" t="s">
        <v>413</v>
      </c>
      <c r="B32" t="str">
        <f>IFERROR(INDEX('6_Calc_DCS_num_ISIC'!$C$85:$C$126, MATCH($A32, '6_Calc_DCS_num_ISIC'!$A$85:$A$126, 0)), 0)</f>
      </c>
      <c r="C32" t="str">
        <f>IFERROR(INDEX('7_Calc_DCS_den_ISIC'!$C$85:$C$126, MATCH($A32, '7_Calc_DCS_den_ISIC'!$A$85:$A$126, 0)), 0)</f>
      </c>
      <c r="D32" t="str">
        <f>B32/MAX(C32, Keys!$C$4)</f>
      </c>
      <c r="E32" t="str">
        <f>MIN(1, MAX(0, D32))</f>
      </c>
      <c r="F32" t="str">
        <f>IFERROR(INDEX('9b_DCS_overrides'!$B$2:$B$5, MATCH($A32, '9b_DCS_overrides'!$A$2:$A$5, 0)), E32)</f>
      </c>
    </row>
    <row r="33">
      <c r="A33" t="s">
        <v>470</v>
      </c>
      <c r="B33" t="str">
        <f>IFERROR(INDEX('6_Calc_DCS_num_ISIC'!$C$85:$C$126, MATCH($A33, '6_Calc_DCS_num_ISIC'!$A$85:$A$126, 0)), 0)</f>
      </c>
      <c r="C33" t="str">
        <f>IFERROR(INDEX('7_Calc_DCS_den_ISIC'!$C$85:$C$126, MATCH($A33, '7_Calc_DCS_den_ISIC'!$A$85:$A$126, 0)), 0)</f>
      </c>
      <c r="D33" t="str">
        <f>B33/MAX(C33, Keys!$C$4)</f>
      </c>
      <c r="E33" t="str">
        <f>MIN(1, MAX(0, D33))</f>
      </c>
      <c r="F33" t="str">
        <f>IFERROR(INDEX('9b_DCS_overrides'!$B$2:$B$5, MATCH($A33, '9b_DCS_overrides'!$A$2:$A$5, 0)), E33)</f>
      </c>
    </row>
    <row r="34">
      <c r="A34" t="s">
        <v>425</v>
      </c>
      <c r="B34" t="str">
        <f>IFERROR(INDEX('6_Calc_DCS_num_ISIC'!$C$85:$C$126, MATCH($A34, '6_Calc_DCS_num_ISIC'!$A$85:$A$126, 0)), 0)</f>
      </c>
      <c r="C34" t="str">
        <f>IFERROR(INDEX('7_Calc_DCS_den_ISIC'!$C$85:$C$126, MATCH($A34, '7_Calc_DCS_den_ISIC'!$A$85:$A$126, 0)), 0)</f>
      </c>
      <c r="D34" t="str">
        <f>B34/MAX(C34, Keys!$C$4)</f>
      </c>
      <c r="E34" t="str">
        <f>MIN(1, MAX(0, D34))</f>
      </c>
      <c r="F34" t="str">
        <f>IFERROR(INDEX('9b_DCS_overrides'!$B$2:$B$5, MATCH($A34, '9b_DCS_overrides'!$A$2:$A$5, 0)), E34)</f>
      </c>
    </row>
    <row r="35">
      <c r="A35" t="s">
        <v>177</v>
      </c>
      <c r="B35" t="str">
        <f>IFERROR(INDEX('6_Calc_DCS_num_ISIC'!$C$85:$C$126, MATCH($A35, '6_Calc_DCS_num_ISIC'!$A$85:$A$126, 0)), 0)</f>
      </c>
      <c r="C35" t="str">
        <f>IFERROR(INDEX('7_Calc_DCS_den_ISIC'!$C$85:$C$126, MATCH($A35, '7_Calc_DCS_den_ISIC'!$A$85:$A$126, 0)), 0)</f>
      </c>
      <c r="D35" t="str">
        <f>B35/MAX(C35, Keys!$C$4)</f>
      </c>
      <c r="E35" t="str">
        <f>MIN(1, MAX(0, D35))</f>
      </c>
      <c r="F35" t="str">
        <f>IFERROR(INDEX('9b_DCS_overrides'!$B$2:$B$5, MATCH($A35, '9b_DCS_overrides'!$A$2:$A$5, 0)), E35)</f>
      </c>
    </row>
    <row r="36">
      <c r="A36" t="s">
        <v>432</v>
      </c>
      <c r="B36" t="str">
        <f>IFERROR(INDEX('6_Calc_DCS_num_ISIC'!$C$85:$C$126, MATCH($A36, '6_Calc_DCS_num_ISIC'!$A$85:$A$126, 0)), 0)</f>
      </c>
      <c r="C36" t="str">
        <f>IFERROR(INDEX('7_Calc_DCS_den_ISIC'!$C$85:$C$126, MATCH($A36, '7_Calc_DCS_den_ISIC'!$A$85:$A$126, 0)), 0)</f>
      </c>
      <c r="D36" t="str">
        <f>B36/MAX(C36, Keys!$C$4)</f>
      </c>
      <c r="E36" t="str">
        <f>MIN(1, MAX(0, D36))</f>
      </c>
      <c r="F36" t="str">
        <f>IFERROR(INDEX('9b_DCS_overrides'!$B$2:$B$5, MATCH($A36, '9b_DCS_overrides'!$A$2:$A$5, 0)), E36)</f>
      </c>
    </row>
    <row r="37">
      <c r="A37" t="s">
        <v>435</v>
      </c>
      <c r="B37" t="str">
        <f>IFERROR(INDEX('6_Calc_DCS_num_ISIC'!$C$85:$C$126, MATCH($A37, '6_Calc_DCS_num_ISIC'!$A$85:$A$126, 0)), 0)</f>
      </c>
      <c r="C37" t="str">
        <f>IFERROR(INDEX('7_Calc_DCS_den_ISIC'!$C$85:$C$126, MATCH($A37, '7_Calc_DCS_den_ISIC'!$A$85:$A$126, 0)), 0)</f>
      </c>
      <c r="D37" t="str">
        <f>B37/MAX(C37, Keys!$C$4)</f>
      </c>
      <c r="E37" t="str">
        <f>MIN(1, MAX(0, D37))</f>
      </c>
      <c r="F37" t="str">
        <f>IFERROR(INDEX('9b_DCS_overrides'!$B$2:$B$5, MATCH($A37, '9b_DCS_overrides'!$A$2:$A$5, 0)), E37)</f>
      </c>
    </row>
    <row r="38">
      <c r="A38" t="s">
        <v>441</v>
      </c>
      <c r="B38" t="str">
        <f>IFERROR(INDEX('6_Calc_DCS_num_ISIC'!$C$85:$C$126, MATCH($A38, '6_Calc_DCS_num_ISIC'!$A$85:$A$126, 0)), 0)</f>
      </c>
      <c r="C38" t="str">
        <f>IFERROR(INDEX('7_Calc_DCS_den_ISIC'!$C$85:$C$126, MATCH($A38, '7_Calc_DCS_den_ISIC'!$A$85:$A$126, 0)), 0)</f>
      </c>
      <c r="D38" t="str">
        <f>B38/MAX(C38, Keys!$C$4)</f>
      </c>
      <c r="E38" t="str">
        <f>MIN(1, MAX(0, D38))</f>
      </c>
      <c r="F38" t="str">
        <f>IFERROR(INDEX('9b_DCS_overrides'!$B$2:$B$5, MATCH($A38, '9b_DCS_overrides'!$A$2:$A$5, 0)), E38)</f>
      </c>
    </row>
    <row r="39">
      <c r="A39" t="s">
        <v>445</v>
      </c>
      <c r="B39" t="str">
        <f>IFERROR(INDEX('6_Calc_DCS_num_ISIC'!$C$85:$C$126, MATCH($A39, '6_Calc_DCS_num_ISIC'!$A$85:$A$126, 0)), 0)</f>
      </c>
      <c r="C39" t="str">
        <f>IFERROR(INDEX('7_Calc_DCS_den_ISIC'!$C$85:$C$126, MATCH($A39, '7_Calc_DCS_den_ISIC'!$A$85:$A$126, 0)), 0)</f>
      </c>
      <c r="D39" t="str">
        <f>B39/MAX(C39, Keys!$C$4)</f>
      </c>
      <c r="E39" t="str">
        <f>MIN(1, MAX(0, D39))</f>
      </c>
      <c r="F39" t="str">
        <f>IFERROR(INDEX('9b_DCS_overrides'!$B$2:$B$5, MATCH($A39, '9b_DCS_overrides'!$A$2:$A$5, 0)), E39)</f>
      </c>
    </row>
    <row r="40">
      <c r="A40" t="s">
        <v>475</v>
      </c>
      <c r="B40" t="str">
        <f>IFERROR(INDEX('6_Calc_DCS_num_ISIC'!$C$85:$C$126, MATCH($A40, '6_Calc_DCS_num_ISIC'!$A$85:$A$126, 0)), 0)</f>
      </c>
      <c r="C40" t="str">
        <f>IFERROR(INDEX('7_Calc_DCS_den_ISIC'!$C$85:$C$126, MATCH($A40, '7_Calc_DCS_den_ISIC'!$A$85:$A$126, 0)), 0)</f>
      </c>
      <c r="D40" t="str">
        <f>B40/MAX(C40, Keys!$C$4)</f>
      </c>
      <c r="E40" t="str">
        <f>MIN(1, MAX(0, D40))</f>
      </c>
      <c r="F40" t="str">
        <f>IFERROR(INDEX('9b_DCS_overrides'!$B$2:$B$5, MATCH($A40, '9b_DCS_overrides'!$A$2:$A$5, 0)), E40)</f>
      </c>
    </row>
    <row r="41">
      <c r="A41" t="s">
        <v>457</v>
      </c>
      <c r="B41" t="str">
        <f>IFERROR(INDEX('6_Calc_DCS_num_ISIC'!$C$85:$C$126, MATCH($A41, '6_Calc_DCS_num_ISIC'!$A$85:$A$126, 0)), 0)</f>
      </c>
      <c r="C41" t="str">
        <f>IFERROR(INDEX('7_Calc_DCS_den_ISIC'!$C$85:$C$126, MATCH($A41, '7_Calc_DCS_den_ISIC'!$A$85:$A$126, 0)), 0)</f>
      </c>
      <c r="D41" t="str">
        <f>B41/MAX(C41, Keys!$C$4)</f>
      </c>
      <c r="E41" t="str">
        <f>MIN(1, MAX(0, D41))</f>
      </c>
      <c r="F41" t="str">
        <f>IFERROR(INDEX('9b_DCS_overrides'!$B$2:$B$5, MATCH($A41, '9b_DCS_overrides'!$A$2:$A$5, 0)), E41)</f>
      </c>
    </row>
    <row r="42">
      <c r="A42" t="s">
        <v>460</v>
      </c>
      <c r="B42" t="str">
        <f>IFERROR(INDEX('6_Calc_DCS_num_ISIC'!$C$85:$C$126, MATCH($A42, '6_Calc_DCS_num_ISIC'!$A$85:$A$126, 0)), 0)</f>
      </c>
      <c r="C42" t="str">
        <f>IFERROR(INDEX('7_Calc_DCS_den_ISIC'!$C$85:$C$126, MATCH($A42, '7_Calc_DCS_den_ISIC'!$A$85:$A$126, 0)), 0)</f>
      </c>
      <c r="D42" t="str">
        <f>B42/MAX(C42, Keys!$C$4)</f>
      </c>
      <c r="E42" t="str">
        <f>MIN(1, MAX(0, D42))</f>
      </c>
      <c r="F42" t="str">
        <f>IFERROR(INDEX('9b_DCS_overrides'!$B$2:$B$5, MATCH($A42, '9b_DCS_overrides'!$A$2:$A$5, 0)), E42)</f>
      </c>
    </row>
    <row r="43">
      <c r="A43" t="s">
        <v>466</v>
      </c>
      <c r="B43" t="str">
        <f>IFERROR(INDEX('6_Calc_DCS_num_ISIC'!$C$85:$C$126, MATCH($A43, '6_Calc_DCS_num_ISIC'!$A$85:$A$126, 0)), 0)</f>
      </c>
      <c r="C43" t="str">
        <f>IFERROR(INDEX('7_Calc_DCS_den_ISIC'!$C$85:$C$126, MATCH($A43, '7_Calc_DCS_den_ISIC'!$A$85:$A$126, 0)), 0)</f>
      </c>
      <c r="D43" t="str">
        <f>B43/MAX(C43, Keys!$C$4)</f>
      </c>
      <c r="E43" t="str">
        <f>MIN(1, MAX(0, D43))</f>
      </c>
      <c r="F43" t="str">
        <f>IFERROR(INDEX('9b_DCS_overrides'!$B$2:$B$5, MATCH($A43, '9b_DCS_overrides'!$A$2:$A$5, 0)), E43)</f>
      </c>
    </row>
    <row r="44">
      <c r="A44" t="s">
        <v>583</v>
      </c>
      <c r="B44" t="str">
        <f>IFERROR(INDEX('6_Calc_DCS_num_ISIC'!$C$85:$C$126, MATCH($A44, '6_Calc_DCS_num_ISIC'!$A$85:$A$126, 0)), 0)</f>
      </c>
      <c r="C44" t="str">
        <f>IFERROR(INDEX('7_Calc_DCS_den_ISIC'!$C$85:$C$126, MATCH($A44, '7_Calc_DCS_den_ISIC'!$A$85:$A$126, 0)), 0)</f>
      </c>
      <c r="D44" t="str">
        <f>B44/MAX(C44, Keys!$C$4)</f>
      </c>
      <c r="E44" t="str">
        <f>MIN(1, MAX(0, D44))</f>
      </c>
      <c r="F44" t="str">
        <f>IFERROR(INDEX('9b_DCS_overrides'!$B$2:$B$5, MATCH($A44, '9b_DCS_overrides'!$A$2:$A$5,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609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IFERROR(INDEX('8_Calc_Exp_ISIC'!$C$85:$C$126, MATCH($A3, '8_Calc_Exp_ISIC'!$A$85:$A$126, 0)), 0)</f>
      </c>
      <c r="C3" t="str">
        <f>IFERROR(INDEX('9_Output_by_ISIC'!$B$2:$B$43, MATCH($A3, '9_Output_by_ISIC'!$A$2:$A$43, 0)), 0)</f>
      </c>
      <c r="D3" t="str">
        <f>B3/MAX(C3, Keys!$C$4)</f>
      </c>
      <c r="E3" t="str">
        <f>MIN(1, MAX(0, D3))</f>
      </c>
      <c r="F3" t="str">
        <f>IFERROR(INDEX('9c_ESoP_overrides'!$B$2:$B$3, MATCH($A3, '9c_ESoP_overrides'!$A$2:$A$3, 0)), E3)</f>
      </c>
    </row>
    <row r="4">
      <c r="A4" t="s">
        <v>482</v>
      </c>
      <c r="B4" t="str">
        <f>IFERROR(INDEX('8_Calc_Exp_ISIC'!$C$85:$C$126, MATCH($A4, '8_Calc_Exp_ISIC'!$A$85:$A$126, 0)), 0)</f>
      </c>
      <c r="C4" t="str">
        <f>IFERROR(INDEX('9_Output_by_ISIC'!$B$2:$B$43, MATCH($A4, '9_Output_by_ISIC'!$A$2:$A$43, 0)), 0)</f>
      </c>
      <c r="D4" t="str">
        <f>B4/MAX(C4, Keys!$C$4)</f>
      </c>
      <c r="E4" t="str">
        <f>MIN(1, MAX(0, D4))</f>
      </c>
      <c r="F4" t="str">
        <f>IFERROR(INDEX('9c_ESoP_overrides'!$B$2:$B$3, MATCH($A4, '9c_ESoP_overrides'!$A$2:$A$3, 0)), E4)</f>
      </c>
    </row>
    <row r="5">
      <c r="A5" t="s">
        <v>344</v>
      </c>
      <c r="B5" t="str">
        <f>IFERROR(INDEX('8_Calc_Exp_ISIC'!$C$85:$C$126, MATCH($A5, '8_Calc_Exp_ISIC'!$A$85:$A$126, 0)), 0)</f>
      </c>
      <c r="C5" t="str">
        <f>IFERROR(INDEX('9_Output_by_ISIC'!$B$2:$B$43, MATCH($A5, '9_Output_by_ISIC'!$A$2:$A$43, 0)), 0)</f>
      </c>
      <c r="D5" t="str">
        <f>B5/MAX(C5, Keys!$C$4)</f>
      </c>
      <c r="E5" t="str">
        <f>MIN(1, MAX(0, D5))</f>
      </c>
      <c r="F5" t="str">
        <f>IFERROR(INDEX('9c_ESoP_overrides'!$B$2:$B$3, MATCH($A5, '9c_ESoP_overrides'!$A$2:$A$3, 0)), E5)</f>
      </c>
    </row>
    <row r="6">
      <c r="A6" t="s">
        <v>485</v>
      </c>
      <c r="B6" t="str">
        <f>IFERROR(INDEX('8_Calc_Exp_ISIC'!$C$85:$C$126, MATCH($A6, '8_Calc_Exp_ISIC'!$A$85:$A$126, 0)), 0)</f>
      </c>
      <c r="C6" t="str">
        <f>IFERROR(INDEX('9_Output_by_ISIC'!$B$2:$B$43, MATCH($A6, '9_Output_by_ISIC'!$A$2:$A$43, 0)), 0)</f>
      </c>
      <c r="D6" t="str">
        <f>B6/MAX(C6, Keys!$C$4)</f>
      </c>
      <c r="E6" t="str">
        <f>MIN(1, MAX(0, D6))</f>
      </c>
      <c r="F6" t="str">
        <f>IFERROR(INDEX('9c_ESoP_overrides'!$B$2:$B$3, MATCH($A6, '9c_ESoP_overrides'!$A$2:$A$3, 0)), E6)</f>
      </c>
    </row>
    <row r="7">
      <c r="A7" t="s">
        <v>347</v>
      </c>
      <c r="B7" t="str">
        <f>IFERROR(INDEX('8_Calc_Exp_ISIC'!$C$85:$C$126, MATCH($A7, '8_Calc_Exp_ISIC'!$A$85:$A$126, 0)), 0)</f>
      </c>
      <c r="C7" t="str">
        <f>IFERROR(INDEX('9_Output_by_ISIC'!$B$2:$B$43, MATCH($A7, '9_Output_by_ISIC'!$A$2:$A$43, 0)), 0)</f>
      </c>
      <c r="D7" t="str">
        <f>B7/MAX(C7, Keys!$C$4)</f>
      </c>
      <c r="E7" t="str">
        <f>MIN(1, MAX(0, D7))</f>
      </c>
      <c r="F7" t="str">
        <f>IFERROR(INDEX('9c_ESoP_overrides'!$B$2:$B$3, MATCH($A7, '9c_ESoP_overrides'!$A$2:$A$3, 0)), E7)</f>
      </c>
    </row>
    <row r="8">
      <c r="A8" t="s">
        <v>362</v>
      </c>
      <c r="B8" t="str">
        <f>IFERROR(INDEX('8_Calc_Exp_ISIC'!$C$85:$C$126, MATCH($A8, '8_Calc_Exp_ISIC'!$A$85:$A$126, 0)), 0)</f>
      </c>
      <c r="C8" t="str">
        <f>IFERROR(INDEX('9_Output_by_ISIC'!$B$2:$B$43, MATCH($A8, '9_Output_by_ISIC'!$A$2:$A$43, 0)), 0)</f>
      </c>
      <c r="D8" t="str">
        <f>B8/MAX(C8, Keys!$C$4)</f>
      </c>
      <c r="E8" t="str">
        <f>MIN(1, MAX(0, D8))</f>
      </c>
      <c r="F8" t="str">
        <f>IFERROR(INDEX('9c_ESoP_overrides'!$B$2:$B$3, MATCH($A8, '9c_ESoP_overrides'!$A$2:$A$3, 0)), E8)</f>
      </c>
    </row>
    <row r="9">
      <c r="A9" t="s">
        <v>365</v>
      </c>
      <c r="B9" t="str">
        <f>IFERROR(INDEX('8_Calc_Exp_ISIC'!$C$85:$C$126, MATCH($A9, '8_Calc_Exp_ISIC'!$A$85:$A$126, 0)), 0)</f>
      </c>
      <c r="C9" t="str">
        <f>IFERROR(INDEX('9_Output_by_ISIC'!$B$2:$B$43, MATCH($A9, '9_Output_by_ISIC'!$A$2:$A$43, 0)), 0)</f>
      </c>
      <c r="D9" t="str">
        <f>B9/MAX(C9, Keys!$C$4)</f>
      </c>
      <c r="E9" t="str">
        <f>MIN(1, MAX(0, D9))</f>
      </c>
      <c r="F9" t="str">
        <f>IFERROR(INDEX('9c_ESoP_overrides'!$B$2:$B$3, MATCH($A9, '9c_ESoP_overrides'!$A$2:$A$3, 0)), E9)</f>
      </c>
    </row>
    <row r="10">
      <c r="A10" t="s">
        <v>369</v>
      </c>
      <c r="B10" t="str">
        <f>IFERROR(INDEX('8_Calc_Exp_ISIC'!$C$85:$C$126, MATCH($A10, '8_Calc_Exp_ISIC'!$A$85:$A$126, 0)), 0)</f>
      </c>
      <c r="C10" t="str">
        <f>IFERROR(INDEX('9_Output_by_ISIC'!$B$2:$B$43, MATCH($A10, '9_Output_by_ISIC'!$A$2:$A$43, 0)), 0)</f>
      </c>
      <c r="D10" t="str">
        <f>B10/MAX(C10, Keys!$C$4)</f>
      </c>
      <c r="E10" t="str">
        <f>MIN(1, MAX(0, D10))</f>
      </c>
      <c r="F10" t="str">
        <f>IFERROR(INDEX('9c_ESoP_overrides'!$B$2:$B$3, MATCH($A10, '9c_ESoP_overrides'!$A$2:$A$3, 0)), E10)</f>
      </c>
    </row>
    <row r="11">
      <c r="A11" t="s">
        <v>372</v>
      </c>
      <c r="B11" t="str">
        <f>IFERROR(INDEX('8_Calc_Exp_ISIC'!$C$85:$C$126, MATCH($A11, '8_Calc_Exp_ISIC'!$A$85:$A$126, 0)), 0)</f>
      </c>
      <c r="C11" t="str">
        <f>IFERROR(INDEX('9_Output_by_ISIC'!$B$2:$B$43, MATCH($A11, '9_Output_by_ISIC'!$A$2:$A$43, 0)), 0)</f>
      </c>
      <c r="D11" t="str">
        <f>B11/MAX(C11, Keys!$C$4)</f>
      </c>
      <c r="E11" t="str">
        <f>MIN(1, MAX(0, D11))</f>
      </c>
      <c r="F11" t="str">
        <f>IFERROR(INDEX('9c_ESoP_overrides'!$B$2:$B$3, MATCH($A11, '9c_ESoP_overrides'!$A$2:$A$3, 0)), E11)</f>
      </c>
    </row>
    <row r="12">
      <c r="A12" t="s">
        <v>376</v>
      </c>
      <c r="B12" t="str">
        <f>IFERROR(INDEX('8_Calc_Exp_ISIC'!$C$85:$C$126, MATCH($A12, '8_Calc_Exp_ISIC'!$A$85:$A$126, 0)), 0)</f>
      </c>
      <c r="C12" t="str">
        <f>IFERROR(INDEX('9_Output_by_ISIC'!$B$2:$B$43, MATCH($A12, '9_Output_by_ISIC'!$A$2:$A$43, 0)), 0)</f>
      </c>
      <c r="D12" t="str">
        <f>B12/MAX(C12, Keys!$C$4)</f>
      </c>
      <c r="E12" t="str">
        <f>MIN(1, MAX(0, D12))</f>
      </c>
      <c r="F12" t="str">
        <f>IFERROR(INDEX('9c_ESoP_overrides'!$B$2:$B$3, MATCH($A12, '9c_ESoP_overrides'!$A$2:$A$3, 0)), E12)</f>
      </c>
    </row>
    <row r="13">
      <c r="A13" t="s">
        <v>498</v>
      </c>
      <c r="B13" t="str">
        <f>IFERROR(INDEX('8_Calc_Exp_ISIC'!$C$85:$C$126, MATCH($A13, '8_Calc_Exp_ISIC'!$A$85:$A$126, 0)), 0)</f>
      </c>
      <c r="C13" t="str">
        <f>IFERROR(INDEX('9_Output_by_ISIC'!$B$2:$B$43, MATCH($A13, '9_Output_by_ISIC'!$A$2:$A$43, 0)), 0)</f>
      </c>
      <c r="D13" t="str">
        <f>B13/MAX(C13, Keys!$C$4)</f>
      </c>
      <c r="E13" t="str">
        <f>MIN(1, MAX(0, D13))</f>
      </c>
      <c r="F13" t="str">
        <f>IFERROR(INDEX('9c_ESoP_overrides'!$B$2:$B$3, MATCH($A13, '9c_ESoP_overrides'!$A$2:$A$3, 0)), E13)</f>
      </c>
    </row>
    <row r="14">
      <c r="A14" t="s">
        <v>501</v>
      </c>
      <c r="B14" t="str">
        <f>IFERROR(INDEX('8_Calc_Exp_ISIC'!$C$85:$C$126, MATCH($A14, '8_Calc_Exp_ISIC'!$A$85:$A$126, 0)), 0)</f>
      </c>
      <c r="C14" t="str">
        <f>IFERROR(INDEX('9_Output_by_ISIC'!$B$2:$B$43, MATCH($A14, '9_Output_by_ISIC'!$A$2:$A$43, 0)), 0)</f>
      </c>
      <c r="D14" t="str">
        <f>B14/MAX(C14, Keys!$C$4)</f>
      </c>
      <c r="E14" t="str">
        <f>MIN(1, MAX(0, D14))</f>
      </c>
      <c r="F14" t="str">
        <f>IFERROR(INDEX('9c_ESoP_overrides'!$B$2:$B$3, MATCH($A14, '9c_ESoP_overrides'!$A$2:$A$3, 0)), E14)</f>
      </c>
    </row>
    <row r="15">
      <c r="A15" t="s">
        <v>126</v>
      </c>
      <c r="B15" t="str">
        <f>IFERROR(INDEX('8_Calc_Exp_ISIC'!$C$85:$C$126, MATCH($A15, '8_Calc_Exp_ISIC'!$A$85:$A$126, 0)), 0)</f>
      </c>
      <c r="C15" t="str">
        <f>IFERROR(INDEX('9_Output_by_ISIC'!$B$2:$B$43, MATCH($A15, '9_Output_by_ISIC'!$A$2:$A$43, 0)), 0)</f>
      </c>
      <c r="D15" t="str">
        <f>B15/MAX(C15, Keys!$C$4)</f>
      </c>
      <c r="E15" t="str">
        <f>MIN(1, MAX(0, D15))</f>
      </c>
      <c r="F15" t="str">
        <f>IFERROR(INDEX('9c_ESoP_overrides'!$B$2:$B$3, MATCH($A15, '9c_ESoP_overrides'!$A$2:$A$3, 0)), E15)</f>
      </c>
    </row>
    <row r="16">
      <c r="A16" t="s">
        <v>488</v>
      </c>
      <c r="B16" t="str">
        <f>IFERROR(INDEX('8_Calc_Exp_ISIC'!$C$85:$C$126, MATCH($A16, '8_Calc_Exp_ISIC'!$A$85:$A$126, 0)), 0)</f>
      </c>
      <c r="C16" t="str">
        <f>IFERROR(INDEX('9_Output_by_ISIC'!$B$2:$B$43, MATCH($A16, '9_Output_by_ISIC'!$A$2:$A$43, 0)), 0)</f>
      </c>
      <c r="D16" t="str">
        <f>B16/MAX(C16, Keys!$C$4)</f>
      </c>
      <c r="E16" t="str">
        <f>MIN(1, MAX(0, D16))</f>
      </c>
      <c r="F16" t="str">
        <f>IFERROR(INDEX('9c_ESoP_overrides'!$B$2:$B$3, MATCH($A16, '9c_ESoP_overrides'!$A$2:$A$3, 0)), E16)</f>
      </c>
    </row>
    <row r="17">
      <c r="A17" t="s">
        <v>491</v>
      </c>
      <c r="B17" t="str">
        <f>IFERROR(INDEX('8_Calc_Exp_ISIC'!$C$85:$C$126, MATCH($A17, '8_Calc_Exp_ISIC'!$A$85:$A$126, 0)), 0)</f>
      </c>
      <c r="C17" t="str">
        <f>IFERROR(INDEX('9_Output_by_ISIC'!$B$2:$B$43, MATCH($A17, '9_Output_by_ISIC'!$A$2:$A$43, 0)), 0)</f>
      </c>
      <c r="D17" t="str">
        <f>B17/MAX(C17, Keys!$C$4)</f>
      </c>
      <c r="E17" t="str">
        <f>MIN(1, MAX(0, D17))</f>
      </c>
      <c r="F17" t="str">
        <f>IFERROR(INDEX('9c_ESoP_overrides'!$B$2:$B$3, MATCH($A17, '9c_ESoP_overrides'!$A$2:$A$3, 0)), E17)</f>
      </c>
    </row>
    <row r="18">
      <c r="A18" t="s">
        <v>379</v>
      </c>
      <c r="B18" t="str">
        <f>IFERROR(INDEX('8_Calc_Exp_ISIC'!$C$85:$C$126, MATCH($A18, '8_Calc_Exp_ISIC'!$A$85:$A$126, 0)), 0)</f>
      </c>
      <c r="C18" t="str">
        <f>IFERROR(INDEX('9_Output_by_ISIC'!$B$2:$B$43, MATCH($A18, '9_Output_by_ISIC'!$A$2:$A$43, 0)), 0)</f>
      </c>
      <c r="D18" t="str">
        <f>B18/MAX(C18, Keys!$C$4)</f>
      </c>
      <c r="E18" t="str">
        <f>MIN(1, MAX(0, D18))</f>
      </c>
      <c r="F18" t="str">
        <f>IFERROR(INDEX('9c_ESoP_overrides'!$B$2:$B$3, MATCH($A18, '9c_ESoP_overrides'!$A$2:$A$3, 0)), E18)</f>
      </c>
    </row>
    <row r="19">
      <c r="A19" t="s">
        <v>495</v>
      </c>
      <c r="B19" t="str">
        <f>IFERROR(INDEX('8_Calc_Exp_ISIC'!$C$85:$C$126, MATCH($A19, '8_Calc_Exp_ISIC'!$A$85:$A$126, 0)), 0)</f>
      </c>
      <c r="C19" t="str">
        <f>IFERROR(INDEX('9_Output_by_ISIC'!$B$2:$B$43, MATCH($A19, '9_Output_by_ISIC'!$A$2:$A$43, 0)), 0)</f>
      </c>
      <c r="D19" t="str">
        <f>B19/MAX(C19, Keys!$C$4)</f>
      </c>
      <c r="E19" t="str">
        <f>MIN(1, MAX(0, D19))</f>
      </c>
      <c r="F19" t="str">
        <f>IFERROR(INDEX('9c_ESoP_overrides'!$B$2:$B$3, MATCH($A19, '9c_ESoP_overrides'!$A$2:$A$3, 0)), E19)</f>
      </c>
    </row>
    <row r="20">
      <c r="A20" t="s">
        <v>385</v>
      </c>
      <c r="B20" t="str">
        <f>IFERROR(INDEX('8_Calc_Exp_ISIC'!$C$85:$C$126, MATCH($A20, '8_Calc_Exp_ISIC'!$A$85:$A$126, 0)), 0)</f>
      </c>
      <c r="C20" t="str">
        <f>IFERROR(INDEX('9_Output_by_ISIC'!$B$2:$B$43, MATCH($A20, '9_Output_by_ISIC'!$A$2:$A$43, 0)), 0)</f>
      </c>
      <c r="D20" t="str">
        <f>B20/MAX(C20, Keys!$C$4)</f>
      </c>
      <c r="E20" t="str">
        <f>MIN(1, MAX(0, D20))</f>
      </c>
      <c r="F20" t="str">
        <f>IFERROR(INDEX('9c_ESoP_overrides'!$B$2:$B$3, MATCH($A20, '9c_ESoP_overrides'!$A$2:$A$3, 0)), E20)</f>
      </c>
    </row>
    <row r="21">
      <c r="A21" t="s">
        <v>390</v>
      </c>
      <c r="B21" t="str">
        <f>IFERROR(INDEX('8_Calc_Exp_ISIC'!$C$85:$C$126, MATCH($A21, '8_Calc_Exp_ISIC'!$A$85:$A$126, 0)), 0)</f>
      </c>
      <c r="C21" t="str">
        <f>IFERROR(INDEX('9_Output_by_ISIC'!$B$2:$B$43, MATCH($A21, '9_Output_by_ISIC'!$A$2:$A$43, 0)), 0)</f>
      </c>
      <c r="D21" t="str">
        <f>B21/MAX(C21, Keys!$C$4)</f>
      </c>
      <c r="E21" t="str">
        <f>MIN(1, MAX(0, D21))</f>
      </c>
      <c r="F21" t="str">
        <f>IFERROR(INDEX('9c_ESoP_overrides'!$B$2:$B$3, MATCH($A21, '9c_ESoP_overrides'!$A$2:$A$3, 0)), E21)</f>
      </c>
    </row>
    <row r="22">
      <c r="A22" t="s">
        <v>393</v>
      </c>
      <c r="B22" t="str">
        <f>IFERROR(INDEX('8_Calc_Exp_ISIC'!$C$85:$C$126, MATCH($A22, '8_Calc_Exp_ISIC'!$A$85:$A$126, 0)), 0)</f>
      </c>
      <c r="C22" t="str">
        <f>IFERROR(INDEX('9_Output_by_ISIC'!$B$2:$B$43, MATCH($A22, '9_Output_by_ISIC'!$A$2:$A$43, 0)), 0)</f>
      </c>
      <c r="D22" t="str">
        <f>B22/MAX(C22, Keys!$C$4)</f>
      </c>
      <c r="E22" t="str">
        <f>MIN(1, MAX(0, D22))</f>
      </c>
      <c r="F22" t="str">
        <f>IFERROR(INDEX('9c_ESoP_overrides'!$B$2:$B$3, MATCH($A22, '9c_ESoP_overrides'!$A$2:$A$3, 0)), E22)</f>
      </c>
    </row>
    <row r="23">
      <c r="A23" t="s">
        <v>387</v>
      </c>
      <c r="B23" t="str">
        <f>IFERROR(INDEX('8_Calc_Exp_ISIC'!$C$85:$C$126, MATCH($A23, '8_Calc_Exp_ISIC'!$A$85:$A$126, 0)), 0)</f>
      </c>
      <c r="C23" t="str">
        <f>IFERROR(INDEX('9_Output_by_ISIC'!$B$2:$B$43, MATCH($A23, '9_Output_by_ISIC'!$A$2:$A$43, 0)), 0)</f>
      </c>
      <c r="D23" t="str">
        <f>B23/MAX(C23, Keys!$C$4)</f>
      </c>
      <c r="E23" t="str">
        <f>MIN(1, MAX(0, D23))</f>
      </c>
      <c r="F23" t="str">
        <f>IFERROR(INDEX('9c_ESoP_overrides'!$B$2:$B$3, MATCH($A23, '9c_ESoP_overrides'!$A$2:$A$3, 0)), E23)</f>
      </c>
    </row>
    <row r="24">
      <c r="A24" t="s">
        <v>396</v>
      </c>
      <c r="B24" t="str">
        <f>IFERROR(INDEX('8_Calc_Exp_ISIC'!$C$85:$C$126, MATCH($A24, '8_Calc_Exp_ISIC'!$A$85:$A$126, 0)), 0)</f>
      </c>
      <c r="C24" t="str">
        <f>IFERROR(INDEX('9_Output_by_ISIC'!$B$2:$B$43, MATCH($A24, '9_Output_by_ISIC'!$A$2:$A$43, 0)), 0)</f>
      </c>
      <c r="D24" t="str">
        <f>B24/MAX(C24, Keys!$C$4)</f>
      </c>
      <c r="E24" t="str">
        <f>MIN(1, MAX(0, D24))</f>
      </c>
      <c r="F24" t="str">
        <f>IFERROR(INDEX('9c_ESoP_overrides'!$B$2:$B$3, MATCH($A24, '9c_ESoP_overrides'!$A$2:$A$3, 0)), E24)</f>
      </c>
    </row>
    <row r="25">
      <c r="A25" t="s">
        <v>399</v>
      </c>
      <c r="B25" t="str">
        <f>IFERROR(INDEX('8_Calc_Exp_ISIC'!$C$85:$C$126, MATCH($A25, '8_Calc_Exp_ISIC'!$A$85:$A$126, 0)), 0)</f>
      </c>
      <c r="C25" t="str">
        <f>IFERROR(INDEX('9_Output_by_ISIC'!$B$2:$B$43, MATCH($A25, '9_Output_by_ISIC'!$A$2:$A$43, 0)), 0)</f>
      </c>
      <c r="D25" t="str">
        <f>B25/MAX(C25, Keys!$C$4)</f>
      </c>
      <c r="E25" t="str">
        <f>MIN(1, MAX(0, D25))</f>
      </c>
      <c r="F25" t="str">
        <f>IFERROR(INDEX('9c_ESoP_overrides'!$B$2:$B$3, MATCH($A25, '9c_ESoP_overrides'!$A$2:$A$3, 0)), E25)</f>
      </c>
    </row>
    <row r="26">
      <c r="A26" t="s">
        <v>402</v>
      </c>
      <c r="B26" t="str">
        <f>IFERROR(INDEX('8_Calc_Exp_ISIC'!$C$85:$C$126, MATCH($A26, '8_Calc_Exp_ISIC'!$A$85:$A$126, 0)), 0)</f>
      </c>
      <c r="C26" t="str">
        <f>IFERROR(INDEX('9_Output_by_ISIC'!$B$2:$B$43, MATCH($A26, '9_Output_by_ISIC'!$A$2:$A$43, 0)), 0)</f>
      </c>
      <c r="D26" t="str">
        <f>B26/MAX(C26, Keys!$C$4)</f>
      </c>
      <c r="E26" t="str">
        <f>MIN(1, MAX(0, D26))</f>
      </c>
      <c r="F26" t="str">
        <f>IFERROR(INDEX('9c_ESoP_overrides'!$B$2:$B$3, MATCH($A26, '9c_ESoP_overrides'!$A$2:$A$3, 0)), E26)</f>
      </c>
    </row>
    <row r="27">
      <c r="A27" t="s">
        <v>350</v>
      </c>
      <c r="B27" t="str">
        <f>IFERROR(INDEX('8_Calc_Exp_ISIC'!$C$85:$C$126, MATCH($A27, '8_Calc_Exp_ISIC'!$A$85:$A$126, 0)), 0)</f>
      </c>
      <c r="C27" t="str">
        <f>IFERROR(INDEX('9_Output_by_ISIC'!$B$2:$B$43, MATCH($A27, '9_Output_by_ISIC'!$A$2:$A$43, 0)), 0)</f>
      </c>
      <c r="D27" t="str">
        <f>B27/MAX(C27, Keys!$C$4)</f>
      </c>
      <c r="E27" t="str">
        <f>MIN(1, MAX(0, D27))</f>
      </c>
      <c r="F27" t="str">
        <f>IFERROR(INDEX('9c_ESoP_overrides'!$B$2:$B$3, MATCH($A27, '9c_ESoP_overrides'!$A$2:$A$3, 0)), E27)</f>
      </c>
    </row>
    <row r="28">
      <c r="A28" t="s">
        <v>353</v>
      </c>
      <c r="B28" t="str">
        <f>IFERROR(INDEX('8_Calc_Exp_ISIC'!$C$85:$C$126, MATCH($A28, '8_Calc_Exp_ISIC'!$A$85:$A$126, 0)), 0)</f>
      </c>
      <c r="C28" t="str">
        <f>IFERROR(INDEX('9_Output_by_ISIC'!$B$2:$B$43, MATCH($A28, '9_Output_by_ISIC'!$A$2:$A$43, 0)), 0)</f>
      </c>
      <c r="D28" t="str">
        <f>B28/MAX(C28, Keys!$C$4)</f>
      </c>
      <c r="E28" t="str">
        <f>MIN(1, MAX(0, D28))</f>
      </c>
      <c r="F28" t="str">
        <f>IFERROR(INDEX('9c_ESoP_overrides'!$B$2:$B$3, MATCH($A28, '9c_ESoP_overrides'!$A$2:$A$3, 0)), E28)</f>
      </c>
    </row>
    <row r="29">
      <c r="A29" t="s">
        <v>356</v>
      </c>
      <c r="B29" t="str">
        <f>IFERROR(INDEX('8_Calc_Exp_ISIC'!$C$85:$C$126, MATCH($A29, '8_Calc_Exp_ISIC'!$A$85:$A$126, 0)), 0)</f>
      </c>
      <c r="C29" t="str">
        <f>IFERROR(INDEX('9_Output_by_ISIC'!$B$2:$B$43, MATCH($A29, '9_Output_by_ISIC'!$A$2:$A$43, 0)), 0)</f>
      </c>
      <c r="D29" t="str">
        <f>B29/MAX(C29, Keys!$C$4)</f>
      </c>
      <c r="E29" t="str">
        <f>MIN(1, MAX(0, D29))</f>
      </c>
      <c r="F29" t="str">
        <f>IFERROR(INDEX('9c_ESoP_overrides'!$B$2:$B$3, MATCH($A29, '9c_ESoP_overrides'!$A$2:$A$3, 0)), E29)</f>
      </c>
    </row>
    <row r="30">
      <c r="A30" t="s">
        <v>360</v>
      </c>
      <c r="B30" t="str">
        <f>IFERROR(INDEX('8_Calc_Exp_ISIC'!$C$85:$C$126, MATCH($A30, '8_Calc_Exp_ISIC'!$A$85:$A$126, 0)), 0)</f>
      </c>
      <c r="C30" t="str">
        <f>IFERROR(INDEX('9_Output_by_ISIC'!$B$2:$B$43, MATCH($A30, '9_Output_by_ISIC'!$A$2:$A$43, 0)), 0)</f>
      </c>
      <c r="D30" t="str">
        <f>B30/MAX(C30, Keys!$C$4)</f>
      </c>
      <c r="E30" t="str">
        <f>MIN(1, MAX(0, D30))</f>
      </c>
      <c r="F30" t="str">
        <f>IFERROR(INDEX('9c_ESoP_overrides'!$B$2:$B$3, MATCH($A30, '9c_ESoP_overrides'!$A$2:$A$3, 0)), E30)</f>
      </c>
    </row>
    <row r="31">
      <c r="A31" t="s">
        <v>406</v>
      </c>
      <c r="B31" t="str">
        <f>IFERROR(INDEX('8_Calc_Exp_ISIC'!$C$85:$C$126, MATCH($A31, '8_Calc_Exp_ISIC'!$A$85:$A$126, 0)), 0)</f>
      </c>
      <c r="C31" t="str">
        <f>IFERROR(INDEX('9_Output_by_ISIC'!$B$2:$B$43, MATCH($A31, '9_Output_by_ISIC'!$A$2:$A$43, 0)), 0)</f>
      </c>
      <c r="D31" t="str">
        <f>B31/MAX(C31, Keys!$C$4)</f>
      </c>
      <c r="E31" t="str">
        <f>MIN(1, MAX(0, D31))</f>
      </c>
      <c r="F31" t="str">
        <f>IFERROR(INDEX('9c_ESoP_overrides'!$B$2:$B$3, MATCH($A31, '9c_ESoP_overrides'!$A$2:$A$3, 0)), E31)</f>
      </c>
    </row>
    <row r="32">
      <c r="A32" t="s">
        <v>413</v>
      </c>
      <c r="B32" t="str">
        <f>IFERROR(INDEX('8_Calc_Exp_ISIC'!$C$85:$C$126, MATCH($A32, '8_Calc_Exp_ISIC'!$A$85:$A$126, 0)), 0)</f>
      </c>
      <c r="C32" t="str">
        <f>IFERROR(INDEX('9_Output_by_ISIC'!$B$2:$B$43, MATCH($A32, '9_Output_by_ISIC'!$A$2:$A$43, 0)), 0)</f>
      </c>
      <c r="D32" t="str">
        <f>B32/MAX(C32, Keys!$C$4)</f>
      </c>
      <c r="E32" t="str">
        <f>MIN(1, MAX(0, D32))</f>
      </c>
      <c r="F32" t="str">
        <f>IFERROR(INDEX('9c_ESoP_overrides'!$B$2:$B$3, MATCH($A32, '9c_ESoP_overrides'!$A$2:$A$3, 0)), E32)</f>
      </c>
    </row>
    <row r="33">
      <c r="A33" t="s">
        <v>470</v>
      </c>
      <c r="B33" t="str">
        <f>IFERROR(INDEX('8_Calc_Exp_ISIC'!$C$85:$C$126, MATCH($A33, '8_Calc_Exp_ISIC'!$A$85:$A$126, 0)), 0)</f>
      </c>
      <c r="C33" t="str">
        <f>IFERROR(INDEX('9_Output_by_ISIC'!$B$2:$B$43, MATCH($A33, '9_Output_by_ISIC'!$A$2:$A$43, 0)), 0)</f>
      </c>
      <c r="D33" t="str">
        <f>B33/MAX(C33, Keys!$C$4)</f>
      </c>
      <c r="E33" t="str">
        <f>MIN(1, MAX(0, D33))</f>
      </c>
      <c r="F33" t="str">
        <f>IFERROR(INDEX('9c_ESoP_overrides'!$B$2:$B$3, MATCH($A33, '9c_ESoP_overrides'!$A$2:$A$3, 0)), E33)</f>
      </c>
    </row>
    <row r="34">
      <c r="A34" t="s">
        <v>425</v>
      </c>
      <c r="B34" t="str">
        <f>IFERROR(INDEX('8_Calc_Exp_ISIC'!$C$85:$C$126, MATCH($A34, '8_Calc_Exp_ISIC'!$A$85:$A$126, 0)), 0)</f>
      </c>
      <c r="C34" t="str">
        <f>IFERROR(INDEX('9_Output_by_ISIC'!$B$2:$B$43, MATCH($A34, '9_Output_by_ISIC'!$A$2:$A$43, 0)), 0)</f>
      </c>
      <c r="D34" t="str">
        <f>B34/MAX(C34, Keys!$C$4)</f>
      </c>
      <c r="E34" t="str">
        <f>MIN(1, MAX(0, D34))</f>
      </c>
      <c r="F34" t="str">
        <f>IFERROR(INDEX('9c_ESoP_overrides'!$B$2:$B$3, MATCH($A34, '9c_ESoP_overrides'!$A$2:$A$3, 0)), E34)</f>
      </c>
    </row>
    <row r="35">
      <c r="A35" t="s">
        <v>177</v>
      </c>
      <c r="B35" t="str">
        <f>IFERROR(INDEX('8_Calc_Exp_ISIC'!$C$85:$C$126, MATCH($A35, '8_Calc_Exp_ISIC'!$A$85:$A$126, 0)), 0)</f>
      </c>
      <c r="C35" t="str">
        <f>IFERROR(INDEX('9_Output_by_ISIC'!$B$2:$B$43, MATCH($A35, '9_Output_by_ISIC'!$A$2:$A$43, 0)), 0)</f>
      </c>
      <c r="D35" t="str">
        <f>B35/MAX(C35, Keys!$C$4)</f>
      </c>
      <c r="E35" t="str">
        <f>MIN(1, MAX(0, D35))</f>
      </c>
      <c r="F35" t="str">
        <f>IFERROR(INDEX('9c_ESoP_overrides'!$B$2:$B$3, MATCH($A35, '9c_ESoP_overrides'!$A$2:$A$3, 0)), E35)</f>
      </c>
    </row>
    <row r="36">
      <c r="A36" t="s">
        <v>432</v>
      </c>
      <c r="B36" t="str">
        <f>IFERROR(INDEX('8_Calc_Exp_ISIC'!$C$85:$C$126, MATCH($A36, '8_Calc_Exp_ISIC'!$A$85:$A$126, 0)), 0)</f>
      </c>
      <c r="C36" t="str">
        <f>IFERROR(INDEX('9_Output_by_ISIC'!$B$2:$B$43, MATCH($A36, '9_Output_by_ISIC'!$A$2:$A$43, 0)), 0)</f>
      </c>
      <c r="D36" t="str">
        <f>B36/MAX(C36, Keys!$C$4)</f>
      </c>
      <c r="E36" t="str">
        <f>MIN(1, MAX(0, D36))</f>
      </c>
      <c r="F36" t="str">
        <f>IFERROR(INDEX('9c_ESoP_overrides'!$B$2:$B$3, MATCH($A36, '9c_ESoP_overrides'!$A$2:$A$3, 0)), E36)</f>
      </c>
    </row>
    <row r="37">
      <c r="A37" t="s">
        <v>435</v>
      </c>
      <c r="B37" t="str">
        <f>IFERROR(INDEX('8_Calc_Exp_ISIC'!$C$85:$C$126, MATCH($A37, '8_Calc_Exp_ISIC'!$A$85:$A$126, 0)), 0)</f>
      </c>
      <c r="C37" t="str">
        <f>IFERROR(INDEX('9_Output_by_ISIC'!$B$2:$B$43, MATCH($A37, '9_Output_by_ISIC'!$A$2:$A$43, 0)), 0)</f>
      </c>
      <c r="D37" t="str">
        <f>B37/MAX(C37, Keys!$C$4)</f>
      </c>
      <c r="E37" t="str">
        <f>MIN(1, MAX(0, D37))</f>
      </c>
      <c r="F37" t="str">
        <f>IFERROR(INDEX('9c_ESoP_overrides'!$B$2:$B$3, MATCH($A37, '9c_ESoP_overrides'!$A$2:$A$3, 0)), E37)</f>
      </c>
    </row>
    <row r="38">
      <c r="A38" t="s">
        <v>441</v>
      </c>
      <c r="B38" t="str">
        <f>IFERROR(INDEX('8_Calc_Exp_ISIC'!$C$85:$C$126, MATCH($A38, '8_Calc_Exp_ISIC'!$A$85:$A$126, 0)), 0)</f>
      </c>
      <c r="C38" t="str">
        <f>IFERROR(INDEX('9_Output_by_ISIC'!$B$2:$B$43, MATCH($A38, '9_Output_by_ISIC'!$A$2:$A$43, 0)), 0)</f>
      </c>
      <c r="D38" t="str">
        <f>B38/MAX(C38, Keys!$C$4)</f>
      </c>
      <c r="E38" t="str">
        <f>MIN(1, MAX(0, D38))</f>
      </c>
      <c r="F38" t="str">
        <f>IFERROR(INDEX('9c_ESoP_overrides'!$B$2:$B$3, MATCH($A38, '9c_ESoP_overrides'!$A$2:$A$3, 0)), E38)</f>
      </c>
    </row>
    <row r="39">
      <c r="A39" t="s">
        <v>445</v>
      </c>
      <c r="B39" t="str">
        <f>IFERROR(INDEX('8_Calc_Exp_ISIC'!$C$85:$C$126, MATCH($A39, '8_Calc_Exp_ISIC'!$A$85:$A$126, 0)), 0)</f>
      </c>
      <c r="C39" t="str">
        <f>IFERROR(INDEX('9_Output_by_ISIC'!$B$2:$B$43, MATCH($A39, '9_Output_by_ISIC'!$A$2:$A$43, 0)), 0)</f>
      </c>
      <c r="D39" t="str">
        <f>B39/MAX(C39, Keys!$C$4)</f>
      </c>
      <c r="E39" t="str">
        <f>MIN(1, MAX(0, D39))</f>
      </c>
      <c r="F39" t="str">
        <f>IFERROR(INDEX('9c_ESoP_overrides'!$B$2:$B$3, MATCH($A39, '9c_ESoP_overrides'!$A$2:$A$3, 0)), E39)</f>
      </c>
    </row>
    <row r="40">
      <c r="A40" t="s">
        <v>475</v>
      </c>
      <c r="B40" t="str">
        <f>IFERROR(INDEX('8_Calc_Exp_ISIC'!$C$85:$C$126, MATCH($A40, '8_Calc_Exp_ISIC'!$A$85:$A$126, 0)), 0)</f>
      </c>
      <c r="C40" t="str">
        <f>IFERROR(INDEX('9_Output_by_ISIC'!$B$2:$B$43, MATCH($A40, '9_Output_by_ISIC'!$A$2:$A$43, 0)), 0)</f>
      </c>
      <c r="D40" t="str">
        <f>B40/MAX(C40, Keys!$C$4)</f>
      </c>
      <c r="E40" t="str">
        <f>MIN(1, MAX(0, D40))</f>
      </c>
      <c r="F40" t="str">
        <f>IFERROR(INDEX('9c_ESoP_overrides'!$B$2:$B$3, MATCH($A40, '9c_ESoP_overrides'!$A$2:$A$3, 0)), E40)</f>
      </c>
    </row>
    <row r="41">
      <c r="A41" t="s">
        <v>457</v>
      </c>
      <c r="B41" t="str">
        <f>IFERROR(INDEX('8_Calc_Exp_ISIC'!$C$85:$C$126, MATCH($A41, '8_Calc_Exp_ISIC'!$A$85:$A$126, 0)), 0)</f>
      </c>
      <c r="C41" t="str">
        <f>IFERROR(INDEX('9_Output_by_ISIC'!$B$2:$B$43, MATCH($A41, '9_Output_by_ISIC'!$A$2:$A$43, 0)), 0)</f>
      </c>
      <c r="D41" t="str">
        <f>B41/MAX(C41, Keys!$C$4)</f>
      </c>
      <c r="E41" t="str">
        <f>MIN(1, MAX(0, D41))</f>
      </c>
      <c r="F41" t="str">
        <f>IFERROR(INDEX('9c_ESoP_overrides'!$B$2:$B$3, MATCH($A41, '9c_ESoP_overrides'!$A$2:$A$3, 0)), E41)</f>
      </c>
    </row>
    <row r="42">
      <c r="A42" t="s">
        <v>460</v>
      </c>
      <c r="B42" t="str">
        <f>IFERROR(INDEX('8_Calc_Exp_ISIC'!$C$85:$C$126, MATCH($A42, '8_Calc_Exp_ISIC'!$A$85:$A$126, 0)), 0)</f>
      </c>
      <c r="C42" t="str">
        <f>IFERROR(INDEX('9_Output_by_ISIC'!$B$2:$B$43, MATCH($A42, '9_Output_by_ISIC'!$A$2:$A$43, 0)), 0)</f>
      </c>
      <c r="D42" t="str">
        <f>B42/MAX(C42, Keys!$C$4)</f>
      </c>
      <c r="E42" t="str">
        <f>MIN(1, MAX(0, D42))</f>
      </c>
      <c r="F42" t="str">
        <f>IFERROR(INDEX('9c_ESoP_overrides'!$B$2:$B$3, MATCH($A42, '9c_ESoP_overrides'!$A$2:$A$3, 0)), E42)</f>
      </c>
    </row>
    <row r="43">
      <c r="A43" t="s">
        <v>466</v>
      </c>
      <c r="B43" t="str">
        <f>IFERROR(INDEX('8_Calc_Exp_ISIC'!$C$85:$C$126, MATCH($A43, '8_Calc_Exp_ISIC'!$A$85:$A$126, 0)), 0)</f>
      </c>
      <c r="C43" t="str">
        <f>IFERROR(INDEX('9_Output_by_ISIC'!$B$2:$B$43, MATCH($A43, '9_Output_by_ISIC'!$A$2:$A$43, 0)), 0)</f>
      </c>
      <c r="D43" t="str">
        <f>B43/MAX(C43, Keys!$C$4)</f>
      </c>
      <c r="E43" t="str">
        <f>MIN(1, MAX(0, D43))</f>
      </c>
      <c r="F43" t="str">
        <f>IFERROR(INDEX('9c_ESoP_overrides'!$B$2:$B$3, MATCH($A43, '9c_ESoP_overrides'!$A$2:$A$3, 0)), E43)</f>
      </c>
    </row>
    <row r="44">
      <c r="A44" t="s">
        <v>583</v>
      </c>
      <c r="B44" t="str">
        <f>IFERROR(INDEX('8_Calc_Exp_ISIC'!$C$85:$C$126, MATCH($A44, '8_Calc_Exp_ISIC'!$A$85:$A$126, 0)), 0)</f>
      </c>
      <c r="C44" t="str">
        <f>IFERROR(INDEX('9_Output_by_ISIC'!$B$2:$B$43, MATCH($A44, '9_Output_by_ISIC'!$A$2:$A$43, 0)), 0)</f>
      </c>
      <c r="D44" t="str">
        <f>B44/MAX(C44, Keys!$C$4)</f>
      </c>
      <c r="E44" t="str">
        <f>MIN(1, MAX(0, D44))</f>
      </c>
      <c r="F44" t="str">
        <f>IFERROR(INDEX('9c_ESoP_overrides'!$B$2:$B$3, MATCH($A44, '9c_ESoP_overrides'!$A$2:$A$3,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611</v>
      </c>
      <c r="B2" t="str">
        <f>INDEX('10_Calc_DCS_ratio'!$F$3:$F$44, MATCH(B$1, '10_Calc_DCS_ratio'!$A$3:$A$44, 0))</f>
      </c>
      <c r="C2" t="str">
        <f>INDEX('10_Calc_DCS_ratio'!$F$3:$F$44, MATCH(C$1, '10_Calc_DCS_ratio'!$A$3:$A$44, 0))</f>
      </c>
      <c r="D2" t="str">
        <f>INDEX('10_Calc_DCS_ratio'!$F$3:$F$44, MATCH(D$1, '10_Calc_DCS_ratio'!$A$3:$A$44, 0))</f>
      </c>
      <c r="E2" t="str">
        <f>INDEX('10_Calc_DCS_ratio'!$F$3:$F$44, MATCH(E$1, '10_Calc_DCS_ratio'!$A$3:$A$44, 0))</f>
      </c>
      <c r="F2" t="str">
        <f>INDEX('10_Calc_DCS_ratio'!$F$3:$F$44, MATCH(F$1, '10_Calc_DCS_ratio'!$A$3:$A$44, 0))</f>
      </c>
      <c r="G2" t="str">
        <f>INDEX('10_Calc_DCS_ratio'!$F$3:$F$44, MATCH(G$1, '10_Calc_DCS_ratio'!$A$3:$A$44, 0))</f>
      </c>
      <c r="H2" t="str">
        <f>INDEX('10_Calc_DCS_ratio'!$F$3:$F$44, MATCH(H$1, '10_Calc_DCS_ratio'!$A$3:$A$44, 0))</f>
      </c>
      <c r="I2" t="str">
        <f>INDEX('10_Calc_DCS_ratio'!$F$3:$F$44, MATCH(I$1, '10_Calc_DCS_ratio'!$A$3:$A$44, 0))</f>
      </c>
      <c r="J2" t="str">
        <f>INDEX('10_Calc_DCS_ratio'!$F$3:$F$44, MATCH(J$1, '10_Calc_DCS_ratio'!$A$3:$A$44, 0))</f>
      </c>
      <c r="K2" t="str">
        <f>INDEX('10_Calc_DCS_ratio'!$F$3:$F$44, MATCH(K$1, '10_Calc_DCS_ratio'!$A$3:$A$44, 0))</f>
      </c>
      <c r="L2" t="str">
        <f>INDEX('10_Calc_DCS_ratio'!$F$3:$F$44, MATCH(L$1, '10_Calc_DCS_ratio'!$A$3:$A$44, 0))</f>
      </c>
      <c r="M2" t="str">
        <f>INDEX('10_Calc_DCS_ratio'!$F$3:$F$44, MATCH(M$1, '10_Calc_DCS_ratio'!$A$3:$A$44, 0))</f>
      </c>
      <c r="N2" t="str">
        <f>INDEX('10_Calc_DCS_ratio'!$F$3:$F$44, MATCH(N$1, '10_Calc_DCS_ratio'!$A$3:$A$44, 0))</f>
      </c>
      <c r="O2" t="str">
        <f>INDEX('10_Calc_DCS_ratio'!$F$3:$F$44, MATCH(O$1, '10_Calc_DCS_ratio'!$A$3:$A$44, 0))</f>
      </c>
      <c r="P2" t="str">
        <f>INDEX('10_Calc_DCS_ratio'!$F$3:$F$44, MATCH(P$1, '10_Calc_DCS_ratio'!$A$3:$A$44, 0))</f>
      </c>
      <c r="Q2" t="str">
        <f>INDEX('10_Calc_DCS_ratio'!$F$3:$F$44, MATCH(Q$1, '10_Calc_DCS_ratio'!$A$3:$A$44, 0))</f>
      </c>
      <c r="R2" t="str">
        <f>INDEX('10_Calc_DCS_ratio'!$F$3:$F$44, MATCH(R$1, '10_Calc_DCS_ratio'!$A$3:$A$44, 0))</f>
      </c>
      <c r="S2" t="str">
        <f>INDEX('10_Calc_DCS_ratio'!$F$3:$F$44, MATCH(S$1, '10_Calc_DCS_ratio'!$A$3:$A$44, 0))</f>
      </c>
      <c r="T2" t="str">
        <f>INDEX('10_Calc_DCS_ratio'!$F$3:$F$44, MATCH(T$1, '10_Calc_DCS_ratio'!$A$3:$A$44, 0))</f>
      </c>
      <c r="U2" t="str">
        <f>INDEX('10_Calc_DCS_ratio'!$F$3:$F$44, MATCH(U$1, '10_Calc_DCS_ratio'!$A$3:$A$44, 0))</f>
      </c>
      <c r="V2" t="str">
        <f>INDEX('10_Calc_DCS_ratio'!$F$3:$F$44, MATCH(V$1, '10_Calc_DCS_ratio'!$A$3:$A$44, 0))</f>
      </c>
      <c r="W2" t="str">
        <f>INDEX('10_Calc_DCS_ratio'!$F$3:$F$44, MATCH(W$1, '10_Calc_DCS_ratio'!$A$3:$A$44, 0))</f>
      </c>
      <c r="X2" t="str">
        <f>INDEX('10_Calc_DCS_ratio'!$F$3:$F$44, MATCH(X$1, '10_Calc_DCS_ratio'!$A$3:$A$44, 0))</f>
      </c>
      <c r="Y2" t="str">
        <f>INDEX('10_Calc_DCS_ratio'!$F$3:$F$44, MATCH(Y$1, '10_Calc_DCS_ratio'!$A$3:$A$44, 0))</f>
      </c>
      <c r="Z2" t="str">
        <f>INDEX('10_Calc_DCS_ratio'!$F$3:$F$44, MATCH(Z$1, '10_Calc_DCS_ratio'!$A$3:$A$44, 0))</f>
      </c>
      <c r="AA2" t="str">
        <f>INDEX('10_Calc_DCS_ratio'!$F$3:$F$44, MATCH(AA$1, '10_Calc_DCS_ratio'!$A$3:$A$44, 0))</f>
      </c>
      <c r="AB2" t="str">
        <f>INDEX('10_Calc_DCS_ratio'!$F$3:$F$44, MATCH(AB$1, '10_Calc_DCS_ratio'!$A$3:$A$44, 0))</f>
      </c>
      <c r="AC2" t="str">
        <f>INDEX('10_Calc_DCS_ratio'!$F$3:$F$44, MATCH(AC$1, '10_Calc_DCS_ratio'!$A$3:$A$44, 0))</f>
      </c>
      <c r="AD2" t="str">
        <f>INDEX('10_Calc_DCS_ratio'!$F$3:$F$44, MATCH(AD$1, '10_Calc_DCS_ratio'!$A$3:$A$44, 0))</f>
      </c>
      <c r="AE2" t="str">
        <f>INDEX('10_Calc_DCS_ratio'!$F$3:$F$44, MATCH(AE$1, '10_Calc_DCS_ratio'!$A$3:$A$44, 0))</f>
      </c>
      <c r="AF2" t="str">
        <f>INDEX('10_Calc_DCS_ratio'!$F$3:$F$44, MATCH(AF$1, '10_Calc_DCS_ratio'!$A$3:$A$44, 0))</f>
      </c>
      <c r="AG2" t="str">
        <f>INDEX('10_Calc_DCS_ratio'!$F$3:$F$44, MATCH(AG$1, '10_Calc_DCS_ratio'!$A$3:$A$44, 0))</f>
      </c>
      <c r="AH2" t="str">
        <f>INDEX('10_Calc_DCS_ratio'!$F$3:$F$44, MATCH(AH$1, '10_Calc_DCS_ratio'!$A$3:$A$44, 0))</f>
      </c>
      <c r="AI2" t="str">
        <f>INDEX('10_Calc_DCS_ratio'!$F$3:$F$44, MATCH(AI$1, '10_Calc_DCS_ratio'!$A$3:$A$44, 0))</f>
      </c>
      <c r="AJ2" t="str">
        <f>INDEX('10_Calc_DCS_ratio'!$F$3:$F$44, MATCH(AJ$1, '10_Calc_DCS_ratio'!$A$3:$A$44, 0))</f>
      </c>
      <c r="AK2" t="str">
        <f>INDEX('10_Calc_DCS_ratio'!$F$3:$F$44, MATCH(AK$1, '10_Calc_DCS_ratio'!$A$3:$A$44, 0))</f>
      </c>
      <c r="AL2" t="str">
        <f>INDEX('10_Calc_DCS_ratio'!$F$3:$F$44, MATCH(AL$1, '10_Calc_DCS_ratio'!$A$3:$A$44, 0))</f>
      </c>
      <c r="AM2" t="str">
        <f>INDEX('10_Calc_DCS_ratio'!$F$3:$F$44, MATCH(AM$1, '10_Calc_DCS_ratio'!$A$3:$A$44, 0))</f>
      </c>
      <c r="AN2" t="str">
        <f>INDEX('10_Calc_DCS_ratio'!$F$3:$F$44, MATCH(AN$1, '10_Calc_DCS_ratio'!$A$3:$A$44, 0))</f>
      </c>
      <c r="AO2" t="str">
        <f>INDEX('10_Calc_DCS_ratio'!$F$3:$F$44, MATCH(AO$1, '10_Calc_DCS_ratio'!$A$3:$A$44, 0))</f>
      </c>
      <c r="AP2" t="str">
        <f>INDEX('10_Calc_DCS_ratio'!$F$3:$F$44, MATCH(AP$1, '10_Calc_DCS_ratio'!$A$3:$A$44, 0))</f>
      </c>
      <c r="AQ2" t="str">
        <f>INDEX('10_Calc_DCS_ratio'!$F$3:$F$44, MATCH(AQ$1, '10_Calc_DCS_ratio'!$A$3:$A$44,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612</v>
      </c>
      <c r="B2" t="str">
        <f>INDEX('11_Calc_ESoP_ratio'!$F$3:$F$44, MATCH(B$1, '11_Calc_ESoP_ratio'!$A$3:$A$44, 0))</f>
      </c>
      <c r="C2" t="str">
        <f>INDEX('11_Calc_ESoP_ratio'!$F$3:$F$44, MATCH(C$1, '11_Calc_ESoP_ratio'!$A$3:$A$44, 0))</f>
      </c>
      <c r="D2" t="str">
        <f>INDEX('11_Calc_ESoP_ratio'!$F$3:$F$44, MATCH(D$1, '11_Calc_ESoP_ratio'!$A$3:$A$44, 0))</f>
      </c>
      <c r="E2" t="str">
        <f>INDEX('11_Calc_ESoP_ratio'!$F$3:$F$44, MATCH(E$1, '11_Calc_ESoP_ratio'!$A$3:$A$44, 0))</f>
      </c>
      <c r="F2" t="str">
        <f>INDEX('11_Calc_ESoP_ratio'!$F$3:$F$44, MATCH(F$1, '11_Calc_ESoP_ratio'!$A$3:$A$44, 0))</f>
      </c>
      <c r="G2" t="str">
        <f>INDEX('11_Calc_ESoP_ratio'!$F$3:$F$44, MATCH(G$1, '11_Calc_ESoP_ratio'!$A$3:$A$44, 0))</f>
      </c>
      <c r="H2" t="str">
        <f>INDEX('11_Calc_ESoP_ratio'!$F$3:$F$44, MATCH(H$1, '11_Calc_ESoP_ratio'!$A$3:$A$44, 0))</f>
      </c>
      <c r="I2" t="str">
        <f>INDEX('11_Calc_ESoP_ratio'!$F$3:$F$44, MATCH(I$1, '11_Calc_ESoP_ratio'!$A$3:$A$44, 0))</f>
      </c>
      <c r="J2" t="str">
        <f>INDEX('11_Calc_ESoP_ratio'!$F$3:$F$44, MATCH(J$1, '11_Calc_ESoP_ratio'!$A$3:$A$44, 0))</f>
      </c>
      <c r="K2" t="str">
        <f>INDEX('11_Calc_ESoP_ratio'!$F$3:$F$44, MATCH(K$1, '11_Calc_ESoP_ratio'!$A$3:$A$44, 0))</f>
      </c>
      <c r="L2" t="str">
        <f>INDEX('11_Calc_ESoP_ratio'!$F$3:$F$44, MATCH(L$1, '11_Calc_ESoP_ratio'!$A$3:$A$44, 0))</f>
      </c>
      <c r="M2" t="str">
        <f>INDEX('11_Calc_ESoP_ratio'!$F$3:$F$44, MATCH(M$1, '11_Calc_ESoP_ratio'!$A$3:$A$44, 0))</f>
      </c>
      <c r="N2" t="str">
        <f>INDEX('11_Calc_ESoP_ratio'!$F$3:$F$44, MATCH(N$1, '11_Calc_ESoP_ratio'!$A$3:$A$44, 0))</f>
      </c>
      <c r="O2" t="str">
        <f>INDEX('11_Calc_ESoP_ratio'!$F$3:$F$44, MATCH(O$1, '11_Calc_ESoP_ratio'!$A$3:$A$44, 0))</f>
      </c>
      <c r="P2" t="str">
        <f>INDEX('11_Calc_ESoP_ratio'!$F$3:$F$44, MATCH(P$1, '11_Calc_ESoP_ratio'!$A$3:$A$44, 0))</f>
      </c>
      <c r="Q2" t="str">
        <f>INDEX('11_Calc_ESoP_ratio'!$F$3:$F$44, MATCH(Q$1, '11_Calc_ESoP_ratio'!$A$3:$A$44, 0))</f>
      </c>
      <c r="R2" t="str">
        <f>INDEX('11_Calc_ESoP_ratio'!$F$3:$F$44, MATCH(R$1, '11_Calc_ESoP_ratio'!$A$3:$A$44, 0))</f>
      </c>
      <c r="S2" t="str">
        <f>INDEX('11_Calc_ESoP_ratio'!$F$3:$F$44, MATCH(S$1, '11_Calc_ESoP_ratio'!$A$3:$A$44, 0))</f>
      </c>
      <c r="T2" t="str">
        <f>INDEX('11_Calc_ESoP_ratio'!$F$3:$F$44, MATCH(T$1, '11_Calc_ESoP_ratio'!$A$3:$A$44, 0))</f>
      </c>
      <c r="U2" t="str">
        <f>INDEX('11_Calc_ESoP_ratio'!$F$3:$F$44, MATCH(U$1, '11_Calc_ESoP_ratio'!$A$3:$A$44, 0))</f>
      </c>
      <c r="V2" t="str">
        <f>INDEX('11_Calc_ESoP_ratio'!$F$3:$F$44, MATCH(V$1, '11_Calc_ESoP_ratio'!$A$3:$A$44, 0))</f>
      </c>
      <c r="W2" t="str">
        <f>INDEX('11_Calc_ESoP_ratio'!$F$3:$F$44, MATCH(W$1, '11_Calc_ESoP_ratio'!$A$3:$A$44, 0))</f>
      </c>
      <c r="X2" t="str">
        <f>INDEX('11_Calc_ESoP_ratio'!$F$3:$F$44, MATCH(X$1, '11_Calc_ESoP_ratio'!$A$3:$A$44, 0))</f>
      </c>
      <c r="Y2" t="str">
        <f>INDEX('11_Calc_ESoP_ratio'!$F$3:$F$44, MATCH(Y$1, '11_Calc_ESoP_ratio'!$A$3:$A$44, 0))</f>
      </c>
      <c r="Z2" t="str">
        <f>INDEX('11_Calc_ESoP_ratio'!$F$3:$F$44, MATCH(Z$1, '11_Calc_ESoP_ratio'!$A$3:$A$44, 0))</f>
      </c>
      <c r="AA2" t="str">
        <f>INDEX('11_Calc_ESoP_ratio'!$F$3:$F$44, MATCH(AA$1, '11_Calc_ESoP_ratio'!$A$3:$A$44, 0))</f>
      </c>
      <c r="AB2" t="str">
        <f>INDEX('11_Calc_ESoP_ratio'!$F$3:$F$44, MATCH(AB$1, '11_Calc_ESoP_ratio'!$A$3:$A$44, 0))</f>
      </c>
      <c r="AC2" t="str">
        <f>INDEX('11_Calc_ESoP_ratio'!$F$3:$F$44, MATCH(AC$1, '11_Calc_ESoP_ratio'!$A$3:$A$44, 0))</f>
      </c>
      <c r="AD2" t="str">
        <f>INDEX('11_Calc_ESoP_ratio'!$F$3:$F$44, MATCH(AD$1, '11_Calc_ESoP_ratio'!$A$3:$A$44, 0))</f>
      </c>
      <c r="AE2" t="str">
        <f>INDEX('11_Calc_ESoP_ratio'!$F$3:$F$44, MATCH(AE$1, '11_Calc_ESoP_ratio'!$A$3:$A$44, 0))</f>
      </c>
      <c r="AF2" t="str">
        <f>INDEX('11_Calc_ESoP_ratio'!$F$3:$F$44, MATCH(AF$1, '11_Calc_ESoP_ratio'!$A$3:$A$44, 0))</f>
      </c>
      <c r="AG2" t="str">
        <f>INDEX('11_Calc_ESoP_ratio'!$F$3:$F$44, MATCH(AG$1, '11_Calc_ESoP_ratio'!$A$3:$A$44, 0))</f>
      </c>
      <c r="AH2" t="str">
        <f>INDEX('11_Calc_ESoP_ratio'!$F$3:$F$44, MATCH(AH$1, '11_Calc_ESoP_ratio'!$A$3:$A$44, 0))</f>
      </c>
      <c r="AI2" t="str">
        <f>INDEX('11_Calc_ESoP_ratio'!$F$3:$F$44, MATCH(AI$1, '11_Calc_ESoP_ratio'!$A$3:$A$44, 0))</f>
      </c>
      <c r="AJ2" t="str">
        <f>INDEX('11_Calc_ESoP_ratio'!$F$3:$F$44, MATCH(AJ$1, '11_Calc_ESoP_ratio'!$A$3:$A$44, 0))</f>
      </c>
      <c r="AK2" t="str">
        <f>INDEX('11_Calc_ESoP_ratio'!$F$3:$F$44, MATCH(AK$1, '11_Calc_ESoP_ratio'!$A$3:$A$44, 0))</f>
      </c>
      <c r="AL2" t="str">
        <f>INDEX('11_Calc_ESoP_ratio'!$F$3:$F$44, MATCH(AL$1, '11_Calc_ESoP_ratio'!$A$3:$A$44, 0))</f>
      </c>
      <c r="AM2" t="str">
        <f>INDEX('11_Calc_ESoP_ratio'!$F$3:$F$44, MATCH(AM$1, '11_Calc_ESoP_ratio'!$A$3:$A$44, 0))</f>
      </c>
      <c r="AN2" t="str">
        <f>INDEX('11_Calc_ESoP_ratio'!$F$3:$F$44, MATCH(AN$1, '11_Calc_ESoP_ratio'!$A$3:$A$44, 0))</f>
      </c>
      <c r="AO2" t="str">
        <f>INDEX('11_Calc_ESoP_ratio'!$F$3:$F$44, MATCH(AO$1, '11_Calc_ESoP_ratio'!$A$3:$A$44, 0))</f>
      </c>
      <c r="AP2" t="str">
        <f>INDEX('11_Calc_ESoP_ratio'!$F$3:$F$44, MATCH(AP$1, '11_Calc_ESoP_ratio'!$A$3:$A$44, 0))</f>
      </c>
      <c r="AQ2" t="str">
        <f>INDEX('11_Calc_ESoP_ratio'!$F$3:$F$44, MATCH(AQ$1, '11_Calc_ESoP_ratio'!$A$3:$A$44,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2026-07-17T19:18:41Z</dcterms:created>
</coreProperties>
</file>