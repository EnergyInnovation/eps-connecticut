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T\bldgs\BDCL\"/>
    </mc:Choice>
  </mc:AlternateContent>
  <xr:revisionPtr revIDLastSave="0" documentId="8_{B03141F3-430A-4267-B715-E6A214A68E41}"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K167" i="10"/>
  <c r="L167" i="10" s="1"/>
  <c r="M167" i="10" s="1"/>
  <c r="N167" i="10" s="1"/>
  <c r="O167" i="10" s="1"/>
  <c r="P167" i="10" s="1"/>
  <c r="Q167" i="10" s="1"/>
  <c r="R167" i="10" s="1"/>
  <c r="S167" i="10" s="1"/>
  <c r="T167" i="10" s="1"/>
  <c r="U167" i="10" s="1"/>
  <c r="V167" i="10" s="1"/>
  <c r="W167" i="10" s="1"/>
  <c r="X167" i="10" s="1"/>
  <c r="Y167" i="10" s="1"/>
  <c r="Z167" i="10" s="1"/>
  <c r="AA167" i="10" s="1"/>
  <c r="AB167" i="10" s="1"/>
  <c r="I167" i="10"/>
  <c r="J167" i="10" s="1"/>
  <c r="C167" i="10"/>
  <c r="D167" i="10" s="1"/>
  <c r="E167" i="10" s="1"/>
  <c r="F167" i="10" s="1"/>
  <c r="G167" i="10" s="1"/>
  <c r="H167" i="10" s="1"/>
  <c r="B167" i="10"/>
  <c r="AC166" i="10"/>
  <c r="F166" i="10"/>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E166" i="10"/>
  <c r="B166" i="10"/>
  <c r="C166" i="10" s="1"/>
  <c r="D166" i="10" s="1"/>
  <c r="AC165" i="10"/>
  <c r="B165" i="10"/>
  <c r="AC160" i="10"/>
  <c r="C160" i="10"/>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B160" i="10"/>
  <c r="AC159" i="10"/>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B159" i="10"/>
  <c r="D158" i="10"/>
  <c r="E158" i="10" s="1"/>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AC157" i="10"/>
  <c r="B157" i="10"/>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B153" i="10"/>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D150" i="10"/>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C150" i="10"/>
  <c r="B150" i="10"/>
  <c r="AC149" i="10"/>
  <c r="I149" i="10"/>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F149" i="10"/>
  <c r="G149" i="10" s="1"/>
  <c r="H149" i="10" s="1"/>
  <c r="B149" i="10"/>
  <c r="C149" i="10" s="1"/>
  <c r="D149" i="10" s="1"/>
  <c r="E149" i="10" s="1"/>
  <c r="AC148" i="10"/>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AC147" i="10"/>
  <c r="H147" i="10"/>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E147" i="10"/>
  <c r="F147" i="10" s="1"/>
  <c r="G147" i="10" s="1"/>
  <c r="C147" i="10"/>
  <c r="D147" i="10" s="1"/>
  <c r="B147" i="10"/>
  <c r="AC146" i="10"/>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C145" i="10" s="1"/>
  <c r="D145" i="10" s="1"/>
  <c r="E145" i="10" s="1"/>
  <c r="F145" i="10" s="1"/>
  <c r="G145" i="10" s="1"/>
  <c r="H145" i="10" s="1"/>
  <c r="I145" i="10" s="1"/>
  <c r="J145" i="10"/>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D144" i="10"/>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C144" i="10"/>
  <c r="B144" i="10"/>
  <c r="AC143" i="10"/>
  <c r="AA143" i="10"/>
  <c r="AB143" i="10" s="1"/>
  <c r="H143" i="10"/>
  <c r="I143" i="10" s="1"/>
  <c r="J143" i="10" s="1"/>
  <c r="K143" i="10" s="1"/>
  <c r="L143" i="10" s="1"/>
  <c r="M143" i="10" s="1"/>
  <c r="N143" i="10" s="1"/>
  <c r="O143" i="10" s="1"/>
  <c r="P143" i="10" s="1"/>
  <c r="Q143" i="10" s="1"/>
  <c r="R143" i="10" s="1"/>
  <c r="S143" i="10" s="1"/>
  <c r="T143" i="10" s="1"/>
  <c r="U143" i="10" s="1"/>
  <c r="V143" i="10" s="1"/>
  <c r="W143" i="10" s="1"/>
  <c r="X143" i="10" s="1"/>
  <c r="Y143" i="10" s="1"/>
  <c r="Z143" i="10" s="1"/>
  <c r="C143" i="10"/>
  <c r="D143" i="10" s="1"/>
  <c r="E143" i="10" s="1"/>
  <c r="F143" i="10" s="1"/>
  <c r="G143" i="10" s="1"/>
  <c r="B143" i="10"/>
  <c r="AC142" i="10"/>
  <c r="C142" i="10"/>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AC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c r="AA141" i="10" s="1"/>
  <c r="AB141" i="10" s="1"/>
  <c r="B141" i="10"/>
  <c r="AC140" i="10"/>
  <c r="H140" i="10"/>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C140" i="10"/>
  <c r="D140" i="10" s="1"/>
  <c r="E140" i="10" s="1"/>
  <c r="F140" i="10" s="1"/>
  <c r="G140" i="10" s="1"/>
  <c r="B140" i="10"/>
  <c r="AC139" i="10"/>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AC138" i="10"/>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AC137" i="10"/>
  <c r="D137" i="10"/>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C137" i="10"/>
  <c r="B137" i="10"/>
  <c r="AC136" i="10"/>
  <c r="C136" i="10" s="1"/>
  <c r="D136" i="10" s="1"/>
  <c r="N136" i="10"/>
  <c r="O136" i="10" s="1"/>
  <c r="P136" i="10" s="1"/>
  <c r="Q136" i="10" s="1"/>
  <c r="R136" i="10" s="1"/>
  <c r="S136" i="10" s="1"/>
  <c r="T136" i="10" s="1"/>
  <c r="U136" i="10" s="1"/>
  <c r="V136" i="10" s="1"/>
  <c r="W136" i="10" s="1"/>
  <c r="X136" i="10" s="1"/>
  <c r="Y136" i="10" s="1"/>
  <c r="Z136" i="10" s="1"/>
  <c r="AA136" i="10" s="1"/>
  <c r="AB136" i="10" s="1"/>
  <c r="E136" i="10"/>
  <c r="F136" i="10" s="1"/>
  <c r="G136" i="10" s="1"/>
  <c r="H136" i="10" s="1"/>
  <c r="I136" i="10" s="1"/>
  <c r="J136" i="10" s="1"/>
  <c r="K136" i="10" s="1"/>
  <c r="L136" i="10" s="1"/>
  <c r="M136" i="10" s="1"/>
  <c r="B136" i="10"/>
  <c r="AC135" i="10"/>
  <c r="C135" i="10"/>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B135" i="10"/>
  <c r="AC134" i="10"/>
  <c r="E134" i="10"/>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C134" i="10" s="1"/>
  <c r="D134" i="10" s="1"/>
  <c r="AC133" i="10"/>
  <c r="Y133" i="10"/>
  <c r="Z133" i="10" s="1"/>
  <c r="AA133" i="10" s="1"/>
  <c r="AB133" i="10" s="1"/>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B133" i="10"/>
  <c r="AC132" i="10"/>
  <c r="E132" i="10"/>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C132" i="10"/>
  <c r="D132" i="10" s="1"/>
  <c r="B132" i="10"/>
  <c r="AC131" i="10"/>
  <c r="B131" i="10"/>
  <c r="C131" i="10" s="1"/>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AC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c r="AB130" i="10" s="1"/>
  <c r="B130" i="10"/>
  <c r="AC129" i="10"/>
  <c r="B129" i="10"/>
  <c r="C129" i="10" s="1"/>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AC128" i="10"/>
  <c r="K128" i="10"/>
  <c r="L128" i="10" s="1"/>
  <c r="M128" i="10" s="1"/>
  <c r="N128" i="10" s="1"/>
  <c r="O128" i="10" s="1"/>
  <c r="P128" i="10" s="1"/>
  <c r="Q128" i="10" s="1"/>
  <c r="R128" i="10" s="1"/>
  <c r="S128" i="10" s="1"/>
  <c r="T128" i="10" s="1"/>
  <c r="U128" i="10" s="1"/>
  <c r="V128" i="10" s="1"/>
  <c r="W128" i="10" s="1"/>
  <c r="X128" i="10" s="1"/>
  <c r="Y128" i="10" s="1"/>
  <c r="Z128" i="10" s="1"/>
  <c r="AA128" i="10" s="1"/>
  <c r="AB128" i="10" s="1"/>
  <c r="C128" i="10"/>
  <c r="D128" i="10" s="1"/>
  <c r="E128" i="10" s="1"/>
  <c r="F128" i="10" s="1"/>
  <c r="G128" i="10" s="1"/>
  <c r="H128" i="10" s="1"/>
  <c r="I128" i="10" s="1"/>
  <c r="J128" i="10" s="1"/>
  <c r="B128" i="10"/>
  <c r="AC127" i="10"/>
  <c r="B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AC126" i="10"/>
  <c r="C126" i="10" s="1"/>
  <c r="D126" i="10" s="1"/>
  <c r="E126" i="10" s="1"/>
  <c r="F126" i="10" s="1"/>
  <c r="G126" i="10" s="1"/>
  <c r="H126" i="10" s="1"/>
  <c r="I126" i="10" s="1"/>
  <c r="J126" i="10" s="1"/>
  <c r="K126" i="10" s="1"/>
  <c r="L126" i="10" s="1"/>
  <c r="M126" i="10" s="1"/>
  <c r="N126" i="10" s="1"/>
  <c r="O126" i="10"/>
  <c r="P126" i="10" s="1"/>
  <c r="Q126" i="10" s="1"/>
  <c r="R126" i="10" s="1"/>
  <c r="S126" i="10" s="1"/>
  <c r="T126" i="10" s="1"/>
  <c r="U126" i="10" s="1"/>
  <c r="V126" i="10" s="1"/>
  <c r="W126" i="10" s="1"/>
  <c r="X126" i="10" s="1"/>
  <c r="Y126" i="10" s="1"/>
  <c r="Z126" i="10" s="1"/>
  <c r="AA126" i="10" s="1"/>
  <c r="AB126" i="10" s="1"/>
  <c r="B126" i="10"/>
  <c r="AC125" i="10"/>
  <c r="J125" i="10"/>
  <c r="K125" i="10" s="1"/>
  <c r="L125" i="10" s="1"/>
  <c r="M125" i="10" s="1"/>
  <c r="N125" i="10" s="1"/>
  <c r="O125" i="10" s="1"/>
  <c r="P125" i="10" s="1"/>
  <c r="Q125" i="10" s="1"/>
  <c r="R125" i="10" s="1"/>
  <c r="S125" i="10" s="1"/>
  <c r="T125" i="10" s="1"/>
  <c r="U125" i="10" s="1"/>
  <c r="V125" i="10" s="1"/>
  <c r="W125" i="10" s="1"/>
  <c r="X125" i="10" s="1"/>
  <c r="Y125" i="10" s="1"/>
  <c r="Z125" i="10" s="1"/>
  <c r="AA125" i="10" s="1"/>
  <c r="AB125" i="10" s="1"/>
  <c r="C125" i="10"/>
  <c r="D125" i="10" s="1"/>
  <c r="E125" i="10" s="1"/>
  <c r="F125" i="10" s="1"/>
  <c r="G125" i="10" s="1"/>
  <c r="H125" i="10" s="1"/>
  <c r="I125" i="10" s="1"/>
  <c r="B125" i="10"/>
  <c r="AC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B124" i="10"/>
  <c r="AC123" i="10"/>
  <c r="B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AC122" i="10"/>
  <c r="E122" i="10"/>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C122" i="10" s="1"/>
  <c r="D122" i="10" s="1"/>
  <c r="AC121" i="10"/>
  <c r="G121" i="10"/>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F121" i="10"/>
  <c r="B121" i="10"/>
  <c r="C121" i="10" s="1"/>
  <c r="D121" i="10" s="1"/>
  <c r="E121" i="10" s="1"/>
  <c r="AC120" i="10"/>
  <c r="C120" i="10" s="1"/>
  <c r="D120" i="10" s="1"/>
  <c r="E120" i="10" s="1"/>
  <c r="F120" i="10" s="1"/>
  <c r="G120" i="10"/>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B120" i="10"/>
  <c r="AC119" i="10"/>
  <c r="C119" i="10"/>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AC118" i="10"/>
  <c r="L118" i="10"/>
  <c r="M118" i="10" s="1"/>
  <c r="N118" i="10" s="1"/>
  <c r="O118" i="10" s="1"/>
  <c r="P118" i="10" s="1"/>
  <c r="Q118" i="10" s="1"/>
  <c r="R118" i="10" s="1"/>
  <c r="S118" i="10" s="1"/>
  <c r="T118" i="10" s="1"/>
  <c r="U118" i="10" s="1"/>
  <c r="V118" i="10" s="1"/>
  <c r="W118" i="10" s="1"/>
  <c r="X118" i="10" s="1"/>
  <c r="Y118" i="10" s="1"/>
  <c r="Z118" i="10" s="1"/>
  <c r="AA118" i="10" s="1"/>
  <c r="AB118" i="10" s="1"/>
  <c r="E118" i="10"/>
  <c r="F118" i="10" s="1"/>
  <c r="G118" i="10" s="1"/>
  <c r="H118" i="10" s="1"/>
  <c r="I118" i="10" s="1"/>
  <c r="J118" i="10" s="1"/>
  <c r="K118" i="10" s="1"/>
  <c r="D118" i="10"/>
  <c r="B118" i="10"/>
  <c r="C118" i="10" s="1"/>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B115" i="10"/>
  <c r="AC114" i="10"/>
  <c r="C114" i="10" s="1"/>
  <c r="D114" i="10"/>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14" i="10"/>
  <c r="AC113" i="10"/>
  <c r="B113" i="10"/>
  <c r="C113" i="10" s="1"/>
  <c r="AC108" i="10"/>
  <c r="C108" i="10" s="1"/>
  <c r="D108" i="10" s="1"/>
  <c r="E108" i="10" s="1"/>
  <c r="F108" i="10" s="1"/>
  <c r="G108" i="10" s="1"/>
  <c r="H108" i="10" s="1"/>
  <c r="I108" i="10" s="1"/>
  <c r="J108" i="10"/>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B107" i="10"/>
  <c r="M106" i="10"/>
  <c r="N106" i="10" s="1"/>
  <c r="O106" i="10" s="1"/>
  <c r="P106" i="10" s="1"/>
  <c r="Q106" i="10" s="1"/>
  <c r="R106" i="10" s="1"/>
  <c r="S106" i="10" s="1"/>
  <c r="T106" i="10" s="1"/>
  <c r="U106" i="10" s="1"/>
  <c r="V106" i="10" s="1"/>
  <c r="W106" i="10" s="1"/>
  <c r="X106" i="10" s="1"/>
  <c r="Y106" i="10" s="1"/>
  <c r="Z106" i="10" s="1"/>
  <c r="AA106" i="10" s="1"/>
  <c r="AB106" i="10" s="1"/>
  <c r="D106" i="10"/>
  <c r="E106" i="10" s="1"/>
  <c r="F106" i="10" s="1"/>
  <c r="G106" i="10" s="1"/>
  <c r="H106" i="10" s="1"/>
  <c r="I106" i="10" s="1"/>
  <c r="J106" i="10" s="1"/>
  <c r="K106" i="10" s="1"/>
  <c r="L106" i="10" s="1"/>
  <c r="C106" i="10"/>
  <c r="AC105" i="10"/>
  <c r="B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AC104" i="10"/>
  <c r="C104" i="10" s="1"/>
  <c r="D104" i="10" s="1"/>
  <c r="E104" i="10" s="1"/>
  <c r="F104" i="10" s="1"/>
  <c r="G104" i="10" s="1"/>
  <c r="H104" i="10" s="1"/>
  <c r="I104" i="10" s="1"/>
  <c r="J104" i="10"/>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B103" i="10"/>
  <c r="C103" i="10" s="1"/>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AC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B102" i="10"/>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B100" i="10"/>
  <c r="C100" i="10" s="1"/>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AC99" i="10"/>
  <c r="C99" i="10" s="1"/>
  <c r="D99" i="10" s="1"/>
  <c r="E99" i="10" s="1"/>
  <c r="F99" i="10" s="1"/>
  <c r="G99" i="10" s="1"/>
  <c r="H99" i="10" s="1"/>
  <c r="I99" i="10" s="1"/>
  <c r="J99" i="10" s="1"/>
  <c r="K99" i="10" s="1"/>
  <c r="M99" i="10"/>
  <c r="N99" i="10" s="1"/>
  <c r="O99" i="10" s="1"/>
  <c r="P99" i="10" s="1"/>
  <c r="Q99" i="10" s="1"/>
  <c r="R99" i="10" s="1"/>
  <c r="S99" i="10" s="1"/>
  <c r="T99" i="10" s="1"/>
  <c r="U99" i="10" s="1"/>
  <c r="V99" i="10" s="1"/>
  <c r="W99" i="10" s="1"/>
  <c r="X99" i="10" s="1"/>
  <c r="Y99" i="10" s="1"/>
  <c r="Z99" i="10" s="1"/>
  <c r="AA99" i="10" s="1"/>
  <c r="AB99" i="10" s="1"/>
  <c r="L99" i="10"/>
  <c r="B99" i="10"/>
  <c r="AC98" i="10"/>
  <c r="C98" i="10" s="1"/>
  <c r="E98" i="10"/>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D98" i="10"/>
  <c r="B98" i="10"/>
  <c r="AC97" i="10"/>
  <c r="I97" i="10"/>
  <c r="J97" i="10" s="1"/>
  <c r="K97" i="10" s="1"/>
  <c r="L97" i="10" s="1"/>
  <c r="M97" i="10" s="1"/>
  <c r="N97" i="10" s="1"/>
  <c r="O97" i="10" s="1"/>
  <c r="P97" i="10" s="1"/>
  <c r="Q97" i="10" s="1"/>
  <c r="R97" i="10" s="1"/>
  <c r="S97" i="10" s="1"/>
  <c r="T97" i="10" s="1"/>
  <c r="U97" i="10" s="1"/>
  <c r="V97" i="10" s="1"/>
  <c r="W97" i="10" s="1"/>
  <c r="X97" i="10" s="1"/>
  <c r="Y97" i="10" s="1"/>
  <c r="Z97" i="10" s="1"/>
  <c r="AA97" i="10" s="1"/>
  <c r="AB97" i="10" s="1"/>
  <c r="C97" i="10"/>
  <c r="D97" i="10" s="1"/>
  <c r="E97" i="10" s="1"/>
  <c r="F97" i="10" s="1"/>
  <c r="G97" i="10" s="1"/>
  <c r="H97" i="10" s="1"/>
  <c r="B97" i="10"/>
  <c r="AC96" i="10"/>
  <c r="C96" i="10" s="1"/>
  <c r="D96" i="10" s="1"/>
  <c r="E96" i="10" s="1"/>
  <c r="F96" i="10" s="1"/>
  <c r="G96" i="10" s="1"/>
  <c r="H96" i="10" s="1"/>
  <c r="I96" i="10" s="1"/>
  <c r="J96" i="10" s="1"/>
  <c r="K96" i="10" s="1"/>
  <c r="L96" i="10" s="1"/>
  <c r="M96" i="10" s="1"/>
  <c r="N96" i="10" s="1"/>
  <c r="O96" i="10" s="1"/>
  <c r="P96" i="10"/>
  <c r="Q96" i="10" s="1"/>
  <c r="R96" i="10" s="1"/>
  <c r="S96" i="10" s="1"/>
  <c r="T96" i="10" s="1"/>
  <c r="U96" i="10" s="1"/>
  <c r="V96" i="10" s="1"/>
  <c r="W96" i="10" s="1"/>
  <c r="X96" i="10" s="1"/>
  <c r="Y96" i="10" s="1"/>
  <c r="Z96" i="10" s="1"/>
  <c r="AA96" i="10" s="1"/>
  <c r="AB96" i="10" s="1"/>
  <c r="B96" i="10"/>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B94" i="10"/>
  <c r="AC93" i="10"/>
  <c r="B93" i="10"/>
  <c r="AC92" i="10"/>
  <c r="M92" i="10"/>
  <c r="N92" i="10" s="1"/>
  <c r="O92" i="10" s="1"/>
  <c r="P92" i="10" s="1"/>
  <c r="Q92" i="10" s="1"/>
  <c r="R92" i="10" s="1"/>
  <c r="S92" i="10" s="1"/>
  <c r="T92" i="10" s="1"/>
  <c r="U92" i="10" s="1"/>
  <c r="V92" i="10" s="1"/>
  <c r="W92" i="10" s="1"/>
  <c r="X92" i="10" s="1"/>
  <c r="Y92" i="10" s="1"/>
  <c r="Z92" i="10" s="1"/>
  <c r="AA92" i="10" s="1"/>
  <c r="AB92" i="10" s="1"/>
  <c r="L92" i="10"/>
  <c r="B92" i="10"/>
  <c r="C92" i="10" s="1"/>
  <c r="D92" i="10" s="1"/>
  <c r="E92" i="10" s="1"/>
  <c r="F92" i="10" s="1"/>
  <c r="G92" i="10" s="1"/>
  <c r="H92" i="10" s="1"/>
  <c r="I92" i="10" s="1"/>
  <c r="J92" i="10" s="1"/>
  <c r="K92" i="10" s="1"/>
  <c r="AC91" i="10"/>
  <c r="C91" i="10"/>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B91" i="10"/>
  <c r="AC90" i="10"/>
  <c r="J90" i="10"/>
  <c r="K90" i="10" s="1"/>
  <c r="L90" i="10" s="1"/>
  <c r="M90" i="10" s="1"/>
  <c r="N90" i="10" s="1"/>
  <c r="O90" i="10" s="1"/>
  <c r="P90" i="10" s="1"/>
  <c r="Q90" i="10" s="1"/>
  <c r="R90" i="10" s="1"/>
  <c r="S90" i="10" s="1"/>
  <c r="T90" i="10" s="1"/>
  <c r="U90" i="10" s="1"/>
  <c r="V90" i="10" s="1"/>
  <c r="W90" i="10" s="1"/>
  <c r="X90" i="10" s="1"/>
  <c r="Y90" i="10" s="1"/>
  <c r="Z90" i="10" s="1"/>
  <c r="AA90" i="10" s="1"/>
  <c r="AB90" i="10" s="1"/>
  <c r="I90" i="10"/>
  <c r="F90" i="10"/>
  <c r="G90" i="10" s="1"/>
  <c r="H90" i="10" s="1"/>
  <c r="B90" i="10"/>
  <c r="C90" i="10" s="1"/>
  <c r="D90" i="10" s="1"/>
  <c r="E90" i="10" s="1"/>
  <c r="AC89" i="10"/>
  <c r="C89" i="10" s="1"/>
  <c r="D89" i="10"/>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B89" i="10"/>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E87" i="10"/>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D87" i="10"/>
  <c r="C87" i="10"/>
  <c r="B87" i="10"/>
  <c r="AC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B86" i="10"/>
  <c r="AC85" i="10"/>
  <c r="B85" i="10"/>
  <c r="C85" i="10" s="1"/>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AC84" i="10"/>
  <c r="H84" i="10"/>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G84" i="10"/>
  <c r="C84" i="10"/>
  <c r="D84" i="10" s="1"/>
  <c r="E84" i="10" s="1"/>
  <c r="F84" i="10" s="1"/>
  <c r="B84" i="10"/>
  <c r="AC83" i="10"/>
  <c r="B83" i="10"/>
  <c r="AC82" i="10"/>
  <c r="C82" i="10" s="1"/>
  <c r="D82" i="10" s="1"/>
  <c r="E82" i="10" s="1"/>
  <c r="F82" i="10" s="1"/>
  <c r="G82" i="10" s="1"/>
  <c r="H82" i="10" s="1"/>
  <c r="I82" i="10" s="1"/>
  <c r="J82" i="10" s="1"/>
  <c r="K82" i="10" s="1"/>
  <c r="L82" i="10" s="1"/>
  <c r="M82" i="10" s="1"/>
  <c r="N82" i="10" s="1"/>
  <c r="O82" i="10" s="1"/>
  <c r="Q82" i="10"/>
  <c r="R82" i="10" s="1"/>
  <c r="S82" i="10" s="1"/>
  <c r="T82" i="10" s="1"/>
  <c r="U82" i="10" s="1"/>
  <c r="V82" i="10" s="1"/>
  <c r="W82" i="10" s="1"/>
  <c r="X82" i="10" s="1"/>
  <c r="Y82" i="10" s="1"/>
  <c r="Z82" i="10" s="1"/>
  <c r="AA82" i="10" s="1"/>
  <c r="AB82" i="10" s="1"/>
  <c r="P82" i="10"/>
  <c r="B82" i="10"/>
  <c r="AC81" i="10"/>
  <c r="B81" i="10"/>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C78" i="10"/>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AC76" i="10"/>
  <c r="B76" i="10"/>
  <c r="C76" i="10" s="1"/>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AC75" i="10"/>
  <c r="C75" i="10" s="1"/>
  <c r="D75" i="10" s="1"/>
  <c r="E75" i="10" s="1"/>
  <c r="F75" i="10" s="1"/>
  <c r="G75" i="10" s="1"/>
  <c r="H75" i="10" s="1"/>
  <c r="I75" i="10" s="1"/>
  <c r="J75" i="10" s="1"/>
  <c r="K75" i="10" s="1"/>
  <c r="L75" i="10" s="1"/>
  <c r="M75" i="10"/>
  <c r="N75" i="10" s="1"/>
  <c r="O75" i="10" s="1"/>
  <c r="P75" i="10" s="1"/>
  <c r="Q75" i="10" s="1"/>
  <c r="R75" i="10" s="1"/>
  <c r="S75" i="10" s="1"/>
  <c r="T75" i="10" s="1"/>
  <c r="U75" i="10" s="1"/>
  <c r="V75" i="10" s="1"/>
  <c r="W75" i="10" s="1"/>
  <c r="X75" i="10" s="1"/>
  <c r="Y75" i="10" s="1"/>
  <c r="Z75" i="10" s="1"/>
  <c r="AA75" i="10" s="1"/>
  <c r="AB75" i="10" s="1"/>
  <c r="B75" i="10"/>
  <c r="AC74" i="10"/>
  <c r="F74" i="10"/>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B74" i="10"/>
  <c r="C74" i="10" s="1"/>
  <c r="D74" i="10" s="1"/>
  <c r="E74" i="10" s="1"/>
  <c r="AC73" i="10"/>
  <c r="C73" i="10" s="1"/>
  <c r="D73" i="10" s="1"/>
  <c r="E73" i="10" s="1"/>
  <c r="F73" i="10" s="1"/>
  <c r="G73" i="10" s="1"/>
  <c r="H73" i="10" s="1"/>
  <c r="I73" i="10" s="1"/>
  <c r="J73" i="10" s="1"/>
  <c r="K73" i="10" s="1"/>
  <c r="L73" i="10" s="1"/>
  <c r="M73" i="10" s="1"/>
  <c r="N73" i="10" s="1"/>
  <c r="O73" i="10" s="1"/>
  <c r="P73" i="10" s="1"/>
  <c r="Q73" i="10"/>
  <c r="R73" i="10" s="1"/>
  <c r="S73" i="10" s="1"/>
  <c r="T73" i="10" s="1"/>
  <c r="U73" i="10" s="1"/>
  <c r="V73" i="10" s="1"/>
  <c r="W73" i="10" s="1"/>
  <c r="X73" i="10" s="1"/>
  <c r="Y73" i="10" s="1"/>
  <c r="Z73" i="10" s="1"/>
  <c r="AA73" i="10" s="1"/>
  <c r="AB73" i="10" s="1"/>
  <c r="B73" i="10"/>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c r="B71" i="10"/>
  <c r="AC70" i="10"/>
  <c r="B70" i="10"/>
  <c r="AC69" i="10"/>
  <c r="C69" i="10"/>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69" i="10"/>
  <c r="AC68" i="10"/>
  <c r="C68" i="10"/>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B67" i="10"/>
  <c r="AC66" i="10"/>
  <c r="D66" i="10"/>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C66" i="10"/>
  <c r="B66" i="10"/>
  <c r="AC65" i="10"/>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65" i="10"/>
  <c r="AC64" i="10"/>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B64" i="10"/>
  <c r="AC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c r="X63" i="10" s="1"/>
  <c r="Y63" i="10" s="1"/>
  <c r="Z63" i="10" s="1"/>
  <c r="AA63" i="10" s="1"/>
  <c r="AB63" i="10" s="1"/>
  <c r="B63" i="10"/>
  <c r="AC62" i="10"/>
  <c r="B62" i="10"/>
  <c r="AC61" i="10"/>
  <c r="E61" i="10"/>
  <c r="B61" i="10"/>
  <c r="C61" i="10" s="1"/>
  <c r="D61" i="10" s="1"/>
  <c r="AC56" i="10"/>
  <c r="B56" i="10"/>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D54" i="10"/>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C54" i="10"/>
  <c r="AC53" i="10"/>
  <c r="D53" i="10"/>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C53" i="10"/>
  <c r="B53" i="10"/>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C51" i="10" s="1"/>
  <c r="D51" i="10" s="1"/>
  <c r="E51" i="10" s="1"/>
  <c r="F51" i="10" s="1"/>
  <c r="G51" i="10" s="1"/>
  <c r="H51" i="10" s="1"/>
  <c r="I51" i="10" s="1"/>
  <c r="J51" i="10"/>
  <c r="K51" i="10" s="1"/>
  <c r="L51" i="10" s="1"/>
  <c r="M51" i="10" s="1"/>
  <c r="N51" i="10" s="1"/>
  <c r="O51" i="10" s="1"/>
  <c r="P51" i="10" s="1"/>
  <c r="Q51" i="10" s="1"/>
  <c r="R51" i="10" s="1"/>
  <c r="S51" i="10" s="1"/>
  <c r="T51" i="10" s="1"/>
  <c r="U51" i="10" s="1"/>
  <c r="V51" i="10" s="1"/>
  <c r="W51" i="10" s="1"/>
  <c r="X51" i="10" s="1"/>
  <c r="Y51" i="10" s="1"/>
  <c r="Z51" i="10" s="1"/>
  <c r="AA51" i="10" s="1"/>
  <c r="AB51" i="10" s="1"/>
  <c r="B51" i="10"/>
  <c r="AC50" i="10"/>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AC49" i="10"/>
  <c r="B49" i="10"/>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L46" i="10"/>
  <c r="M46" i="10" s="1"/>
  <c r="N46" i="10" s="1"/>
  <c r="O46" i="10" s="1"/>
  <c r="P46" i="10" s="1"/>
  <c r="Q46" i="10" s="1"/>
  <c r="R46" i="10" s="1"/>
  <c r="S46" i="10" s="1"/>
  <c r="T46" i="10" s="1"/>
  <c r="U46" i="10" s="1"/>
  <c r="V46" i="10" s="1"/>
  <c r="W46" i="10" s="1"/>
  <c r="X46" i="10" s="1"/>
  <c r="Y46" i="10" s="1"/>
  <c r="Z46" i="10" s="1"/>
  <c r="AA46" i="10" s="1"/>
  <c r="AB46" i="10" s="1"/>
  <c r="D46" i="10"/>
  <c r="E46" i="10" s="1"/>
  <c r="F46" i="10" s="1"/>
  <c r="G46" i="10" s="1"/>
  <c r="H46" i="10" s="1"/>
  <c r="I46" i="10" s="1"/>
  <c r="J46" i="10" s="1"/>
  <c r="K46" i="10" s="1"/>
  <c r="B46" i="10"/>
  <c r="C46" i="10" s="1"/>
  <c r="AC45" i="10"/>
  <c r="D45" i="10"/>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B45" i="10"/>
  <c r="C45" i="10" s="1"/>
  <c r="AC44" i="10"/>
  <c r="B44" i="10"/>
  <c r="AC43" i="10"/>
  <c r="L43" i="10"/>
  <c r="M43" i="10" s="1"/>
  <c r="N43" i="10" s="1"/>
  <c r="O43" i="10" s="1"/>
  <c r="P43" i="10" s="1"/>
  <c r="Q43" i="10" s="1"/>
  <c r="R43" i="10" s="1"/>
  <c r="S43" i="10" s="1"/>
  <c r="T43" i="10" s="1"/>
  <c r="U43" i="10" s="1"/>
  <c r="V43" i="10" s="1"/>
  <c r="W43" i="10" s="1"/>
  <c r="X43" i="10" s="1"/>
  <c r="Y43" i="10" s="1"/>
  <c r="Z43" i="10" s="1"/>
  <c r="AA43" i="10" s="1"/>
  <c r="AB43" i="10" s="1"/>
  <c r="C43" i="10"/>
  <c r="D43" i="10" s="1"/>
  <c r="E43" i="10" s="1"/>
  <c r="F43" i="10" s="1"/>
  <c r="G43" i="10" s="1"/>
  <c r="H43" i="10" s="1"/>
  <c r="I43" i="10" s="1"/>
  <c r="J43" i="10" s="1"/>
  <c r="K43" i="10" s="1"/>
  <c r="B43" i="10"/>
  <c r="AC42" i="10"/>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B40" i="10"/>
  <c r="AC39" i="10"/>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D39" i="10"/>
  <c r="E39" i="10" s="1"/>
  <c r="B39" i="10"/>
  <c r="C39" i="10" s="1"/>
  <c r="AC38" i="10"/>
  <c r="C38" i="10" s="1"/>
  <c r="D38" i="10" s="1"/>
  <c r="E38" i="10" s="1"/>
  <c r="F38" i="10" s="1"/>
  <c r="G38" i="10"/>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B38" i="10"/>
  <c r="AC37" i="10"/>
  <c r="D37" i="10"/>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C37" i="10"/>
  <c r="B37" i="10"/>
  <c r="AC36" i="10"/>
  <c r="E36" i="10"/>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C36" i="10"/>
  <c r="D36" i="10" s="1"/>
  <c r="B36" i="10"/>
  <c r="AC35" i="10"/>
  <c r="F35" i="10"/>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E35" i="10"/>
  <c r="C35" i="10"/>
  <c r="D35" i="10" s="1"/>
  <c r="B35" i="10"/>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C28" i="10" s="1"/>
  <c r="D28" i="10" s="1"/>
  <c r="E28" i="10" s="1"/>
  <c r="F28" i="10" s="1"/>
  <c r="G28" i="10" s="1"/>
  <c r="H28" i="10" s="1"/>
  <c r="I28" i="10" s="1"/>
  <c r="J28" i="10" s="1"/>
  <c r="K28" i="10" s="1"/>
  <c r="L28" i="10" s="1"/>
  <c r="M28" i="10" s="1"/>
  <c r="N28" i="10"/>
  <c r="O28" i="10" s="1"/>
  <c r="P28" i="10" s="1"/>
  <c r="Q28" i="10" s="1"/>
  <c r="R28" i="10" s="1"/>
  <c r="S28" i="10" s="1"/>
  <c r="T28" i="10" s="1"/>
  <c r="U28" i="10" s="1"/>
  <c r="V28" i="10" s="1"/>
  <c r="W28" i="10" s="1"/>
  <c r="X28" i="10" s="1"/>
  <c r="Y28" i="10" s="1"/>
  <c r="Z28" i="10" s="1"/>
  <c r="AA28" i="10" s="1"/>
  <c r="AB28" i="10" s="1"/>
  <c r="B28" i="10"/>
  <c r="AC27" i="10"/>
  <c r="C27" i="10"/>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B27" i="10"/>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B25" i="10"/>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c r="Z22" i="10" s="1"/>
  <c r="AA22" i="10" s="1"/>
  <c r="AB22" i="10" s="1"/>
  <c r="B22" i="10"/>
  <c r="AC21" i="10"/>
  <c r="C21" i="10" s="1"/>
  <c r="D21" i="10" s="1"/>
  <c r="E21" i="10" s="1"/>
  <c r="F21" i="10" s="1"/>
  <c r="G21" i="10" s="1"/>
  <c r="H21" i="10" s="1"/>
  <c r="I21" i="10" s="1"/>
  <c r="J21" i="10"/>
  <c r="K21" i="10" s="1"/>
  <c r="L21" i="10" s="1"/>
  <c r="M21" i="10" s="1"/>
  <c r="N21" i="10" s="1"/>
  <c r="O21" i="10" s="1"/>
  <c r="P21" i="10" s="1"/>
  <c r="Q21" i="10" s="1"/>
  <c r="R21" i="10" s="1"/>
  <c r="S21" i="10" s="1"/>
  <c r="T21" i="10" s="1"/>
  <c r="U21" i="10" s="1"/>
  <c r="V21" i="10" s="1"/>
  <c r="W21" i="10" s="1"/>
  <c r="X21" i="10" s="1"/>
  <c r="Y21" i="10" s="1"/>
  <c r="Z21" i="10" s="1"/>
  <c r="AA21" i="10" s="1"/>
  <c r="AB21" i="10" s="1"/>
  <c r="B21" i="10"/>
  <c r="AC20"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C17" i="10" s="1"/>
  <c r="D17" i="10" s="1"/>
  <c r="E17" i="10" s="1"/>
  <c r="F17" i="10" s="1"/>
  <c r="G17" i="10"/>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B17" i="10"/>
  <c r="AC16" i="10"/>
  <c r="C16" i="10"/>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B16" i="10"/>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D14" i="10"/>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C14" i="10"/>
  <c r="B14" i="10"/>
  <c r="AC13" i="10"/>
  <c r="B13" i="10"/>
  <c r="AC12" i="10"/>
  <c r="B12" i="10"/>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B9" i="10"/>
  <c r="B4" i="10"/>
  <c r="C9" i="9"/>
  <c r="B9" i="9"/>
  <c r="G9" i="9" s="1"/>
  <c r="I9" i="9" s="1"/>
  <c r="A9" i="9"/>
  <c r="B1" i="9"/>
  <c r="F54" i="7"/>
  <c r="E54" i="7"/>
  <c r="D54" i="7"/>
  <c r="H54" i="7" s="1"/>
  <c r="C54" i="7"/>
  <c r="H53" i="7"/>
  <c r="G53" i="7"/>
  <c r="F53" i="7"/>
  <c r="E53" i="7"/>
  <c r="D53" i="7"/>
  <c r="C53" i="7"/>
  <c r="H52" i="7"/>
  <c r="F52" i="7"/>
  <c r="E52" i="7"/>
  <c r="D52" i="7"/>
  <c r="G52" i="7" s="1"/>
  <c r="C52" i="7"/>
  <c r="F51" i="7"/>
  <c r="E51" i="7"/>
  <c r="D51" i="7"/>
  <c r="C51" i="7"/>
  <c r="F50" i="7"/>
  <c r="E50" i="7"/>
  <c r="D50" i="7"/>
  <c r="H50" i="7" s="1"/>
  <c r="C50" i="7"/>
  <c r="H49" i="7"/>
  <c r="G49" i="7"/>
  <c r="F49" i="7"/>
  <c r="E49" i="7"/>
  <c r="D49" i="7"/>
  <c r="C49" i="7"/>
  <c r="F48" i="7"/>
  <c r="H48" i="7" s="1"/>
  <c r="E48" i="7"/>
  <c r="D48" i="7"/>
  <c r="C48" i="7"/>
  <c r="F47" i="7"/>
  <c r="E47" i="7"/>
  <c r="D47" i="7"/>
  <c r="C47" i="7"/>
  <c r="F46" i="7"/>
  <c r="E46" i="7"/>
  <c r="D46" i="7"/>
  <c r="H46" i="7" s="1"/>
  <c r="C46" i="7"/>
  <c r="H45" i="7"/>
  <c r="G45" i="7"/>
  <c r="F45" i="7"/>
  <c r="E45" i="7"/>
  <c r="D45" i="7"/>
  <c r="C45" i="7"/>
  <c r="H44" i="7"/>
  <c r="F44" i="7"/>
  <c r="E44" i="7"/>
  <c r="D44" i="7"/>
  <c r="G44" i="7" s="1"/>
  <c r="C44" i="7"/>
  <c r="F43" i="7"/>
  <c r="E43" i="7"/>
  <c r="D43" i="7"/>
  <c r="C43" i="7"/>
  <c r="F42" i="7"/>
  <c r="E42" i="7"/>
  <c r="D42" i="7"/>
  <c r="G42" i="7" s="1"/>
  <c r="C42" i="7"/>
  <c r="H41" i="7"/>
  <c r="G41" i="7"/>
  <c r="F41" i="7"/>
  <c r="E41" i="7"/>
  <c r="D41" i="7"/>
  <c r="C41" i="7"/>
  <c r="F40" i="7"/>
  <c r="E40" i="7"/>
  <c r="D40" i="7"/>
  <c r="C40" i="7"/>
  <c r="F39" i="7"/>
  <c r="E39" i="7"/>
  <c r="D39" i="7"/>
  <c r="G39" i="7" s="1"/>
  <c r="C39" i="7"/>
  <c r="F38" i="7"/>
  <c r="E38" i="7"/>
  <c r="D38" i="7"/>
  <c r="G38" i="7" s="1"/>
  <c r="C38" i="7"/>
  <c r="H37" i="7"/>
  <c r="G37" i="7"/>
  <c r="F37" i="7"/>
  <c r="E37" i="7"/>
  <c r="D37" i="7"/>
  <c r="C37" i="7"/>
  <c r="F36" i="7"/>
  <c r="E36" i="7"/>
  <c r="D36" i="7"/>
  <c r="C36" i="7"/>
  <c r="F35" i="7"/>
  <c r="E35" i="7"/>
  <c r="D35" i="7"/>
  <c r="H35" i="7" s="1"/>
  <c r="C35" i="7"/>
  <c r="F34" i="7"/>
  <c r="E34" i="7"/>
  <c r="D34" i="7"/>
  <c r="H34" i="7" s="1"/>
  <c r="C34" i="7"/>
  <c r="H33" i="7"/>
  <c r="F33" i="7"/>
  <c r="E33" i="7"/>
  <c r="D33" i="7"/>
  <c r="G33" i="7" s="1"/>
  <c r="C33" i="7"/>
  <c r="F32" i="7"/>
  <c r="E32" i="7"/>
  <c r="D32" i="7"/>
  <c r="C32" i="7"/>
  <c r="F31" i="7"/>
  <c r="E31" i="7"/>
  <c r="D31" i="7"/>
  <c r="G31" i="7" s="1"/>
  <c r="C31" i="7"/>
  <c r="F30" i="7"/>
  <c r="E30" i="7"/>
  <c r="G30" i="7" s="1"/>
  <c r="D30" i="7"/>
  <c r="H30" i="7" s="1"/>
  <c r="C30" i="7"/>
  <c r="F29" i="7"/>
  <c r="E29" i="7"/>
  <c r="D29" i="7"/>
  <c r="H29" i="7" s="1"/>
  <c r="C29" i="7"/>
  <c r="H28" i="7"/>
  <c r="F28" i="7"/>
  <c r="E28" i="7"/>
  <c r="D28" i="7"/>
  <c r="G28" i="7" s="1"/>
  <c r="C28" i="7"/>
  <c r="F27" i="7"/>
  <c r="E27" i="7"/>
  <c r="D27" i="7"/>
  <c r="H27" i="7" s="1"/>
  <c r="C27" i="7"/>
  <c r="H26" i="7"/>
  <c r="G26" i="7"/>
  <c r="F26" i="7"/>
  <c r="E26" i="7"/>
  <c r="D26" i="7"/>
  <c r="C26" i="7"/>
  <c r="F25" i="7"/>
  <c r="E25" i="7"/>
  <c r="D25" i="7"/>
  <c r="C25" i="7"/>
  <c r="F24" i="7"/>
  <c r="E24" i="7"/>
  <c r="D24" i="7"/>
  <c r="G24" i="7" s="1"/>
  <c r="C24" i="7"/>
  <c r="F23" i="7"/>
  <c r="E23" i="7"/>
  <c r="D23" i="7"/>
  <c r="H23" i="7" s="1"/>
  <c r="C23" i="7"/>
  <c r="H22" i="7"/>
  <c r="F22" i="7"/>
  <c r="E22" i="7"/>
  <c r="D22" i="7"/>
  <c r="G22" i="7" s="1"/>
  <c r="C22" i="7"/>
  <c r="F21" i="7"/>
  <c r="G21" i="7" s="1"/>
  <c r="E21" i="7"/>
  <c r="D21" i="7"/>
  <c r="C21" i="7"/>
  <c r="F20" i="7"/>
  <c r="E20" i="7"/>
  <c r="D20" i="7"/>
  <c r="H20" i="7" s="1"/>
  <c r="C20" i="7"/>
  <c r="F19" i="7"/>
  <c r="E19" i="7"/>
  <c r="D19" i="7"/>
  <c r="G19" i="7" s="1"/>
  <c r="C19" i="7"/>
  <c r="F18" i="7"/>
  <c r="E18" i="7"/>
  <c r="D18" i="7"/>
  <c r="C18" i="7"/>
  <c r="H17" i="7"/>
  <c r="F17" i="7"/>
  <c r="G17" i="7" s="1"/>
  <c r="E17" i="7"/>
  <c r="D17" i="7"/>
  <c r="C17" i="7"/>
  <c r="F16" i="7"/>
  <c r="E16" i="7"/>
  <c r="D16" i="7"/>
  <c r="G16" i="7" s="1"/>
  <c r="C16" i="7"/>
  <c r="F15" i="7"/>
  <c r="G15" i="7" s="1"/>
  <c r="E15" i="7"/>
  <c r="D15" i="7"/>
  <c r="C15" i="7"/>
  <c r="F14" i="7"/>
  <c r="E14" i="7"/>
  <c r="D14" i="7"/>
  <c r="C14" i="7"/>
  <c r="H13" i="7"/>
  <c r="F13" i="7"/>
  <c r="G13" i="7" s="1"/>
  <c r="E13" i="7"/>
  <c r="D13" i="7"/>
  <c r="C13" i="7"/>
  <c r="F12" i="7"/>
  <c r="E12" i="7"/>
  <c r="D12" i="7"/>
  <c r="G12" i="7" s="1"/>
  <c r="C12" i="7"/>
  <c r="H11" i="7"/>
  <c r="F11" i="7"/>
  <c r="E11" i="7"/>
  <c r="D11" i="7"/>
  <c r="G11" i="7" s="1"/>
  <c r="C11" i="7"/>
  <c r="F10" i="7"/>
  <c r="E10" i="7"/>
  <c r="D10" i="7"/>
  <c r="C10" i="7"/>
  <c r="H9" i="7"/>
  <c r="F9" i="7"/>
  <c r="G9" i="7" s="1"/>
  <c r="E9" i="7"/>
  <c r="D9" i="7"/>
  <c r="C9" i="7"/>
  <c r="F8" i="7"/>
  <c r="E8" i="7"/>
  <c r="D8" i="7"/>
  <c r="G8" i="7" s="1"/>
  <c r="C8" i="7"/>
  <c r="F7" i="7"/>
  <c r="E7" i="7"/>
  <c r="D7" i="7"/>
  <c r="C7" i="7"/>
  <c r="B2" i="1"/>
  <c r="B2" i="9" s="1"/>
  <c r="O5" i="9" s="1"/>
  <c r="E5" i="9" l="1"/>
  <c r="G34" i="7"/>
  <c r="G50" i="7"/>
  <c r="H14" i="7"/>
  <c r="G14" i="7"/>
  <c r="H42" i="7"/>
  <c r="H38" i="7"/>
  <c r="H18" i="7"/>
  <c r="G46" i="7"/>
  <c r="H10" i="7"/>
  <c r="G10" i="7"/>
  <c r="D9" i="9"/>
  <c r="H9" i="9"/>
  <c r="C62" i="10"/>
  <c r="B109" i="10"/>
  <c r="G54" i="7"/>
  <c r="G5" i="9"/>
  <c r="U5" i="9"/>
  <c r="V5" i="9"/>
  <c r="H47" i="7"/>
  <c r="G47" i="7"/>
  <c r="D113" i="10"/>
  <c r="H15" i="7"/>
  <c r="H31" i="7"/>
  <c r="H32" i="7"/>
  <c r="F5" i="9"/>
  <c r="H7" i="7"/>
  <c r="B57" i="10"/>
  <c r="G27" i="7"/>
  <c r="G35" i="7"/>
  <c r="L5" i="9"/>
  <c r="H36" i="7"/>
  <c r="G36" i="7"/>
  <c r="N5" i="9"/>
  <c r="G48" i="7"/>
  <c r="C25" i="10"/>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C9" i="10"/>
  <c r="H39" i="7"/>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P5" i="9"/>
  <c r="C94" i="10"/>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H43" i="7"/>
  <c r="B5" i="10"/>
  <c r="H5" i="9"/>
  <c r="J5" i="9"/>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M5" i="9"/>
  <c r="K5" i="9"/>
  <c r="AB5" i="9"/>
  <c r="D5" i="9"/>
  <c r="Z5" i="9"/>
  <c r="AA5" i="9"/>
  <c r="C5" i="9"/>
  <c r="B5" i="9"/>
  <c r="Y5" i="9"/>
  <c r="X5" i="9"/>
  <c r="W5" i="9"/>
  <c r="G23" i="7"/>
  <c r="I5" i="9"/>
  <c r="H19" i="7"/>
  <c r="H40" i="7"/>
  <c r="G20" i="7"/>
  <c r="Q5" i="9"/>
  <c r="H8" i="7"/>
  <c r="R5" i="9"/>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H12" i="7"/>
  <c r="H16" i="7"/>
  <c r="H24" i="7"/>
  <c r="S5" i="9"/>
  <c r="G51" i="7"/>
  <c r="G43" i="7"/>
  <c r="G32" i="7"/>
  <c r="H21" i="7"/>
  <c r="H25" i="7"/>
  <c r="G25" i="7"/>
  <c r="T5" i="9"/>
  <c r="C12" i="10"/>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C83" i="10"/>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G40" i="7"/>
  <c r="G7" i="7"/>
  <c r="G18" i="7"/>
  <c r="H51" i="7"/>
  <c r="B161" i="10"/>
  <c r="G29" i="7"/>
  <c r="C13" i="10"/>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F61" i="10"/>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C115" i="10"/>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D62" i="10" l="1"/>
  <c r="C109" i="10"/>
  <c r="E9" i="9"/>
  <c r="F9" i="9"/>
  <c r="G61" i="10"/>
  <c r="C57" i="10"/>
  <c r="C171" i="10" s="1"/>
  <c r="C2" i="11" s="1"/>
  <c r="D9" i="10"/>
  <c r="E113" i="10"/>
  <c r="D161" i="10"/>
  <c r="D173" i="10" s="1"/>
  <c r="D2" i="13" s="1"/>
  <c r="C161" i="10"/>
  <c r="C173" i="10" s="1"/>
  <c r="C2" i="13" s="1"/>
  <c r="B172" i="10"/>
  <c r="B2" i="12" s="1"/>
  <c r="B171" i="10"/>
  <c r="B2" i="11" s="1"/>
  <c r="B173" i="10"/>
  <c r="B2" i="13" s="1"/>
  <c r="C172" i="10"/>
  <c r="C2" i="12" s="1"/>
  <c r="E161" i="10" l="1"/>
  <c r="E173" i="10" s="1"/>
  <c r="E2" i="13" s="1"/>
  <c r="F113" i="10"/>
  <c r="E62" i="10"/>
  <c r="D109" i="10"/>
  <c r="D172" i="10" s="1"/>
  <c r="D2" i="12" s="1"/>
  <c r="D57" i="10"/>
  <c r="D171" i="10" s="1"/>
  <c r="D2" i="11" s="1"/>
  <c r="E9" i="10"/>
  <c r="H61" i="10"/>
  <c r="F161" i="10" l="1"/>
  <c r="F173" i="10" s="1"/>
  <c r="F2" i="13" s="1"/>
  <c r="G113" i="10"/>
  <c r="F62" i="10"/>
  <c r="E109" i="10"/>
  <c r="E172" i="10" s="1"/>
  <c r="E2" i="12" s="1"/>
  <c r="I61" i="10"/>
  <c r="F9" i="10"/>
  <c r="E57" i="10"/>
  <c r="E171" i="10" s="1"/>
  <c r="E2" i="11" s="1"/>
  <c r="G62" i="10" l="1"/>
  <c r="F109" i="10"/>
  <c r="F172" i="10" s="1"/>
  <c r="F2" i="12" s="1"/>
  <c r="H113" i="10"/>
  <c r="G161" i="10"/>
  <c r="G173" i="10" s="1"/>
  <c r="G2" i="13" s="1"/>
  <c r="F57" i="10"/>
  <c r="F171" i="10" s="1"/>
  <c r="F2" i="11" s="1"/>
  <c r="G9" i="10"/>
  <c r="J61" i="10"/>
  <c r="H62" i="10" l="1"/>
  <c r="G109" i="10"/>
  <c r="G172" i="10" s="1"/>
  <c r="G2" i="12" s="1"/>
  <c r="K61" i="10"/>
  <c r="G57" i="10"/>
  <c r="G171" i="10" s="1"/>
  <c r="G2" i="11" s="1"/>
  <c r="H9" i="10"/>
  <c r="H161" i="10"/>
  <c r="H173" i="10" s="1"/>
  <c r="H2" i="13" s="1"/>
  <c r="I113" i="10"/>
  <c r="L61" i="10" l="1"/>
  <c r="I161" i="10"/>
  <c r="I173" i="10" s="1"/>
  <c r="I2" i="13" s="1"/>
  <c r="J113" i="10"/>
  <c r="H57" i="10"/>
  <c r="H171" i="10" s="1"/>
  <c r="H2" i="11" s="1"/>
  <c r="I9" i="10"/>
  <c r="I62" i="10"/>
  <c r="H109" i="10"/>
  <c r="H172" i="10" s="1"/>
  <c r="H2" i="12" s="1"/>
  <c r="I57" i="10" l="1"/>
  <c r="I171" i="10" s="1"/>
  <c r="I2" i="11" s="1"/>
  <c r="J9" i="10"/>
  <c r="M61" i="10"/>
  <c r="J62" i="10"/>
  <c r="I109" i="10"/>
  <c r="I172" i="10" s="1"/>
  <c r="I2" i="12" s="1"/>
  <c r="J161" i="10"/>
  <c r="J173" i="10" s="1"/>
  <c r="J2" i="13" s="1"/>
  <c r="K113" i="10"/>
  <c r="K161" i="10" l="1"/>
  <c r="K173" i="10" s="1"/>
  <c r="K2" i="13" s="1"/>
  <c r="L113" i="10"/>
  <c r="N61" i="10"/>
  <c r="K62" i="10"/>
  <c r="J109" i="10"/>
  <c r="J172" i="10" s="1"/>
  <c r="J2" i="12" s="1"/>
  <c r="J57" i="10"/>
  <c r="J171" i="10" s="1"/>
  <c r="J2" i="11" s="1"/>
  <c r="K9" i="10"/>
  <c r="O61" i="10" l="1"/>
  <c r="M113" i="10"/>
  <c r="L161" i="10"/>
  <c r="L173" i="10" s="1"/>
  <c r="L2" i="13" s="1"/>
  <c r="L9" i="10"/>
  <c r="K57" i="10"/>
  <c r="K171" i="10" s="1"/>
  <c r="K2" i="11" s="1"/>
  <c r="L62" i="10"/>
  <c r="K109" i="10"/>
  <c r="K172" i="10" s="1"/>
  <c r="K2" i="12" s="1"/>
  <c r="M62" i="10" l="1"/>
  <c r="L109" i="10"/>
  <c r="L172" i="10" s="1"/>
  <c r="L2" i="12" s="1"/>
  <c r="L57" i="10"/>
  <c r="L171" i="10" s="1"/>
  <c r="L2" i="11" s="1"/>
  <c r="M9" i="10"/>
  <c r="M161" i="10"/>
  <c r="M173" i="10" s="1"/>
  <c r="M2" i="13" s="1"/>
  <c r="N113" i="10"/>
  <c r="P61" i="10"/>
  <c r="N9" i="10" l="1"/>
  <c r="M57" i="10"/>
  <c r="M171" i="10" s="1"/>
  <c r="M2" i="11" s="1"/>
  <c r="Q61" i="10"/>
  <c r="O113" i="10"/>
  <c r="N161" i="10"/>
  <c r="N173" i="10" s="1"/>
  <c r="N2" i="13" s="1"/>
  <c r="N62" i="10"/>
  <c r="M109" i="10"/>
  <c r="M172" i="10" s="1"/>
  <c r="M2" i="12" s="1"/>
  <c r="O161" i="10" l="1"/>
  <c r="O173" i="10" s="1"/>
  <c r="O2" i="13" s="1"/>
  <c r="P113" i="10"/>
  <c r="O62" i="10"/>
  <c r="N109" i="10"/>
  <c r="N172" i="10" s="1"/>
  <c r="N2" i="12" s="1"/>
  <c r="R61" i="10"/>
  <c r="O9" i="10"/>
  <c r="N57" i="10"/>
  <c r="N171" i="10" s="1"/>
  <c r="N2" i="11" s="1"/>
  <c r="S61" i="10" l="1"/>
  <c r="P9" i="10"/>
  <c r="O57" i="10"/>
  <c r="O171" i="10" s="1"/>
  <c r="O2" i="11" s="1"/>
  <c r="P62" i="10"/>
  <c r="O109" i="10"/>
  <c r="O172" i="10" s="1"/>
  <c r="O2" i="12" s="1"/>
  <c r="Q113" i="10"/>
  <c r="P161" i="10"/>
  <c r="P173" i="10" s="1"/>
  <c r="P2" i="13" s="1"/>
  <c r="R113" i="10" l="1"/>
  <c r="Q161" i="10"/>
  <c r="Q173" i="10" s="1"/>
  <c r="Q2" i="13" s="1"/>
  <c r="Q62" i="10"/>
  <c r="P109" i="10"/>
  <c r="P172" i="10" s="1"/>
  <c r="P2" i="12" s="1"/>
  <c r="Q9" i="10"/>
  <c r="P57" i="10"/>
  <c r="P171" i="10" s="1"/>
  <c r="P2" i="11" s="1"/>
  <c r="T61" i="10"/>
  <c r="R9" i="10" l="1"/>
  <c r="Q57" i="10"/>
  <c r="Q171" i="10" s="1"/>
  <c r="Q2" i="11" s="1"/>
  <c r="R62" i="10"/>
  <c r="Q109" i="10"/>
  <c r="Q172" i="10" s="1"/>
  <c r="Q2" i="12" s="1"/>
  <c r="U61" i="10"/>
  <c r="R161" i="10"/>
  <c r="R173" i="10" s="1"/>
  <c r="R2" i="13" s="1"/>
  <c r="S113" i="10"/>
  <c r="V61" i="10" l="1"/>
  <c r="S161" i="10"/>
  <c r="S173" i="10" s="1"/>
  <c r="S2" i="13" s="1"/>
  <c r="T113" i="10"/>
  <c r="S62" i="10"/>
  <c r="R109" i="10"/>
  <c r="R172" i="10" s="1"/>
  <c r="R2" i="12" s="1"/>
  <c r="R57" i="10"/>
  <c r="R171" i="10" s="1"/>
  <c r="R2" i="11" s="1"/>
  <c r="S9" i="10"/>
  <c r="T9" i="10" l="1"/>
  <c r="S57" i="10"/>
  <c r="S171" i="10" s="1"/>
  <c r="S2" i="11" s="1"/>
  <c r="T62" i="10"/>
  <c r="S109" i="10"/>
  <c r="S172" i="10" s="1"/>
  <c r="S2" i="12" s="1"/>
  <c r="T161" i="10"/>
  <c r="T173" i="10" s="1"/>
  <c r="T2" i="13" s="1"/>
  <c r="U113" i="10"/>
  <c r="W61" i="10"/>
  <c r="X61" i="10" l="1"/>
  <c r="V113" i="10"/>
  <c r="U161" i="10"/>
  <c r="U173" i="10" s="1"/>
  <c r="U2" i="13" s="1"/>
  <c r="U62" i="10"/>
  <c r="T109" i="10"/>
  <c r="T172" i="10" s="1"/>
  <c r="T2" i="12" s="1"/>
  <c r="T57" i="10"/>
  <c r="T171" i="10" s="1"/>
  <c r="T2" i="11" s="1"/>
  <c r="U9" i="10"/>
  <c r="U57" i="10" l="1"/>
  <c r="U171" i="10" s="1"/>
  <c r="U2" i="11" s="1"/>
  <c r="V9" i="10"/>
  <c r="V62" i="10"/>
  <c r="U109" i="10"/>
  <c r="U172" i="10" s="1"/>
  <c r="U2" i="12" s="1"/>
  <c r="W113" i="10"/>
  <c r="V161" i="10"/>
  <c r="V173" i="10" s="1"/>
  <c r="V2" i="13" s="1"/>
  <c r="Y61" i="10"/>
  <c r="W161" i="10" l="1"/>
  <c r="W173" i="10" s="1"/>
  <c r="W2" i="13" s="1"/>
  <c r="X113" i="10"/>
  <c r="Z61" i="10"/>
  <c r="V57" i="10"/>
  <c r="V171" i="10" s="1"/>
  <c r="V2" i="11" s="1"/>
  <c r="W9" i="10"/>
  <c r="W62" i="10"/>
  <c r="V109" i="10"/>
  <c r="V172" i="10" s="1"/>
  <c r="V2" i="12" s="1"/>
  <c r="X62" i="10" l="1"/>
  <c r="W109" i="10"/>
  <c r="W172" i="10" s="1"/>
  <c r="W2" i="12" s="1"/>
  <c r="W57" i="10"/>
  <c r="W171" i="10" s="1"/>
  <c r="W2" i="11" s="1"/>
  <c r="X9" i="10"/>
  <c r="AA61" i="10"/>
  <c r="X161" i="10"/>
  <c r="X173" i="10" s="1"/>
  <c r="X2" i="13" s="1"/>
  <c r="Y113" i="10"/>
  <c r="AB61" i="10" l="1"/>
  <c r="X57" i="10"/>
  <c r="X171" i="10" s="1"/>
  <c r="X2" i="11" s="1"/>
  <c r="Y9" i="10"/>
  <c r="Y161" i="10"/>
  <c r="Y173" i="10" s="1"/>
  <c r="Y2" i="13" s="1"/>
  <c r="Z113" i="10"/>
  <c r="Y62" i="10"/>
  <c r="X109" i="10"/>
  <c r="X172" i="10" s="1"/>
  <c r="X2" i="12" s="1"/>
  <c r="Z62" i="10" l="1"/>
  <c r="Y109" i="10"/>
  <c r="Y172" i="10" s="1"/>
  <c r="Y2" i="12" s="1"/>
  <c r="Z161" i="10"/>
  <c r="Z173" i="10" s="1"/>
  <c r="Z2" i="13" s="1"/>
  <c r="AA113" i="10"/>
  <c r="Y57" i="10"/>
  <c r="Y171" i="10" s="1"/>
  <c r="Y2" i="11" s="1"/>
  <c r="Z9" i="10"/>
  <c r="AB113" i="10" l="1"/>
  <c r="AB161" i="10" s="1"/>
  <c r="AB173" i="10" s="1"/>
  <c r="AB2" i="13" s="1"/>
  <c r="AA161" i="10"/>
  <c r="AA173" i="10" s="1"/>
  <c r="AA2" i="13" s="1"/>
  <c r="AA9" i="10"/>
  <c r="Z57" i="10"/>
  <c r="Z171" i="10" s="1"/>
  <c r="Z2" i="11" s="1"/>
  <c r="AA62" i="10"/>
  <c r="Z109" i="10"/>
  <c r="Z172" i="10" s="1"/>
  <c r="Z2" i="12" s="1"/>
  <c r="AB62" i="10" l="1"/>
  <c r="AB109" i="10" s="1"/>
  <c r="AB172" i="10" s="1"/>
  <c r="AB2" i="12" s="1"/>
  <c r="AA109" i="10"/>
  <c r="AA172" i="10" s="1"/>
  <c r="AA2" i="12" s="1"/>
  <c r="AA57" i="10"/>
  <c r="AA171" i="10" s="1"/>
  <c r="AA2" i="11" s="1"/>
  <c r="AB9" i="10"/>
  <c r="AB57" i="10" s="1"/>
  <c r="AB171" i="10" s="1"/>
  <c r="AB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<sst xmlns="http://schemas.openxmlformats.org/spreadsheetml/2006/main" count="725" uniqueCount="267">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</sst>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17</v>
      </c>
      <c r="C1" s="11">
        <v>46266</v>
      </c>
      <c r="F1" s="1" t="s">
        <v>2</v>
      </c>
      <c r="G1" s="1" t="s">
        <v>3</v>
      </c>
    </row>
    <row r="2" spans="1:7" x14ac:dyDescent="0.45">
      <c r="A2" s="1" t="s">
        <v>4</v>
      </c>
      <c r="B2" t="str">
        <f>INDEX($G$2:$G$49,MATCH($B$1,$F$2:$F$49,0))</f>
        <v>CT</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Connecticut</v>
      </c>
    </row>
    <row r="2" spans="1:28" x14ac:dyDescent="0.45">
      <c r="B2" t="str">
        <f>About!B2</f>
        <v>CT</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Connecticut</v>
      </c>
    </row>
    <row r="5" spans="1:29" x14ac:dyDescent="0.45">
      <c r="A5" t="s">
        <v>246</v>
      </c>
      <c r="B5" t="str">
        <f>About!$B$2</f>
        <v>CT</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134184.98214555148</v>
      </c>
      <c r="C171">
        <f>IF('State Calculations'!C$5&lt;&gt;"",B171*(1+'State Calculations'!C$5),IFERROR(INDEX(C9:C56,MATCH($B$5,$A9:$A56,0))/C57*C165,0))</f>
        <v>193047.79136394689</v>
      </c>
      <c r="D171">
        <f>IF('State Calculations'!D$5&lt;&gt;"",C171*(1+'State Calculations'!D$5),IFERROR(INDEX(D9:D56,MATCH($B$5,$A9:$A56,0))/D57*D165,0))</f>
        <v>276778.15641087777</v>
      </c>
      <c r="E171">
        <f>IF('State Calculations'!E$5&lt;&gt;"",D171*(1+'State Calculations'!E$5),IFERROR(INDEX(E9:E56,MATCH($B$5,$A9:$A56,0))/E57*E165,0))</f>
        <v>395191.80444927915</v>
      </c>
      <c r="F171">
        <f>IF('State Calculations'!F$5&lt;&gt;"",E171*(1+'State Calculations'!F$5),IFERROR(INDEX(F9:F56,MATCH($B$5,$A9:$A56,0))/F57*F165,0))</f>
        <v>561362.99536159565</v>
      </c>
      <c r="G171">
        <f>IF('State Calculations'!G$5&lt;&gt;"",F171*(1+'State Calculations'!G$5),IFERROR(INDEX(G9:G56,MATCH($B$5,$A9:$A56,0))/G57*G165,0))</f>
        <v>792014.12773085793</v>
      </c>
      <c r="H171">
        <f>IF('State Calculations'!H$5&lt;&gt;"",G171*(1+'State Calculations'!H$5),IFERROR(INDEX(H9:H56,MATCH($B$5,$A9:$A56,0))/H57*H165,0))</f>
        <v>1106956.1649212332</v>
      </c>
      <c r="I171">
        <f>IF('State Calculations'!I$5&lt;&gt;"",H171*(1+'State Calculations'!I$5),IFERROR(INDEX(I9:I56,MATCH($B$5,$A9:$A56,0))/I57*I165,0))</f>
        <v>1210010.6221526302</v>
      </c>
      <c r="J171">
        <f>IF('State Calculations'!J$5&lt;&gt;"",I171*(1+'State Calculations'!J$5),IFERROR(INDEX(J9:J56,MATCH($B$5,$A9:$A56,0))/J57*J165,0))</f>
        <v>1320671.5362121749</v>
      </c>
      <c r="K171">
        <f>IF('State Calculations'!K$5&lt;&gt;"",J171*(1+'State Calculations'!K$5),IFERROR(INDEX(K9:K56,MATCH($B$5,$A9:$A56,0))/K57*K165,0))</f>
        <v>1438928.8554946473</v>
      </c>
      <c r="L171">
        <f>IF('State Calculations'!L$5&lt;&gt;"",K171*(1+'State Calculations'!L$5),IFERROR(INDEX(L9:L56,MATCH($B$5,$A9:$A56,0))/L57*L165,0))</f>
        <v>1564566.4365901542</v>
      </c>
      <c r="M171">
        <f>IF('State Calculations'!M$5&lt;&gt;"",L171*(1+'State Calculations'!M$5),IFERROR(INDEX(M9:M56,MATCH($B$5,$A9:$A56,0))/M57*M165,0))</f>
        <v>1697095.2283872389</v>
      </c>
      <c r="N171">
        <f>IF('State Calculations'!N$5&lt;&gt;"",M171*(1+'State Calculations'!N$5),IFERROR(INDEX(N9:N56,MATCH($B$5,$A9:$A56,0))/N57*N165,0))</f>
        <v>1731759.6867458292</v>
      </c>
      <c r="O171">
        <f>IF('State Calculations'!O$5&lt;&gt;"",N171*(1+'State Calculations'!O$5),IFERROR(INDEX(O9:O56,MATCH($B$5,$A9:$A56,0))/O57*O165,0))</f>
        <v>1766748.6104852222</v>
      </c>
      <c r="P171">
        <f>IF('State Calculations'!P$5&lt;&gt;"",O171*(1+'State Calculations'!P$5),IFERROR(INDEX(P9:P56,MATCH($B$5,$A9:$A56,0))/P57*P165,0))</f>
        <v>1802035.2605514454</v>
      </c>
      <c r="Q171">
        <f>IF('State Calculations'!Q$5&lt;&gt;"",P171*(1+'State Calculations'!Q$5),IFERROR(INDEX(Q9:Q56,MATCH($B$5,$A9:$A56,0))/Q57*Q165,0))</f>
        <v>1837590.291885128</v>
      </c>
      <c r="R171">
        <f>IF('State Calculations'!R$5&lt;&gt;"",Q171*(1+'State Calculations'!R$5),IFERROR(INDEX(R9:R56,MATCH($B$5,$A9:$A56,0))/R57*R165,0))</f>
        <v>1873381.6287022189</v>
      </c>
      <c r="S171">
        <f>IF('State Calculations'!S$5&lt;&gt;"",R171*(1+'State Calculations'!S$5),IFERROR(INDEX(S9:S56,MATCH($B$5,$A9:$A56,0))/S57*S165,0))</f>
        <v>1882385.6798412558</v>
      </c>
      <c r="T171">
        <f>IF('State Calculations'!T$5&lt;&gt;"",S171*(1+'State Calculations'!T$5),IFERROR(INDEX(T9:T56,MATCH($B$5,$A9:$A56,0))/T57*T165,0))</f>
        <v>1891400.4581854576</v>
      </c>
      <c r="U171">
        <f>IF('State Calculations'!U$5&lt;&gt;"",T171*(1+'State Calculations'!U$5),IFERROR(INDEX(U9:U56,MATCH($B$5,$A9:$A56,0))/U57*U165,0))</f>
        <v>1900425.3271995643</v>
      </c>
      <c r="V171">
        <f>IF('State Calculations'!V$5&lt;&gt;"",U171*(1+'State Calculations'!V$5),IFERROR(INDEX(V9:V56,MATCH($B$5,$A9:$A56,0))/V57*V165,0))</f>
        <v>1909459.6374639571</v>
      </c>
      <c r="W171">
        <f>IF('State Calculations'!W$5&lt;&gt;"",V171*(1+'State Calculations'!W$5),IFERROR(INDEX(W9:W56,MATCH($B$5,$A9:$A56,0))/W57*W165,0))</f>
        <v>1918502.7265558406</v>
      </c>
      <c r="X171">
        <f>IF('State Calculations'!X$5&lt;&gt;"",W171*(1+'State Calculations'!X$5),IFERROR(INDEX(X9:X56,MATCH($B$5,$A9:$A56,0))/X57*X165,0))</f>
        <v>1920765.976929188</v>
      </c>
      <c r="Y171">
        <f>IF('State Calculations'!Y$5&lt;&gt;"",X171*(1+'State Calculations'!Y$5),IFERROR(INDEX(Y9:Y56,MATCH($B$5,$A9:$A56,0))/Y57*Y165,0))</f>
        <v>1923029.6990304585</v>
      </c>
      <c r="Z171">
        <f>IF('State Calculations'!Z$5&lt;&gt;"",Y171*(1+'State Calculations'!Z$5),IFERROR(INDEX(Z9:Z56,MATCH($B$5,$A9:$A56,0))/Z57*Z165,0))</f>
        <v>1925293.8819004402</v>
      </c>
      <c r="AA171">
        <f>IF('State Calculations'!AA$5&lt;&gt;"",Z171*(1+'State Calculations'!AA$5),IFERROR(INDEX(AA9:AA56,MATCH($B$5,$A9:$A56,0))/AA57*AA165,0))</f>
        <v>1927558.5145268652</v>
      </c>
      <c r="AB171">
        <f>IF('State Calculations'!AB$5&lt;&gt;"",AA171*(1+'State Calculations'!AB$5),IFERROR(INDEX(AB9:AB56,MATCH($B$5,$A9:$A56,0))/AB57*AB165,0))</f>
        <v>1929823.5858443037</v>
      </c>
    </row>
    <row r="172" spans="1:29" x14ac:dyDescent="0.45">
      <c r="A172" s="1" t="s">
        <v>262</v>
      </c>
      <c r="B172">
        <f>IF('State Calculations'!B$5&lt;&gt;"",A172*(1+'State Calculations'!B$5),IFERROR(INDEX(B61:B108,MATCH($B$5,$A61:$A108,0))/B109*B166,0))</f>
        <v>134184.98214555148</v>
      </c>
      <c r="C172">
        <f>IF('State Calculations'!C$5&lt;&gt;"",B172*(1+'State Calculations'!C$5),IFERROR(INDEX(C61:C108,MATCH($B$5,$A61:$A108,0))/C109*C166,0))</f>
        <v>205137.30111202519</v>
      </c>
      <c r="D172">
        <f>IF('State Calculations'!D$5&lt;&gt;"",C172*(1+'State Calculations'!D$5),IFERROR(INDEX(D61:D108,MATCH($B$5,$A61:$A108,0))/D109*D166,0))</f>
        <v>311603.82891925628</v>
      </c>
      <c r="E172">
        <f>IF('State Calculations'!E$5&lt;&gt;"",D172*(1+'State Calculations'!E$5),IFERROR(INDEX(E61:E108,MATCH($B$5,$A61:$A108,0))/E109*E166,0))</f>
        <v>469802.70018683973</v>
      </c>
      <c r="F172">
        <f>IF('State Calculations'!F$5&lt;&gt;"",E172*(1+'State Calculations'!F$5),IFERROR(INDEX(F61:F108,MATCH($B$5,$A61:$A108,0))/F109*F166,0))</f>
        <v>701978.13205700379</v>
      </c>
      <c r="G172">
        <f>IF('State Calculations'!G$5&lt;&gt;"",F172*(1+'State Calculations'!G$5),IFERROR(INDEX(G61:G108,MATCH($B$5,$A61:$A108,0))/G109*G166,0))</f>
        <v>1037240.6354689295</v>
      </c>
      <c r="H172">
        <f>IF('State Calculations'!H$5&lt;&gt;"",G172*(1+'State Calculations'!H$5),IFERROR(INDEX(H61:H108,MATCH($B$5,$A61:$A108,0))/H109*H166,0))</f>
        <v>1510844.0522016718</v>
      </c>
      <c r="I172">
        <f>IF('State Calculations'!I$5&lt;&gt;"",H172*(1+'State Calculations'!I$5),IFERROR(INDEX(I61:I108,MATCH($B$5,$A61:$A108,0))/I109*I166,0))</f>
        <v>1672891.5889797516</v>
      </c>
      <c r="J172">
        <f>IF('State Calculations'!J$5&lt;&gt;"",I172*(1+'State Calculations'!J$5),IFERROR(INDEX(J61:J108,MATCH($B$5,$A61:$A108,0))/J109*J166,0))</f>
        <v>1848436.8422883793</v>
      </c>
      <c r="K172">
        <f>IF('State Calculations'!K$5&lt;&gt;"",J172*(1+'State Calculations'!K$5),IFERROR(INDEX(K61:K108,MATCH($B$5,$A61:$A108,0))/K109*K166,0))</f>
        <v>2037620.4113642925</v>
      </c>
      <c r="L172">
        <f>IF('State Calculations'!L$5&lt;&gt;"",K172*(1+'State Calculations'!L$5),IFERROR(INDEX(L61:L108,MATCH($B$5,$A61:$A108,0))/L109*L166,0))</f>
        <v>2240282.1280203597</v>
      </c>
      <c r="M172">
        <f>IF('State Calculations'!M$5&lt;&gt;"",L172*(1+'State Calculations'!M$5),IFERROR(INDEX(M61:M108,MATCH($B$5,$A61:$A108,0))/M109*M166,0))</f>
        <v>2455875.0032750326</v>
      </c>
      <c r="N172">
        <f>IF('State Calculations'!N$5&lt;&gt;"",M172*(1+'State Calculations'!N$5),IFERROR(INDEX(N61:N108,MATCH($B$5,$A61:$A108,0))/N109*N166,0))</f>
        <v>2512966.9666351085</v>
      </c>
      <c r="O172">
        <f>IF('State Calculations'!O$5&lt;&gt;"",N172*(1+'State Calculations'!O$5),IFERROR(INDEX(O61:O108,MATCH($B$5,$A61:$A108,0))/O109*O166,0))</f>
        <v>2570732.8005419951</v>
      </c>
      <c r="P172">
        <f>IF('State Calculations'!P$5&lt;&gt;"",O172*(1+'State Calculations'!P$5),IFERROR(INDEX(P61:P108,MATCH($B$5,$A61:$A108,0))/P109*P166,0))</f>
        <v>2629136.0311418739</v>
      </c>
      <c r="Q172">
        <f>IF('State Calculations'!Q$5&lt;&gt;"",P172*(1+'State Calculations'!Q$5),IFERROR(INDEX(Q61:Q108,MATCH($B$5,$A61:$A108,0))/Q109*Q166,0))</f>
        <v>2688136.6326399464</v>
      </c>
      <c r="R172">
        <f>IF('State Calculations'!R$5&lt;&gt;"",Q172*(1+'State Calculations'!R$5),IFERROR(INDEX(R61:R108,MATCH($B$5,$A61:$A108,0))/R109*R166,0))</f>
        <v>2747690.8880120772</v>
      </c>
      <c r="S172">
        <f>IF('State Calculations'!S$5&lt;&gt;"",R172*(1+'State Calculations'!S$5),IFERROR(INDEX(S61:S108,MATCH($B$5,$A61:$A108,0))/S109*S166,0))</f>
        <v>2762725.7019173382</v>
      </c>
      <c r="T172">
        <f>IF('State Calculations'!T$5&lt;&gt;"",S172*(1+'State Calculations'!T$5),IFERROR(INDEX(T61:T108,MATCH($B$5,$A61:$A108,0))/T109*T166,0))</f>
        <v>2777789.4157496975</v>
      </c>
      <c r="U172">
        <f>IF('State Calculations'!U$5&lt;&gt;"",T172*(1+'State Calculations'!U$5),IFERROR(INDEX(U61:U108,MATCH($B$5,$A61:$A108,0))/U109*U166,0))</f>
        <v>2792881.1508972743</v>
      </c>
      <c r="V172">
        <f>IF('State Calculations'!V$5&lt;&gt;"",U172*(1+'State Calculations'!V$5),IFERROR(INDEX(V61:V108,MATCH($B$5,$A61:$A108,0))/V109*V166,0))</f>
        <v>2808000.0114846979</v>
      </c>
      <c r="W172">
        <f>IF('State Calculations'!W$5&lt;&gt;"",V172*(1+'State Calculations'!W$5),IFERROR(INDEX(W61:W108,MATCH($B$5,$A61:$A108,0))/W109*W166,0))</f>
        <v>2823145.0842473358</v>
      </c>
      <c r="X172">
        <f>IF('State Calculations'!X$5&lt;&gt;"",W172*(1+'State Calculations'!X$5),IFERROR(INDEX(X61:X108,MATCH($B$5,$A61:$A108,0))/X109*X166,0))</f>
        <v>2826939.0033618989</v>
      </c>
      <c r="Y172">
        <f>IF('State Calculations'!Y$5&lt;&gt;"",X172*(1+'State Calculations'!Y$5),IFERROR(INDEX(Y61:Y108,MATCH($B$5,$A61:$A108,0))/Y109*Y166,0))</f>
        <v>2830734.4506554822</v>
      </c>
      <c r="Z172">
        <f>IF('State Calculations'!Z$5&lt;&gt;"",Y172*(1+'State Calculations'!Z$5),IFERROR(INDEX(Z61:Z108,MATCH($B$5,$A61:$A108,0))/Z109*Z166,0))</f>
        <v>2834531.4109798837</v>
      </c>
      <c r="AA172">
        <f>IF('State Calculations'!AA$5&lt;&gt;"",Z172*(1+'State Calculations'!AA$5),IFERROR(INDEX(AA61:AA108,MATCH($B$5,$A61:$A108,0))/AA109*AA166,0))</f>
        <v>2838329.8691160819</v>
      </c>
      <c r="AB172">
        <f>IF('State Calculations'!AB$5&lt;&gt;"",AA172*(1+'State Calculations'!AB$5),IFERROR(INDEX(AB61:AB108,MATCH($B$5,$A61:$A108,0))/AB109*AB166,0))</f>
        <v>2842129.8097741175</v>
      </c>
    </row>
    <row r="173" spans="1:29" x14ac:dyDescent="0.45">
      <c r="A173" s="1" t="s">
        <v>263</v>
      </c>
      <c r="B173">
        <f>IF('State Calculations'!B$5&lt;&gt;"",A173*(1+'State Calculations'!B$5),IFERROR(INDEX(B113:B160,MATCH($B$5,$A113:$A160,0))/B161*B167,0))</f>
        <v>134184.98214555148</v>
      </c>
      <c r="C173">
        <f>IF('State Calculations'!C$5&lt;&gt;"",B173*(1+'State Calculations'!C$5),IFERROR(INDEX(C113:C160,MATCH($B$5,$A113:$A160,0))/C161*C167,0))</f>
        <v>217721.78571071595</v>
      </c>
      <c r="D173">
        <f>IF('State Calculations'!D$5&lt;&gt;"",C173*(1+'State Calculations'!D$5),IFERROR(INDEX(D113:D160,MATCH($B$5,$A113:$A160,0))/D161*D167,0))</f>
        <v>350625.18714354723</v>
      </c>
      <c r="E173">
        <f>IF('State Calculations'!E$5&lt;&gt;"",D173*(1+'State Calculations'!E$5),IFERROR(INDEX(E113:E160,MATCH($B$5,$A113:$A160,0))/E161*E167,0))</f>
        <v>559856.66596949263</v>
      </c>
      <c r="F173">
        <f>IF('State Calculations'!F$5&lt;&gt;"",E173*(1+'State Calculations'!F$5),IFERROR(INDEX(F113:F160,MATCH($B$5,$A113:$A160,0))/F161*F167,0))</f>
        <v>885004.01842164551</v>
      </c>
      <c r="G173">
        <f>IF('State Calculations'!G$5&lt;&gt;"",F173*(1+'State Calculations'!G$5),IFERROR(INDEX(G113:G160,MATCH($B$5,$A113:$A160,0))/G161*G167,0))</f>
        <v>1381942.1819990089</v>
      </c>
      <c r="H173">
        <f>IF('State Calculations'!H$5&lt;&gt;"",G173*(1+'State Calculations'!H$5),IFERROR(INDEX(H113:H160,MATCH($B$5,$A113:$A160,0))/H161*H167,0))</f>
        <v>2124833.94722541</v>
      </c>
      <c r="I173">
        <f>IF('State Calculations'!I$5&lt;&gt;"",H173*(1+'State Calculations'!I$5),IFERROR(INDEX(I113:I160,MATCH($B$5,$A113:$A160,0))/I161*I167,0))</f>
        <v>2394857.8839818654</v>
      </c>
      <c r="J173">
        <f>IF('State Calculations'!J$5&lt;&gt;"",I173*(1+'State Calculations'!J$5),IFERROR(INDEX(J113:J160,MATCH($B$5,$A113:$A160,0))/J161*J167,0))</f>
        <v>2692752.0866725328</v>
      </c>
      <c r="K173">
        <f>IF('State Calculations'!K$5&lt;&gt;"",J173*(1+'State Calculations'!K$5),IFERROR(INDEX(K113:K160,MATCH($B$5,$A113:$A160,0))/K161*K167,0))</f>
        <v>3019626.7192353355</v>
      </c>
      <c r="L173">
        <f>IF('State Calculations'!L$5&lt;&gt;"",K173*(1+'State Calculations'!L$5),IFERROR(INDEX(L113:L160,MATCH($B$5,$A113:$A160,0))/L161*L167,0))</f>
        <v>3376078.4081925298</v>
      </c>
      <c r="M173">
        <f>IF('State Calculations'!M$5&lt;&gt;"",L173*(1+'State Calculations'!M$5),IFERROR(INDEX(M113:M160,MATCH($B$5,$A113:$A160,0))/M161*M167,0))</f>
        <v>3761998.6568904701</v>
      </c>
      <c r="N173">
        <f>IF('State Calculations'!N$5&lt;&gt;"",M173*(1+'State Calculations'!N$5),IFERROR(INDEX(N113:N160,MATCH($B$5,$A113:$A160,0))/N161*N167,0))</f>
        <v>3866084.4889195426</v>
      </c>
      <c r="O173">
        <f>IF('State Calculations'!O$5&lt;&gt;"",N173*(1+'State Calculations'!O$5),IFERROR(INDEX(O113:O160,MATCH($B$5,$A113:$A160,0))/O161*O167,0))</f>
        <v>3971868.6830172907</v>
      </c>
      <c r="P173">
        <f>IF('State Calculations'!P$5&lt;&gt;"",O173*(1+'State Calculations'!P$5),IFERROR(INDEX(P113:P160,MATCH($B$5,$A113:$A160,0))/P161*P167,0))</f>
        <v>4079292.857034395</v>
      </c>
      <c r="Q173">
        <f>IF('State Calculations'!Q$5&lt;&gt;"",P173*(1+'State Calculations'!Q$5),IFERROR(INDEX(Q113:Q160,MATCH($B$5,$A113:$A160,0))/Q161*Q167,0))</f>
        <v>4188290.9249535464</v>
      </c>
      <c r="R173">
        <f>IF('State Calculations'!R$5&lt;&gt;"",Q173*(1+'State Calculations'!R$5),IFERROR(INDEX(R113:R160,MATCH($B$5,$A113:$A160,0))/R161*R167,0))</f>
        <v>4298788.7294142153</v>
      </c>
      <c r="S173">
        <f>IF('State Calculations'!S$5&lt;&gt;"",R173*(1+'State Calculations'!S$5),IFERROR(INDEX(S113:S160,MATCH($B$5,$A113:$A160,0))/S161*S167,0))</f>
        <v>4326811.1162555395</v>
      </c>
      <c r="T173">
        <f>IF('State Calculations'!T$5&lt;&gt;"",S173*(1+'State Calculations'!T$5),IFERROR(INDEX(T113:T160,MATCH($B$5,$A113:$A160,0))/T161*T167,0))</f>
        <v>4354917.2609430756</v>
      </c>
      <c r="U173">
        <f>IF('State Calculations'!U$5&lt;&gt;"",T173*(1+'State Calculations'!U$5),IFERROR(INDEX(U113:U160,MATCH($B$5,$A113:$A160,0))/U161*U167,0))</f>
        <v>4383105.5658061774</v>
      </c>
      <c r="V173">
        <f>IF('State Calculations'!V$5&lt;&gt;"",U173*(1+'State Calculations'!V$5),IFERROR(INDEX(V113:V160,MATCH($B$5,$A113:$A160,0))/V161*V167,0))</f>
        <v>4411374.3941114955</v>
      </c>
      <c r="W173">
        <f>IF('State Calculations'!W$5&lt;&gt;"",V173*(1+'State Calculations'!W$5),IFERROR(INDEX(W113:W160,MATCH($B$5,$A113:$A160,0))/W161*W167,0))</f>
        <v>4439722.069711484</v>
      </c>
      <c r="X173">
        <f>IF('State Calculations'!X$5&lt;&gt;"",W173*(1+'State Calculations'!X$5),IFERROR(INDEX(X113:X160,MATCH($B$5,$A113:$A160,0))/X161*X167,0))</f>
        <v>4446831.2009425769</v>
      </c>
      <c r="Y173">
        <f>IF('State Calculations'!Y$5&lt;&gt;"",X173*(1+'State Calculations'!Y$5),IFERROR(INDEX(Y113:Y160,MATCH($B$5,$A113:$A160,0))/Y161*Y167,0))</f>
        <v>4453945.0563756796</v>
      </c>
      <c r="Z173">
        <f>IF('State Calculations'!Z$5&lt;&gt;"",Y173*(1+'State Calculations'!Z$5),IFERROR(INDEX(Z113:Z160,MATCH($B$5,$A113:$A160,0))/Z161*Z167,0))</f>
        <v>4461063.6078019897</v>
      </c>
      <c r="AA173">
        <f>IF('State Calculations'!AA$5&lt;&gt;"",Z173*(1+'State Calculations'!AA$5),IFERROR(INDEX(AA113:AA160,MATCH($B$5,$A113:$A160,0))/AA161*AA167,0))</f>
        <v>4468186.8268508781</v>
      </c>
      <c r="AB173">
        <f>IF('State Calculations'!AB$5&lt;&gt;"",AA173*(1+'State Calculations'!AB$5),IFERROR(INDEX(AB113:AB160,MATCH($B$5,$A113:$A160,0))/AB161*AB167,0))</f>
        <v>4475314.6849895595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134184.98214555148</v>
      </c>
      <c r="C2">
        <f>Calcs!C171</f>
        <v>193047.79136394689</v>
      </c>
      <c r="D2">
        <f>Calcs!D171</f>
        <v>276778.15641087777</v>
      </c>
      <c r="E2">
        <f>Calcs!E171</f>
        <v>395191.80444927915</v>
      </c>
      <c r="F2">
        <f>Calcs!F171</f>
        <v>561362.99536159565</v>
      </c>
      <c r="G2">
        <f>Calcs!G171</f>
        <v>792014.12773085793</v>
      </c>
      <c r="H2">
        <f>Calcs!H171</f>
        <v>1106956.1649212332</v>
      </c>
      <c r="I2">
        <f>Calcs!I171</f>
        <v>1210010.6221526302</v>
      </c>
      <c r="J2">
        <f>Calcs!J171</f>
        <v>1320671.5362121749</v>
      </c>
      <c r="K2">
        <f>Calcs!K171</f>
        <v>1438928.8554946473</v>
      </c>
      <c r="L2">
        <f>Calcs!L171</f>
        <v>1564566.4365901542</v>
      </c>
      <c r="M2">
        <f>Calcs!M171</f>
        <v>1697095.2283872389</v>
      </c>
      <c r="N2">
        <f>Calcs!N171</f>
        <v>1731759.6867458292</v>
      </c>
      <c r="O2">
        <f>Calcs!O171</f>
        <v>1766748.6104852222</v>
      </c>
      <c r="P2">
        <f>Calcs!P171</f>
        <v>1802035.2605514454</v>
      </c>
      <c r="Q2">
        <f>Calcs!Q171</f>
        <v>1837590.291885128</v>
      </c>
      <c r="R2">
        <f>Calcs!R171</f>
        <v>1873381.6287022189</v>
      </c>
      <c r="S2">
        <f>Calcs!S171</f>
        <v>1882385.6798412558</v>
      </c>
      <c r="T2">
        <f>Calcs!T171</f>
        <v>1891400.4581854576</v>
      </c>
      <c r="U2">
        <f>Calcs!U171</f>
        <v>1900425.3271995643</v>
      </c>
      <c r="V2">
        <f>Calcs!V171</f>
        <v>1909459.6374639571</v>
      </c>
      <c r="W2">
        <f>Calcs!W171</f>
        <v>1918502.7265558406</v>
      </c>
      <c r="X2">
        <f>Calcs!X171</f>
        <v>1920765.976929188</v>
      </c>
      <c r="Y2">
        <f>Calcs!Y171</f>
        <v>1923029.6990304585</v>
      </c>
      <c r="Z2">
        <f>Calcs!Z171</f>
        <v>1925293.8819004402</v>
      </c>
      <c r="AA2">
        <f>Calcs!AA171</f>
        <v>1927558.5145268652</v>
      </c>
      <c r="AB2">
        <f>Calcs!AB171</f>
        <v>1929823.5858443037</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134184.98214555148</v>
      </c>
      <c r="C2">
        <f>Calcs!C172</f>
        <v>205137.30111202519</v>
      </c>
      <c r="D2">
        <f>Calcs!D172</f>
        <v>311603.82891925628</v>
      </c>
      <c r="E2">
        <f>Calcs!E172</f>
        <v>469802.70018683973</v>
      </c>
      <c r="F2">
        <f>Calcs!F172</f>
        <v>701978.13205700379</v>
      </c>
      <c r="G2">
        <f>Calcs!G172</f>
        <v>1037240.6354689295</v>
      </c>
      <c r="H2">
        <f>Calcs!H172</f>
        <v>1510844.0522016718</v>
      </c>
      <c r="I2">
        <f>Calcs!I172</f>
        <v>1672891.5889797516</v>
      </c>
      <c r="J2">
        <f>Calcs!J172</f>
        <v>1848436.8422883793</v>
      </c>
      <c r="K2">
        <f>Calcs!K172</f>
        <v>2037620.4113642925</v>
      </c>
      <c r="L2">
        <f>Calcs!L172</f>
        <v>2240282.1280203597</v>
      </c>
      <c r="M2">
        <f>Calcs!M172</f>
        <v>2455875.0032750326</v>
      </c>
      <c r="N2">
        <f>Calcs!N172</f>
        <v>2512966.9666351085</v>
      </c>
      <c r="O2">
        <f>Calcs!O172</f>
        <v>2570732.8005419951</v>
      </c>
      <c r="P2">
        <f>Calcs!P172</f>
        <v>2629136.0311418739</v>
      </c>
      <c r="Q2">
        <f>Calcs!Q172</f>
        <v>2688136.6326399464</v>
      </c>
      <c r="R2">
        <f>Calcs!R172</f>
        <v>2747690.8880120772</v>
      </c>
      <c r="S2">
        <f>Calcs!S172</f>
        <v>2762725.7019173382</v>
      </c>
      <c r="T2">
        <f>Calcs!T172</f>
        <v>2777789.4157496975</v>
      </c>
      <c r="U2">
        <f>Calcs!U172</f>
        <v>2792881.1508972743</v>
      </c>
      <c r="V2">
        <f>Calcs!V172</f>
        <v>2808000.0114846979</v>
      </c>
      <c r="W2">
        <f>Calcs!W172</f>
        <v>2823145.0842473358</v>
      </c>
      <c r="X2">
        <f>Calcs!X172</f>
        <v>2826939.0033618989</v>
      </c>
      <c r="Y2">
        <f>Calcs!Y172</f>
        <v>2830734.4506554822</v>
      </c>
      <c r="Z2">
        <f>Calcs!Z172</f>
        <v>2834531.4109798837</v>
      </c>
      <c r="AA2">
        <f>Calcs!AA172</f>
        <v>2838329.8691160819</v>
      </c>
      <c r="AB2">
        <f>Calcs!AB172</f>
        <v>2842129.8097741175</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134184.98214555148</v>
      </c>
      <c r="C2">
        <f>Calcs!C173</f>
        <v>217721.78571071595</v>
      </c>
      <c r="D2">
        <f>Calcs!D173</f>
        <v>350625.18714354723</v>
      </c>
      <c r="E2">
        <f>Calcs!E173</f>
        <v>559856.66596949263</v>
      </c>
      <c r="F2">
        <f>Calcs!F173</f>
        <v>885004.01842164551</v>
      </c>
      <c r="G2">
        <f>Calcs!G173</f>
        <v>1381942.1819990089</v>
      </c>
      <c r="H2">
        <f>Calcs!H173</f>
        <v>2124833.94722541</v>
      </c>
      <c r="I2">
        <f>Calcs!I173</f>
        <v>2394857.8839818654</v>
      </c>
      <c r="J2">
        <f>Calcs!J173</f>
        <v>2692752.0866725328</v>
      </c>
      <c r="K2">
        <f>Calcs!K173</f>
        <v>3019626.7192353355</v>
      </c>
      <c r="L2">
        <f>Calcs!L173</f>
        <v>3376078.4081925298</v>
      </c>
      <c r="M2">
        <f>Calcs!M173</f>
        <v>3761998.6568904701</v>
      </c>
      <c r="N2">
        <f>Calcs!N173</f>
        <v>3866084.4889195426</v>
      </c>
      <c r="O2">
        <f>Calcs!O173</f>
        <v>3971868.6830172907</v>
      </c>
      <c r="P2">
        <f>Calcs!P173</f>
        <v>4079292.857034395</v>
      </c>
      <c r="Q2">
        <f>Calcs!Q173</f>
        <v>4188290.9249535464</v>
      </c>
      <c r="R2">
        <f>Calcs!R173</f>
        <v>4298788.7294142153</v>
      </c>
      <c r="S2">
        <f>Calcs!S173</f>
        <v>4326811.1162555395</v>
      </c>
      <c r="T2">
        <f>Calcs!T173</f>
        <v>4354917.2609430756</v>
      </c>
      <c r="U2">
        <f>Calcs!U173</f>
        <v>4383105.5658061774</v>
      </c>
      <c r="V2">
        <f>Calcs!V173</f>
        <v>4411374.3941114955</v>
      </c>
      <c r="W2">
        <f>Calcs!W173</f>
        <v>4439722.069711484</v>
      </c>
      <c r="X2">
        <f>Calcs!X173</f>
        <v>4446831.2009425769</v>
      </c>
      <c r="Y2">
        <f>Calcs!Y173</f>
        <v>4453945.0563756796</v>
      </c>
      <c r="Z2">
        <f>Calcs!Z173</f>
        <v>4461063.6078019897</v>
      </c>
      <c r="AA2">
        <f>Calcs!AA173</f>
        <v>4468186.8268508781</v>
      </c>
      <c r="AB2">
        <f>Calcs!AB173</f>
        <v>4475314.6849895595</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2026-09-01T22:21:33Z</dcterms:modified>
</cp:coreProperties>
</file>